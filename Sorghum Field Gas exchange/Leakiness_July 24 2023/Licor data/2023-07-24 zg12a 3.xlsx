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8" i="1" l="1"/>
  <c r="AM228" i="1"/>
  <c r="AK228" i="1"/>
  <c r="AL228" i="1" s="1"/>
  <c r="AJ228" i="1"/>
  <c r="AH228" i="1"/>
  <c r="L228" i="1" s="1"/>
  <c r="Z228" i="1"/>
  <c r="Y228" i="1"/>
  <c r="X228" i="1"/>
  <c r="Q228" i="1"/>
  <c r="O228" i="1"/>
  <c r="K228" i="1"/>
  <c r="AN227" i="1"/>
  <c r="T227" i="1" s="1"/>
  <c r="AM227" i="1"/>
  <c r="AL227" i="1" s="1"/>
  <c r="AK227" i="1"/>
  <c r="AJ227" i="1"/>
  <c r="AI227" i="1"/>
  <c r="AH227" i="1"/>
  <c r="L227" i="1" s="1"/>
  <c r="Z227" i="1"/>
  <c r="Y227" i="1"/>
  <c r="X227" i="1" s="1"/>
  <c r="Q227" i="1"/>
  <c r="O227" i="1"/>
  <c r="AN226" i="1"/>
  <c r="AM226" i="1"/>
  <c r="AK226" i="1"/>
  <c r="AJ226" i="1"/>
  <c r="AH226" i="1" s="1"/>
  <c r="Z226" i="1"/>
  <c r="X226" i="1" s="1"/>
  <c r="Y226" i="1"/>
  <c r="Q226" i="1"/>
  <c r="O226" i="1"/>
  <c r="AN225" i="1"/>
  <c r="AM225" i="1"/>
  <c r="AK225" i="1"/>
  <c r="AJ225" i="1"/>
  <c r="AH225" i="1" s="1"/>
  <c r="O225" i="1" s="1"/>
  <c r="Z225" i="1"/>
  <c r="Y225" i="1"/>
  <c r="X225" i="1" s="1"/>
  <c r="Q225" i="1"/>
  <c r="K225" i="1"/>
  <c r="AN224" i="1"/>
  <c r="AM224" i="1"/>
  <c r="AK224" i="1"/>
  <c r="AJ224" i="1"/>
  <c r="AH224" i="1" s="1"/>
  <c r="AI224" i="1"/>
  <c r="Z224" i="1"/>
  <c r="Y224" i="1"/>
  <c r="X224" i="1" s="1"/>
  <c r="Q224" i="1"/>
  <c r="O224" i="1"/>
  <c r="AN223" i="1"/>
  <c r="AM223" i="1"/>
  <c r="AK223" i="1"/>
  <c r="AJ223" i="1"/>
  <c r="AI223" i="1"/>
  <c r="AH223" i="1"/>
  <c r="L223" i="1" s="1"/>
  <c r="Z223" i="1"/>
  <c r="Y223" i="1"/>
  <c r="X223" i="1" s="1"/>
  <c r="Q223" i="1"/>
  <c r="O223" i="1"/>
  <c r="K223" i="1"/>
  <c r="AN222" i="1"/>
  <c r="AM222" i="1"/>
  <c r="AK222" i="1"/>
  <c r="AJ222" i="1"/>
  <c r="AH222" i="1" s="1"/>
  <c r="AI222" i="1" s="1"/>
  <c r="Z222" i="1"/>
  <c r="Y222" i="1"/>
  <c r="X222" i="1" s="1"/>
  <c r="Q222" i="1"/>
  <c r="K222" i="1"/>
  <c r="AN221" i="1"/>
  <c r="AM221" i="1"/>
  <c r="AK221" i="1"/>
  <c r="AJ221" i="1"/>
  <c r="AH221" i="1" s="1"/>
  <c r="AI221" i="1" s="1"/>
  <c r="Z221" i="1"/>
  <c r="Y221" i="1"/>
  <c r="X221" i="1" s="1"/>
  <c r="Q221" i="1"/>
  <c r="O221" i="1"/>
  <c r="K221" i="1"/>
  <c r="AN220" i="1"/>
  <c r="AM220" i="1"/>
  <c r="AK220" i="1"/>
  <c r="AJ220" i="1"/>
  <c r="AH220" i="1" s="1"/>
  <c r="AI220" i="1"/>
  <c r="Z220" i="1"/>
  <c r="Y220" i="1"/>
  <c r="X220" i="1" s="1"/>
  <c r="Q220" i="1"/>
  <c r="O220" i="1"/>
  <c r="AN219" i="1"/>
  <c r="AM219" i="1"/>
  <c r="AK219" i="1"/>
  <c r="AJ219" i="1"/>
  <c r="AI219" i="1"/>
  <c r="AH219" i="1"/>
  <c r="L219" i="1" s="1"/>
  <c r="Z219" i="1"/>
  <c r="Y219" i="1"/>
  <c r="X219" i="1" s="1"/>
  <c r="Q219" i="1"/>
  <c r="O219" i="1"/>
  <c r="K219" i="1"/>
  <c r="AN218" i="1"/>
  <c r="AM218" i="1"/>
  <c r="AK218" i="1"/>
  <c r="AJ218" i="1"/>
  <c r="AH218" i="1" s="1"/>
  <c r="AI218" i="1"/>
  <c r="Z218" i="1"/>
  <c r="Y218" i="1"/>
  <c r="X218" i="1" s="1"/>
  <c r="Q218" i="1"/>
  <c r="O218" i="1"/>
  <c r="K218" i="1"/>
  <c r="AN217" i="1"/>
  <c r="AM217" i="1"/>
  <c r="AK217" i="1"/>
  <c r="AJ217" i="1"/>
  <c r="AH217" i="1" s="1"/>
  <c r="AI217" i="1"/>
  <c r="Z217" i="1"/>
  <c r="Y217" i="1"/>
  <c r="X217" i="1" s="1"/>
  <c r="Q217" i="1"/>
  <c r="O217" i="1"/>
  <c r="AN216" i="1"/>
  <c r="AM216" i="1"/>
  <c r="AK216" i="1"/>
  <c r="AJ216" i="1"/>
  <c r="AH216" i="1" s="1"/>
  <c r="AI216" i="1"/>
  <c r="Z216" i="1"/>
  <c r="Y216" i="1"/>
  <c r="X216" i="1" s="1"/>
  <c r="Q216" i="1"/>
  <c r="AN215" i="1"/>
  <c r="AM215" i="1"/>
  <c r="AK215" i="1"/>
  <c r="AJ215" i="1"/>
  <c r="AI215" i="1"/>
  <c r="AH215" i="1"/>
  <c r="L215" i="1" s="1"/>
  <c r="Z215" i="1"/>
  <c r="Y215" i="1"/>
  <c r="X215" i="1" s="1"/>
  <c r="Q215" i="1"/>
  <c r="O215" i="1"/>
  <c r="K215" i="1"/>
  <c r="AN214" i="1"/>
  <c r="AM214" i="1"/>
  <c r="AK214" i="1"/>
  <c r="AJ214" i="1"/>
  <c r="AH214" i="1" s="1"/>
  <c r="AI214" i="1" s="1"/>
  <c r="Z214" i="1"/>
  <c r="Y214" i="1"/>
  <c r="X214" i="1" s="1"/>
  <c r="Q214" i="1"/>
  <c r="O214" i="1"/>
  <c r="K214" i="1"/>
  <c r="AN213" i="1"/>
  <c r="AM213" i="1"/>
  <c r="AK213" i="1"/>
  <c r="AJ213" i="1"/>
  <c r="AH213" i="1" s="1"/>
  <c r="AI213" i="1"/>
  <c r="Z213" i="1"/>
  <c r="Y213" i="1"/>
  <c r="X213" i="1" s="1"/>
  <c r="Q213" i="1"/>
  <c r="O213" i="1"/>
  <c r="AN212" i="1"/>
  <c r="AM212" i="1"/>
  <c r="AK212" i="1"/>
  <c r="AJ212" i="1"/>
  <c r="AH212" i="1" s="1"/>
  <c r="Z212" i="1"/>
  <c r="Y212" i="1"/>
  <c r="X212" i="1" s="1"/>
  <c r="Q212" i="1"/>
  <c r="AN211" i="1"/>
  <c r="AM211" i="1"/>
  <c r="AK211" i="1"/>
  <c r="AJ211" i="1"/>
  <c r="AI211" i="1"/>
  <c r="AH211" i="1"/>
  <c r="L211" i="1" s="1"/>
  <c r="Z211" i="1"/>
  <c r="Y211" i="1"/>
  <c r="X211" i="1" s="1"/>
  <c r="Q211" i="1"/>
  <c r="O211" i="1"/>
  <c r="K211" i="1"/>
  <c r="AN210" i="1"/>
  <c r="AM210" i="1"/>
  <c r="AK210" i="1"/>
  <c r="AJ210" i="1"/>
  <c r="AH210" i="1" s="1"/>
  <c r="AI210" i="1"/>
  <c r="Z210" i="1"/>
  <c r="Y210" i="1"/>
  <c r="X210" i="1" s="1"/>
  <c r="Q210" i="1"/>
  <c r="O210" i="1"/>
  <c r="AN209" i="1"/>
  <c r="AM209" i="1"/>
  <c r="AK209" i="1"/>
  <c r="AJ209" i="1"/>
  <c r="AH209" i="1" s="1"/>
  <c r="AI209" i="1"/>
  <c r="Z209" i="1"/>
  <c r="Y209" i="1"/>
  <c r="X209" i="1" s="1"/>
  <c r="Q209" i="1"/>
  <c r="AN208" i="1"/>
  <c r="AM208" i="1"/>
  <c r="AK208" i="1"/>
  <c r="AJ208" i="1"/>
  <c r="AH208" i="1" s="1"/>
  <c r="L208" i="1" s="1"/>
  <c r="Z208" i="1"/>
  <c r="Y208" i="1"/>
  <c r="X208" i="1" s="1"/>
  <c r="Q208" i="1"/>
  <c r="J208" i="1"/>
  <c r="I208" i="1" s="1"/>
  <c r="AN207" i="1"/>
  <c r="AM207" i="1"/>
  <c r="AK207" i="1"/>
  <c r="AJ207" i="1"/>
  <c r="AH207" i="1"/>
  <c r="Z207" i="1"/>
  <c r="Y207" i="1"/>
  <c r="X207" i="1" s="1"/>
  <c r="Q207" i="1"/>
  <c r="AN206" i="1"/>
  <c r="AM206" i="1"/>
  <c r="AK206" i="1"/>
  <c r="AJ206" i="1"/>
  <c r="AH206" i="1" s="1"/>
  <c r="AI206" i="1" s="1"/>
  <c r="Z206" i="1"/>
  <c r="Y206" i="1"/>
  <c r="X206" i="1" s="1"/>
  <c r="Q206" i="1"/>
  <c r="O206" i="1"/>
  <c r="K206" i="1"/>
  <c r="AN205" i="1"/>
  <c r="AM205" i="1"/>
  <c r="AK205" i="1"/>
  <c r="T205" i="1" s="1"/>
  <c r="AJ205" i="1"/>
  <c r="AI205" i="1"/>
  <c r="AH205" i="1"/>
  <c r="J205" i="1" s="1"/>
  <c r="AB205" i="1"/>
  <c r="Z205" i="1"/>
  <c r="Y205" i="1"/>
  <c r="X205" i="1" s="1"/>
  <c r="Q205" i="1"/>
  <c r="O205" i="1"/>
  <c r="L205" i="1"/>
  <c r="K205" i="1"/>
  <c r="I205" i="1"/>
  <c r="AN204" i="1"/>
  <c r="AM204" i="1"/>
  <c r="AK204" i="1"/>
  <c r="AJ204" i="1"/>
  <c r="AH204" i="1" s="1"/>
  <c r="L204" i="1" s="1"/>
  <c r="Z204" i="1"/>
  <c r="Y204" i="1"/>
  <c r="X204" i="1" s="1"/>
  <c r="Q204" i="1"/>
  <c r="K204" i="1"/>
  <c r="J204" i="1"/>
  <c r="I204" i="1" s="1"/>
  <c r="AN203" i="1"/>
  <c r="AM203" i="1"/>
  <c r="AK203" i="1"/>
  <c r="T203" i="1" s="1"/>
  <c r="AJ203" i="1"/>
  <c r="AH203" i="1"/>
  <c r="Z203" i="1"/>
  <c r="Y203" i="1"/>
  <c r="X203" i="1" s="1"/>
  <c r="Q203" i="1"/>
  <c r="L203" i="1"/>
  <c r="AN202" i="1"/>
  <c r="AM202" i="1"/>
  <c r="AK202" i="1"/>
  <c r="AJ202" i="1"/>
  <c r="AH202" i="1" s="1"/>
  <c r="L202" i="1" s="1"/>
  <c r="Z202" i="1"/>
  <c r="Y202" i="1"/>
  <c r="Q202" i="1"/>
  <c r="J202" i="1"/>
  <c r="I202" i="1" s="1"/>
  <c r="AN201" i="1"/>
  <c r="AM201" i="1"/>
  <c r="AL201" i="1"/>
  <c r="AK201" i="1"/>
  <c r="T201" i="1" s="1"/>
  <c r="AJ201" i="1"/>
  <c r="AH201" i="1"/>
  <c r="Z201" i="1"/>
  <c r="Y201" i="1"/>
  <c r="X201" i="1" s="1"/>
  <c r="Q201" i="1"/>
  <c r="L201" i="1"/>
  <c r="AN200" i="1"/>
  <c r="AM200" i="1"/>
  <c r="AK200" i="1"/>
  <c r="AJ200" i="1"/>
  <c r="AH200" i="1"/>
  <c r="Z200" i="1"/>
  <c r="Y200" i="1"/>
  <c r="X200" i="1"/>
  <c r="T200" i="1"/>
  <c r="Q200" i="1"/>
  <c r="AN199" i="1"/>
  <c r="AM199" i="1"/>
  <c r="AK199" i="1"/>
  <c r="AL199" i="1" s="1"/>
  <c r="AJ199" i="1"/>
  <c r="AH199" i="1"/>
  <c r="L199" i="1" s="1"/>
  <c r="Z199" i="1"/>
  <c r="Y199" i="1"/>
  <c r="X199" i="1"/>
  <c r="Q199" i="1"/>
  <c r="J199" i="1"/>
  <c r="I199" i="1" s="1"/>
  <c r="AN198" i="1"/>
  <c r="AM198" i="1"/>
  <c r="AL198" i="1"/>
  <c r="AK198" i="1"/>
  <c r="AJ198" i="1"/>
  <c r="AH198" i="1"/>
  <c r="J198" i="1" s="1"/>
  <c r="I198" i="1" s="1"/>
  <c r="AB198" i="1"/>
  <c r="Z198" i="1"/>
  <c r="Y198" i="1"/>
  <c r="X198" i="1"/>
  <c r="T198" i="1"/>
  <c r="Q198" i="1"/>
  <c r="L198" i="1"/>
  <c r="K198" i="1"/>
  <c r="AN197" i="1"/>
  <c r="AM197" i="1"/>
  <c r="AL197" i="1"/>
  <c r="AK197" i="1"/>
  <c r="AJ197" i="1"/>
  <c r="AH197" i="1" s="1"/>
  <c r="Z197" i="1"/>
  <c r="Y197" i="1"/>
  <c r="T197" i="1"/>
  <c r="Q197" i="1"/>
  <c r="AN196" i="1"/>
  <c r="AM196" i="1"/>
  <c r="AL196" i="1"/>
  <c r="AK196" i="1"/>
  <c r="AJ196" i="1"/>
  <c r="AH196" i="1"/>
  <c r="Z196" i="1"/>
  <c r="Y196" i="1"/>
  <c r="X196" i="1"/>
  <c r="T196" i="1"/>
  <c r="Q196" i="1"/>
  <c r="AN195" i="1"/>
  <c r="AM195" i="1"/>
  <c r="AK195" i="1"/>
  <c r="AL195" i="1" s="1"/>
  <c r="AJ195" i="1"/>
  <c r="AH195" i="1"/>
  <c r="L195" i="1" s="1"/>
  <c r="Z195" i="1"/>
  <c r="Y195" i="1"/>
  <c r="X195" i="1"/>
  <c r="Q195" i="1"/>
  <c r="AN194" i="1"/>
  <c r="AM194" i="1"/>
  <c r="AL194" i="1"/>
  <c r="AK194" i="1"/>
  <c r="AJ194" i="1"/>
  <c r="AH194" i="1"/>
  <c r="J194" i="1" s="1"/>
  <c r="I194" i="1" s="1"/>
  <c r="AB194" i="1"/>
  <c r="Z194" i="1"/>
  <c r="Y194" i="1"/>
  <c r="X194" i="1"/>
  <c r="T194" i="1"/>
  <c r="Q194" i="1"/>
  <c r="L194" i="1"/>
  <c r="K194" i="1"/>
  <c r="AN193" i="1"/>
  <c r="AM193" i="1"/>
  <c r="AL193" i="1"/>
  <c r="AK193" i="1"/>
  <c r="AJ193" i="1"/>
  <c r="AH193" i="1" s="1"/>
  <c r="AI193" i="1" s="1"/>
  <c r="Z193" i="1"/>
  <c r="Y193" i="1"/>
  <c r="X193" i="1" s="1"/>
  <c r="T193" i="1"/>
  <c r="Q193" i="1"/>
  <c r="AN192" i="1"/>
  <c r="AM192" i="1"/>
  <c r="AL192" i="1"/>
  <c r="AK192" i="1"/>
  <c r="AJ192" i="1"/>
  <c r="AH192" i="1"/>
  <c r="O192" i="1" s="1"/>
  <c r="Z192" i="1"/>
  <c r="Y192" i="1"/>
  <c r="X192" i="1"/>
  <c r="T192" i="1"/>
  <c r="Q192" i="1"/>
  <c r="AN191" i="1"/>
  <c r="AM191" i="1"/>
  <c r="AK191" i="1"/>
  <c r="AL191" i="1" s="1"/>
  <c r="AJ191" i="1"/>
  <c r="AH191" i="1"/>
  <c r="Z191" i="1"/>
  <c r="Y191" i="1"/>
  <c r="X191" i="1"/>
  <c r="Q191" i="1"/>
  <c r="AN190" i="1"/>
  <c r="T190" i="1" s="1"/>
  <c r="AM190" i="1"/>
  <c r="AK190" i="1"/>
  <c r="AL190" i="1" s="1"/>
  <c r="AJ190" i="1"/>
  <c r="AH190" i="1"/>
  <c r="J190" i="1" s="1"/>
  <c r="I190" i="1" s="1"/>
  <c r="AB190" i="1"/>
  <c r="Z190" i="1"/>
  <c r="Y190" i="1"/>
  <c r="X190" i="1"/>
  <c r="Q190" i="1"/>
  <c r="L190" i="1"/>
  <c r="K190" i="1"/>
  <c r="AN189" i="1"/>
  <c r="AM189" i="1"/>
  <c r="AK189" i="1"/>
  <c r="AL189" i="1" s="1"/>
  <c r="AJ189" i="1"/>
  <c r="AH189" i="1" s="1"/>
  <c r="L189" i="1" s="1"/>
  <c r="AI189" i="1"/>
  <c r="Z189" i="1"/>
  <c r="Y189" i="1"/>
  <c r="T189" i="1"/>
  <c r="Q189" i="1"/>
  <c r="O189" i="1"/>
  <c r="K189" i="1"/>
  <c r="J189" i="1"/>
  <c r="I189" i="1" s="1"/>
  <c r="AN188" i="1"/>
  <c r="AM188" i="1"/>
  <c r="AL188" i="1" s="1"/>
  <c r="AK188" i="1"/>
  <c r="AJ188" i="1"/>
  <c r="AH188" i="1"/>
  <c r="Z188" i="1"/>
  <c r="X188" i="1" s="1"/>
  <c r="Y188" i="1"/>
  <c r="T188" i="1"/>
  <c r="Q188" i="1"/>
  <c r="K188" i="1"/>
  <c r="AN187" i="1"/>
  <c r="AM187" i="1"/>
  <c r="AK187" i="1"/>
  <c r="AJ187" i="1"/>
  <c r="AH187" i="1"/>
  <c r="Z187" i="1"/>
  <c r="Y187" i="1"/>
  <c r="X187" i="1"/>
  <c r="Q187" i="1"/>
  <c r="AN186" i="1"/>
  <c r="AM186" i="1"/>
  <c r="AK186" i="1"/>
  <c r="AJ186" i="1"/>
  <c r="AH186" i="1"/>
  <c r="AI186" i="1" s="1"/>
  <c r="Z186" i="1"/>
  <c r="Y186" i="1"/>
  <c r="X186" i="1"/>
  <c r="Q186" i="1"/>
  <c r="O186" i="1"/>
  <c r="J186" i="1"/>
  <c r="I186" i="1" s="1"/>
  <c r="AN185" i="1"/>
  <c r="T185" i="1" s="1"/>
  <c r="AM185" i="1"/>
  <c r="AL185" i="1" s="1"/>
  <c r="AK185" i="1"/>
  <c r="AJ185" i="1"/>
  <c r="AH185" i="1"/>
  <c r="Z185" i="1"/>
  <c r="Y185" i="1"/>
  <c r="X185" i="1"/>
  <c r="Q185" i="1"/>
  <c r="AN184" i="1"/>
  <c r="AM184" i="1"/>
  <c r="AK184" i="1"/>
  <c r="AL184" i="1" s="1"/>
  <c r="AJ184" i="1"/>
  <c r="AH184" i="1" s="1"/>
  <c r="Z184" i="1"/>
  <c r="X184" i="1" s="1"/>
  <c r="Y184" i="1"/>
  <c r="Q184" i="1"/>
  <c r="AN183" i="1"/>
  <c r="AM183" i="1"/>
  <c r="AL183" i="1"/>
  <c r="AK183" i="1"/>
  <c r="AJ183" i="1"/>
  <c r="AH183" i="1" s="1"/>
  <c r="Z183" i="1"/>
  <c r="Y183" i="1"/>
  <c r="X183" i="1" s="1"/>
  <c r="T183" i="1"/>
  <c r="Q183" i="1"/>
  <c r="L183" i="1"/>
  <c r="AN182" i="1"/>
  <c r="AM182" i="1"/>
  <c r="AK182" i="1"/>
  <c r="AL182" i="1" s="1"/>
  <c r="AJ182" i="1"/>
  <c r="AH182" i="1" s="1"/>
  <c r="Z182" i="1"/>
  <c r="X182" i="1" s="1"/>
  <c r="Y182" i="1"/>
  <c r="Q182" i="1"/>
  <c r="AN181" i="1"/>
  <c r="T181" i="1" s="1"/>
  <c r="AM181" i="1"/>
  <c r="AL181" i="1" s="1"/>
  <c r="AK181" i="1"/>
  <c r="AJ181" i="1"/>
  <c r="AH181" i="1"/>
  <c r="Z181" i="1"/>
  <c r="Y181" i="1"/>
  <c r="X181" i="1"/>
  <c r="Q181" i="1"/>
  <c r="AN180" i="1"/>
  <c r="AM180" i="1"/>
  <c r="AK180" i="1"/>
  <c r="AL180" i="1" s="1"/>
  <c r="AJ180" i="1"/>
  <c r="AH180" i="1" s="1"/>
  <c r="Z180" i="1"/>
  <c r="X180" i="1" s="1"/>
  <c r="Y180" i="1"/>
  <c r="Q180" i="1"/>
  <c r="AN179" i="1"/>
  <c r="AM179" i="1"/>
  <c r="AL179" i="1"/>
  <c r="AK179" i="1"/>
  <c r="AJ179" i="1"/>
  <c r="AH179" i="1" s="1"/>
  <c r="Z179" i="1"/>
  <c r="Y179" i="1"/>
  <c r="X179" i="1" s="1"/>
  <c r="T179" i="1"/>
  <c r="Q179" i="1"/>
  <c r="L179" i="1"/>
  <c r="AN178" i="1"/>
  <c r="AM178" i="1"/>
  <c r="AK178" i="1"/>
  <c r="AL178" i="1" s="1"/>
  <c r="AJ178" i="1"/>
  <c r="AH178" i="1" s="1"/>
  <c r="Z178" i="1"/>
  <c r="X178" i="1" s="1"/>
  <c r="Y178" i="1"/>
  <c r="Q178" i="1"/>
  <c r="AN177" i="1"/>
  <c r="T177" i="1" s="1"/>
  <c r="AM177" i="1"/>
  <c r="AL177" i="1" s="1"/>
  <c r="AK177" i="1"/>
  <c r="AJ177" i="1"/>
  <c r="AH177" i="1"/>
  <c r="Z177" i="1"/>
  <c r="Y177" i="1"/>
  <c r="X177" i="1"/>
  <c r="Q177" i="1"/>
  <c r="AN176" i="1"/>
  <c r="AM176" i="1"/>
  <c r="AK176" i="1"/>
  <c r="AL176" i="1" s="1"/>
  <c r="AJ176" i="1"/>
  <c r="AH176" i="1" s="1"/>
  <c r="Z176" i="1"/>
  <c r="X176" i="1" s="1"/>
  <c r="Y176" i="1"/>
  <c r="Q176" i="1"/>
  <c r="AN175" i="1"/>
  <c r="AM175" i="1"/>
  <c r="AL175" i="1"/>
  <c r="AK175" i="1"/>
  <c r="AJ175" i="1"/>
  <c r="AH175" i="1" s="1"/>
  <c r="Z175" i="1"/>
  <c r="Y175" i="1"/>
  <c r="X175" i="1" s="1"/>
  <c r="T175" i="1"/>
  <c r="Q175" i="1"/>
  <c r="L175" i="1"/>
  <c r="AN174" i="1"/>
  <c r="AM174" i="1"/>
  <c r="AK174" i="1"/>
  <c r="AL174" i="1" s="1"/>
  <c r="AJ174" i="1"/>
  <c r="AH174" i="1" s="1"/>
  <c r="Z174" i="1"/>
  <c r="X174" i="1" s="1"/>
  <c r="Y174" i="1"/>
  <c r="Q174" i="1"/>
  <c r="AN173" i="1"/>
  <c r="T173" i="1" s="1"/>
  <c r="AM173" i="1"/>
  <c r="AL173" i="1" s="1"/>
  <c r="AK173" i="1"/>
  <c r="AJ173" i="1"/>
  <c r="AH173" i="1"/>
  <c r="Z173" i="1"/>
  <c r="Y173" i="1"/>
  <c r="X173" i="1"/>
  <c r="Q173" i="1"/>
  <c r="AN172" i="1"/>
  <c r="AM172" i="1"/>
  <c r="AK172" i="1"/>
  <c r="AJ172" i="1"/>
  <c r="AH172" i="1" s="1"/>
  <c r="Z172" i="1"/>
  <c r="X172" i="1" s="1"/>
  <c r="Y172" i="1"/>
  <c r="Q172" i="1"/>
  <c r="O172" i="1"/>
  <c r="K172" i="1"/>
  <c r="AN171" i="1"/>
  <c r="AM171" i="1"/>
  <c r="AL171" i="1" s="1"/>
  <c r="AK171" i="1"/>
  <c r="AJ171" i="1"/>
  <c r="AH171" i="1" s="1"/>
  <c r="AI171" i="1" s="1"/>
  <c r="Z171" i="1"/>
  <c r="Y171" i="1"/>
  <c r="X171" i="1" s="1"/>
  <c r="T171" i="1"/>
  <c r="Q171" i="1"/>
  <c r="AN170" i="1"/>
  <c r="AM170" i="1"/>
  <c r="AK170" i="1"/>
  <c r="AJ170" i="1"/>
  <c r="AH170" i="1" s="1"/>
  <c r="O170" i="1" s="1"/>
  <c r="Z170" i="1"/>
  <c r="X170" i="1" s="1"/>
  <c r="Y170" i="1"/>
  <c r="Q170" i="1"/>
  <c r="AN169" i="1"/>
  <c r="T169" i="1" s="1"/>
  <c r="AM169" i="1"/>
  <c r="AL169" i="1" s="1"/>
  <c r="AK169" i="1"/>
  <c r="AJ169" i="1"/>
  <c r="AI169" i="1"/>
  <c r="AH169" i="1"/>
  <c r="Z169" i="1"/>
  <c r="Y169" i="1"/>
  <c r="X169" i="1"/>
  <c r="Q169" i="1"/>
  <c r="AN168" i="1"/>
  <c r="AM168" i="1"/>
  <c r="AK168" i="1"/>
  <c r="AJ168" i="1"/>
  <c r="AH168" i="1" s="1"/>
  <c r="K168" i="1" s="1"/>
  <c r="Z168" i="1"/>
  <c r="X168" i="1" s="1"/>
  <c r="Y168" i="1"/>
  <c r="Q168" i="1"/>
  <c r="O168" i="1"/>
  <c r="AN167" i="1"/>
  <c r="AM167" i="1"/>
  <c r="AL167" i="1"/>
  <c r="AK167" i="1"/>
  <c r="AJ167" i="1"/>
  <c r="AH167" i="1" s="1"/>
  <c r="AI167" i="1"/>
  <c r="Z167" i="1"/>
  <c r="Y167" i="1"/>
  <c r="X167" i="1" s="1"/>
  <c r="T167" i="1"/>
  <c r="Q167" i="1"/>
  <c r="L167" i="1"/>
  <c r="AN166" i="1"/>
  <c r="AM166" i="1"/>
  <c r="AK166" i="1"/>
  <c r="AJ166" i="1"/>
  <c r="AH166" i="1" s="1"/>
  <c r="J166" i="1" s="1"/>
  <c r="I166" i="1" s="1"/>
  <c r="Z166" i="1"/>
  <c r="X166" i="1" s="1"/>
  <c r="Y166" i="1"/>
  <c r="Q166" i="1"/>
  <c r="O166" i="1"/>
  <c r="K166" i="1"/>
  <c r="AN165" i="1"/>
  <c r="T165" i="1" s="1"/>
  <c r="AM165" i="1"/>
  <c r="AL165" i="1" s="1"/>
  <c r="AK165" i="1"/>
  <c r="AJ165" i="1"/>
  <c r="AH165" i="1"/>
  <c r="O165" i="1" s="1"/>
  <c r="Z165" i="1"/>
  <c r="Y165" i="1"/>
  <c r="X165" i="1"/>
  <c r="Q165" i="1"/>
  <c r="AN164" i="1"/>
  <c r="AM164" i="1"/>
  <c r="AL164" i="1" s="1"/>
  <c r="AK164" i="1"/>
  <c r="AJ164" i="1"/>
  <c r="AH164" i="1" s="1"/>
  <c r="AI164" i="1"/>
  <c r="Z164" i="1"/>
  <c r="Y164" i="1"/>
  <c r="X164" i="1" s="1"/>
  <c r="T164" i="1"/>
  <c r="Q164" i="1"/>
  <c r="O164" i="1"/>
  <c r="L164" i="1"/>
  <c r="K164" i="1"/>
  <c r="J164" i="1"/>
  <c r="I164" i="1" s="1"/>
  <c r="AN163" i="1"/>
  <c r="AM163" i="1"/>
  <c r="AL163" i="1"/>
  <c r="AK163" i="1"/>
  <c r="AJ163" i="1"/>
  <c r="AI163" i="1"/>
  <c r="AH163" i="1"/>
  <c r="K163" i="1" s="1"/>
  <c r="Z163" i="1"/>
  <c r="Y163" i="1"/>
  <c r="X163" i="1" s="1"/>
  <c r="T163" i="1"/>
  <c r="Q163" i="1"/>
  <c r="L163" i="1"/>
  <c r="AN162" i="1"/>
  <c r="AM162" i="1"/>
  <c r="AK162" i="1"/>
  <c r="AL162" i="1" s="1"/>
  <c r="AJ162" i="1"/>
  <c r="AH162" i="1" s="1"/>
  <c r="Z162" i="1"/>
  <c r="X162" i="1" s="1"/>
  <c r="Y162" i="1"/>
  <c r="Q162" i="1"/>
  <c r="O162" i="1"/>
  <c r="AN161" i="1"/>
  <c r="AM161" i="1"/>
  <c r="AL161" i="1" s="1"/>
  <c r="AK161" i="1"/>
  <c r="AJ161" i="1"/>
  <c r="AH161" i="1"/>
  <c r="O161" i="1" s="1"/>
  <c r="Z161" i="1"/>
  <c r="Y161" i="1"/>
  <c r="X161" i="1"/>
  <c r="T161" i="1"/>
  <c r="Q161" i="1"/>
  <c r="AN160" i="1"/>
  <c r="AM160" i="1"/>
  <c r="AK160" i="1"/>
  <c r="AJ160" i="1"/>
  <c r="AH160" i="1" s="1"/>
  <c r="Z160" i="1"/>
  <c r="X160" i="1" s="1"/>
  <c r="Y160" i="1"/>
  <c r="Q160" i="1"/>
  <c r="K160" i="1"/>
  <c r="AN159" i="1"/>
  <c r="AM159" i="1"/>
  <c r="AL159" i="1"/>
  <c r="AK159" i="1"/>
  <c r="AJ159" i="1"/>
  <c r="AI159" i="1"/>
  <c r="AH159" i="1"/>
  <c r="K159" i="1" s="1"/>
  <c r="Z159" i="1"/>
  <c r="Y159" i="1"/>
  <c r="X159" i="1" s="1"/>
  <c r="T159" i="1"/>
  <c r="Q159" i="1"/>
  <c r="L159" i="1"/>
  <c r="AN158" i="1"/>
  <c r="AM158" i="1"/>
  <c r="AK158" i="1"/>
  <c r="AL158" i="1" s="1"/>
  <c r="AJ158" i="1"/>
  <c r="AH158" i="1" s="1"/>
  <c r="Z158" i="1"/>
  <c r="X158" i="1" s="1"/>
  <c r="Y158" i="1"/>
  <c r="Q158" i="1"/>
  <c r="J158" i="1"/>
  <c r="I158" i="1" s="1"/>
  <c r="AB158" i="1" s="1"/>
  <c r="AN157" i="1"/>
  <c r="AM157" i="1"/>
  <c r="AL157" i="1" s="1"/>
  <c r="AK157" i="1"/>
  <c r="AJ157" i="1"/>
  <c r="AH157" i="1"/>
  <c r="Z157" i="1"/>
  <c r="Y157" i="1"/>
  <c r="X157" i="1"/>
  <c r="T157" i="1"/>
  <c r="Q157" i="1"/>
  <c r="AN156" i="1"/>
  <c r="AM156" i="1"/>
  <c r="AK156" i="1"/>
  <c r="AJ156" i="1"/>
  <c r="AH156" i="1" s="1"/>
  <c r="Z156" i="1"/>
  <c r="X156" i="1" s="1"/>
  <c r="Y156" i="1"/>
  <c r="Q156" i="1"/>
  <c r="AN155" i="1"/>
  <c r="AM155" i="1"/>
  <c r="AL155" i="1"/>
  <c r="AK155" i="1"/>
  <c r="AJ155" i="1"/>
  <c r="AI155" i="1"/>
  <c r="AH155" i="1"/>
  <c r="K155" i="1" s="1"/>
  <c r="Z155" i="1"/>
  <c r="Y155" i="1"/>
  <c r="X155" i="1" s="1"/>
  <c r="T155" i="1"/>
  <c r="Q155" i="1"/>
  <c r="L155" i="1"/>
  <c r="AN154" i="1"/>
  <c r="AM154" i="1"/>
  <c r="AK154" i="1"/>
  <c r="AL154" i="1" s="1"/>
  <c r="AJ154" i="1"/>
  <c r="AH154" i="1" s="1"/>
  <c r="Z154" i="1"/>
  <c r="Y154" i="1"/>
  <c r="Q154" i="1"/>
  <c r="J154" i="1"/>
  <c r="I154" i="1" s="1"/>
  <c r="AB154" i="1" s="1"/>
  <c r="AN153" i="1"/>
  <c r="AM153" i="1"/>
  <c r="AL153" i="1" s="1"/>
  <c r="AK153" i="1"/>
  <c r="AJ153" i="1"/>
  <c r="AH153" i="1"/>
  <c r="Z153" i="1"/>
  <c r="Y153" i="1"/>
  <c r="X153" i="1"/>
  <c r="T153" i="1"/>
  <c r="Q153" i="1"/>
  <c r="AN152" i="1"/>
  <c r="AM152" i="1"/>
  <c r="AK152" i="1"/>
  <c r="AJ152" i="1"/>
  <c r="AH152" i="1" s="1"/>
  <c r="K152" i="1" s="1"/>
  <c r="Z152" i="1"/>
  <c r="Y152" i="1"/>
  <c r="X152" i="1" s="1"/>
  <c r="Q152" i="1"/>
  <c r="AN151" i="1"/>
  <c r="AM151" i="1"/>
  <c r="AL151" i="1"/>
  <c r="AK151" i="1"/>
  <c r="AJ151" i="1"/>
  <c r="AI151" i="1"/>
  <c r="AH151" i="1"/>
  <c r="K151" i="1" s="1"/>
  <c r="Z151" i="1"/>
  <c r="Y151" i="1"/>
  <c r="X151" i="1" s="1"/>
  <c r="T151" i="1"/>
  <c r="Q151" i="1"/>
  <c r="L151" i="1"/>
  <c r="AN150" i="1"/>
  <c r="AM150" i="1"/>
  <c r="AK150" i="1"/>
  <c r="AL150" i="1" s="1"/>
  <c r="AJ150" i="1"/>
  <c r="AH150" i="1" s="1"/>
  <c r="Z150" i="1"/>
  <c r="Y150" i="1"/>
  <c r="Q150" i="1"/>
  <c r="AN149" i="1"/>
  <c r="AM149" i="1"/>
  <c r="AL149" i="1" s="1"/>
  <c r="AK149" i="1"/>
  <c r="AJ149" i="1"/>
  <c r="AI149" i="1"/>
  <c r="AH149" i="1"/>
  <c r="Z149" i="1"/>
  <c r="Y149" i="1"/>
  <c r="X149" i="1"/>
  <c r="T149" i="1"/>
  <c r="Q149" i="1"/>
  <c r="AN148" i="1"/>
  <c r="AM148" i="1"/>
  <c r="AK148" i="1"/>
  <c r="AJ148" i="1"/>
  <c r="AH148" i="1" s="1"/>
  <c r="Z148" i="1"/>
  <c r="Y148" i="1"/>
  <c r="Q148" i="1"/>
  <c r="O148" i="1"/>
  <c r="K148" i="1"/>
  <c r="J148" i="1"/>
  <c r="I148" i="1" s="1"/>
  <c r="AB148" i="1" s="1"/>
  <c r="AN147" i="1"/>
  <c r="AM147" i="1"/>
  <c r="AL147" i="1"/>
  <c r="AK147" i="1"/>
  <c r="AJ147" i="1"/>
  <c r="AH147" i="1"/>
  <c r="L147" i="1" s="1"/>
  <c r="Z147" i="1"/>
  <c r="Y147" i="1"/>
  <c r="X147" i="1" s="1"/>
  <c r="T147" i="1"/>
  <c r="Q147" i="1"/>
  <c r="AN146" i="1"/>
  <c r="AM146" i="1"/>
  <c r="AK146" i="1"/>
  <c r="AJ146" i="1"/>
  <c r="AH146" i="1" s="1"/>
  <c r="O146" i="1" s="1"/>
  <c r="Z146" i="1"/>
  <c r="Y146" i="1"/>
  <c r="Q146" i="1"/>
  <c r="AN145" i="1"/>
  <c r="AM145" i="1"/>
  <c r="AL145" i="1" s="1"/>
  <c r="AK145" i="1"/>
  <c r="AJ145" i="1"/>
  <c r="AI145" i="1"/>
  <c r="AH145" i="1"/>
  <c r="Z145" i="1"/>
  <c r="Y145" i="1"/>
  <c r="X145" i="1" s="1"/>
  <c r="T145" i="1"/>
  <c r="Q145" i="1"/>
  <c r="L145" i="1"/>
  <c r="AN144" i="1"/>
  <c r="AM144" i="1"/>
  <c r="AK144" i="1"/>
  <c r="AJ144" i="1"/>
  <c r="AH144" i="1" s="1"/>
  <c r="J144" i="1" s="1"/>
  <c r="I144" i="1" s="1"/>
  <c r="Z144" i="1"/>
  <c r="Y144" i="1"/>
  <c r="Q144" i="1"/>
  <c r="O144" i="1"/>
  <c r="K144" i="1"/>
  <c r="AN143" i="1"/>
  <c r="AM143" i="1"/>
  <c r="AL143" i="1" s="1"/>
  <c r="AK143" i="1"/>
  <c r="AJ143" i="1"/>
  <c r="AI143" i="1"/>
  <c r="AH143" i="1"/>
  <c r="J143" i="1" s="1"/>
  <c r="Z143" i="1"/>
  <c r="Y143" i="1"/>
  <c r="X143" i="1" s="1"/>
  <c r="T143" i="1"/>
  <c r="Q143" i="1"/>
  <c r="O143" i="1"/>
  <c r="L143" i="1"/>
  <c r="K143" i="1"/>
  <c r="I143" i="1"/>
  <c r="AB143" i="1" s="1"/>
  <c r="AN142" i="1"/>
  <c r="T142" i="1" s="1"/>
  <c r="AM142" i="1"/>
  <c r="AK142" i="1"/>
  <c r="AJ142" i="1"/>
  <c r="AH142" i="1" s="1"/>
  <c r="AI142" i="1" s="1"/>
  <c r="Z142" i="1"/>
  <c r="Y142" i="1"/>
  <c r="Q142" i="1"/>
  <c r="AN141" i="1"/>
  <c r="AM141" i="1"/>
  <c r="AL141" i="1"/>
  <c r="AK141" i="1"/>
  <c r="AJ141" i="1"/>
  <c r="AH141" i="1"/>
  <c r="K141" i="1" s="1"/>
  <c r="Z141" i="1"/>
  <c r="Y141" i="1"/>
  <c r="X141" i="1"/>
  <c r="T141" i="1"/>
  <c r="Q141" i="1"/>
  <c r="L141" i="1"/>
  <c r="AN140" i="1"/>
  <c r="T140" i="1" s="1"/>
  <c r="AM140" i="1"/>
  <c r="AL140" i="1"/>
  <c r="AK140" i="1"/>
  <c r="AJ140" i="1"/>
  <c r="AH140" i="1" s="1"/>
  <c r="Z140" i="1"/>
  <c r="Y140" i="1"/>
  <c r="X140" i="1" s="1"/>
  <c r="Q140" i="1"/>
  <c r="AN139" i="1"/>
  <c r="AM139" i="1"/>
  <c r="AL139" i="1"/>
  <c r="AK139" i="1"/>
  <c r="AJ139" i="1"/>
  <c r="AH139" i="1"/>
  <c r="O139" i="1" s="1"/>
  <c r="Z139" i="1"/>
  <c r="Y139" i="1"/>
  <c r="X139" i="1"/>
  <c r="T139" i="1"/>
  <c r="Q139" i="1"/>
  <c r="AN138" i="1"/>
  <c r="AM138" i="1"/>
  <c r="AK138" i="1"/>
  <c r="AL138" i="1" s="1"/>
  <c r="AJ138" i="1"/>
  <c r="AH138" i="1" s="1"/>
  <c r="Z138" i="1"/>
  <c r="X138" i="1" s="1"/>
  <c r="Y138" i="1"/>
  <c r="Q138" i="1"/>
  <c r="AN137" i="1"/>
  <c r="AM137" i="1"/>
  <c r="AL137" i="1"/>
  <c r="AK137" i="1"/>
  <c r="AJ137" i="1"/>
  <c r="AH137" i="1"/>
  <c r="K137" i="1" s="1"/>
  <c r="Z137" i="1"/>
  <c r="Y137" i="1"/>
  <c r="X137" i="1"/>
  <c r="T137" i="1"/>
  <c r="Q137" i="1"/>
  <c r="L137" i="1"/>
  <c r="AN136" i="1"/>
  <c r="T136" i="1" s="1"/>
  <c r="AM136" i="1"/>
  <c r="AL136" i="1" s="1"/>
  <c r="AK136" i="1"/>
  <c r="AJ136" i="1"/>
  <c r="AH136" i="1" s="1"/>
  <c r="Z136" i="1"/>
  <c r="Y136" i="1"/>
  <c r="X136" i="1" s="1"/>
  <c r="Q136" i="1"/>
  <c r="AN135" i="1"/>
  <c r="AM135" i="1"/>
  <c r="AL135" i="1"/>
  <c r="AK135" i="1"/>
  <c r="AJ135" i="1"/>
  <c r="AH135" i="1"/>
  <c r="O135" i="1" s="1"/>
  <c r="Z135" i="1"/>
  <c r="Y135" i="1"/>
  <c r="X135" i="1"/>
  <c r="T135" i="1"/>
  <c r="Q135" i="1"/>
  <c r="AN134" i="1"/>
  <c r="AM134" i="1"/>
  <c r="AK134" i="1"/>
  <c r="AL134" i="1" s="1"/>
  <c r="AJ134" i="1"/>
  <c r="AH134" i="1" s="1"/>
  <c r="Z134" i="1"/>
  <c r="X134" i="1" s="1"/>
  <c r="Y134" i="1"/>
  <c r="Q134" i="1"/>
  <c r="AN133" i="1"/>
  <c r="AM133" i="1"/>
  <c r="AL133" i="1"/>
  <c r="AK133" i="1"/>
  <c r="AJ133" i="1"/>
  <c r="AH133" i="1"/>
  <c r="K133" i="1" s="1"/>
  <c r="Z133" i="1"/>
  <c r="Y133" i="1"/>
  <c r="X133" i="1"/>
  <c r="T133" i="1"/>
  <c r="Q133" i="1"/>
  <c r="L133" i="1"/>
  <c r="AN132" i="1"/>
  <c r="T132" i="1" s="1"/>
  <c r="AM132" i="1"/>
  <c r="AL132" i="1" s="1"/>
  <c r="AK132" i="1"/>
  <c r="AJ132" i="1"/>
  <c r="AH132" i="1" s="1"/>
  <c r="Z132" i="1"/>
  <c r="Y132" i="1"/>
  <c r="X132" i="1" s="1"/>
  <c r="Q132" i="1"/>
  <c r="AN131" i="1"/>
  <c r="AM131" i="1"/>
  <c r="AL131" i="1"/>
  <c r="AK131" i="1"/>
  <c r="AJ131" i="1"/>
  <c r="AH131" i="1"/>
  <c r="O131" i="1" s="1"/>
  <c r="Z131" i="1"/>
  <c r="Y131" i="1"/>
  <c r="X131" i="1"/>
  <c r="T131" i="1"/>
  <c r="Q131" i="1"/>
  <c r="AN130" i="1"/>
  <c r="AM130" i="1"/>
  <c r="AK130" i="1"/>
  <c r="AL130" i="1" s="1"/>
  <c r="AJ130" i="1"/>
  <c r="AH130" i="1" s="1"/>
  <c r="Z130" i="1"/>
  <c r="Y130" i="1"/>
  <c r="X130" i="1" s="1"/>
  <c r="Q130" i="1"/>
  <c r="AN129" i="1"/>
  <c r="AM129" i="1"/>
  <c r="AL129" i="1"/>
  <c r="AK129" i="1"/>
  <c r="AJ129" i="1"/>
  <c r="AH129" i="1"/>
  <c r="K129" i="1" s="1"/>
  <c r="Z129" i="1"/>
  <c r="Y129" i="1"/>
  <c r="X129" i="1"/>
  <c r="T129" i="1"/>
  <c r="Q129" i="1"/>
  <c r="L129" i="1"/>
  <c r="AN128" i="1"/>
  <c r="T128" i="1" s="1"/>
  <c r="AM128" i="1"/>
  <c r="AL128" i="1" s="1"/>
  <c r="AK128" i="1"/>
  <c r="AJ128" i="1"/>
  <c r="AH128" i="1" s="1"/>
  <c r="Z128" i="1"/>
  <c r="Y128" i="1"/>
  <c r="X128" i="1" s="1"/>
  <c r="Q128" i="1"/>
  <c r="AN127" i="1"/>
  <c r="AM127" i="1"/>
  <c r="AL127" i="1"/>
  <c r="AK127" i="1"/>
  <c r="AJ127" i="1"/>
  <c r="AH127" i="1"/>
  <c r="Z127" i="1"/>
  <c r="Y127" i="1"/>
  <c r="X127" i="1"/>
  <c r="T127" i="1"/>
  <c r="Q127" i="1"/>
  <c r="L127" i="1"/>
  <c r="AN126" i="1"/>
  <c r="AM126" i="1"/>
  <c r="AK126" i="1"/>
  <c r="AL126" i="1" s="1"/>
  <c r="AJ126" i="1"/>
  <c r="AH126" i="1" s="1"/>
  <c r="Z126" i="1"/>
  <c r="Y126" i="1"/>
  <c r="X126" i="1" s="1"/>
  <c r="Q126" i="1"/>
  <c r="J126" i="1"/>
  <c r="I126" i="1" s="1"/>
  <c r="AB126" i="1" s="1"/>
  <c r="AN125" i="1"/>
  <c r="AM125" i="1"/>
  <c r="AL125" i="1"/>
  <c r="AK125" i="1"/>
  <c r="AJ125" i="1"/>
  <c r="AH125" i="1"/>
  <c r="Z125" i="1"/>
  <c r="Y125" i="1"/>
  <c r="X125" i="1"/>
  <c r="T125" i="1"/>
  <c r="Q125" i="1"/>
  <c r="L125" i="1"/>
  <c r="AN124" i="1"/>
  <c r="AM124" i="1"/>
  <c r="AK124" i="1"/>
  <c r="AL124" i="1" s="1"/>
  <c r="AJ124" i="1"/>
  <c r="AH124" i="1" s="1"/>
  <c r="J124" i="1" s="1"/>
  <c r="I124" i="1" s="1"/>
  <c r="Z124" i="1"/>
  <c r="Y124" i="1"/>
  <c r="X124" i="1" s="1"/>
  <c r="Q124" i="1"/>
  <c r="AN123" i="1"/>
  <c r="AM123" i="1"/>
  <c r="AK123" i="1"/>
  <c r="AL123" i="1" s="1"/>
  <c r="AJ123" i="1"/>
  <c r="AH123" i="1"/>
  <c r="L123" i="1" s="1"/>
  <c r="Z123" i="1"/>
  <c r="Y123" i="1"/>
  <c r="X123" i="1"/>
  <c r="T123" i="1"/>
  <c r="Q123" i="1"/>
  <c r="AN122" i="1"/>
  <c r="AM122" i="1"/>
  <c r="AK122" i="1"/>
  <c r="AJ122" i="1"/>
  <c r="AH122" i="1" s="1"/>
  <c r="L122" i="1" s="1"/>
  <c r="Z122" i="1"/>
  <c r="Y122" i="1"/>
  <c r="Q122" i="1"/>
  <c r="O122" i="1"/>
  <c r="K122" i="1"/>
  <c r="J122" i="1"/>
  <c r="I122" i="1" s="1"/>
  <c r="AN121" i="1"/>
  <c r="AM121" i="1"/>
  <c r="AL121" i="1"/>
  <c r="AK121" i="1"/>
  <c r="AJ121" i="1"/>
  <c r="AH121" i="1"/>
  <c r="J121" i="1" s="1"/>
  <c r="I121" i="1" s="1"/>
  <c r="Z121" i="1"/>
  <c r="Y121" i="1"/>
  <c r="X121" i="1"/>
  <c r="T121" i="1"/>
  <c r="Q121" i="1"/>
  <c r="K121" i="1"/>
  <c r="AN120" i="1"/>
  <c r="AM120" i="1"/>
  <c r="AK120" i="1"/>
  <c r="AJ120" i="1"/>
  <c r="AH120" i="1" s="1"/>
  <c r="K120" i="1" s="1"/>
  <c r="AI120" i="1"/>
  <c r="Z120" i="1"/>
  <c r="Y120" i="1"/>
  <c r="X120" i="1" s="1"/>
  <c r="Q120" i="1"/>
  <c r="O120" i="1"/>
  <c r="L120" i="1"/>
  <c r="J120" i="1"/>
  <c r="I120" i="1" s="1"/>
  <c r="AN119" i="1"/>
  <c r="AM119" i="1"/>
  <c r="AL119" i="1"/>
  <c r="AK119" i="1"/>
  <c r="T119" i="1" s="1"/>
  <c r="AJ119" i="1"/>
  <c r="AH119" i="1"/>
  <c r="AI119" i="1" s="1"/>
  <c r="Z119" i="1"/>
  <c r="Y119" i="1"/>
  <c r="X119" i="1" s="1"/>
  <c r="Q119" i="1"/>
  <c r="AN118" i="1"/>
  <c r="AM118" i="1"/>
  <c r="AK118" i="1"/>
  <c r="AJ118" i="1"/>
  <c r="AH118" i="1" s="1"/>
  <c r="Z118" i="1"/>
  <c r="Y118" i="1"/>
  <c r="X118" i="1" s="1"/>
  <c r="Q118" i="1"/>
  <c r="AN117" i="1"/>
  <c r="AM117" i="1"/>
  <c r="AK117" i="1"/>
  <c r="AL117" i="1" s="1"/>
  <c r="AJ117" i="1"/>
  <c r="AH117" i="1"/>
  <c r="L117" i="1" s="1"/>
  <c r="Z117" i="1"/>
  <c r="Y117" i="1"/>
  <c r="X117" i="1"/>
  <c r="Q117" i="1"/>
  <c r="O117" i="1"/>
  <c r="AN116" i="1"/>
  <c r="AM116" i="1"/>
  <c r="AK116" i="1"/>
  <c r="AL116" i="1" s="1"/>
  <c r="AJ116" i="1"/>
  <c r="AH116" i="1"/>
  <c r="L116" i="1" s="1"/>
  <c r="Z116" i="1"/>
  <c r="Y116" i="1"/>
  <c r="X116" i="1"/>
  <c r="Q116" i="1"/>
  <c r="O116" i="1"/>
  <c r="K116" i="1"/>
  <c r="AN115" i="1"/>
  <c r="AM115" i="1"/>
  <c r="AK115" i="1"/>
  <c r="AL115" i="1" s="1"/>
  <c r="AJ115" i="1"/>
  <c r="AH115" i="1" s="1"/>
  <c r="Z115" i="1"/>
  <c r="Y115" i="1"/>
  <c r="X115" i="1" s="1"/>
  <c r="Q115" i="1"/>
  <c r="AN114" i="1"/>
  <c r="AM114" i="1"/>
  <c r="AK114" i="1"/>
  <c r="AL114" i="1" s="1"/>
  <c r="AJ114" i="1"/>
  <c r="AH114" i="1" s="1"/>
  <c r="Z114" i="1"/>
  <c r="Y114" i="1"/>
  <c r="X114" i="1" s="1"/>
  <c r="Q114" i="1"/>
  <c r="AN113" i="1"/>
  <c r="AM113" i="1"/>
  <c r="AK113" i="1"/>
  <c r="AL113" i="1" s="1"/>
  <c r="AJ113" i="1"/>
  <c r="AH113" i="1"/>
  <c r="L113" i="1" s="1"/>
  <c r="Z113" i="1"/>
  <c r="Y113" i="1"/>
  <c r="X113" i="1"/>
  <c r="Q113" i="1"/>
  <c r="O113" i="1"/>
  <c r="AN112" i="1"/>
  <c r="AM112" i="1"/>
  <c r="AK112" i="1"/>
  <c r="AL112" i="1" s="1"/>
  <c r="AJ112" i="1"/>
  <c r="AH112" i="1"/>
  <c r="L112" i="1" s="1"/>
  <c r="Z112" i="1"/>
  <c r="Y112" i="1"/>
  <c r="X112" i="1"/>
  <c r="Q112" i="1"/>
  <c r="O112" i="1"/>
  <c r="K112" i="1"/>
  <c r="AN111" i="1"/>
  <c r="AM111" i="1"/>
  <c r="AK111" i="1"/>
  <c r="AL111" i="1" s="1"/>
  <c r="AJ111" i="1"/>
  <c r="AH111" i="1" s="1"/>
  <c r="Z111" i="1"/>
  <c r="Y111" i="1"/>
  <c r="X111" i="1" s="1"/>
  <c r="Q111" i="1"/>
  <c r="AN110" i="1"/>
  <c r="AM110" i="1"/>
  <c r="AK110" i="1"/>
  <c r="AL110" i="1" s="1"/>
  <c r="AJ110" i="1"/>
  <c r="AH110" i="1" s="1"/>
  <c r="Z110" i="1"/>
  <c r="Y110" i="1"/>
  <c r="X110" i="1" s="1"/>
  <c r="Q110" i="1"/>
  <c r="AN109" i="1"/>
  <c r="AM109" i="1"/>
  <c r="AK109" i="1"/>
  <c r="AL109" i="1" s="1"/>
  <c r="AJ109" i="1"/>
  <c r="AH109" i="1"/>
  <c r="L109" i="1" s="1"/>
  <c r="Z109" i="1"/>
  <c r="Y109" i="1"/>
  <c r="X109" i="1" s="1"/>
  <c r="Q109" i="1"/>
  <c r="O109" i="1"/>
  <c r="AN108" i="1"/>
  <c r="AM108" i="1"/>
  <c r="AK108" i="1"/>
  <c r="AL108" i="1" s="1"/>
  <c r="AJ108" i="1"/>
  <c r="AH108" i="1"/>
  <c r="L108" i="1" s="1"/>
  <c r="Z108" i="1"/>
  <c r="Y108" i="1"/>
  <c r="X108" i="1"/>
  <c r="Q108" i="1"/>
  <c r="O108" i="1"/>
  <c r="K108" i="1"/>
  <c r="AN107" i="1"/>
  <c r="AM107" i="1"/>
  <c r="AK107" i="1"/>
  <c r="AL107" i="1" s="1"/>
  <c r="AJ107" i="1"/>
  <c r="AH107" i="1" s="1"/>
  <c r="Z107" i="1"/>
  <c r="Y107" i="1"/>
  <c r="X107" i="1" s="1"/>
  <c r="Q107" i="1"/>
  <c r="AN106" i="1"/>
  <c r="AM106" i="1"/>
  <c r="AK106" i="1"/>
  <c r="AL106" i="1" s="1"/>
  <c r="AJ106" i="1"/>
  <c r="AH106" i="1" s="1"/>
  <c r="Z106" i="1"/>
  <c r="Y106" i="1"/>
  <c r="X106" i="1" s="1"/>
  <c r="Q106" i="1"/>
  <c r="AN105" i="1"/>
  <c r="AM105" i="1"/>
  <c r="AK105" i="1"/>
  <c r="AL105" i="1" s="1"/>
  <c r="AJ105" i="1"/>
  <c r="AI105" i="1"/>
  <c r="AH105" i="1"/>
  <c r="L105" i="1" s="1"/>
  <c r="Z105" i="1"/>
  <c r="Y105" i="1"/>
  <c r="X105" i="1" s="1"/>
  <c r="Q105" i="1"/>
  <c r="O105" i="1"/>
  <c r="AN104" i="1"/>
  <c r="AM104" i="1"/>
  <c r="AK104" i="1"/>
  <c r="AL104" i="1" s="1"/>
  <c r="AJ104" i="1"/>
  <c r="AH104" i="1"/>
  <c r="L104" i="1" s="1"/>
  <c r="Z104" i="1"/>
  <c r="Y104" i="1"/>
  <c r="X104" i="1"/>
  <c r="Q104" i="1"/>
  <c r="O104" i="1"/>
  <c r="K104" i="1"/>
  <c r="AN103" i="1"/>
  <c r="AM103" i="1"/>
  <c r="AK103" i="1"/>
  <c r="AL103" i="1" s="1"/>
  <c r="AJ103" i="1"/>
  <c r="AH103" i="1" s="1"/>
  <c r="AI103" i="1"/>
  <c r="Z103" i="1"/>
  <c r="Y103" i="1"/>
  <c r="X103" i="1" s="1"/>
  <c r="Q103" i="1"/>
  <c r="AN102" i="1"/>
  <c r="AM102" i="1"/>
  <c r="AK102" i="1"/>
  <c r="AL102" i="1" s="1"/>
  <c r="AJ102" i="1"/>
  <c r="AH102" i="1" s="1"/>
  <c r="Z102" i="1"/>
  <c r="Y102" i="1"/>
  <c r="X102" i="1" s="1"/>
  <c r="Q102" i="1"/>
  <c r="AN101" i="1"/>
  <c r="AM101" i="1"/>
  <c r="AK101" i="1"/>
  <c r="AJ101" i="1"/>
  <c r="AI101" i="1"/>
  <c r="AH101" i="1"/>
  <c r="L101" i="1" s="1"/>
  <c r="Z101" i="1"/>
  <c r="Y101" i="1"/>
  <c r="X101" i="1" s="1"/>
  <c r="Q101" i="1"/>
  <c r="O101" i="1"/>
  <c r="AN100" i="1"/>
  <c r="AM100" i="1"/>
  <c r="AK100" i="1"/>
  <c r="AJ100" i="1"/>
  <c r="AH100" i="1"/>
  <c r="L100" i="1" s="1"/>
  <c r="Z100" i="1"/>
  <c r="Y100" i="1"/>
  <c r="X100" i="1"/>
  <c r="Q100" i="1"/>
  <c r="O100" i="1"/>
  <c r="K100" i="1"/>
  <c r="AN99" i="1"/>
  <c r="AM99" i="1"/>
  <c r="AK99" i="1"/>
  <c r="AJ99" i="1"/>
  <c r="AH99" i="1" s="1"/>
  <c r="AI99" i="1"/>
  <c r="Z99" i="1"/>
  <c r="Y99" i="1"/>
  <c r="X99" i="1" s="1"/>
  <c r="Q99" i="1"/>
  <c r="K99" i="1"/>
  <c r="AN98" i="1"/>
  <c r="AM98" i="1"/>
  <c r="AK98" i="1"/>
  <c r="AJ98" i="1"/>
  <c r="AH98" i="1" s="1"/>
  <c r="AI98" i="1" s="1"/>
  <c r="Z98" i="1"/>
  <c r="Y98" i="1"/>
  <c r="X98" i="1" s="1"/>
  <c r="Q98" i="1"/>
  <c r="AN97" i="1"/>
  <c r="AM97" i="1"/>
  <c r="AK97" i="1"/>
  <c r="AL97" i="1" s="1"/>
  <c r="AJ97" i="1"/>
  <c r="AI97" i="1"/>
  <c r="AH97" i="1"/>
  <c r="L97" i="1" s="1"/>
  <c r="Z97" i="1"/>
  <c r="Y97" i="1"/>
  <c r="X97" i="1" s="1"/>
  <c r="Q97" i="1"/>
  <c r="O97" i="1"/>
  <c r="AN96" i="1"/>
  <c r="AM96" i="1"/>
  <c r="AK96" i="1"/>
  <c r="AJ96" i="1"/>
  <c r="AH96" i="1"/>
  <c r="L96" i="1" s="1"/>
  <c r="Z96" i="1"/>
  <c r="Y96" i="1"/>
  <c r="X96" i="1"/>
  <c r="Q96" i="1"/>
  <c r="O96" i="1"/>
  <c r="K96" i="1"/>
  <c r="AN95" i="1"/>
  <c r="AM95" i="1"/>
  <c r="AL95" i="1" s="1"/>
  <c r="AK95" i="1"/>
  <c r="AJ95" i="1"/>
  <c r="AH95" i="1" s="1"/>
  <c r="AI95" i="1" s="1"/>
  <c r="Z95" i="1"/>
  <c r="Y95" i="1"/>
  <c r="X95" i="1" s="1"/>
  <c r="T95" i="1"/>
  <c r="Q95" i="1"/>
  <c r="K95" i="1"/>
  <c r="AN94" i="1"/>
  <c r="AM94" i="1"/>
  <c r="AL94" i="1"/>
  <c r="AK94" i="1"/>
  <c r="T94" i="1" s="1"/>
  <c r="AJ94" i="1"/>
  <c r="AH94" i="1" s="1"/>
  <c r="AI94" i="1" s="1"/>
  <c r="Z94" i="1"/>
  <c r="Y94" i="1"/>
  <c r="Q94" i="1"/>
  <c r="L94" i="1"/>
  <c r="K94" i="1"/>
  <c r="J94" i="1"/>
  <c r="I94" i="1" s="1"/>
  <c r="AN93" i="1"/>
  <c r="AM93" i="1"/>
  <c r="AK93" i="1"/>
  <c r="AJ93" i="1"/>
  <c r="AI93" i="1"/>
  <c r="AH93" i="1"/>
  <c r="L93" i="1" s="1"/>
  <c r="Z93" i="1"/>
  <c r="Y93" i="1"/>
  <c r="X93" i="1" s="1"/>
  <c r="Q93" i="1"/>
  <c r="K93" i="1"/>
  <c r="J93" i="1"/>
  <c r="I93" i="1" s="1"/>
  <c r="AN92" i="1"/>
  <c r="AM92" i="1"/>
  <c r="AK92" i="1"/>
  <c r="AL92" i="1" s="1"/>
  <c r="AJ92" i="1"/>
  <c r="AI92" i="1"/>
  <c r="AH92" i="1"/>
  <c r="L92" i="1" s="1"/>
  <c r="Z92" i="1"/>
  <c r="Y92" i="1"/>
  <c r="X92" i="1" s="1"/>
  <c r="Q92" i="1"/>
  <c r="AN91" i="1"/>
  <c r="T91" i="1" s="1"/>
  <c r="AM91" i="1"/>
  <c r="AL91" i="1" s="1"/>
  <c r="AK91" i="1"/>
  <c r="AJ91" i="1"/>
  <c r="AH91" i="1" s="1"/>
  <c r="Z91" i="1"/>
  <c r="Y91" i="1"/>
  <c r="X91" i="1" s="1"/>
  <c r="Q91" i="1"/>
  <c r="AN90" i="1"/>
  <c r="AM90" i="1"/>
  <c r="AL90" i="1" s="1"/>
  <c r="AK90" i="1"/>
  <c r="AJ90" i="1"/>
  <c r="AH90" i="1"/>
  <c r="J90" i="1" s="1"/>
  <c r="I90" i="1" s="1"/>
  <c r="Z90" i="1"/>
  <c r="Y90" i="1"/>
  <c r="X90" i="1"/>
  <c r="T90" i="1"/>
  <c r="Q90" i="1"/>
  <c r="O90" i="1"/>
  <c r="L90" i="1"/>
  <c r="K90" i="1"/>
  <c r="AN89" i="1"/>
  <c r="AM89" i="1"/>
  <c r="AK89" i="1"/>
  <c r="AL89" i="1" s="1"/>
  <c r="AJ89" i="1"/>
  <c r="AH89" i="1" s="1"/>
  <c r="Z89" i="1"/>
  <c r="Y89" i="1"/>
  <c r="X89" i="1" s="1"/>
  <c r="Q89" i="1"/>
  <c r="AN88" i="1"/>
  <c r="AM88" i="1"/>
  <c r="AK88" i="1"/>
  <c r="AL88" i="1" s="1"/>
  <c r="AJ88" i="1"/>
  <c r="AI88" i="1"/>
  <c r="AH88" i="1"/>
  <c r="L88" i="1" s="1"/>
  <c r="Z88" i="1"/>
  <c r="Y88" i="1"/>
  <c r="X88" i="1" s="1"/>
  <c r="Q88" i="1"/>
  <c r="AN87" i="1"/>
  <c r="AM87" i="1"/>
  <c r="AK87" i="1"/>
  <c r="AL87" i="1" s="1"/>
  <c r="AJ87" i="1"/>
  <c r="AH87" i="1" s="1"/>
  <c r="Z87" i="1"/>
  <c r="Y87" i="1"/>
  <c r="X87" i="1" s="1"/>
  <c r="Q87" i="1"/>
  <c r="AN86" i="1"/>
  <c r="AM86" i="1"/>
  <c r="AL86" i="1" s="1"/>
  <c r="AK86" i="1"/>
  <c r="AJ86" i="1"/>
  <c r="AH86" i="1"/>
  <c r="J86" i="1" s="1"/>
  <c r="I86" i="1" s="1"/>
  <c r="Z86" i="1"/>
  <c r="Y86" i="1"/>
  <c r="X86" i="1"/>
  <c r="T86" i="1"/>
  <c r="Q86" i="1"/>
  <c r="O86" i="1"/>
  <c r="L86" i="1"/>
  <c r="K86" i="1"/>
  <c r="AN85" i="1"/>
  <c r="AM85" i="1"/>
  <c r="AK85" i="1"/>
  <c r="AL85" i="1" s="1"/>
  <c r="AJ85" i="1"/>
  <c r="AH85" i="1" s="1"/>
  <c r="Z85" i="1"/>
  <c r="Y85" i="1"/>
  <c r="X85" i="1" s="1"/>
  <c r="Q85" i="1"/>
  <c r="AN84" i="1"/>
  <c r="AM84" i="1"/>
  <c r="AK84" i="1"/>
  <c r="AL84" i="1" s="1"/>
  <c r="AJ84" i="1"/>
  <c r="AI84" i="1"/>
  <c r="AH84" i="1"/>
  <c r="L84" i="1" s="1"/>
  <c r="Z84" i="1"/>
  <c r="Y84" i="1"/>
  <c r="X84" i="1" s="1"/>
  <c r="Q84" i="1"/>
  <c r="O84" i="1"/>
  <c r="AN83" i="1"/>
  <c r="AM83" i="1"/>
  <c r="AK83" i="1"/>
  <c r="AL83" i="1" s="1"/>
  <c r="AJ83" i="1"/>
  <c r="AH83" i="1" s="1"/>
  <c r="Z83" i="1"/>
  <c r="Y83" i="1"/>
  <c r="X83" i="1" s="1"/>
  <c r="Q83" i="1"/>
  <c r="AN82" i="1"/>
  <c r="AM82" i="1"/>
  <c r="AK82" i="1"/>
  <c r="AL82" i="1" s="1"/>
  <c r="AJ82" i="1"/>
  <c r="AH82" i="1"/>
  <c r="J82" i="1" s="1"/>
  <c r="I82" i="1" s="1"/>
  <c r="Z82" i="1"/>
  <c r="Y82" i="1"/>
  <c r="X82" i="1"/>
  <c r="Q82" i="1"/>
  <c r="O82" i="1"/>
  <c r="L82" i="1"/>
  <c r="K82" i="1"/>
  <c r="AN81" i="1"/>
  <c r="AM81" i="1"/>
  <c r="AK81" i="1"/>
  <c r="AL81" i="1" s="1"/>
  <c r="AJ81" i="1"/>
  <c r="AH81" i="1" s="1"/>
  <c r="Z81" i="1"/>
  <c r="Y81" i="1"/>
  <c r="X81" i="1" s="1"/>
  <c r="Q81" i="1"/>
  <c r="AN80" i="1"/>
  <c r="AM80" i="1"/>
  <c r="AK80" i="1"/>
  <c r="AL80" i="1" s="1"/>
  <c r="AJ80" i="1"/>
  <c r="AI80" i="1"/>
  <c r="AH80" i="1"/>
  <c r="L80" i="1" s="1"/>
  <c r="Z80" i="1"/>
  <c r="Y80" i="1"/>
  <c r="X80" i="1" s="1"/>
  <c r="Q80" i="1"/>
  <c r="O80" i="1"/>
  <c r="AN79" i="1"/>
  <c r="AM79" i="1"/>
  <c r="AK79" i="1"/>
  <c r="AL79" i="1" s="1"/>
  <c r="AJ79" i="1"/>
  <c r="AH79" i="1" s="1"/>
  <c r="Z79" i="1"/>
  <c r="Y79" i="1"/>
  <c r="X79" i="1" s="1"/>
  <c r="Q79" i="1"/>
  <c r="AN78" i="1"/>
  <c r="AM78" i="1"/>
  <c r="AK78" i="1"/>
  <c r="AL78" i="1" s="1"/>
  <c r="AJ78" i="1"/>
  <c r="AI78" i="1"/>
  <c r="AH78" i="1"/>
  <c r="J78" i="1" s="1"/>
  <c r="I78" i="1" s="1"/>
  <c r="Z78" i="1"/>
  <c r="Y78" i="1"/>
  <c r="X78" i="1" s="1"/>
  <c r="Q78" i="1"/>
  <c r="O78" i="1"/>
  <c r="L78" i="1"/>
  <c r="K78" i="1"/>
  <c r="AN77" i="1"/>
  <c r="AM77" i="1"/>
  <c r="AK77" i="1"/>
  <c r="AJ77" i="1"/>
  <c r="AH77" i="1" s="1"/>
  <c r="Z77" i="1"/>
  <c r="Y77" i="1"/>
  <c r="X77" i="1" s="1"/>
  <c r="Q77" i="1"/>
  <c r="AN76" i="1"/>
  <c r="AM76" i="1"/>
  <c r="AL76" i="1" s="1"/>
  <c r="AK76" i="1"/>
  <c r="AJ76" i="1"/>
  <c r="AI76" i="1"/>
  <c r="AH76" i="1"/>
  <c r="J76" i="1" s="1"/>
  <c r="Z76" i="1"/>
  <c r="Y76" i="1"/>
  <c r="X76" i="1" s="1"/>
  <c r="T76" i="1"/>
  <c r="Q76" i="1"/>
  <c r="O76" i="1"/>
  <c r="L76" i="1"/>
  <c r="K76" i="1"/>
  <c r="I76" i="1"/>
  <c r="AN75" i="1"/>
  <c r="AM75" i="1"/>
  <c r="AK75" i="1"/>
  <c r="AL75" i="1" s="1"/>
  <c r="AJ75" i="1"/>
  <c r="AH75" i="1" s="1"/>
  <c r="O75" i="1" s="1"/>
  <c r="Z75" i="1"/>
  <c r="Y75" i="1"/>
  <c r="X75" i="1" s="1"/>
  <c r="Q75" i="1"/>
  <c r="AN74" i="1"/>
  <c r="AM74" i="1"/>
  <c r="AK74" i="1"/>
  <c r="AJ74" i="1"/>
  <c r="AI74" i="1"/>
  <c r="AH74" i="1"/>
  <c r="J74" i="1" s="1"/>
  <c r="Z74" i="1"/>
  <c r="Y74" i="1"/>
  <c r="X74" i="1" s="1"/>
  <c r="Q74" i="1"/>
  <c r="O74" i="1"/>
  <c r="K74" i="1"/>
  <c r="I74" i="1"/>
  <c r="AN73" i="1"/>
  <c r="AM73" i="1"/>
  <c r="AK73" i="1"/>
  <c r="AJ73" i="1"/>
  <c r="AH73" i="1" s="1"/>
  <c r="AI73" i="1" s="1"/>
  <c r="Z73" i="1"/>
  <c r="Y73" i="1"/>
  <c r="X73" i="1" s="1"/>
  <c r="Q73" i="1"/>
  <c r="AN72" i="1"/>
  <c r="AM72" i="1"/>
  <c r="AL72" i="1"/>
  <c r="AK72" i="1"/>
  <c r="AJ72" i="1"/>
  <c r="AI72" i="1"/>
  <c r="AH72" i="1"/>
  <c r="J72" i="1" s="1"/>
  <c r="Z72" i="1"/>
  <c r="Y72" i="1"/>
  <c r="X72" i="1" s="1"/>
  <c r="T72" i="1"/>
  <c r="Q72" i="1"/>
  <c r="O72" i="1"/>
  <c r="L72" i="1"/>
  <c r="K72" i="1"/>
  <c r="I72" i="1"/>
  <c r="AN71" i="1"/>
  <c r="AM71" i="1"/>
  <c r="AK71" i="1"/>
  <c r="AJ71" i="1"/>
  <c r="AH71" i="1" s="1"/>
  <c r="Z71" i="1"/>
  <c r="Y71" i="1"/>
  <c r="X71" i="1" s="1"/>
  <c r="Q71" i="1"/>
  <c r="AN70" i="1"/>
  <c r="AM70" i="1"/>
  <c r="AL70" i="1" s="1"/>
  <c r="AK70" i="1"/>
  <c r="AJ70" i="1"/>
  <c r="AH70" i="1"/>
  <c r="Z70" i="1"/>
  <c r="Y70" i="1"/>
  <c r="X70" i="1"/>
  <c r="T70" i="1"/>
  <c r="Q70" i="1"/>
  <c r="L70" i="1"/>
  <c r="AN69" i="1"/>
  <c r="AM69" i="1"/>
  <c r="AK69" i="1"/>
  <c r="AJ69" i="1"/>
  <c r="AH69" i="1" s="1"/>
  <c r="L69" i="1" s="1"/>
  <c r="Z69" i="1"/>
  <c r="Y69" i="1"/>
  <c r="Q69" i="1"/>
  <c r="O69" i="1"/>
  <c r="J69" i="1"/>
  <c r="I69" i="1" s="1"/>
  <c r="AB69" i="1" s="1"/>
  <c r="AN68" i="1"/>
  <c r="AM68" i="1"/>
  <c r="AL68" i="1" s="1"/>
  <c r="AK68" i="1"/>
  <c r="AJ68" i="1"/>
  <c r="AH68" i="1"/>
  <c r="L68" i="1" s="1"/>
  <c r="Z68" i="1"/>
  <c r="Y68" i="1"/>
  <c r="X68" i="1" s="1"/>
  <c r="T68" i="1"/>
  <c r="Q68" i="1"/>
  <c r="AN67" i="1"/>
  <c r="T67" i="1" s="1"/>
  <c r="AM67" i="1"/>
  <c r="AK67" i="1"/>
  <c r="AJ67" i="1"/>
  <c r="AH67" i="1"/>
  <c r="Z67" i="1"/>
  <c r="Y67" i="1"/>
  <c r="X67" i="1"/>
  <c r="Q67" i="1"/>
  <c r="AN66" i="1"/>
  <c r="AM66" i="1"/>
  <c r="AL66" i="1"/>
  <c r="AK66" i="1"/>
  <c r="AJ66" i="1"/>
  <c r="AH66" i="1" s="1"/>
  <c r="Z66" i="1"/>
  <c r="X66" i="1" s="1"/>
  <c r="Y66" i="1"/>
  <c r="T66" i="1"/>
  <c r="Q66" i="1"/>
  <c r="L66" i="1"/>
  <c r="AN65" i="1"/>
  <c r="AM65" i="1"/>
  <c r="AL65" i="1"/>
  <c r="AK65" i="1"/>
  <c r="AJ65" i="1"/>
  <c r="AH65" i="1" s="1"/>
  <c r="L65" i="1" s="1"/>
  <c r="AB65" i="1"/>
  <c r="Z65" i="1"/>
  <c r="Y65" i="1"/>
  <c r="X65" i="1" s="1"/>
  <c r="T65" i="1"/>
  <c r="Q65" i="1"/>
  <c r="J65" i="1"/>
  <c r="I65" i="1" s="1"/>
  <c r="AN64" i="1"/>
  <c r="T64" i="1" s="1"/>
  <c r="AM64" i="1"/>
  <c r="AK64" i="1"/>
  <c r="AL64" i="1" s="1"/>
  <c r="AJ64" i="1"/>
  <c r="AH64" i="1"/>
  <c r="Z64" i="1"/>
  <c r="Y64" i="1"/>
  <c r="X64" i="1"/>
  <c r="Q64" i="1"/>
  <c r="AN63" i="1"/>
  <c r="T63" i="1" s="1"/>
  <c r="AM63" i="1"/>
  <c r="AL63" i="1" s="1"/>
  <c r="AK63" i="1"/>
  <c r="AJ63" i="1"/>
  <c r="AH63" i="1"/>
  <c r="Z63" i="1"/>
  <c r="Y63" i="1"/>
  <c r="X63" i="1"/>
  <c r="Q63" i="1"/>
  <c r="AN62" i="1"/>
  <c r="T62" i="1" s="1"/>
  <c r="AM62" i="1"/>
  <c r="AL62" i="1"/>
  <c r="AK62" i="1"/>
  <c r="AJ62" i="1"/>
  <c r="AH62" i="1" s="1"/>
  <c r="L62" i="1" s="1"/>
  <c r="Z62" i="1"/>
  <c r="X62" i="1" s="1"/>
  <c r="Y62" i="1"/>
  <c r="Q62" i="1"/>
  <c r="AN61" i="1"/>
  <c r="AM61" i="1"/>
  <c r="AL61" i="1"/>
  <c r="AK61" i="1"/>
  <c r="AJ61" i="1"/>
  <c r="AH61" i="1" s="1"/>
  <c r="AB61" i="1"/>
  <c r="Z61" i="1"/>
  <c r="Y61" i="1"/>
  <c r="T61" i="1"/>
  <c r="Q61" i="1"/>
  <c r="L61" i="1"/>
  <c r="J61" i="1"/>
  <c r="I61" i="1" s="1"/>
  <c r="AN60" i="1"/>
  <c r="AM60" i="1"/>
  <c r="AK60" i="1"/>
  <c r="AL60" i="1" s="1"/>
  <c r="AJ60" i="1"/>
  <c r="AH60" i="1"/>
  <c r="Z60" i="1"/>
  <c r="X60" i="1" s="1"/>
  <c r="Y60" i="1"/>
  <c r="Q60" i="1"/>
  <c r="AN59" i="1"/>
  <c r="T59" i="1" s="1"/>
  <c r="AM59" i="1"/>
  <c r="AL59" i="1" s="1"/>
  <c r="AK59" i="1"/>
  <c r="AJ59" i="1"/>
  <c r="AH59" i="1"/>
  <c r="Z59" i="1"/>
  <c r="Y59" i="1"/>
  <c r="X59" i="1"/>
  <c r="Q59" i="1"/>
  <c r="AN58" i="1"/>
  <c r="AM58" i="1"/>
  <c r="AL58" i="1"/>
  <c r="AK58" i="1"/>
  <c r="AJ58" i="1"/>
  <c r="AH58" i="1" s="1"/>
  <c r="Z58" i="1"/>
  <c r="Y58" i="1"/>
  <c r="X58" i="1" s="1"/>
  <c r="T58" i="1"/>
  <c r="Q58" i="1"/>
  <c r="L58" i="1"/>
  <c r="AN57" i="1"/>
  <c r="AM57" i="1"/>
  <c r="AL57" i="1"/>
  <c r="AK57" i="1"/>
  <c r="AJ57" i="1"/>
  <c r="AH57" i="1" s="1"/>
  <c r="L57" i="1" s="1"/>
  <c r="AB57" i="1"/>
  <c r="Z57" i="1"/>
  <c r="Y57" i="1"/>
  <c r="X57" i="1" s="1"/>
  <c r="T57" i="1"/>
  <c r="Q57" i="1"/>
  <c r="J57" i="1"/>
  <c r="I57" i="1" s="1"/>
  <c r="AN56" i="1"/>
  <c r="AM56" i="1"/>
  <c r="AK56" i="1"/>
  <c r="AL56" i="1" s="1"/>
  <c r="AJ56" i="1"/>
  <c r="AH56" i="1"/>
  <c r="Z56" i="1"/>
  <c r="Y56" i="1"/>
  <c r="X56" i="1"/>
  <c r="Q56" i="1"/>
  <c r="AN55" i="1"/>
  <c r="T55" i="1" s="1"/>
  <c r="AM55" i="1"/>
  <c r="AL55" i="1" s="1"/>
  <c r="AK55" i="1"/>
  <c r="AJ55" i="1"/>
  <c r="AH55" i="1"/>
  <c r="Z55" i="1"/>
  <c r="Y55" i="1"/>
  <c r="X55" i="1"/>
  <c r="Q55" i="1"/>
  <c r="AN54" i="1"/>
  <c r="T54" i="1" s="1"/>
  <c r="AM54" i="1"/>
  <c r="AL54" i="1"/>
  <c r="AK54" i="1"/>
  <c r="AJ54" i="1"/>
  <c r="AH54" i="1" s="1"/>
  <c r="L54" i="1" s="1"/>
  <c r="Z54" i="1"/>
  <c r="Y54" i="1"/>
  <c r="X54" i="1" s="1"/>
  <c r="Q54" i="1"/>
  <c r="AN53" i="1"/>
  <c r="AM53" i="1"/>
  <c r="AL53" i="1"/>
  <c r="AK53" i="1"/>
  <c r="AJ53" i="1"/>
  <c r="AH53" i="1" s="1"/>
  <c r="L53" i="1" s="1"/>
  <c r="Z53" i="1"/>
  <c r="Y53" i="1"/>
  <c r="X53" i="1" s="1"/>
  <c r="T53" i="1"/>
  <c r="Q53" i="1"/>
  <c r="AN52" i="1"/>
  <c r="AM52" i="1"/>
  <c r="AK52" i="1"/>
  <c r="AJ52" i="1"/>
  <c r="AH52" i="1" s="1"/>
  <c r="Z52" i="1"/>
  <c r="Y52" i="1"/>
  <c r="X52" i="1"/>
  <c r="Q52" i="1"/>
  <c r="AN51" i="1"/>
  <c r="T51" i="1" s="1"/>
  <c r="AM51" i="1"/>
  <c r="AL51" i="1" s="1"/>
  <c r="AK51" i="1"/>
  <c r="AJ51" i="1"/>
  <c r="AI51" i="1"/>
  <c r="AH51" i="1"/>
  <c r="Z51" i="1"/>
  <c r="Y51" i="1"/>
  <c r="X51" i="1"/>
  <c r="Q51" i="1"/>
  <c r="AN50" i="1"/>
  <c r="AM50" i="1"/>
  <c r="AL50" i="1"/>
  <c r="AK50" i="1"/>
  <c r="AJ50" i="1"/>
  <c r="AH50" i="1" s="1"/>
  <c r="O50" i="1" s="1"/>
  <c r="Z50" i="1"/>
  <c r="Y50" i="1"/>
  <c r="X50" i="1" s="1"/>
  <c r="T50" i="1"/>
  <c r="Q50" i="1"/>
  <c r="L50" i="1"/>
  <c r="K50" i="1"/>
  <c r="AN49" i="1"/>
  <c r="AM49" i="1"/>
  <c r="AL49" i="1" s="1"/>
  <c r="AK49" i="1"/>
  <c r="AJ49" i="1"/>
  <c r="AH49" i="1" s="1"/>
  <c r="AI49" i="1" s="1"/>
  <c r="Z49" i="1"/>
  <c r="Y49" i="1"/>
  <c r="X49" i="1" s="1"/>
  <c r="T49" i="1"/>
  <c r="Q49" i="1"/>
  <c r="L49" i="1"/>
  <c r="J49" i="1"/>
  <c r="I49" i="1"/>
  <c r="AB49" i="1" s="1"/>
  <c r="AN48" i="1"/>
  <c r="AM48" i="1"/>
  <c r="AK48" i="1"/>
  <c r="AJ48" i="1"/>
  <c r="AH48" i="1"/>
  <c r="K48" i="1" s="1"/>
  <c r="Z48" i="1"/>
  <c r="X48" i="1" s="1"/>
  <c r="Y48" i="1"/>
  <c r="Q48" i="1"/>
  <c r="O48" i="1"/>
  <c r="AN47" i="1"/>
  <c r="AM47" i="1"/>
  <c r="AL47" i="1"/>
  <c r="AK47" i="1"/>
  <c r="AJ47" i="1"/>
  <c r="AH47" i="1"/>
  <c r="Z47" i="1"/>
  <c r="Y47" i="1"/>
  <c r="X47" i="1"/>
  <c r="T47" i="1"/>
  <c r="Q47" i="1"/>
  <c r="L47" i="1"/>
  <c r="AN46" i="1"/>
  <c r="AM46" i="1"/>
  <c r="AK46" i="1"/>
  <c r="T46" i="1" s="1"/>
  <c r="AJ46" i="1"/>
  <c r="AH46" i="1" s="1"/>
  <c r="AI46" i="1" s="1"/>
  <c r="Z46" i="1"/>
  <c r="Y46" i="1"/>
  <c r="X46" i="1" s="1"/>
  <c r="Q46" i="1"/>
  <c r="K46" i="1"/>
  <c r="AN45" i="1"/>
  <c r="AM45" i="1"/>
  <c r="AK45" i="1"/>
  <c r="T45" i="1" s="1"/>
  <c r="AJ45" i="1"/>
  <c r="AH45" i="1" s="1"/>
  <c r="Z45" i="1"/>
  <c r="Y45" i="1"/>
  <c r="X45" i="1"/>
  <c r="Q45" i="1"/>
  <c r="AN44" i="1"/>
  <c r="AM44" i="1"/>
  <c r="AK44" i="1"/>
  <c r="AJ44" i="1"/>
  <c r="AH44" i="1" s="1"/>
  <c r="Z44" i="1"/>
  <c r="X44" i="1" s="1"/>
  <c r="Y44" i="1"/>
  <c r="Q44" i="1"/>
  <c r="AN43" i="1"/>
  <c r="AM43" i="1"/>
  <c r="AK43" i="1"/>
  <c r="AL43" i="1" s="1"/>
  <c r="AJ43" i="1"/>
  <c r="AH43" i="1"/>
  <c r="L43" i="1" s="1"/>
  <c r="Z43" i="1"/>
  <c r="Y43" i="1"/>
  <c r="X43" i="1"/>
  <c r="Q43" i="1"/>
  <c r="O43" i="1"/>
  <c r="AN42" i="1"/>
  <c r="AM42" i="1"/>
  <c r="AK42" i="1"/>
  <c r="AL42" i="1" s="1"/>
  <c r="AJ42" i="1"/>
  <c r="AI42" i="1"/>
  <c r="AH42" i="1"/>
  <c r="J42" i="1" s="1"/>
  <c r="I42" i="1" s="1"/>
  <c r="Z42" i="1"/>
  <c r="Y42" i="1"/>
  <c r="X42" i="1" s="1"/>
  <c r="Q42" i="1"/>
  <c r="O42" i="1"/>
  <c r="L42" i="1"/>
  <c r="K42" i="1"/>
  <c r="AN41" i="1"/>
  <c r="AM41" i="1"/>
  <c r="AK41" i="1"/>
  <c r="AL41" i="1" s="1"/>
  <c r="AJ41" i="1"/>
  <c r="AH41" i="1" s="1"/>
  <c r="Z41" i="1"/>
  <c r="Y41" i="1"/>
  <c r="X41" i="1" s="1"/>
  <c r="Q41" i="1"/>
  <c r="AN40" i="1"/>
  <c r="AM40" i="1"/>
  <c r="AK40" i="1"/>
  <c r="AL40" i="1" s="1"/>
  <c r="AJ40" i="1"/>
  <c r="AH40" i="1" s="1"/>
  <c r="Z40" i="1"/>
  <c r="Y40" i="1"/>
  <c r="X40" i="1" s="1"/>
  <c r="Q40" i="1"/>
  <c r="AN39" i="1"/>
  <c r="AM39" i="1"/>
  <c r="AK39" i="1"/>
  <c r="AL39" i="1" s="1"/>
  <c r="AJ39" i="1"/>
  <c r="AH39" i="1"/>
  <c r="L39" i="1" s="1"/>
  <c r="Z39" i="1"/>
  <c r="Y39" i="1"/>
  <c r="X39" i="1"/>
  <c r="Q39" i="1"/>
  <c r="O39" i="1"/>
  <c r="AN38" i="1"/>
  <c r="AM38" i="1"/>
  <c r="AK38" i="1"/>
  <c r="AL38" i="1" s="1"/>
  <c r="AJ38" i="1"/>
  <c r="AI38" i="1"/>
  <c r="AH38" i="1"/>
  <c r="Z38" i="1"/>
  <c r="Y38" i="1"/>
  <c r="X38" i="1" s="1"/>
  <c r="Q38" i="1"/>
  <c r="O38" i="1"/>
  <c r="L38" i="1"/>
  <c r="K38" i="1"/>
  <c r="J38" i="1"/>
  <c r="I38" i="1"/>
  <c r="AB38" i="1" s="1"/>
  <c r="AN37" i="1"/>
  <c r="AM37" i="1"/>
  <c r="AK37" i="1"/>
  <c r="AL37" i="1" s="1"/>
  <c r="AJ37" i="1"/>
  <c r="AH37" i="1" s="1"/>
  <c r="Z37" i="1"/>
  <c r="Y37" i="1"/>
  <c r="X37" i="1" s="1"/>
  <c r="Q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/>
  <c r="L35" i="1" s="1"/>
  <c r="Z35" i="1"/>
  <c r="Y35" i="1"/>
  <c r="X35" i="1"/>
  <c r="Q35" i="1"/>
  <c r="O35" i="1"/>
  <c r="AN34" i="1"/>
  <c r="AM34" i="1"/>
  <c r="AK34" i="1"/>
  <c r="AL34" i="1" s="1"/>
  <c r="AJ34" i="1"/>
  <c r="AH34" i="1" s="1"/>
  <c r="Z34" i="1"/>
  <c r="Y34" i="1"/>
  <c r="X34" i="1" s="1"/>
  <c r="Q34" i="1"/>
  <c r="AN33" i="1"/>
  <c r="AM33" i="1"/>
  <c r="AK33" i="1"/>
  <c r="AL33" i="1" s="1"/>
  <c r="AJ33" i="1"/>
  <c r="AH33" i="1" s="1"/>
  <c r="Z33" i="1"/>
  <c r="Y33" i="1"/>
  <c r="X33" i="1" s="1"/>
  <c r="Q33" i="1"/>
  <c r="AN32" i="1"/>
  <c r="AM32" i="1"/>
  <c r="AK32" i="1"/>
  <c r="AL32" i="1" s="1"/>
  <c r="AJ32" i="1"/>
  <c r="AH32" i="1" s="1"/>
  <c r="Z32" i="1"/>
  <c r="Y32" i="1"/>
  <c r="X32" i="1" s="1"/>
  <c r="Q32" i="1"/>
  <c r="AN31" i="1"/>
  <c r="AM31" i="1"/>
  <c r="AK31" i="1"/>
  <c r="AL31" i="1" s="1"/>
  <c r="AJ31" i="1"/>
  <c r="AI31" i="1"/>
  <c r="AH31" i="1"/>
  <c r="L31" i="1" s="1"/>
  <c r="Z31" i="1"/>
  <c r="Y31" i="1"/>
  <c r="X31" i="1" s="1"/>
  <c r="Q31" i="1"/>
  <c r="O31" i="1"/>
  <c r="AN30" i="1"/>
  <c r="AM30" i="1"/>
  <c r="AK30" i="1"/>
  <c r="AL30" i="1" s="1"/>
  <c r="AJ30" i="1"/>
  <c r="AH30" i="1" s="1"/>
  <c r="Z30" i="1"/>
  <c r="Y30" i="1"/>
  <c r="X30" i="1" s="1"/>
  <c r="Q30" i="1"/>
  <c r="AN29" i="1"/>
  <c r="AM29" i="1"/>
  <c r="AK29" i="1"/>
  <c r="AL29" i="1" s="1"/>
  <c r="AJ29" i="1"/>
  <c r="AH29" i="1" s="1"/>
  <c r="Z29" i="1"/>
  <c r="Y29" i="1"/>
  <c r="X29" i="1" s="1"/>
  <c r="Q29" i="1"/>
  <c r="AN28" i="1"/>
  <c r="AM28" i="1"/>
  <c r="AK28" i="1"/>
  <c r="AL28" i="1" s="1"/>
  <c r="AJ28" i="1"/>
  <c r="AH28" i="1" s="1"/>
  <c r="Z28" i="1"/>
  <c r="Y28" i="1"/>
  <c r="X28" i="1" s="1"/>
  <c r="Q28" i="1"/>
  <c r="AN27" i="1"/>
  <c r="AM27" i="1"/>
  <c r="AK27" i="1"/>
  <c r="AL27" i="1" s="1"/>
  <c r="AJ27" i="1"/>
  <c r="AI27" i="1"/>
  <c r="AH27" i="1"/>
  <c r="L27" i="1" s="1"/>
  <c r="Z27" i="1"/>
  <c r="Y27" i="1"/>
  <c r="X27" i="1" s="1"/>
  <c r="Q27" i="1"/>
  <c r="O27" i="1"/>
  <c r="K27" i="1"/>
  <c r="AN26" i="1"/>
  <c r="AM26" i="1"/>
  <c r="AK26" i="1"/>
  <c r="AL26" i="1" s="1"/>
  <c r="AJ26" i="1"/>
  <c r="AH26" i="1" s="1"/>
  <c r="Z26" i="1"/>
  <c r="Y26" i="1"/>
  <c r="X26" i="1" s="1"/>
  <c r="Q26" i="1"/>
  <c r="AN25" i="1"/>
  <c r="AM25" i="1"/>
  <c r="AK25" i="1"/>
  <c r="AL25" i="1" s="1"/>
  <c r="AJ25" i="1"/>
  <c r="AH25" i="1" s="1"/>
  <c r="Z25" i="1"/>
  <c r="Y25" i="1"/>
  <c r="X25" i="1" s="1"/>
  <c r="Q25" i="1"/>
  <c r="AN24" i="1"/>
  <c r="AM24" i="1"/>
  <c r="AK24" i="1"/>
  <c r="AL24" i="1" s="1"/>
  <c r="AJ24" i="1"/>
  <c r="AH24" i="1" s="1"/>
  <c r="Z24" i="1"/>
  <c r="Y24" i="1"/>
  <c r="X24" i="1" s="1"/>
  <c r="Q24" i="1"/>
  <c r="AN23" i="1"/>
  <c r="AM23" i="1"/>
  <c r="AK23" i="1"/>
  <c r="AL23" i="1" s="1"/>
  <c r="AJ23" i="1"/>
  <c r="AI23" i="1"/>
  <c r="AH23" i="1"/>
  <c r="L23" i="1" s="1"/>
  <c r="Z23" i="1"/>
  <c r="Y23" i="1"/>
  <c r="X23" i="1" s="1"/>
  <c r="Q23" i="1"/>
  <c r="O23" i="1"/>
  <c r="K23" i="1"/>
  <c r="AN22" i="1"/>
  <c r="AM22" i="1"/>
  <c r="AK22" i="1"/>
  <c r="AL22" i="1" s="1"/>
  <c r="AJ22" i="1"/>
  <c r="AH22" i="1" s="1"/>
  <c r="Z22" i="1"/>
  <c r="Y22" i="1"/>
  <c r="X22" i="1" s="1"/>
  <c r="Q22" i="1"/>
  <c r="AN21" i="1"/>
  <c r="AM21" i="1"/>
  <c r="AK21" i="1"/>
  <c r="AL21" i="1" s="1"/>
  <c r="AJ21" i="1"/>
  <c r="AI21" i="1"/>
  <c r="AH21" i="1"/>
  <c r="J21" i="1" s="1"/>
  <c r="I21" i="1" s="1"/>
  <c r="Z21" i="1"/>
  <c r="Y21" i="1"/>
  <c r="X21" i="1" s="1"/>
  <c r="Q21" i="1"/>
  <c r="O21" i="1"/>
  <c r="L21" i="1"/>
  <c r="K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K19" i="1"/>
  <c r="AL19" i="1" s="1"/>
  <c r="AJ19" i="1"/>
  <c r="AI19" i="1"/>
  <c r="AH19" i="1"/>
  <c r="L19" i="1" s="1"/>
  <c r="Z19" i="1"/>
  <c r="Y19" i="1"/>
  <c r="X19" i="1" s="1"/>
  <c r="Q19" i="1"/>
  <c r="O19" i="1"/>
  <c r="K19" i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K17" i="1"/>
  <c r="AL17" i="1" s="1"/>
  <c r="AJ17" i="1"/>
  <c r="AI17" i="1"/>
  <c r="AH17" i="1"/>
  <c r="J17" i="1" s="1"/>
  <c r="I17" i="1" s="1"/>
  <c r="Z17" i="1"/>
  <c r="Y17" i="1"/>
  <c r="X17" i="1" s="1"/>
  <c r="Q17" i="1"/>
  <c r="O17" i="1"/>
  <c r="L17" i="1"/>
  <c r="K17" i="1"/>
  <c r="L18" i="1" l="1"/>
  <c r="K18" i="1"/>
  <c r="J18" i="1"/>
  <c r="I18" i="1" s="1"/>
  <c r="AI18" i="1"/>
  <c r="O18" i="1"/>
  <c r="L22" i="1"/>
  <c r="J22" i="1"/>
  <c r="I22" i="1" s="1"/>
  <c r="AI22" i="1"/>
  <c r="O22" i="1"/>
  <c r="K22" i="1"/>
  <c r="J32" i="1"/>
  <c r="I32" i="1" s="1"/>
  <c r="AI32" i="1"/>
  <c r="O32" i="1"/>
  <c r="L32" i="1"/>
  <c r="K32" i="1"/>
  <c r="J20" i="1"/>
  <c r="I20" i="1" s="1"/>
  <c r="L20" i="1"/>
  <c r="K20" i="1"/>
  <c r="AI20" i="1"/>
  <c r="O20" i="1"/>
  <c r="L41" i="1"/>
  <c r="K41" i="1"/>
  <c r="J41" i="1"/>
  <c r="I41" i="1" s="1"/>
  <c r="AI41" i="1"/>
  <c r="O41" i="1"/>
  <c r="L26" i="1"/>
  <c r="K26" i="1"/>
  <c r="J26" i="1"/>
  <c r="I26" i="1" s="1"/>
  <c r="AI26" i="1"/>
  <c r="O26" i="1"/>
  <c r="L33" i="1"/>
  <c r="J33" i="1"/>
  <c r="I33" i="1" s="1"/>
  <c r="AI33" i="1"/>
  <c r="O33" i="1"/>
  <c r="K33" i="1"/>
  <c r="L29" i="1"/>
  <c r="J29" i="1"/>
  <c r="I29" i="1" s="1"/>
  <c r="AI29" i="1"/>
  <c r="O29" i="1"/>
  <c r="K29" i="1"/>
  <c r="J40" i="1"/>
  <c r="I40" i="1" s="1"/>
  <c r="O40" i="1"/>
  <c r="AI40" i="1"/>
  <c r="L40" i="1"/>
  <c r="K40" i="1"/>
  <c r="L25" i="1"/>
  <c r="J25" i="1"/>
  <c r="I25" i="1" s="1"/>
  <c r="AI25" i="1"/>
  <c r="O25" i="1"/>
  <c r="K25" i="1"/>
  <c r="AB21" i="1"/>
  <c r="L34" i="1"/>
  <c r="K34" i="1"/>
  <c r="J34" i="1"/>
  <c r="I34" i="1" s="1"/>
  <c r="AI34" i="1"/>
  <c r="O34" i="1"/>
  <c r="L37" i="1"/>
  <c r="K37" i="1"/>
  <c r="J37" i="1"/>
  <c r="I37" i="1" s="1"/>
  <c r="AI37" i="1"/>
  <c r="O37" i="1"/>
  <c r="AB42" i="1"/>
  <c r="AI52" i="1"/>
  <c r="O52" i="1"/>
  <c r="L52" i="1"/>
  <c r="K52" i="1"/>
  <c r="J52" i="1"/>
  <c r="I52" i="1" s="1"/>
  <c r="J36" i="1"/>
  <c r="I36" i="1" s="1"/>
  <c r="O36" i="1"/>
  <c r="AI36" i="1"/>
  <c r="L36" i="1"/>
  <c r="K36" i="1"/>
  <c r="L30" i="1"/>
  <c r="K30" i="1"/>
  <c r="J30" i="1"/>
  <c r="I30" i="1" s="1"/>
  <c r="AI30" i="1"/>
  <c r="O30" i="1"/>
  <c r="AB17" i="1"/>
  <c r="J24" i="1"/>
  <c r="I24" i="1" s="1"/>
  <c r="AI24" i="1"/>
  <c r="O24" i="1"/>
  <c r="L24" i="1"/>
  <c r="K24" i="1"/>
  <c r="J28" i="1"/>
  <c r="I28" i="1" s="1"/>
  <c r="AI28" i="1"/>
  <c r="O28" i="1"/>
  <c r="L28" i="1"/>
  <c r="K28" i="1"/>
  <c r="J44" i="1"/>
  <c r="I44" i="1" s="1"/>
  <c r="AI44" i="1"/>
  <c r="O44" i="1"/>
  <c r="L44" i="1"/>
  <c r="K44" i="1"/>
  <c r="AI45" i="1"/>
  <c r="O45" i="1"/>
  <c r="L45" i="1"/>
  <c r="K45" i="1"/>
  <c r="J45" i="1"/>
  <c r="I45" i="1" s="1"/>
  <c r="U45" i="1" s="1"/>
  <c r="V45" i="1" s="1"/>
  <c r="AI35" i="1"/>
  <c r="AI39" i="1"/>
  <c r="AI43" i="1"/>
  <c r="AL46" i="1"/>
  <c r="J53" i="1"/>
  <c r="I53" i="1" s="1"/>
  <c r="X61" i="1"/>
  <c r="J19" i="1"/>
  <c r="I19" i="1" s="1"/>
  <c r="T20" i="1"/>
  <c r="J23" i="1"/>
  <c r="I23" i="1" s="1"/>
  <c r="T24" i="1"/>
  <c r="J27" i="1"/>
  <c r="I27" i="1" s="1"/>
  <c r="T28" i="1"/>
  <c r="J31" i="1"/>
  <c r="I31" i="1" s="1"/>
  <c r="T32" i="1"/>
  <c r="J35" i="1"/>
  <c r="I35" i="1" s="1"/>
  <c r="T36" i="1"/>
  <c r="J39" i="1"/>
  <c r="I39" i="1" s="1"/>
  <c r="T40" i="1"/>
  <c r="J43" i="1"/>
  <c r="I43" i="1" s="1"/>
  <c r="AL45" i="1"/>
  <c r="O46" i="1"/>
  <c r="J48" i="1"/>
  <c r="I48" i="1" s="1"/>
  <c r="AL48" i="1"/>
  <c r="T48" i="1"/>
  <c r="K49" i="1"/>
  <c r="O49" i="1"/>
  <c r="O54" i="1"/>
  <c r="K54" i="1"/>
  <c r="J54" i="1"/>
  <c r="I54" i="1" s="1"/>
  <c r="U54" i="1" s="1"/>
  <c r="V54" i="1" s="1"/>
  <c r="AI54" i="1"/>
  <c r="O62" i="1"/>
  <c r="K62" i="1"/>
  <c r="J62" i="1"/>
  <c r="I62" i="1" s="1"/>
  <c r="AI62" i="1"/>
  <c r="K31" i="1"/>
  <c r="K35" i="1"/>
  <c r="K39" i="1"/>
  <c r="K43" i="1"/>
  <c r="U47" i="1"/>
  <c r="V47" i="1" s="1"/>
  <c r="O47" i="1"/>
  <c r="K47" i="1"/>
  <c r="J47" i="1"/>
  <c r="I47" i="1" s="1"/>
  <c r="K56" i="1"/>
  <c r="AI56" i="1"/>
  <c r="O56" i="1"/>
  <c r="L56" i="1"/>
  <c r="AI59" i="1"/>
  <c r="O59" i="1"/>
  <c r="L59" i="1"/>
  <c r="K59" i="1"/>
  <c r="J59" i="1"/>
  <c r="I59" i="1" s="1"/>
  <c r="U63" i="1"/>
  <c r="V63" i="1" s="1"/>
  <c r="K64" i="1"/>
  <c r="AI64" i="1"/>
  <c r="O64" i="1"/>
  <c r="L64" i="1"/>
  <c r="AI67" i="1"/>
  <c r="O67" i="1"/>
  <c r="L67" i="1"/>
  <c r="K67" i="1"/>
  <c r="J67" i="1"/>
  <c r="I67" i="1" s="1"/>
  <c r="U67" i="1" s="1"/>
  <c r="V67" i="1" s="1"/>
  <c r="J70" i="1"/>
  <c r="I70" i="1" s="1"/>
  <c r="AI70" i="1"/>
  <c r="K70" i="1"/>
  <c r="O70" i="1"/>
  <c r="O77" i="1"/>
  <c r="L77" i="1"/>
  <c r="J77" i="1"/>
  <c r="I77" i="1" s="1"/>
  <c r="AI77" i="1"/>
  <c r="K77" i="1"/>
  <c r="T19" i="1"/>
  <c r="T23" i="1"/>
  <c r="T27" i="1"/>
  <c r="T31" i="1"/>
  <c r="T35" i="1"/>
  <c r="T39" i="1"/>
  <c r="T43" i="1"/>
  <c r="AI47" i="1"/>
  <c r="U49" i="1"/>
  <c r="V49" i="1" s="1"/>
  <c r="O51" i="1"/>
  <c r="L51" i="1"/>
  <c r="K51" i="1"/>
  <c r="J51" i="1"/>
  <c r="I51" i="1" s="1"/>
  <c r="U51" i="1" s="1"/>
  <c r="V51" i="1" s="1"/>
  <c r="K53" i="1"/>
  <c r="AI53" i="1"/>
  <c r="O53" i="1"/>
  <c r="J56" i="1"/>
  <c r="I56" i="1" s="1"/>
  <c r="U57" i="1"/>
  <c r="V57" i="1" s="1"/>
  <c r="R57" i="1" s="1"/>
  <c r="P57" i="1" s="1"/>
  <c r="S57" i="1" s="1"/>
  <c r="M57" i="1" s="1"/>
  <c r="N57" i="1" s="1"/>
  <c r="K61" i="1"/>
  <c r="AI61" i="1"/>
  <c r="O61" i="1"/>
  <c r="J64" i="1"/>
  <c r="I64" i="1" s="1"/>
  <c r="U65" i="1"/>
  <c r="V65" i="1" s="1"/>
  <c r="AC65" i="1" s="1"/>
  <c r="U70" i="1"/>
  <c r="V70" i="1" s="1"/>
  <c r="T18" i="1"/>
  <c r="T22" i="1"/>
  <c r="T26" i="1"/>
  <c r="T30" i="1"/>
  <c r="T34" i="1"/>
  <c r="T38" i="1"/>
  <c r="T42" i="1"/>
  <c r="J46" i="1"/>
  <c r="I46" i="1" s="1"/>
  <c r="J50" i="1"/>
  <c r="I50" i="1" s="1"/>
  <c r="AI50" i="1"/>
  <c r="AL52" i="1"/>
  <c r="T52" i="1"/>
  <c r="O58" i="1"/>
  <c r="K58" i="1"/>
  <c r="J58" i="1"/>
  <c r="I58" i="1" s="1"/>
  <c r="AI58" i="1"/>
  <c r="O66" i="1"/>
  <c r="K66" i="1"/>
  <c r="J66" i="1"/>
  <c r="I66" i="1" s="1"/>
  <c r="AI66" i="1"/>
  <c r="L75" i="1"/>
  <c r="K75" i="1"/>
  <c r="J75" i="1"/>
  <c r="I75" i="1" s="1"/>
  <c r="AI75" i="1"/>
  <c r="AC76" i="1"/>
  <c r="AL44" i="1"/>
  <c r="T44" i="1"/>
  <c r="AI55" i="1"/>
  <c r="O55" i="1"/>
  <c r="L55" i="1"/>
  <c r="K55" i="1"/>
  <c r="J55" i="1"/>
  <c r="I55" i="1" s="1"/>
  <c r="U55" i="1" s="1"/>
  <c r="V55" i="1" s="1"/>
  <c r="U59" i="1"/>
  <c r="V59" i="1" s="1"/>
  <c r="K60" i="1"/>
  <c r="AI60" i="1"/>
  <c r="O60" i="1"/>
  <c r="L60" i="1"/>
  <c r="AI63" i="1"/>
  <c r="O63" i="1"/>
  <c r="L63" i="1"/>
  <c r="K63" i="1"/>
  <c r="J63" i="1"/>
  <c r="I63" i="1" s="1"/>
  <c r="AC66" i="1"/>
  <c r="L71" i="1"/>
  <c r="K71" i="1"/>
  <c r="AI71" i="1"/>
  <c r="O71" i="1"/>
  <c r="T17" i="1"/>
  <c r="T21" i="1"/>
  <c r="T25" i="1"/>
  <c r="T29" i="1"/>
  <c r="T33" i="1"/>
  <c r="T37" i="1"/>
  <c r="T41" i="1"/>
  <c r="L46" i="1"/>
  <c r="AI48" i="1"/>
  <c r="L48" i="1"/>
  <c r="K57" i="1"/>
  <c r="AI57" i="1"/>
  <c r="O57" i="1"/>
  <c r="U58" i="1"/>
  <c r="V58" i="1" s="1"/>
  <c r="J60" i="1"/>
  <c r="I60" i="1" s="1"/>
  <c r="U61" i="1"/>
  <c r="V61" i="1" s="1"/>
  <c r="K65" i="1"/>
  <c r="AI65" i="1"/>
  <c r="O65" i="1"/>
  <c r="U66" i="1"/>
  <c r="V66" i="1" s="1"/>
  <c r="J68" i="1"/>
  <c r="I68" i="1" s="1"/>
  <c r="U68" i="1" s="1"/>
  <c r="V68" i="1" s="1"/>
  <c r="AI68" i="1"/>
  <c r="K68" i="1"/>
  <c r="O68" i="1"/>
  <c r="J71" i="1"/>
  <c r="I71" i="1" s="1"/>
  <c r="T56" i="1"/>
  <c r="T60" i="1"/>
  <c r="AL74" i="1"/>
  <c r="T74" i="1"/>
  <c r="U76" i="1"/>
  <c r="V76" i="1" s="1"/>
  <c r="AB76" i="1"/>
  <c r="R76" i="1"/>
  <c r="P76" i="1" s="1"/>
  <c r="S76" i="1" s="1"/>
  <c r="M76" i="1" s="1"/>
  <c r="N76" i="1" s="1"/>
  <c r="AB93" i="1"/>
  <c r="AL67" i="1"/>
  <c r="X69" i="1"/>
  <c r="AL69" i="1"/>
  <c r="T69" i="1"/>
  <c r="AB78" i="1"/>
  <c r="U72" i="1"/>
  <c r="V72" i="1" s="1"/>
  <c r="K73" i="1"/>
  <c r="AB74" i="1"/>
  <c r="AB82" i="1"/>
  <c r="L83" i="1"/>
  <c r="K83" i="1"/>
  <c r="J83" i="1"/>
  <c r="I83" i="1" s="1"/>
  <c r="AI83" i="1"/>
  <c r="O83" i="1"/>
  <c r="U94" i="1"/>
  <c r="V94" i="1" s="1"/>
  <c r="O85" i="1"/>
  <c r="L85" i="1"/>
  <c r="K85" i="1"/>
  <c r="J85" i="1"/>
  <c r="I85" i="1" s="1"/>
  <c r="AI85" i="1"/>
  <c r="U90" i="1"/>
  <c r="V90" i="1" s="1"/>
  <c r="AB90" i="1"/>
  <c r="L91" i="1"/>
  <c r="K91" i="1"/>
  <c r="J91" i="1"/>
  <c r="I91" i="1" s="1"/>
  <c r="AI91" i="1"/>
  <c r="O91" i="1"/>
  <c r="R94" i="1"/>
  <c r="P94" i="1" s="1"/>
  <c r="S94" i="1" s="1"/>
  <c r="M94" i="1" s="1"/>
  <c r="N94" i="1" s="1"/>
  <c r="AB94" i="1"/>
  <c r="O73" i="1"/>
  <c r="AL77" i="1"/>
  <c r="T77" i="1"/>
  <c r="L79" i="1"/>
  <c r="K79" i="1"/>
  <c r="J79" i="1"/>
  <c r="I79" i="1" s="1"/>
  <c r="AI79" i="1"/>
  <c r="L73" i="1"/>
  <c r="J73" i="1"/>
  <c r="I73" i="1" s="1"/>
  <c r="U91" i="1"/>
  <c r="V91" i="1" s="1"/>
  <c r="AC91" i="1" s="1"/>
  <c r="K69" i="1"/>
  <c r="AI69" i="1"/>
  <c r="AL71" i="1"/>
  <c r="T71" i="1"/>
  <c r="AB72" i="1"/>
  <c r="AL73" i="1"/>
  <c r="T73" i="1"/>
  <c r="O79" i="1"/>
  <c r="O81" i="1"/>
  <c r="L81" i="1"/>
  <c r="K81" i="1"/>
  <c r="J81" i="1"/>
  <c r="I81" i="1" s="1"/>
  <c r="AI81" i="1"/>
  <c r="R86" i="1"/>
  <c r="P86" i="1" s="1"/>
  <c r="S86" i="1" s="1"/>
  <c r="M86" i="1" s="1"/>
  <c r="N86" i="1" s="1"/>
  <c r="U86" i="1"/>
  <c r="V86" i="1" s="1"/>
  <c r="AB86" i="1"/>
  <c r="L87" i="1"/>
  <c r="K87" i="1"/>
  <c r="J87" i="1"/>
  <c r="I87" i="1" s="1"/>
  <c r="AI87" i="1"/>
  <c r="O87" i="1"/>
  <c r="O89" i="1"/>
  <c r="L89" i="1"/>
  <c r="K89" i="1"/>
  <c r="J89" i="1"/>
  <c r="I89" i="1" s="1"/>
  <c r="AI89" i="1"/>
  <c r="O88" i="1"/>
  <c r="O92" i="1"/>
  <c r="K98" i="1"/>
  <c r="O106" i="1"/>
  <c r="L106" i="1"/>
  <c r="K106" i="1"/>
  <c r="J106" i="1"/>
  <c r="I106" i="1" s="1"/>
  <c r="AI106" i="1"/>
  <c r="L118" i="1"/>
  <c r="AI118" i="1"/>
  <c r="O118" i="1"/>
  <c r="K118" i="1"/>
  <c r="J118" i="1"/>
  <c r="I118" i="1" s="1"/>
  <c r="L74" i="1"/>
  <c r="T78" i="1"/>
  <c r="T82" i="1"/>
  <c r="X94" i="1"/>
  <c r="O98" i="1"/>
  <c r="J99" i="1"/>
  <c r="I99" i="1" s="1"/>
  <c r="O99" i="1"/>
  <c r="L99" i="1"/>
  <c r="AL101" i="1"/>
  <c r="J111" i="1"/>
  <c r="I111" i="1" s="1"/>
  <c r="AI111" i="1"/>
  <c r="O111" i="1"/>
  <c r="L111" i="1"/>
  <c r="K111" i="1"/>
  <c r="L98" i="1"/>
  <c r="J98" i="1"/>
  <c r="I98" i="1" s="1"/>
  <c r="AL99" i="1"/>
  <c r="T99" i="1"/>
  <c r="AL100" i="1"/>
  <c r="T100" i="1"/>
  <c r="L102" i="1"/>
  <c r="K102" i="1"/>
  <c r="J102" i="1"/>
  <c r="I102" i="1" s="1"/>
  <c r="AI102" i="1"/>
  <c r="O110" i="1"/>
  <c r="L110" i="1"/>
  <c r="K110" i="1"/>
  <c r="J110" i="1"/>
  <c r="I110" i="1" s="1"/>
  <c r="AI110" i="1"/>
  <c r="J80" i="1"/>
  <c r="I80" i="1" s="1"/>
  <c r="T81" i="1"/>
  <c r="J84" i="1"/>
  <c r="I84" i="1" s="1"/>
  <c r="T85" i="1"/>
  <c r="J88" i="1"/>
  <c r="I88" i="1" s="1"/>
  <c r="T89" i="1"/>
  <c r="J92" i="1"/>
  <c r="I92" i="1" s="1"/>
  <c r="O94" i="1"/>
  <c r="AL98" i="1"/>
  <c r="T98" i="1"/>
  <c r="J103" i="1"/>
  <c r="I103" i="1" s="1"/>
  <c r="O103" i="1"/>
  <c r="L103" i="1"/>
  <c r="K103" i="1"/>
  <c r="AB124" i="1"/>
  <c r="K80" i="1"/>
  <c r="K84" i="1"/>
  <c r="K88" i="1"/>
  <c r="K92" i="1"/>
  <c r="O93" i="1"/>
  <c r="AL93" i="1"/>
  <c r="T93" i="1"/>
  <c r="AC94" i="1"/>
  <c r="AL96" i="1"/>
  <c r="T96" i="1"/>
  <c r="O102" i="1"/>
  <c r="J115" i="1"/>
  <c r="I115" i="1" s="1"/>
  <c r="AI115" i="1"/>
  <c r="O115" i="1"/>
  <c r="L115" i="1"/>
  <c r="K115" i="1"/>
  <c r="AB122" i="1"/>
  <c r="T80" i="1"/>
  <c r="T84" i="1"/>
  <c r="T88" i="1"/>
  <c r="T92" i="1"/>
  <c r="J95" i="1"/>
  <c r="I95" i="1" s="1"/>
  <c r="O95" i="1"/>
  <c r="O114" i="1"/>
  <c r="L114" i="1"/>
  <c r="K114" i="1"/>
  <c r="J114" i="1"/>
  <c r="I114" i="1" s="1"/>
  <c r="AI114" i="1"/>
  <c r="AB120" i="1"/>
  <c r="AI82" i="1"/>
  <c r="AI86" i="1"/>
  <c r="AI90" i="1"/>
  <c r="L95" i="1"/>
  <c r="U121" i="1"/>
  <c r="V121" i="1" s="1"/>
  <c r="AC121" i="1" s="1"/>
  <c r="AB121" i="1"/>
  <c r="T75" i="1"/>
  <c r="T79" i="1"/>
  <c r="T83" i="1"/>
  <c r="T87" i="1"/>
  <c r="J107" i="1"/>
  <c r="I107" i="1" s="1"/>
  <c r="AI107" i="1"/>
  <c r="O107" i="1"/>
  <c r="L107" i="1"/>
  <c r="K107" i="1"/>
  <c r="K123" i="1"/>
  <c r="AI128" i="1"/>
  <c r="O128" i="1"/>
  <c r="L128" i="1"/>
  <c r="K128" i="1"/>
  <c r="T103" i="1"/>
  <c r="T107" i="1"/>
  <c r="T111" i="1"/>
  <c r="T115" i="1"/>
  <c r="O121" i="1"/>
  <c r="L126" i="1"/>
  <c r="K126" i="1"/>
  <c r="AI126" i="1"/>
  <c r="O126" i="1"/>
  <c r="AI140" i="1"/>
  <c r="O140" i="1"/>
  <c r="L140" i="1"/>
  <c r="K140" i="1"/>
  <c r="J140" i="1"/>
  <c r="I140" i="1" s="1"/>
  <c r="AI109" i="1"/>
  <c r="AI113" i="1"/>
  <c r="AI117" i="1"/>
  <c r="AL120" i="1"/>
  <c r="T120" i="1"/>
  <c r="U132" i="1"/>
  <c r="V132" i="1" s="1"/>
  <c r="L134" i="1"/>
  <c r="K134" i="1"/>
  <c r="J134" i="1"/>
  <c r="I134" i="1" s="1"/>
  <c r="AI134" i="1"/>
  <c r="O134" i="1"/>
  <c r="J97" i="1"/>
  <c r="I97" i="1" s="1"/>
  <c r="J101" i="1"/>
  <c r="I101" i="1" s="1"/>
  <c r="T102" i="1"/>
  <c r="J105" i="1"/>
  <c r="I105" i="1" s="1"/>
  <c r="T106" i="1"/>
  <c r="J109" i="1"/>
  <c r="I109" i="1" s="1"/>
  <c r="T110" i="1"/>
  <c r="J113" i="1"/>
  <c r="I113" i="1" s="1"/>
  <c r="T114" i="1"/>
  <c r="J117" i="1"/>
  <c r="I117" i="1" s="1"/>
  <c r="J119" i="1"/>
  <c r="I119" i="1" s="1"/>
  <c r="AI122" i="1"/>
  <c r="K125" i="1"/>
  <c r="J125" i="1"/>
  <c r="I125" i="1" s="1"/>
  <c r="U125" i="1" s="1"/>
  <c r="V125" i="1" s="1"/>
  <c r="AI125" i="1"/>
  <c r="O125" i="1"/>
  <c r="J128" i="1"/>
  <c r="I128" i="1" s="1"/>
  <c r="U128" i="1" s="1"/>
  <c r="V128" i="1" s="1"/>
  <c r="AI96" i="1"/>
  <c r="K97" i="1"/>
  <c r="AI100" i="1"/>
  <c r="K101" i="1"/>
  <c r="AI104" i="1"/>
  <c r="K105" i="1"/>
  <c r="AI108" i="1"/>
  <c r="K109" i="1"/>
  <c r="AI112" i="1"/>
  <c r="K113" i="1"/>
  <c r="AI116" i="1"/>
  <c r="K117" i="1"/>
  <c r="K119" i="1"/>
  <c r="AI136" i="1"/>
  <c r="O136" i="1"/>
  <c r="L136" i="1"/>
  <c r="K136" i="1"/>
  <c r="J136" i="1"/>
  <c r="I136" i="1" s="1"/>
  <c r="AB144" i="1"/>
  <c r="J96" i="1"/>
  <c r="I96" i="1" s="1"/>
  <c r="T97" i="1"/>
  <c r="J100" i="1"/>
  <c r="I100" i="1" s="1"/>
  <c r="T101" i="1"/>
  <c r="J104" i="1"/>
  <c r="I104" i="1" s="1"/>
  <c r="T105" i="1"/>
  <c r="J108" i="1"/>
  <c r="I108" i="1" s="1"/>
  <c r="T109" i="1"/>
  <c r="J112" i="1"/>
  <c r="I112" i="1" s="1"/>
  <c r="T113" i="1"/>
  <c r="J116" i="1"/>
  <c r="I116" i="1" s="1"/>
  <c r="T117" i="1"/>
  <c r="L119" i="1"/>
  <c r="AL122" i="1"/>
  <c r="T122" i="1"/>
  <c r="O127" i="1"/>
  <c r="K127" i="1"/>
  <c r="J127" i="1"/>
  <c r="I127" i="1" s="1"/>
  <c r="AI127" i="1"/>
  <c r="L130" i="1"/>
  <c r="K130" i="1"/>
  <c r="J130" i="1"/>
  <c r="I130" i="1" s="1"/>
  <c r="AI130" i="1"/>
  <c r="O130" i="1"/>
  <c r="U140" i="1"/>
  <c r="V140" i="1" s="1"/>
  <c r="O123" i="1"/>
  <c r="J123" i="1"/>
  <c r="I123" i="1" s="1"/>
  <c r="AI123" i="1"/>
  <c r="U129" i="1"/>
  <c r="V129" i="1" s="1"/>
  <c r="T104" i="1"/>
  <c r="T108" i="1"/>
  <c r="T112" i="1"/>
  <c r="T116" i="1"/>
  <c r="AL118" i="1"/>
  <c r="T118" i="1"/>
  <c r="O119" i="1"/>
  <c r="L121" i="1"/>
  <c r="AI121" i="1"/>
  <c r="X122" i="1"/>
  <c r="U123" i="1"/>
  <c r="V123" i="1" s="1"/>
  <c r="AI124" i="1"/>
  <c r="O124" i="1"/>
  <c r="L124" i="1"/>
  <c r="K124" i="1"/>
  <c r="AI132" i="1"/>
  <c r="O132" i="1"/>
  <c r="L132" i="1"/>
  <c r="K132" i="1"/>
  <c r="J132" i="1"/>
  <c r="I132" i="1" s="1"/>
  <c r="U136" i="1"/>
  <c r="V136" i="1" s="1"/>
  <c r="L138" i="1"/>
  <c r="K138" i="1"/>
  <c r="J138" i="1"/>
  <c r="I138" i="1" s="1"/>
  <c r="AI138" i="1"/>
  <c r="O138" i="1"/>
  <c r="AL144" i="1"/>
  <c r="T144" i="1"/>
  <c r="AI150" i="1"/>
  <c r="L150" i="1"/>
  <c r="O153" i="1"/>
  <c r="L153" i="1"/>
  <c r="K153" i="1"/>
  <c r="J153" i="1"/>
  <c r="I153" i="1" s="1"/>
  <c r="AI153" i="1"/>
  <c r="L156" i="1"/>
  <c r="J156" i="1"/>
  <c r="I156" i="1" s="1"/>
  <c r="AI156" i="1"/>
  <c r="O156" i="1"/>
  <c r="AI131" i="1"/>
  <c r="AI135" i="1"/>
  <c r="U137" i="1"/>
  <c r="V137" i="1" s="1"/>
  <c r="AI139" i="1"/>
  <c r="O142" i="1"/>
  <c r="X142" i="1"/>
  <c r="AL142" i="1"/>
  <c r="X144" i="1"/>
  <c r="L148" i="1"/>
  <c r="AI148" i="1"/>
  <c r="AL156" i="1"/>
  <c r="T156" i="1"/>
  <c r="U164" i="1"/>
  <c r="V164" i="1" s="1"/>
  <c r="T124" i="1"/>
  <c r="J131" i="1"/>
  <c r="I131" i="1" s="1"/>
  <c r="J135" i="1"/>
  <c r="I135" i="1" s="1"/>
  <c r="J139" i="1"/>
  <c r="I139" i="1" s="1"/>
  <c r="AL148" i="1"/>
  <c r="T148" i="1"/>
  <c r="X154" i="1"/>
  <c r="AI158" i="1"/>
  <c r="L158" i="1"/>
  <c r="K158" i="1"/>
  <c r="O129" i="1"/>
  <c r="K131" i="1"/>
  <c r="O133" i="1"/>
  <c r="K135" i="1"/>
  <c r="O137" i="1"/>
  <c r="K139" i="1"/>
  <c r="O141" i="1"/>
  <c r="L152" i="1"/>
  <c r="J152" i="1"/>
  <c r="I152" i="1" s="1"/>
  <c r="AI152" i="1"/>
  <c r="O152" i="1"/>
  <c r="O158" i="1"/>
  <c r="J162" i="1"/>
  <c r="I162" i="1" s="1"/>
  <c r="AI162" i="1"/>
  <c r="L162" i="1"/>
  <c r="K162" i="1"/>
  <c r="L131" i="1"/>
  <c r="L135" i="1"/>
  <c r="L139" i="1"/>
  <c r="J142" i="1"/>
  <c r="I142" i="1" s="1"/>
  <c r="U142" i="1" s="1"/>
  <c r="V142" i="1" s="1"/>
  <c r="AI146" i="1"/>
  <c r="L146" i="1"/>
  <c r="K147" i="1"/>
  <c r="J147" i="1"/>
  <c r="I147" i="1" s="1"/>
  <c r="O147" i="1"/>
  <c r="X148" i="1"/>
  <c r="X150" i="1"/>
  <c r="AL152" i="1"/>
  <c r="T152" i="1"/>
  <c r="L160" i="1"/>
  <c r="J160" i="1"/>
  <c r="I160" i="1" s="1"/>
  <c r="AI160" i="1"/>
  <c r="O160" i="1"/>
  <c r="AB164" i="1"/>
  <c r="AI129" i="1"/>
  <c r="U131" i="1"/>
  <c r="V131" i="1" s="1"/>
  <c r="AI133" i="1"/>
  <c r="AI137" i="1"/>
  <c r="U139" i="1"/>
  <c r="V139" i="1" s="1"/>
  <c r="AI141" i="1"/>
  <c r="K142" i="1"/>
  <c r="U143" i="1"/>
  <c r="V143" i="1" s="1"/>
  <c r="AL146" i="1"/>
  <c r="T146" i="1"/>
  <c r="AI147" i="1"/>
  <c r="J150" i="1"/>
  <c r="I150" i="1" s="1"/>
  <c r="AI154" i="1"/>
  <c r="L154" i="1"/>
  <c r="K154" i="1"/>
  <c r="O157" i="1"/>
  <c r="L157" i="1"/>
  <c r="K157" i="1"/>
  <c r="J157" i="1"/>
  <c r="I157" i="1" s="1"/>
  <c r="AI157" i="1"/>
  <c r="AL160" i="1"/>
  <c r="T160" i="1"/>
  <c r="T126" i="1"/>
  <c r="J129" i="1"/>
  <c r="I129" i="1" s="1"/>
  <c r="T130" i="1"/>
  <c r="J133" i="1"/>
  <c r="I133" i="1" s="1"/>
  <c r="T134" i="1"/>
  <c r="J137" i="1"/>
  <c r="I137" i="1" s="1"/>
  <c r="T138" i="1"/>
  <c r="J141" i="1"/>
  <c r="I141" i="1" s="1"/>
  <c r="U141" i="1" s="1"/>
  <c r="V141" i="1" s="1"/>
  <c r="L142" i="1"/>
  <c r="J146" i="1"/>
  <c r="I146" i="1" s="1"/>
  <c r="K150" i="1"/>
  <c r="O154" i="1"/>
  <c r="L144" i="1"/>
  <c r="AI144" i="1"/>
  <c r="O145" i="1"/>
  <c r="K145" i="1"/>
  <c r="J145" i="1"/>
  <c r="I145" i="1" s="1"/>
  <c r="U145" i="1" s="1"/>
  <c r="V145" i="1" s="1"/>
  <c r="K146" i="1"/>
  <c r="X146" i="1"/>
  <c r="O149" i="1"/>
  <c r="L149" i="1"/>
  <c r="K149" i="1"/>
  <c r="J149" i="1"/>
  <c r="I149" i="1" s="1"/>
  <c r="O150" i="1"/>
  <c r="K156" i="1"/>
  <c r="AB166" i="1"/>
  <c r="AI161" i="1"/>
  <c r="AI174" i="1"/>
  <c r="O174" i="1"/>
  <c r="L174" i="1"/>
  <c r="K174" i="1"/>
  <c r="AI178" i="1"/>
  <c r="O178" i="1"/>
  <c r="L178" i="1"/>
  <c r="K178" i="1"/>
  <c r="AI182" i="1"/>
  <c r="O182" i="1"/>
  <c r="L182" i="1"/>
  <c r="K182" i="1"/>
  <c r="T150" i="1"/>
  <c r="T154" i="1"/>
  <c r="T158" i="1"/>
  <c r="J161" i="1"/>
  <c r="I161" i="1" s="1"/>
  <c r="T162" i="1"/>
  <c r="J170" i="1"/>
  <c r="I170" i="1" s="1"/>
  <c r="L171" i="1"/>
  <c r="J188" i="1"/>
  <c r="I188" i="1" s="1"/>
  <c r="O188" i="1"/>
  <c r="AI188" i="1"/>
  <c r="L188" i="1"/>
  <c r="O151" i="1"/>
  <c r="O155" i="1"/>
  <c r="O159" i="1"/>
  <c r="K161" i="1"/>
  <c r="O163" i="1"/>
  <c r="K170" i="1"/>
  <c r="L172" i="1"/>
  <c r="J172" i="1"/>
  <c r="I172" i="1" s="1"/>
  <c r="AI172" i="1"/>
  <c r="K175" i="1"/>
  <c r="J175" i="1"/>
  <c r="I175" i="1" s="1"/>
  <c r="AI175" i="1"/>
  <c r="O175" i="1"/>
  <c r="K179" i="1"/>
  <c r="J179" i="1"/>
  <c r="I179" i="1" s="1"/>
  <c r="AI179" i="1"/>
  <c r="O179" i="1"/>
  <c r="U181" i="1"/>
  <c r="V181" i="1" s="1"/>
  <c r="K183" i="1"/>
  <c r="J183" i="1"/>
  <c r="I183" i="1" s="1"/>
  <c r="AI183" i="1"/>
  <c r="O183" i="1"/>
  <c r="U189" i="1"/>
  <c r="V189" i="1" s="1"/>
  <c r="AC189" i="1" s="1"/>
  <c r="L161" i="1"/>
  <c r="O169" i="1"/>
  <c r="L169" i="1"/>
  <c r="K169" i="1"/>
  <c r="J169" i="1"/>
  <c r="I169" i="1" s="1"/>
  <c r="K171" i="1"/>
  <c r="J171" i="1"/>
  <c r="I171" i="1" s="1"/>
  <c r="O171" i="1"/>
  <c r="AL172" i="1"/>
  <c r="T172" i="1"/>
  <c r="J174" i="1"/>
  <c r="I174" i="1" s="1"/>
  <c r="J178" i="1"/>
  <c r="I178" i="1" s="1"/>
  <c r="J182" i="1"/>
  <c r="I182" i="1" s="1"/>
  <c r="AB186" i="1"/>
  <c r="L191" i="1"/>
  <c r="K191" i="1"/>
  <c r="J191" i="1"/>
  <c r="I191" i="1" s="1"/>
  <c r="AI191" i="1"/>
  <c r="O191" i="1"/>
  <c r="L165" i="1"/>
  <c r="K165" i="1"/>
  <c r="J165" i="1"/>
  <c r="I165" i="1" s="1"/>
  <c r="AI170" i="1"/>
  <c r="L170" i="1"/>
  <c r="J151" i="1"/>
  <c r="I151" i="1" s="1"/>
  <c r="U151" i="1" s="1"/>
  <c r="V151" i="1" s="1"/>
  <c r="J155" i="1"/>
  <c r="I155" i="1" s="1"/>
  <c r="U155" i="1" s="1"/>
  <c r="V155" i="1" s="1"/>
  <c r="J159" i="1"/>
  <c r="I159" i="1" s="1"/>
  <c r="U159" i="1" s="1"/>
  <c r="V159" i="1" s="1"/>
  <c r="J163" i="1"/>
  <c r="I163" i="1" s="1"/>
  <c r="AI165" i="1"/>
  <c r="K167" i="1"/>
  <c r="J167" i="1"/>
  <c r="I167" i="1" s="1"/>
  <c r="O167" i="1"/>
  <c r="AL170" i="1"/>
  <c r="T170" i="1"/>
  <c r="L176" i="1"/>
  <c r="K176" i="1"/>
  <c r="J176" i="1"/>
  <c r="I176" i="1" s="1"/>
  <c r="AI176" i="1"/>
  <c r="O176" i="1"/>
  <c r="L180" i="1"/>
  <c r="K180" i="1"/>
  <c r="J180" i="1"/>
  <c r="I180" i="1" s="1"/>
  <c r="AI180" i="1"/>
  <c r="O180" i="1"/>
  <c r="L184" i="1"/>
  <c r="K184" i="1"/>
  <c r="J184" i="1"/>
  <c r="I184" i="1" s="1"/>
  <c r="AI184" i="1"/>
  <c r="O184" i="1"/>
  <c r="AL186" i="1"/>
  <c r="T186" i="1"/>
  <c r="AB199" i="1"/>
  <c r="AI166" i="1"/>
  <c r="L166" i="1"/>
  <c r="L168" i="1"/>
  <c r="J168" i="1"/>
  <c r="I168" i="1" s="1"/>
  <c r="AI168" i="1"/>
  <c r="U169" i="1"/>
  <c r="V169" i="1" s="1"/>
  <c r="AC169" i="1" s="1"/>
  <c r="O173" i="1"/>
  <c r="L173" i="1"/>
  <c r="K173" i="1"/>
  <c r="J173" i="1"/>
  <c r="I173" i="1" s="1"/>
  <c r="AI173" i="1"/>
  <c r="U175" i="1"/>
  <c r="V175" i="1" s="1"/>
  <c r="O177" i="1"/>
  <c r="L177" i="1"/>
  <c r="K177" i="1"/>
  <c r="J177" i="1"/>
  <c r="I177" i="1" s="1"/>
  <c r="AI177" i="1"/>
  <c r="O181" i="1"/>
  <c r="L181" i="1"/>
  <c r="K181" i="1"/>
  <c r="J181" i="1"/>
  <c r="I181" i="1" s="1"/>
  <c r="AI181" i="1"/>
  <c r="U183" i="1"/>
  <c r="V183" i="1" s="1"/>
  <c r="O185" i="1"/>
  <c r="L185" i="1"/>
  <c r="K185" i="1"/>
  <c r="J185" i="1"/>
  <c r="I185" i="1" s="1"/>
  <c r="U185" i="1" s="1"/>
  <c r="V185" i="1" s="1"/>
  <c r="AI185" i="1"/>
  <c r="L187" i="1"/>
  <c r="K187" i="1"/>
  <c r="J187" i="1"/>
  <c r="I187" i="1" s="1"/>
  <c r="AI187" i="1"/>
  <c r="O187" i="1"/>
  <c r="AB189" i="1"/>
  <c r="U190" i="1"/>
  <c r="V190" i="1" s="1"/>
  <c r="AC197" i="1"/>
  <c r="AL166" i="1"/>
  <c r="T166" i="1"/>
  <c r="AL168" i="1"/>
  <c r="T168" i="1"/>
  <c r="K186" i="1"/>
  <c r="L196" i="1"/>
  <c r="K196" i="1"/>
  <c r="J196" i="1"/>
  <c r="I196" i="1" s="1"/>
  <c r="AI196" i="1"/>
  <c r="O196" i="1"/>
  <c r="AL215" i="1"/>
  <c r="T215" i="1"/>
  <c r="T174" i="1"/>
  <c r="T178" i="1"/>
  <c r="T182" i="1"/>
  <c r="L186" i="1"/>
  <c r="R198" i="1"/>
  <c r="P198" i="1" s="1"/>
  <c r="S198" i="1" s="1"/>
  <c r="M198" i="1" s="1"/>
  <c r="N198" i="1" s="1"/>
  <c r="J203" i="1"/>
  <c r="I203" i="1" s="1"/>
  <c r="O203" i="1"/>
  <c r="AI203" i="1"/>
  <c r="K203" i="1"/>
  <c r="AL208" i="1"/>
  <c r="T208" i="1"/>
  <c r="AL187" i="1"/>
  <c r="T187" i="1"/>
  <c r="X189" i="1"/>
  <c r="X197" i="1"/>
  <c r="L200" i="1"/>
  <c r="K200" i="1"/>
  <c r="J200" i="1"/>
  <c r="I200" i="1" s="1"/>
  <c r="AI200" i="1"/>
  <c r="O200" i="1"/>
  <c r="AB202" i="1"/>
  <c r="O193" i="1"/>
  <c r="L193" i="1"/>
  <c r="K193" i="1"/>
  <c r="U194" i="1"/>
  <c r="V194" i="1" s="1"/>
  <c r="AC196" i="1"/>
  <c r="AB208" i="1"/>
  <c r="J193" i="1"/>
  <c r="I193" i="1" s="1"/>
  <c r="U196" i="1"/>
  <c r="V196" i="1" s="1"/>
  <c r="O197" i="1"/>
  <c r="L197" i="1"/>
  <c r="K197" i="1"/>
  <c r="AI197" i="1"/>
  <c r="U198" i="1"/>
  <c r="V198" i="1" s="1"/>
  <c r="J201" i="1"/>
  <c r="I201" i="1" s="1"/>
  <c r="O201" i="1"/>
  <c r="AI201" i="1"/>
  <c r="K201" i="1"/>
  <c r="U205" i="1"/>
  <c r="V205" i="1" s="1"/>
  <c r="T176" i="1"/>
  <c r="T180" i="1"/>
  <c r="T184" i="1"/>
  <c r="L192" i="1"/>
  <c r="K192" i="1"/>
  <c r="J192" i="1"/>
  <c r="I192" i="1" s="1"/>
  <c r="AI192" i="1"/>
  <c r="AC200" i="1"/>
  <c r="AC205" i="1"/>
  <c r="R190" i="1"/>
  <c r="P190" i="1" s="1"/>
  <c r="S190" i="1" s="1"/>
  <c r="M190" i="1" s="1"/>
  <c r="N190" i="1" s="1"/>
  <c r="J197" i="1"/>
  <c r="I197" i="1" s="1"/>
  <c r="U200" i="1"/>
  <c r="V200" i="1" s="1"/>
  <c r="U201" i="1"/>
  <c r="V201" i="1" s="1"/>
  <c r="AC201" i="1" s="1"/>
  <c r="AB204" i="1"/>
  <c r="L212" i="1"/>
  <c r="J212" i="1"/>
  <c r="I212" i="1" s="1"/>
  <c r="O212" i="1"/>
  <c r="K212" i="1"/>
  <c r="AI212" i="1"/>
  <c r="AL206" i="1"/>
  <c r="T206" i="1"/>
  <c r="AL211" i="1"/>
  <c r="T211" i="1"/>
  <c r="AL222" i="1"/>
  <c r="T222" i="1"/>
  <c r="O195" i="1"/>
  <c r="O199" i="1"/>
  <c r="K202" i="1"/>
  <c r="AI202" i="1"/>
  <c r="AI204" i="1"/>
  <c r="L207" i="1"/>
  <c r="J207" i="1"/>
  <c r="I207" i="1" s="1"/>
  <c r="K208" i="1"/>
  <c r="L209" i="1"/>
  <c r="J209" i="1"/>
  <c r="I209" i="1" s="1"/>
  <c r="AL212" i="1"/>
  <c r="T212" i="1"/>
  <c r="L216" i="1"/>
  <c r="J216" i="1"/>
  <c r="I216" i="1" s="1"/>
  <c r="AL219" i="1"/>
  <c r="T219" i="1"/>
  <c r="AL205" i="1"/>
  <c r="AI207" i="1"/>
  <c r="AL209" i="1"/>
  <c r="T209" i="1"/>
  <c r="L213" i="1"/>
  <c r="J213" i="1"/>
  <c r="I213" i="1" s="1"/>
  <c r="AL216" i="1"/>
  <c r="T216" i="1"/>
  <c r="L220" i="1"/>
  <c r="J220" i="1"/>
  <c r="I220" i="1" s="1"/>
  <c r="AL223" i="1"/>
  <c r="T223" i="1"/>
  <c r="J226" i="1"/>
  <c r="I226" i="1" s="1"/>
  <c r="AI226" i="1"/>
  <c r="L226" i="1"/>
  <c r="K226" i="1"/>
  <c r="O190" i="1"/>
  <c r="U193" i="1"/>
  <c r="V193" i="1" s="1"/>
  <c r="O194" i="1"/>
  <c r="AI195" i="1"/>
  <c r="U197" i="1"/>
  <c r="V197" i="1" s="1"/>
  <c r="O198" i="1"/>
  <c r="AI199" i="1"/>
  <c r="AL200" i="1"/>
  <c r="X202" i="1"/>
  <c r="AL202" i="1"/>
  <c r="T202" i="1"/>
  <c r="AL204" i="1"/>
  <c r="T204" i="1"/>
  <c r="K207" i="1"/>
  <c r="O208" i="1"/>
  <c r="J210" i="1"/>
  <c r="I210" i="1" s="1"/>
  <c r="L210" i="1"/>
  <c r="AL213" i="1"/>
  <c r="T213" i="1"/>
  <c r="L217" i="1"/>
  <c r="J217" i="1"/>
  <c r="I217" i="1" s="1"/>
  <c r="AL220" i="1"/>
  <c r="T220" i="1"/>
  <c r="O222" i="1"/>
  <c r="L224" i="1"/>
  <c r="J224" i="1"/>
  <c r="I224" i="1" s="1"/>
  <c r="AL226" i="1"/>
  <c r="J195" i="1"/>
  <c r="I195" i="1" s="1"/>
  <c r="O202" i="1"/>
  <c r="AL203" i="1"/>
  <c r="O204" i="1"/>
  <c r="AL207" i="1"/>
  <c r="T207" i="1"/>
  <c r="K209" i="1"/>
  <c r="AL210" i="1"/>
  <c r="T210" i="1"/>
  <c r="J214" i="1"/>
  <c r="I214" i="1" s="1"/>
  <c r="L214" i="1"/>
  <c r="K216" i="1"/>
  <c r="AL217" i="1"/>
  <c r="T217" i="1"/>
  <c r="L221" i="1"/>
  <c r="J221" i="1"/>
  <c r="I221" i="1" s="1"/>
  <c r="AL224" i="1"/>
  <c r="T224" i="1"/>
  <c r="L225" i="1"/>
  <c r="J225" i="1"/>
  <c r="I225" i="1" s="1"/>
  <c r="AI225" i="1"/>
  <c r="AI190" i="1"/>
  <c r="AI194" i="1"/>
  <c r="K195" i="1"/>
  <c r="AI198" i="1"/>
  <c r="K199" i="1"/>
  <c r="O207" i="1"/>
  <c r="K213" i="1"/>
  <c r="AL214" i="1"/>
  <c r="T214" i="1"/>
  <c r="J218" i="1"/>
  <c r="I218" i="1" s="1"/>
  <c r="L218" i="1"/>
  <c r="K220" i="1"/>
  <c r="AL221" i="1"/>
  <c r="T221" i="1"/>
  <c r="AL225" i="1"/>
  <c r="T225" i="1"/>
  <c r="T191" i="1"/>
  <c r="T195" i="1"/>
  <c r="T199" i="1"/>
  <c r="R205" i="1"/>
  <c r="P205" i="1" s="1"/>
  <c r="S205" i="1" s="1"/>
  <c r="M205" i="1" s="1"/>
  <c r="N205" i="1" s="1"/>
  <c r="J206" i="1"/>
  <c r="I206" i="1" s="1"/>
  <c r="L206" i="1"/>
  <c r="AI208" i="1"/>
  <c r="O209" i="1"/>
  <c r="K210" i="1"/>
  <c r="O216" i="1"/>
  <c r="K217" i="1"/>
  <c r="AL218" i="1"/>
  <c r="T218" i="1"/>
  <c r="J222" i="1"/>
  <c r="I222" i="1" s="1"/>
  <c r="L222" i="1"/>
  <c r="K224" i="1"/>
  <c r="T226" i="1"/>
  <c r="AI228" i="1"/>
  <c r="J228" i="1"/>
  <c r="I228" i="1" s="1"/>
  <c r="J211" i="1"/>
  <c r="I211" i="1" s="1"/>
  <c r="J215" i="1"/>
  <c r="I215" i="1" s="1"/>
  <c r="J219" i="1"/>
  <c r="I219" i="1" s="1"/>
  <c r="J223" i="1"/>
  <c r="I223" i="1" s="1"/>
  <c r="J227" i="1"/>
  <c r="I227" i="1" s="1"/>
  <c r="T228" i="1"/>
  <c r="K227" i="1"/>
  <c r="W55" i="1" l="1"/>
  <c r="AA55" i="1" s="1"/>
  <c r="AD55" i="1"/>
  <c r="AC55" i="1"/>
  <c r="W159" i="1"/>
  <c r="AA159" i="1" s="1"/>
  <c r="AD159" i="1"/>
  <c r="AC159" i="1"/>
  <c r="AD142" i="1"/>
  <c r="AE142" i="1" s="1"/>
  <c r="AC142" i="1"/>
  <c r="W142" i="1"/>
  <c r="AA142" i="1" s="1"/>
  <c r="W67" i="1"/>
  <c r="AA67" i="1" s="1"/>
  <c r="AC67" i="1"/>
  <c r="AD67" i="1"/>
  <c r="W54" i="1"/>
  <c r="AA54" i="1" s="1"/>
  <c r="AD54" i="1"/>
  <c r="AC54" i="1"/>
  <c r="W155" i="1"/>
  <c r="AA155" i="1" s="1"/>
  <c r="AD155" i="1"/>
  <c r="AC155" i="1"/>
  <c r="W151" i="1"/>
  <c r="AA151" i="1" s="1"/>
  <c r="AD151" i="1"/>
  <c r="AC151" i="1"/>
  <c r="W128" i="1"/>
  <c r="AA128" i="1" s="1"/>
  <c r="AD128" i="1"/>
  <c r="AE128" i="1" s="1"/>
  <c r="AC128" i="1"/>
  <c r="W51" i="1"/>
  <c r="AA51" i="1" s="1"/>
  <c r="AD51" i="1"/>
  <c r="AC51" i="1"/>
  <c r="W145" i="1"/>
  <c r="AA145" i="1" s="1"/>
  <c r="AD145" i="1"/>
  <c r="AC145" i="1"/>
  <c r="AD68" i="1"/>
  <c r="AC68" i="1"/>
  <c r="W68" i="1"/>
  <c r="AA68" i="1" s="1"/>
  <c r="W185" i="1"/>
  <c r="AA185" i="1" s="1"/>
  <c r="AD185" i="1"/>
  <c r="AC185" i="1"/>
  <c r="W141" i="1"/>
  <c r="AA141" i="1" s="1"/>
  <c r="AD141" i="1"/>
  <c r="AC141" i="1"/>
  <c r="W125" i="1"/>
  <c r="AA125" i="1" s="1"/>
  <c r="AD125" i="1"/>
  <c r="AC125" i="1"/>
  <c r="AD45" i="1"/>
  <c r="W45" i="1"/>
  <c r="AA45" i="1" s="1"/>
  <c r="AC45" i="1"/>
  <c r="AB192" i="1"/>
  <c r="R192" i="1"/>
  <c r="P192" i="1" s="1"/>
  <c r="S192" i="1" s="1"/>
  <c r="M192" i="1" s="1"/>
  <c r="N192" i="1" s="1"/>
  <c r="U178" i="1"/>
  <c r="V178" i="1" s="1"/>
  <c r="AB223" i="1"/>
  <c r="U225" i="1"/>
  <c r="V225" i="1" s="1"/>
  <c r="U217" i="1"/>
  <c r="V217" i="1" s="1"/>
  <c r="AB209" i="1"/>
  <c r="U176" i="1"/>
  <c r="V176" i="1" s="1"/>
  <c r="W175" i="1"/>
  <c r="AA175" i="1" s="1"/>
  <c r="AD175" i="1"/>
  <c r="AB191" i="1"/>
  <c r="R191" i="1"/>
  <c r="P191" i="1" s="1"/>
  <c r="S191" i="1" s="1"/>
  <c r="M191" i="1" s="1"/>
  <c r="N191" i="1" s="1"/>
  <c r="U172" i="1"/>
  <c r="V172" i="1" s="1"/>
  <c r="AB133" i="1"/>
  <c r="AB215" i="1"/>
  <c r="R222" i="1"/>
  <c r="P222" i="1" s="1"/>
  <c r="S222" i="1" s="1"/>
  <c r="M222" i="1" s="1"/>
  <c r="N222" i="1" s="1"/>
  <c r="AB222" i="1"/>
  <c r="U221" i="1"/>
  <c r="V221" i="1" s="1"/>
  <c r="AB225" i="1"/>
  <c r="U220" i="1"/>
  <c r="V220" i="1" s="1"/>
  <c r="U216" i="1"/>
  <c r="V216" i="1" s="1"/>
  <c r="U219" i="1"/>
  <c r="V219" i="1" s="1"/>
  <c r="U222" i="1"/>
  <c r="V222" i="1" s="1"/>
  <c r="AB197" i="1"/>
  <c r="R197" i="1"/>
  <c r="P197" i="1" s="1"/>
  <c r="S197" i="1" s="1"/>
  <c r="M197" i="1" s="1"/>
  <c r="N197" i="1" s="1"/>
  <c r="W198" i="1"/>
  <c r="AA198" i="1" s="1"/>
  <c r="AD198" i="1"/>
  <c r="AE198" i="1" s="1"/>
  <c r="AC198" i="1"/>
  <c r="U182" i="1"/>
  <c r="V182" i="1" s="1"/>
  <c r="AB196" i="1"/>
  <c r="R196" i="1"/>
  <c r="P196" i="1" s="1"/>
  <c r="S196" i="1" s="1"/>
  <c r="M196" i="1" s="1"/>
  <c r="N196" i="1" s="1"/>
  <c r="AB187" i="1"/>
  <c r="W183" i="1"/>
  <c r="AA183" i="1" s="1"/>
  <c r="AD183" i="1"/>
  <c r="U186" i="1"/>
  <c r="V186" i="1" s="1"/>
  <c r="AB176" i="1"/>
  <c r="R176" i="1"/>
  <c r="P176" i="1" s="1"/>
  <c r="S176" i="1" s="1"/>
  <c r="M176" i="1" s="1"/>
  <c r="N176" i="1" s="1"/>
  <c r="AB161" i="1"/>
  <c r="U161" i="1"/>
  <c r="V161" i="1" s="1"/>
  <c r="R161" i="1" s="1"/>
  <c r="P161" i="1" s="1"/>
  <c r="S161" i="1" s="1"/>
  <c r="M161" i="1" s="1"/>
  <c r="N161" i="1" s="1"/>
  <c r="AB146" i="1"/>
  <c r="R129" i="1"/>
  <c r="P129" i="1" s="1"/>
  <c r="S129" i="1" s="1"/>
  <c r="M129" i="1" s="1"/>
  <c r="N129" i="1" s="1"/>
  <c r="AB129" i="1"/>
  <c r="U146" i="1"/>
  <c r="V146" i="1" s="1"/>
  <c r="U124" i="1"/>
  <c r="V124" i="1" s="1"/>
  <c r="AB132" i="1"/>
  <c r="R132" i="1"/>
  <c r="P132" i="1" s="1"/>
  <c r="S132" i="1" s="1"/>
  <c r="M132" i="1" s="1"/>
  <c r="N132" i="1" s="1"/>
  <c r="U116" i="1"/>
  <c r="V116" i="1" s="1"/>
  <c r="AB127" i="1"/>
  <c r="AB116" i="1"/>
  <c r="R116" i="1"/>
  <c r="P116" i="1" s="1"/>
  <c r="S116" i="1" s="1"/>
  <c r="M116" i="1" s="1"/>
  <c r="N116" i="1" s="1"/>
  <c r="AB100" i="1"/>
  <c r="U110" i="1"/>
  <c r="V110" i="1" s="1"/>
  <c r="AB114" i="1"/>
  <c r="U92" i="1"/>
  <c r="V92" i="1" s="1"/>
  <c r="AB80" i="1"/>
  <c r="AB98" i="1"/>
  <c r="W86" i="1"/>
  <c r="AA86" i="1" s="1"/>
  <c r="AD86" i="1"/>
  <c r="AC86" i="1"/>
  <c r="W90" i="1"/>
  <c r="AA90" i="1" s="1"/>
  <c r="AD90" i="1"/>
  <c r="AC90" i="1"/>
  <c r="U56" i="1"/>
  <c r="V56" i="1" s="1"/>
  <c r="W66" i="1"/>
  <c r="AA66" i="1" s="1"/>
  <c r="AD66" i="1"/>
  <c r="W58" i="1"/>
  <c r="AA58" i="1" s="1"/>
  <c r="AD58" i="1"/>
  <c r="AE58" i="1" s="1"/>
  <c r="U41" i="1"/>
  <c r="V41" i="1" s="1"/>
  <c r="AB50" i="1"/>
  <c r="U18" i="1"/>
  <c r="V18" i="1" s="1"/>
  <c r="AB56" i="1"/>
  <c r="R56" i="1"/>
  <c r="P56" i="1" s="1"/>
  <c r="S56" i="1" s="1"/>
  <c r="M56" i="1" s="1"/>
  <c r="N56" i="1" s="1"/>
  <c r="W49" i="1"/>
  <c r="AA49" i="1" s="1"/>
  <c r="AD49" i="1"/>
  <c r="AE49" i="1" s="1"/>
  <c r="AC49" i="1"/>
  <c r="U23" i="1"/>
  <c r="V23" i="1" s="1"/>
  <c r="AB31" i="1"/>
  <c r="AB22" i="1"/>
  <c r="AB165" i="1"/>
  <c r="R165" i="1"/>
  <c r="P165" i="1" s="1"/>
  <c r="S165" i="1" s="1"/>
  <c r="M165" i="1" s="1"/>
  <c r="N165" i="1" s="1"/>
  <c r="U165" i="1"/>
  <c r="V165" i="1" s="1"/>
  <c r="U126" i="1"/>
  <c r="V126" i="1" s="1"/>
  <c r="W131" i="1"/>
  <c r="AA131" i="1" s="1"/>
  <c r="AD131" i="1"/>
  <c r="AE131" i="1" s="1"/>
  <c r="AC131" i="1"/>
  <c r="AB147" i="1"/>
  <c r="AB156" i="1"/>
  <c r="AB138" i="1"/>
  <c r="W123" i="1"/>
  <c r="AA123" i="1" s="1"/>
  <c r="AD123" i="1"/>
  <c r="AC123" i="1"/>
  <c r="U112" i="1"/>
  <c r="V112" i="1" s="1"/>
  <c r="U113" i="1"/>
  <c r="V113" i="1" s="1"/>
  <c r="U97" i="1"/>
  <c r="V97" i="1" s="1"/>
  <c r="R125" i="1"/>
  <c r="P125" i="1" s="1"/>
  <c r="S125" i="1" s="1"/>
  <c r="M125" i="1" s="1"/>
  <c r="N125" i="1" s="1"/>
  <c r="AB125" i="1"/>
  <c r="AB109" i="1"/>
  <c r="AB140" i="1"/>
  <c r="R140" i="1"/>
  <c r="P140" i="1" s="1"/>
  <c r="S140" i="1" s="1"/>
  <c r="M140" i="1" s="1"/>
  <c r="N140" i="1" s="1"/>
  <c r="U87" i="1"/>
  <c r="V87" i="1" s="1"/>
  <c r="R87" i="1" s="1"/>
  <c r="P87" i="1" s="1"/>
  <c r="S87" i="1" s="1"/>
  <c r="M87" i="1" s="1"/>
  <c r="N87" i="1" s="1"/>
  <c r="U88" i="1"/>
  <c r="V88" i="1" s="1"/>
  <c r="U93" i="1"/>
  <c r="V93" i="1" s="1"/>
  <c r="AB102" i="1"/>
  <c r="W91" i="1"/>
  <c r="AA91" i="1" s="1"/>
  <c r="AD91" i="1"/>
  <c r="AE91" i="1" s="1"/>
  <c r="R90" i="1"/>
  <c r="P90" i="1" s="1"/>
  <c r="S90" i="1" s="1"/>
  <c r="M90" i="1" s="1"/>
  <c r="N90" i="1" s="1"/>
  <c r="U37" i="1"/>
  <c r="V37" i="1" s="1"/>
  <c r="R37" i="1" s="1"/>
  <c r="P37" i="1" s="1"/>
  <c r="S37" i="1" s="1"/>
  <c r="M37" i="1" s="1"/>
  <c r="N37" i="1" s="1"/>
  <c r="AB63" i="1"/>
  <c r="R63" i="1"/>
  <c r="P63" i="1" s="1"/>
  <c r="S63" i="1" s="1"/>
  <c r="M63" i="1" s="1"/>
  <c r="N63" i="1" s="1"/>
  <c r="AB46" i="1"/>
  <c r="W65" i="1"/>
  <c r="AA65" i="1" s="1"/>
  <c r="AD65" i="1"/>
  <c r="AE65" i="1" s="1"/>
  <c r="U19" i="1"/>
  <c r="V19" i="1" s="1"/>
  <c r="AB59" i="1"/>
  <c r="R59" i="1"/>
  <c r="P59" i="1" s="1"/>
  <c r="S59" i="1" s="1"/>
  <c r="M59" i="1" s="1"/>
  <c r="N59" i="1" s="1"/>
  <c r="U28" i="1"/>
  <c r="V28" i="1" s="1"/>
  <c r="R28" i="1" s="1"/>
  <c r="P28" i="1" s="1"/>
  <c r="S28" i="1" s="1"/>
  <c r="M28" i="1" s="1"/>
  <c r="N28" i="1" s="1"/>
  <c r="R65" i="1"/>
  <c r="P65" i="1" s="1"/>
  <c r="S65" i="1" s="1"/>
  <c r="M65" i="1" s="1"/>
  <c r="N65" i="1" s="1"/>
  <c r="AB28" i="1"/>
  <c r="AB37" i="1"/>
  <c r="AB25" i="1"/>
  <c r="AB40" i="1"/>
  <c r="AB29" i="1"/>
  <c r="U174" i="1"/>
  <c r="V174" i="1" s="1"/>
  <c r="U160" i="1"/>
  <c r="V160" i="1" s="1"/>
  <c r="AB152" i="1"/>
  <c r="U148" i="1"/>
  <c r="V148" i="1" s="1"/>
  <c r="W137" i="1"/>
  <c r="AA137" i="1" s="1"/>
  <c r="AD137" i="1"/>
  <c r="U108" i="1"/>
  <c r="V108" i="1" s="1"/>
  <c r="AB112" i="1"/>
  <c r="R112" i="1"/>
  <c r="P112" i="1" s="1"/>
  <c r="S112" i="1" s="1"/>
  <c r="M112" i="1" s="1"/>
  <c r="N112" i="1" s="1"/>
  <c r="AB96" i="1"/>
  <c r="U106" i="1"/>
  <c r="V106" i="1" s="1"/>
  <c r="U83" i="1"/>
  <c r="V83" i="1" s="1"/>
  <c r="U84" i="1"/>
  <c r="V84" i="1" s="1"/>
  <c r="AB92" i="1"/>
  <c r="R92" i="1"/>
  <c r="P92" i="1" s="1"/>
  <c r="S92" i="1" s="1"/>
  <c r="M92" i="1" s="1"/>
  <c r="N92" i="1" s="1"/>
  <c r="U82" i="1"/>
  <c r="V82" i="1" s="1"/>
  <c r="U73" i="1"/>
  <c r="V73" i="1" s="1"/>
  <c r="R73" i="1" s="1"/>
  <c r="P73" i="1" s="1"/>
  <c r="S73" i="1" s="1"/>
  <c r="M73" i="1" s="1"/>
  <c r="N73" i="1" s="1"/>
  <c r="U77" i="1"/>
  <c r="V77" i="1" s="1"/>
  <c r="U69" i="1"/>
  <c r="V69" i="1" s="1"/>
  <c r="AB71" i="1"/>
  <c r="U33" i="1"/>
  <c r="V33" i="1" s="1"/>
  <c r="W59" i="1"/>
  <c r="AA59" i="1" s="1"/>
  <c r="AD59" i="1"/>
  <c r="AE59" i="1" s="1"/>
  <c r="U42" i="1"/>
  <c r="V42" i="1" s="1"/>
  <c r="AD70" i="1"/>
  <c r="W70" i="1"/>
  <c r="AA70" i="1" s="1"/>
  <c r="AC70" i="1"/>
  <c r="AB64" i="1"/>
  <c r="U43" i="1"/>
  <c r="V43" i="1" s="1"/>
  <c r="R70" i="1"/>
  <c r="P70" i="1" s="1"/>
  <c r="S70" i="1" s="1"/>
  <c r="M70" i="1" s="1"/>
  <c r="N70" i="1" s="1"/>
  <c r="AB70" i="1"/>
  <c r="W47" i="1"/>
  <c r="AA47" i="1" s="1"/>
  <c r="AD47" i="1"/>
  <c r="AB62" i="1"/>
  <c r="AB43" i="1"/>
  <c r="R43" i="1"/>
  <c r="P43" i="1" s="1"/>
  <c r="S43" i="1" s="1"/>
  <c r="M43" i="1" s="1"/>
  <c r="N43" i="1" s="1"/>
  <c r="AB27" i="1"/>
  <c r="U53" i="1"/>
  <c r="V53" i="1" s="1"/>
  <c r="R53" i="1"/>
  <c r="P53" i="1" s="1"/>
  <c r="S53" i="1" s="1"/>
  <c r="M53" i="1" s="1"/>
  <c r="N53" i="1" s="1"/>
  <c r="AB53" i="1"/>
  <c r="AB45" i="1"/>
  <c r="R45" i="1"/>
  <c r="P45" i="1" s="1"/>
  <c r="S45" i="1" s="1"/>
  <c r="M45" i="1" s="1"/>
  <c r="N45" i="1" s="1"/>
  <c r="AB26" i="1"/>
  <c r="AB214" i="1"/>
  <c r="W197" i="1"/>
  <c r="AA197" i="1" s="1"/>
  <c r="AD197" i="1"/>
  <c r="AE197" i="1" s="1"/>
  <c r="AB216" i="1"/>
  <c r="R216" i="1"/>
  <c r="P216" i="1" s="1"/>
  <c r="S216" i="1" s="1"/>
  <c r="M216" i="1" s="1"/>
  <c r="N216" i="1" s="1"/>
  <c r="U211" i="1"/>
  <c r="V211" i="1" s="1"/>
  <c r="AB177" i="1"/>
  <c r="R171" i="1"/>
  <c r="P171" i="1" s="1"/>
  <c r="S171" i="1" s="1"/>
  <c r="M171" i="1" s="1"/>
  <c r="N171" i="1" s="1"/>
  <c r="AB171" i="1"/>
  <c r="U154" i="1"/>
  <c r="V154" i="1" s="1"/>
  <c r="AD143" i="1"/>
  <c r="AE143" i="1" s="1"/>
  <c r="W143" i="1"/>
  <c r="AA143" i="1" s="1"/>
  <c r="AC143" i="1"/>
  <c r="AD164" i="1"/>
  <c r="AC164" i="1"/>
  <c r="W164" i="1"/>
  <c r="AA164" i="1" s="1"/>
  <c r="U199" i="1"/>
  <c r="V199" i="1" s="1"/>
  <c r="U210" i="1"/>
  <c r="V210" i="1" s="1"/>
  <c r="AB195" i="1"/>
  <c r="R226" i="1"/>
  <c r="P226" i="1" s="1"/>
  <c r="S226" i="1" s="1"/>
  <c r="M226" i="1" s="1"/>
  <c r="N226" i="1" s="1"/>
  <c r="AB226" i="1"/>
  <c r="AD205" i="1"/>
  <c r="AE205" i="1" s="1"/>
  <c r="W205" i="1"/>
  <c r="AA205" i="1" s="1"/>
  <c r="W194" i="1"/>
  <c r="AA194" i="1" s="1"/>
  <c r="AD194" i="1"/>
  <c r="AE194" i="1" s="1"/>
  <c r="AC194" i="1"/>
  <c r="U215" i="1"/>
  <c r="V215" i="1" s="1"/>
  <c r="R215" i="1" s="1"/>
  <c r="P215" i="1" s="1"/>
  <c r="S215" i="1" s="1"/>
  <c r="M215" i="1" s="1"/>
  <c r="N215" i="1" s="1"/>
  <c r="R194" i="1"/>
  <c r="P194" i="1" s="1"/>
  <c r="S194" i="1" s="1"/>
  <c r="M194" i="1" s="1"/>
  <c r="N194" i="1" s="1"/>
  <c r="AB181" i="1"/>
  <c r="R181" i="1"/>
  <c r="P181" i="1" s="1"/>
  <c r="S181" i="1" s="1"/>
  <c r="M181" i="1" s="1"/>
  <c r="N181" i="1" s="1"/>
  <c r="AC175" i="1"/>
  <c r="AB182" i="1"/>
  <c r="R182" i="1"/>
  <c r="P182" i="1" s="1"/>
  <c r="S182" i="1" s="1"/>
  <c r="M182" i="1" s="1"/>
  <c r="N182" i="1" s="1"/>
  <c r="R175" i="1"/>
  <c r="P175" i="1" s="1"/>
  <c r="S175" i="1" s="1"/>
  <c r="M175" i="1" s="1"/>
  <c r="N175" i="1" s="1"/>
  <c r="AB175" i="1"/>
  <c r="AB188" i="1"/>
  <c r="U188" i="1"/>
  <c r="V188" i="1" s="1"/>
  <c r="R188" i="1" s="1"/>
  <c r="P188" i="1" s="1"/>
  <c r="S188" i="1" s="1"/>
  <c r="M188" i="1" s="1"/>
  <c r="N188" i="1" s="1"/>
  <c r="U150" i="1"/>
  <c r="V150" i="1" s="1"/>
  <c r="U138" i="1"/>
  <c r="V138" i="1" s="1"/>
  <c r="R138" i="1" s="1"/>
  <c r="P138" i="1" s="1"/>
  <c r="S138" i="1" s="1"/>
  <c r="M138" i="1" s="1"/>
  <c r="N138" i="1" s="1"/>
  <c r="R164" i="1"/>
  <c r="P164" i="1" s="1"/>
  <c r="S164" i="1" s="1"/>
  <c r="M164" i="1" s="1"/>
  <c r="N164" i="1" s="1"/>
  <c r="U104" i="1"/>
  <c r="V104" i="1" s="1"/>
  <c r="R123" i="1"/>
  <c r="P123" i="1" s="1"/>
  <c r="S123" i="1" s="1"/>
  <c r="M123" i="1" s="1"/>
  <c r="N123" i="1" s="1"/>
  <c r="AB123" i="1"/>
  <c r="AB130" i="1"/>
  <c r="U109" i="1"/>
  <c r="V109" i="1" s="1"/>
  <c r="AB105" i="1"/>
  <c r="AB134" i="1"/>
  <c r="U120" i="1"/>
  <c r="V120" i="1" s="1"/>
  <c r="U79" i="1"/>
  <c r="V79" i="1" s="1"/>
  <c r="U80" i="1"/>
  <c r="V80" i="1" s="1"/>
  <c r="R115" i="1"/>
  <c r="P115" i="1" s="1"/>
  <c r="S115" i="1" s="1"/>
  <c r="M115" i="1" s="1"/>
  <c r="N115" i="1" s="1"/>
  <c r="AB115" i="1"/>
  <c r="U89" i="1"/>
  <c r="V89" i="1" s="1"/>
  <c r="AB111" i="1"/>
  <c r="U78" i="1"/>
  <c r="V78" i="1" s="1"/>
  <c r="AB73" i="1"/>
  <c r="AD94" i="1"/>
  <c r="AE94" i="1" s="1"/>
  <c r="W94" i="1"/>
  <c r="AA94" i="1" s="1"/>
  <c r="U29" i="1"/>
  <c r="V29" i="1" s="1"/>
  <c r="U44" i="1"/>
  <c r="V44" i="1" s="1"/>
  <c r="R66" i="1"/>
  <c r="P66" i="1" s="1"/>
  <c r="S66" i="1" s="1"/>
  <c r="M66" i="1" s="1"/>
  <c r="N66" i="1" s="1"/>
  <c r="AB66" i="1"/>
  <c r="U38" i="1"/>
  <c r="V38" i="1" s="1"/>
  <c r="U39" i="1"/>
  <c r="V39" i="1" s="1"/>
  <c r="R49" i="1"/>
  <c r="P49" i="1" s="1"/>
  <c r="S49" i="1" s="1"/>
  <c r="M49" i="1" s="1"/>
  <c r="N49" i="1" s="1"/>
  <c r="U40" i="1"/>
  <c r="V40" i="1" s="1"/>
  <c r="R40" i="1" s="1"/>
  <c r="P40" i="1" s="1"/>
  <c r="S40" i="1" s="1"/>
  <c r="M40" i="1" s="1"/>
  <c r="N40" i="1" s="1"/>
  <c r="U24" i="1"/>
  <c r="V24" i="1" s="1"/>
  <c r="AB44" i="1"/>
  <c r="R44" i="1"/>
  <c r="P44" i="1" s="1"/>
  <c r="S44" i="1" s="1"/>
  <c r="M44" i="1" s="1"/>
  <c r="N44" i="1" s="1"/>
  <c r="R36" i="1"/>
  <c r="P36" i="1" s="1"/>
  <c r="S36" i="1" s="1"/>
  <c r="M36" i="1" s="1"/>
  <c r="N36" i="1" s="1"/>
  <c r="AB36" i="1"/>
  <c r="AC47" i="1"/>
  <c r="AB211" i="1"/>
  <c r="R211" i="1"/>
  <c r="P211" i="1" s="1"/>
  <c r="S211" i="1" s="1"/>
  <c r="M211" i="1" s="1"/>
  <c r="N211" i="1" s="1"/>
  <c r="AB207" i="1"/>
  <c r="AD189" i="1"/>
  <c r="AE189" i="1" s="1"/>
  <c r="W189" i="1"/>
  <c r="AA189" i="1" s="1"/>
  <c r="U224" i="1"/>
  <c r="V224" i="1" s="1"/>
  <c r="AB217" i="1"/>
  <c r="R217" i="1"/>
  <c r="P217" i="1" s="1"/>
  <c r="S217" i="1" s="1"/>
  <c r="M217" i="1" s="1"/>
  <c r="N217" i="1" s="1"/>
  <c r="U204" i="1"/>
  <c r="V204" i="1" s="1"/>
  <c r="AB213" i="1"/>
  <c r="R213" i="1"/>
  <c r="P213" i="1" s="1"/>
  <c r="S213" i="1" s="1"/>
  <c r="M213" i="1" s="1"/>
  <c r="N213" i="1" s="1"/>
  <c r="W190" i="1"/>
  <c r="AA190" i="1" s="1"/>
  <c r="AD190" i="1"/>
  <c r="AC190" i="1"/>
  <c r="AB180" i="1"/>
  <c r="R141" i="1"/>
  <c r="P141" i="1" s="1"/>
  <c r="S141" i="1" s="1"/>
  <c r="M141" i="1" s="1"/>
  <c r="N141" i="1" s="1"/>
  <c r="AB141" i="1"/>
  <c r="U228" i="1"/>
  <c r="V228" i="1" s="1"/>
  <c r="U226" i="1"/>
  <c r="V226" i="1" s="1"/>
  <c r="U195" i="1"/>
  <c r="V195" i="1" s="1"/>
  <c r="R195" i="1" s="1"/>
  <c r="P195" i="1" s="1"/>
  <c r="S195" i="1" s="1"/>
  <c r="M195" i="1" s="1"/>
  <c r="N195" i="1" s="1"/>
  <c r="AB218" i="1"/>
  <c r="AB221" i="1"/>
  <c r="R221" i="1"/>
  <c r="P221" i="1" s="1"/>
  <c r="S221" i="1" s="1"/>
  <c r="M221" i="1" s="1"/>
  <c r="N221" i="1" s="1"/>
  <c r="U213" i="1"/>
  <c r="V213" i="1" s="1"/>
  <c r="U202" i="1"/>
  <c r="V202" i="1" s="1"/>
  <c r="U223" i="1"/>
  <c r="V223" i="1" s="1"/>
  <c r="U209" i="1"/>
  <c r="V209" i="1" s="1"/>
  <c r="U212" i="1"/>
  <c r="V212" i="1" s="1"/>
  <c r="U206" i="1"/>
  <c r="V206" i="1" s="1"/>
  <c r="U184" i="1"/>
  <c r="V184" i="1" s="1"/>
  <c r="U187" i="1"/>
  <c r="V187" i="1" s="1"/>
  <c r="R187" i="1" s="1"/>
  <c r="P187" i="1" s="1"/>
  <c r="S187" i="1" s="1"/>
  <c r="M187" i="1" s="1"/>
  <c r="N187" i="1" s="1"/>
  <c r="AB203" i="1"/>
  <c r="R189" i="1"/>
  <c r="P189" i="1" s="1"/>
  <c r="S189" i="1" s="1"/>
  <c r="M189" i="1" s="1"/>
  <c r="N189" i="1" s="1"/>
  <c r="AB185" i="1"/>
  <c r="R185" i="1"/>
  <c r="P185" i="1" s="1"/>
  <c r="S185" i="1" s="1"/>
  <c r="M185" i="1" s="1"/>
  <c r="N185" i="1" s="1"/>
  <c r="AB184" i="1"/>
  <c r="R184" i="1"/>
  <c r="P184" i="1" s="1"/>
  <c r="S184" i="1" s="1"/>
  <c r="M184" i="1" s="1"/>
  <c r="N184" i="1" s="1"/>
  <c r="U171" i="1"/>
  <c r="V171" i="1" s="1"/>
  <c r="AB163" i="1"/>
  <c r="R163" i="1"/>
  <c r="P163" i="1" s="1"/>
  <c r="S163" i="1" s="1"/>
  <c r="M163" i="1" s="1"/>
  <c r="N163" i="1" s="1"/>
  <c r="AB178" i="1"/>
  <c r="R178" i="1"/>
  <c r="P178" i="1" s="1"/>
  <c r="S178" i="1" s="1"/>
  <c r="M178" i="1" s="1"/>
  <c r="N178" i="1" s="1"/>
  <c r="AB169" i="1"/>
  <c r="R169" i="1"/>
  <c r="P169" i="1" s="1"/>
  <c r="S169" i="1" s="1"/>
  <c r="M169" i="1" s="1"/>
  <c r="N169" i="1" s="1"/>
  <c r="U163" i="1"/>
  <c r="V163" i="1" s="1"/>
  <c r="R137" i="1"/>
  <c r="P137" i="1" s="1"/>
  <c r="S137" i="1" s="1"/>
  <c r="M137" i="1" s="1"/>
  <c r="N137" i="1" s="1"/>
  <c r="AB137" i="1"/>
  <c r="U152" i="1"/>
  <c r="V152" i="1" s="1"/>
  <c r="U133" i="1"/>
  <c r="V133" i="1" s="1"/>
  <c r="R133" i="1" s="1"/>
  <c r="P133" i="1" s="1"/>
  <c r="S133" i="1" s="1"/>
  <c r="M133" i="1" s="1"/>
  <c r="N133" i="1" s="1"/>
  <c r="AB153" i="1"/>
  <c r="U153" i="1"/>
  <c r="V153" i="1" s="1"/>
  <c r="U144" i="1"/>
  <c r="V144" i="1" s="1"/>
  <c r="W136" i="1"/>
  <c r="AA136" i="1" s="1"/>
  <c r="AD136" i="1"/>
  <c r="AC136" i="1"/>
  <c r="U122" i="1"/>
  <c r="V122" i="1" s="1"/>
  <c r="AB108" i="1"/>
  <c r="R108" i="1"/>
  <c r="P108" i="1" s="1"/>
  <c r="S108" i="1" s="1"/>
  <c r="M108" i="1" s="1"/>
  <c r="N108" i="1" s="1"/>
  <c r="AB119" i="1"/>
  <c r="R119" i="1"/>
  <c r="P119" i="1" s="1"/>
  <c r="S119" i="1" s="1"/>
  <c r="M119" i="1" s="1"/>
  <c r="N119" i="1" s="1"/>
  <c r="U102" i="1"/>
  <c r="V102" i="1" s="1"/>
  <c r="U115" i="1"/>
  <c r="V115" i="1" s="1"/>
  <c r="U75" i="1"/>
  <c r="V75" i="1" s="1"/>
  <c r="AB88" i="1"/>
  <c r="R88" i="1"/>
  <c r="P88" i="1" s="1"/>
  <c r="S88" i="1" s="1"/>
  <c r="M88" i="1" s="1"/>
  <c r="N88" i="1" s="1"/>
  <c r="AB110" i="1"/>
  <c r="R110" i="1"/>
  <c r="P110" i="1" s="1"/>
  <c r="S110" i="1" s="1"/>
  <c r="M110" i="1" s="1"/>
  <c r="N110" i="1" s="1"/>
  <c r="U100" i="1"/>
  <c r="V100" i="1" s="1"/>
  <c r="U119" i="1"/>
  <c r="V119" i="1" s="1"/>
  <c r="AB106" i="1"/>
  <c r="R106" i="1"/>
  <c r="P106" i="1" s="1"/>
  <c r="S106" i="1" s="1"/>
  <c r="M106" i="1" s="1"/>
  <c r="N106" i="1" s="1"/>
  <c r="AB87" i="1"/>
  <c r="AB81" i="1"/>
  <c r="AB91" i="1"/>
  <c r="R91" i="1"/>
  <c r="P91" i="1" s="1"/>
  <c r="S91" i="1" s="1"/>
  <c r="M91" i="1" s="1"/>
  <c r="N91" i="1" s="1"/>
  <c r="AD76" i="1"/>
  <c r="AE76" i="1" s="1"/>
  <c r="W76" i="1"/>
  <c r="AA76" i="1" s="1"/>
  <c r="U25" i="1"/>
  <c r="V25" i="1" s="1"/>
  <c r="AC58" i="1"/>
  <c r="U52" i="1"/>
  <c r="V52" i="1" s="1"/>
  <c r="U34" i="1"/>
  <c r="V34" i="1" s="1"/>
  <c r="AC59" i="1"/>
  <c r="AB51" i="1"/>
  <c r="R51" i="1"/>
  <c r="P51" i="1" s="1"/>
  <c r="S51" i="1" s="1"/>
  <c r="M51" i="1" s="1"/>
  <c r="N51" i="1" s="1"/>
  <c r="AB77" i="1"/>
  <c r="U48" i="1"/>
  <c r="V48" i="1" s="1"/>
  <c r="AB39" i="1"/>
  <c r="R39" i="1"/>
  <c r="P39" i="1" s="1"/>
  <c r="S39" i="1" s="1"/>
  <c r="M39" i="1" s="1"/>
  <c r="N39" i="1" s="1"/>
  <c r="AB23" i="1"/>
  <c r="R23" i="1"/>
  <c r="P23" i="1" s="1"/>
  <c r="S23" i="1" s="1"/>
  <c r="M23" i="1" s="1"/>
  <c r="N23" i="1" s="1"/>
  <c r="AB30" i="1"/>
  <c r="U62" i="1"/>
  <c r="V62" i="1" s="1"/>
  <c r="R62" i="1" s="1"/>
  <c r="P62" i="1" s="1"/>
  <c r="S62" i="1" s="1"/>
  <c r="M62" i="1" s="1"/>
  <c r="N62" i="1" s="1"/>
  <c r="AB32" i="1"/>
  <c r="R206" i="1"/>
  <c r="P206" i="1" s="1"/>
  <c r="S206" i="1" s="1"/>
  <c r="M206" i="1" s="1"/>
  <c r="N206" i="1" s="1"/>
  <c r="AB206" i="1"/>
  <c r="AB212" i="1"/>
  <c r="AB173" i="1"/>
  <c r="U173" i="1"/>
  <c r="V173" i="1" s="1"/>
  <c r="U214" i="1"/>
  <c r="V214" i="1" s="1"/>
  <c r="W169" i="1"/>
  <c r="AA169" i="1" s="1"/>
  <c r="AD169" i="1"/>
  <c r="AE169" i="1" s="1"/>
  <c r="U170" i="1"/>
  <c r="V170" i="1" s="1"/>
  <c r="R170" i="1" s="1"/>
  <c r="P170" i="1" s="1"/>
  <c r="S170" i="1" s="1"/>
  <c r="M170" i="1" s="1"/>
  <c r="N170" i="1" s="1"/>
  <c r="R159" i="1"/>
  <c r="P159" i="1" s="1"/>
  <c r="S159" i="1" s="1"/>
  <c r="M159" i="1" s="1"/>
  <c r="N159" i="1" s="1"/>
  <c r="AB159" i="1"/>
  <c r="AB174" i="1"/>
  <c r="R174" i="1"/>
  <c r="P174" i="1" s="1"/>
  <c r="S174" i="1" s="1"/>
  <c r="M174" i="1" s="1"/>
  <c r="N174" i="1" s="1"/>
  <c r="R179" i="1"/>
  <c r="P179" i="1" s="1"/>
  <c r="S179" i="1" s="1"/>
  <c r="M179" i="1" s="1"/>
  <c r="N179" i="1" s="1"/>
  <c r="AB179" i="1"/>
  <c r="AB170" i="1"/>
  <c r="R145" i="1"/>
  <c r="P145" i="1" s="1"/>
  <c r="S145" i="1" s="1"/>
  <c r="M145" i="1" s="1"/>
  <c r="N145" i="1" s="1"/>
  <c r="AB145" i="1"/>
  <c r="U134" i="1"/>
  <c r="V134" i="1" s="1"/>
  <c r="R134" i="1" s="1"/>
  <c r="P134" i="1" s="1"/>
  <c r="S134" i="1" s="1"/>
  <c r="M134" i="1" s="1"/>
  <c r="N134" i="1" s="1"/>
  <c r="AB150" i="1"/>
  <c r="R150" i="1"/>
  <c r="P150" i="1" s="1"/>
  <c r="S150" i="1" s="1"/>
  <c r="M150" i="1" s="1"/>
  <c r="N150" i="1" s="1"/>
  <c r="W139" i="1"/>
  <c r="AA139" i="1" s="1"/>
  <c r="AD139" i="1"/>
  <c r="AC139" i="1"/>
  <c r="R143" i="1"/>
  <c r="P143" i="1" s="1"/>
  <c r="S143" i="1" s="1"/>
  <c r="M143" i="1" s="1"/>
  <c r="N143" i="1" s="1"/>
  <c r="AB162" i="1"/>
  <c r="AB139" i="1"/>
  <c r="R139" i="1"/>
  <c r="P139" i="1" s="1"/>
  <c r="S139" i="1" s="1"/>
  <c r="M139" i="1" s="1"/>
  <c r="N139" i="1" s="1"/>
  <c r="U105" i="1"/>
  <c r="V105" i="1" s="1"/>
  <c r="R105" i="1" s="1"/>
  <c r="P105" i="1" s="1"/>
  <c r="S105" i="1" s="1"/>
  <c r="M105" i="1" s="1"/>
  <c r="N105" i="1" s="1"/>
  <c r="AB128" i="1"/>
  <c r="R128" i="1"/>
  <c r="P128" i="1" s="1"/>
  <c r="S128" i="1" s="1"/>
  <c r="M128" i="1" s="1"/>
  <c r="N128" i="1" s="1"/>
  <c r="AB117" i="1"/>
  <c r="AB101" i="1"/>
  <c r="U111" i="1"/>
  <c r="V111" i="1" s="1"/>
  <c r="R111" i="1" s="1"/>
  <c r="P111" i="1" s="1"/>
  <c r="S111" i="1" s="1"/>
  <c r="M111" i="1" s="1"/>
  <c r="N111" i="1" s="1"/>
  <c r="AB103" i="1"/>
  <c r="U85" i="1"/>
  <c r="V85" i="1" s="1"/>
  <c r="U71" i="1"/>
  <c r="V71" i="1" s="1"/>
  <c r="AB85" i="1"/>
  <c r="U74" i="1"/>
  <c r="V74" i="1" s="1"/>
  <c r="U21" i="1"/>
  <c r="V21" i="1" s="1"/>
  <c r="AB55" i="1"/>
  <c r="R55" i="1"/>
  <c r="P55" i="1" s="1"/>
  <c r="S55" i="1" s="1"/>
  <c r="M55" i="1" s="1"/>
  <c r="N55" i="1" s="1"/>
  <c r="U30" i="1"/>
  <c r="V30" i="1" s="1"/>
  <c r="R30" i="1" s="1"/>
  <c r="P30" i="1" s="1"/>
  <c r="S30" i="1" s="1"/>
  <c r="M30" i="1" s="1"/>
  <c r="N30" i="1" s="1"/>
  <c r="U35" i="1"/>
  <c r="V35" i="1" s="1"/>
  <c r="R35" i="1" s="1"/>
  <c r="P35" i="1" s="1"/>
  <c r="S35" i="1" s="1"/>
  <c r="M35" i="1" s="1"/>
  <c r="N35" i="1" s="1"/>
  <c r="AB67" i="1"/>
  <c r="R67" i="1"/>
  <c r="P67" i="1" s="1"/>
  <c r="S67" i="1" s="1"/>
  <c r="M67" i="1" s="1"/>
  <c r="N67" i="1" s="1"/>
  <c r="U36" i="1"/>
  <c r="V36" i="1" s="1"/>
  <c r="U20" i="1"/>
  <c r="V20" i="1" s="1"/>
  <c r="AB18" i="1"/>
  <c r="R18" i="1"/>
  <c r="P18" i="1" s="1"/>
  <c r="S18" i="1" s="1"/>
  <c r="M18" i="1" s="1"/>
  <c r="N18" i="1" s="1"/>
  <c r="U218" i="1"/>
  <c r="V218" i="1" s="1"/>
  <c r="R167" i="1"/>
  <c r="P167" i="1" s="1"/>
  <c r="S167" i="1" s="1"/>
  <c r="M167" i="1" s="1"/>
  <c r="N167" i="1" s="1"/>
  <c r="U167" i="1"/>
  <c r="V167" i="1" s="1"/>
  <c r="AB167" i="1"/>
  <c r="AB228" i="1"/>
  <c r="W193" i="1"/>
  <c r="AA193" i="1" s="1"/>
  <c r="AD193" i="1"/>
  <c r="U180" i="1"/>
  <c r="V180" i="1" s="1"/>
  <c r="U168" i="1"/>
  <c r="V168" i="1" s="1"/>
  <c r="AB220" i="1"/>
  <c r="R220" i="1"/>
  <c r="P220" i="1" s="1"/>
  <c r="S220" i="1" s="1"/>
  <c r="M220" i="1" s="1"/>
  <c r="N220" i="1" s="1"/>
  <c r="R155" i="1"/>
  <c r="P155" i="1" s="1"/>
  <c r="S155" i="1" s="1"/>
  <c r="M155" i="1" s="1"/>
  <c r="N155" i="1" s="1"/>
  <c r="AB155" i="1"/>
  <c r="AB157" i="1"/>
  <c r="R157" i="1"/>
  <c r="P157" i="1" s="1"/>
  <c r="S157" i="1" s="1"/>
  <c r="M157" i="1" s="1"/>
  <c r="N157" i="1" s="1"/>
  <c r="U157" i="1"/>
  <c r="V157" i="1" s="1"/>
  <c r="AB142" i="1"/>
  <c r="R142" i="1"/>
  <c r="P142" i="1" s="1"/>
  <c r="S142" i="1" s="1"/>
  <c r="M142" i="1" s="1"/>
  <c r="N142" i="1" s="1"/>
  <c r="AB135" i="1"/>
  <c r="R135" i="1"/>
  <c r="P135" i="1" s="1"/>
  <c r="S135" i="1" s="1"/>
  <c r="M135" i="1" s="1"/>
  <c r="N135" i="1" s="1"/>
  <c r="U156" i="1"/>
  <c r="V156" i="1" s="1"/>
  <c r="W129" i="1"/>
  <c r="AA129" i="1" s="1"/>
  <c r="AD129" i="1"/>
  <c r="W140" i="1"/>
  <c r="AA140" i="1" s="1"/>
  <c r="AD140" i="1"/>
  <c r="AC140" i="1"/>
  <c r="AC129" i="1"/>
  <c r="AB104" i="1"/>
  <c r="R104" i="1"/>
  <c r="P104" i="1" s="1"/>
  <c r="S104" i="1" s="1"/>
  <c r="M104" i="1" s="1"/>
  <c r="N104" i="1" s="1"/>
  <c r="U114" i="1"/>
  <c r="V114" i="1" s="1"/>
  <c r="AB97" i="1"/>
  <c r="R97" i="1"/>
  <c r="P97" i="1" s="1"/>
  <c r="S97" i="1" s="1"/>
  <c r="M97" i="1" s="1"/>
  <c r="N97" i="1" s="1"/>
  <c r="W132" i="1"/>
  <c r="AA132" i="1" s="1"/>
  <c r="AD132" i="1"/>
  <c r="AE132" i="1" s="1"/>
  <c r="AC132" i="1"/>
  <c r="AC137" i="1"/>
  <c r="U107" i="1"/>
  <c r="V107" i="1" s="1"/>
  <c r="AD121" i="1"/>
  <c r="AE121" i="1" s="1"/>
  <c r="W121" i="1"/>
  <c r="AA121" i="1" s="1"/>
  <c r="U96" i="1"/>
  <c r="V96" i="1" s="1"/>
  <c r="U98" i="1"/>
  <c r="V98" i="1" s="1"/>
  <c r="AB84" i="1"/>
  <c r="R84" i="1"/>
  <c r="P84" i="1" s="1"/>
  <c r="S84" i="1" s="1"/>
  <c r="M84" i="1" s="1"/>
  <c r="N84" i="1" s="1"/>
  <c r="U99" i="1"/>
  <c r="V99" i="1" s="1"/>
  <c r="AB118" i="1"/>
  <c r="AB89" i="1"/>
  <c r="R89" i="1"/>
  <c r="P89" i="1" s="1"/>
  <c r="S89" i="1" s="1"/>
  <c r="M89" i="1" s="1"/>
  <c r="N89" i="1" s="1"/>
  <c r="AB83" i="1"/>
  <c r="R83" i="1"/>
  <c r="P83" i="1" s="1"/>
  <c r="S83" i="1" s="1"/>
  <c r="M83" i="1" s="1"/>
  <c r="N83" i="1" s="1"/>
  <c r="AD72" i="1"/>
  <c r="W72" i="1"/>
  <c r="AA72" i="1" s="1"/>
  <c r="AC61" i="1"/>
  <c r="W61" i="1"/>
  <c r="AA61" i="1" s="1"/>
  <c r="AD61" i="1"/>
  <c r="R61" i="1"/>
  <c r="P61" i="1" s="1"/>
  <c r="S61" i="1" s="1"/>
  <c r="M61" i="1" s="1"/>
  <c r="N61" i="1" s="1"/>
  <c r="U17" i="1"/>
  <c r="V17" i="1" s="1"/>
  <c r="U26" i="1"/>
  <c r="V26" i="1" s="1"/>
  <c r="U31" i="1"/>
  <c r="V31" i="1" s="1"/>
  <c r="R31" i="1" s="1"/>
  <c r="P31" i="1" s="1"/>
  <c r="S31" i="1" s="1"/>
  <c r="M31" i="1" s="1"/>
  <c r="N31" i="1" s="1"/>
  <c r="W63" i="1"/>
  <c r="AA63" i="1" s="1"/>
  <c r="AC63" i="1"/>
  <c r="AD63" i="1"/>
  <c r="AE63" i="1" s="1"/>
  <c r="R54" i="1"/>
  <c r="P54" i="1" s="1"/>
  <c r="S54" i="1" s="1"/>
  <c r="M54" i="1" s="1"/>
  <c r="N54" i="1" s="1"/>
  <c r="AB54" i="1"/>
  <c r="AB48" i="1"/>
  <c r="R48" i="1"/>
  <c r="P48" i="1" s="1"/>
  <c r="S48" i="1" s="1"/>
  <c r="M48" i="1" s="1"/>
  <c r="N48" i="1" s="1"/>
  <c r="AB35" i="1"/>
  <c r="AB19" i="1"/>
  <c r="R19" i="1"/>
  <c r="P19" i="1" s="1"/>
  <c r="S19" i="1" s="1"/>
  <c r="M19" i="1" s="1"/>
  <c r="N19" i="1" s="1"/>
  <c r="R24" i="1"/>
  <c r="P24" i="1" s="1"/>
  <c r="S24" i="1" s="1"/>
  <c r="M24" i="1" s="1"/>
  <c r="N24" i="1" s="1"/>
  <c r="AB24" i="1"/>
  <c r="AB52" i="1"/>
  <c r="R52" i="1"/>
  <c r="P52" i="1" s="1"/>
  <c r="S52" i="1" s="1"/>
  <c r="M52" i="1" s="1"/>
  <c r="N52" i="1" s="1"/>
  <c r="AB34" i="1"/>
  <c r="R34" i="1"/>
  <c r="P34" i="1" s="1"/>
  <c r="S34" i="1" s="1"/>
  <c r="M34" i="1" s="1"/>
  <c r="N34" i="1" s="1"/>
  <c r="AB33" i="1"/>
  <c r="R33" i="1"/>
  <c r="P33" i="1" s="1"/>
  <c r="S33" i="1" s="1"/>
  <c r="M33" i="1" s="1"/>
  <c r="N33" i="1" s="1"/>
  <c r="W181" i="1"/>
  <c r="AA181" i="1" s="1"/>
  <c r="AD181" i="1"/>
  <c r="AC181" i="1"/>
  <c r="U158" i="1"/>
  <c r="V158" i="1" s="1"/>
  <c r="AB227" i="1"/>
  <c r="R227" i="1"/>
  <c r="P227" i="1" s="1"/>
  <c r="S227" i="1" s="1"/>
  <c r="M227" i="1" s="1"/>
  <c r="N227" i="1" s="1"/>
  <c r="U191" i="1"/>
  <c r="V191" i="1" s="1"/>
  <c r="AB224" i="1"/>
  <c r="R224" i="1"/>
  <c r="P224" i="1" s="1"/>
  <c r="S224" i="1" s="1"/>
  <c r="M224" i="1" s="1"/>
  <c r="N224" i="1" s="1"/>
  <c r="AD201" i="1"/>
  <c r="AE201" i="1" s="1"/>
  <c r="W201" i="1"/>
  <c r="AA201" i="1" s="1"/>
  <c r="U207" i="1"/>
  <c r="V207" i="1" s="1"/>
  <c r="AD196" i="1"/>
  <c r="AE196" i="1" s="1"/>
  <c r="W196" i="1"/>
  <c r="AA196" i="1" s="1"/>
  <c r="U208" i="1"/>
  <c r="V208" i="1" s="1"/>
  <c r="U118" i="1"/>
  <c r="V118" i="1" s="1"/>
  <c r="R118" i="1" s="1"/>
  <c r="P118" i="1" s="1"/>
  <c r="S118" i="1" s="1"/>
  <c r="M118" i="1" s="1"/>
  <c r="N118" i="1" s="1"/>
  <c r="AB219" i="1"/>
  <c r="R219" i="1"/>
  <c r="P219" i="1" s="1"/>
  <c r="S219" i="1" s="1"/>
  <c r="M219" i="1" s="1"/>
  <c r="N219" i="1" s="1"/>
  <c r="R210" i="1"/>
  <c r="P210" i="1" s="1"/>
  <c r="S210" i="1" s="1"/>
  <c r="M210" i="1" s="1"/>
  <c r="N210" i="1" s="1"/>
  <c r="AB210" i="1"/>
  <c r="U227" i="1"/>
  <c r="V227" i="1" s="1"/>
  <c r="AD200" i="1"/>
  <c r="W200" i="1"/>
  <c r="AA200" i="1" s="1"/>
  <c r="AC193" i="1"/>
  <c r="R201" i="1"/>
  <c r="P201" i="1" s="1"/>
  <c r="S201" i="1" s="1"/>
  <c r="M201" i="1" s="1"/>
  <c r="N201" i="1" s="1"/>
  <c r="AB201" i="1"/>
  <c r="AB193" i="1"/>
  <c r="R193" i="1"/>
  <c r="P193" i="1" s="1"/>
  <c r="S193" i="1" s="1"/>
  <c r="M193" i="1" s="1"/>
  <c r="N193" i="1" s="1"/>
  <c r="U203" i="1"/>
  <c r="V203" i="1" s="1"/>
  <c r="R203" i="1" s="1"/>
  <c r="P203" i="1" s="1"/>
  <c r="S203" i="1" s="1"/>
  <c r="M203" i="1" s="1"/>
  <c r="N203" i="1" s="1"/>
  <c r="AB200" i="1"/>
  <c r="R200" i="1"/>
  <c r="P200" i="1" s="1"/>
  <c r="S200" i="1" s="1"/>
  <c r="M200" i="1" s="1"/>
  <c r="N200" i="1" s="1"/>
  <c r="U166" i="1"/>
  <c r="V166" i="1" s="1"/>
  <c r="U179" i="1"/>
  <c r="V179" i="1" s="1"/>
  <c r="AB168" i="1"/>
  <c r="R168" i="1"/>
  <c r="P168" i="1" s="1"/>
  <c r="S168" i="1" s="1"/>
  <c r="M168" i="1" s="1"/>
  <c r="N168" i="1" s="1"/>
  <c r="AC183" i="1"/>
  <c r="R151" i="1"/>
  <c r="P151" i="1" s="1"/>
  <c r="S151" i="1" s="1"/>
  <c r="M151" i="1" s="1"/>
  <c r="N151" i="1" s="1"/>
  <c r="AB151" i="1"/>
  <c r="R183" i="1"/>
  <c r="P183" i="1" s="1"/>
  <c r="S183" i="1" s="1"/>
  <c r="M183" i="1" s="1"/>
  <c r="N183" i="1" s="1"/>
  <c r="AB183" i="1"/>
  <c r="U177" i="1"/>
  <c r="V177" i="1" s="1"/>
  <c r="AB172" i="1"/>
  <c r="R172" i="1"/>
  <c r="P172" i="1" s="1"/>
  <c r="S172" i="1" s="1"/>
  <c r="M172" i="1" s="1"/>
  <c r="N172" i="1" s="1"/>
  <c r="U192" i="1"/>
  <c r="V192" i="1" s="1"/>
  <c r="U162" i="1"/>
  <c r="V162" i="1" s="1"/>
  <c r="R162" i="1" s="1"/>
  <c r="P162" i="1" s="1"/>
  <c r="S162" i="1" s="1"/>
  <c r="M162" i="1" s="1"/>
  <c r="N162" i="1" s="1"/>
  <c r="AB149" i="1"/>
  <c r="U149" i="1"/>
  <c r="V149" i="1" s="1"/>
  <c r="U147" i="1"/>
  <c r="V147" i="1" s="1"/>
  <c r="U130" i="1"/>
  <c r="V130" i="1" s="1"/>
  <c r="U135" i="1"/>
  <c r="V135" i="1" s="1"/>
  <c r="AB160" i="1"/>
  <c r="R160" i="1"/>
  <c r="P160" i="1" s="1"/>
  <c r="S160" i="1" s="1"/>
  <c r="M160" i="1" s="1"/>
  <c r="N160" i="1" s="1"/>
  <c r="AB131" i="1"/>
  <c r="R131" i="1"/>
  <c r="P131" i="1" s="1"/>
  <c r="S131" i="1" s="1"/>
  <c r="M131" i="1" s="1"/>
  <c r="N131" i="1" s="1"/>
  <c r="U117" i="1"/>
  <c r="V117" i="1" s="1"/>
  <c r="U101" i="1"/>
  <c r="V101" i="1" s="1"/>
  <c r="R101" i="1" s="1"/>
  <c r="P101" i="1" s="1"/>
  <c r="S101" i="1" s="1"/>
  <c r="M101" i="1" s="1"/>
  <c r="N101" i="1" s="1"/>
  <c r="AB136" i="1"/>
  <c r="R136" i="1"/>
  <c r="P136" i="1" s="1"/>
  <c r="S136" i="1" s="1"/>
  <c r="M136" i="1" s="1"/>
  <c r="N136" i="1" s="1"/>
  <c r="AB113" i="1"/>
  <c r="R113" i="1"/>
  <c r="P113" i="1" s="1"/>
  <c r="S113" i="1" s="1"/>
  <c r="M113" i="1" s="1"/>
  <c r="N113" i="1" s="1"/>
  <c r="U103" i="1"/>
  <c r="V103" i="1" s="1"/>
  <c r="U127" i="1"/>
  <c r="V127" i="1" s="1"/>
  <c r="R127" i="1" s="1"/>
  <c r="P127" i="1" s="1"/>
  <c r="S127" i="1" s="1"/>
  <c r="M127" i="1" s="1"/>
  <c r="N127" i="1" s="1"/>
  <c r="R107" i="1"/>
  <c r="P107" i="1" s="1"/>
  <c r="S107" i="1" s="1"/>
  <c r="M107" i="1" s="1"/>
  <c r="N107" i="1" s="1"/>
  <c r="AB107" i="1"/>
  <c r="R121" i="1"/>
  <c r="P121" i="1" s="1"/>
  <c r="S121" i="1" s="1"/>
  <c r="M121" i="1" s="1"/>
  <c r="N121" i="1" s="1"/>
  <c r="U95" i="1"/>
  <c r="V95" i="1" s="1"/>
  <c r="AB95" i="1"/>
  <c r="U81" i="1"/>
  <c r="V81" i="1" s="1"/>
  <c r="R81" i="1" s="1"/>
  <c r="P81" i="1" s="1"/>
  <c r="S81" i="1" s="1"/>
  <c r="M81" i="1" s="1"/>
  <c r="N81" i="1" s="1"/>
  <c r="R99" i="1"/>
  <c r="P99" i="1" s="1"/>
  <c r="S99" i="1" s="1"/>
  <c r="M99" i="1" s="1"/>
  <c r="N99" i="1" s="1"/>
  <c r="AB99" i="1"/>
  <c r="AB79" i="1"/>
  <c r="R79" i="1"/>
  <c r="P79" i="1" s="1"/>
  <c r="S79" i="1" s="1"/>
  <c r="M79" i="1" s="1"/>
  <c r="N79" i="1" s="1"/>
  <c r="R72" i="1"/>
  <c r="P72" i="1" s="1"/>
  <c r="S72" i="1" s="1"/>
  <c r="M72" i="1" s="1"/>
  <c r="N72" i="1" s="1"/>
  <c r="U60" i="1"/>
  <c r="V60" i="1" s="1"/>
  <c r="R68" i="1"/>
  <c r="P68" i="1" s="1"/>
  <c r="S68" i="1" s="1"/>
  <c r="M68" i="1" s="1"/>
  <c r="N68" i="1" s="1"/>
  <c r="AB68" i="1"/>
  <c r="AB60" i="1"/>
  <c r="R60" i="1"/>
  <c r="P60" i="1" s="1"/>
  <c r="S60" i="1" s="1"/>
  <c r="M60" i="1" s="1"/>
  <c r="N60" i="1" s="1"/>
  <c r="AC72" i="1"/>
  <c r="U64" i="1"/>
  <c r="V64" i="1" s="1"/>
  <c r="R64" i="1" s="1"/>
  <c r="P64" i="1" s="1"/>
  <c r="S64" i="1" s="1"/>
  <c r="M64" i="1" s="1"/>
  <c r="N64" i="1" s="1"/>
  <c r="AB75" i="1"/>
  <c r="R75" i="1"/>
  <c r="P75" i="1" s="1"/>
  <c r="S75" i="1" s="1"/>
  <c r="M75" i="1" s="1"/>
  <c r="N75" i="1" s="1"/>
  <c r="R58" i="1"/>
  <c r="P58" i="1" s="1"/>
  <c r="S58" i="1" s="1"/>
  <c r="M58" i="1" s="1"/>
  <c r="N58" i="1" s="1"/>
  <c r="AB58" i="1"/>
  <c r="U22" i="1"/>
  <c r="V22" i="1" s="1"/>
  <c r="U50" i="1"/>
  <c r="V50" i="1" s="1"/>
  <c r="AC57" i="1"/>
  <c r="W57" i="1"/>
  <c r="AA57" i="1" s="1"/>
  <c r="AD57" i="1"/>
  <c r="AE57" i="1" s="1"/>
  <c r="U27" i="1"/>
  <c r="V27" i="1" s="1"/>
  <c r="R27" i="1" s="1"/>
  <c r="P27" i="1" s="1"/>
  <c r="S27" i="1" s="1"/>
  <c r="M27" i="1" s="1"/>
  <c r="N27" i="1" s="1"/>
  <c r="R47" i="1"/>
  <c r="P47" i="1" s="1"/>
  <c r="S47" i="1" s="1"/>
  <c r="M47" i="1" s="1"/>
  <c r="N47" i="1" s="1"/>
  <c r="AB47" i="1"/>
  <c r="U32" i="1"/>
  <c r="V32" i="1" s="1"/>
  <c r="AB41" i="1"/>
  <c r="R41" i="1"/>
  <c r="P41" i="1" s="1"/>
  <c r="S41" i="1" s="1"/>
  <c r="M41" i="1" s="1"/>
  <c r="N41" i="1" s="1"/>
  <c r="R20" i="1"/>
  <c r="P20" i="1" s="1"/>
  <c r="S20" i="1" s="1"/>
  <c r="M20" i="1" s="1"/>
  <c r="N20" i="1" s="1"/>
  <c r="AB20" i="1"/>
  <c r="U46" i="1"/>
  <c r="V46" i="1" s="1"/>
  <c r="R46" i="1" s="1"/>
  <c r="P46" i="1" s="1"/>
  <c r="S46" i="1" s="1"/>
  <c r="M46" i="1" s="1"/>
  <c r="N46" i="1" s="1"/>
  <c r="AD22" i="1" l="1"/>
  <c r="W22" i="1"/>
  <c r="AA22" i="1" s="1"/>
  <c r="AC22" i="1"/>
  <c r="W60" i="1"/>
  <c r="AA60" i="1" s="1"/>
  <c r="AD60" i="1"/>
  <c r="AE60" i="1" s="1"/>
  <c r="AC60" i="1"/>
  <c r="W103" i="1"/>
  <c r="AA103" i="1" s="1"/>
  <c r="AD103" i="1"/>
  <c r="AE103" i="1" s="1"/>
  <c r="AC103" i="1"/>
  <c r="W130" i="1"/>
  <c r="AA130" i="1" s="1"/>
  <c r="AD130" i="1"/>
  <c r="AC130" i="1"/>
  <c r="W191" i="1"/>
  <c r="AA191" i="1" s="1"/>
  <c r="AD191" i="1"/>
  <c r="AE191" i="1" s="1"/>
  <c r="AC191" i="1"/>
  <c r="W17" i="1"/>
  <c r="AA17" i="1" s="1"/>
  <c r="AD17" i="1"/>
  <c r="AC17" i="1"/>
  <c r="R17" i="1"/>
  <c r="P17" i="1" s="1"/>
  <c r="S17" i="1" s="1"/>
  <c r="M17" i="1" s="1"/>
  <c r="N17" i="1" s="1"/>
  <c r="W107" i="1"/>
  <c r="AA107" i="1" s="1"/>
  <c r="AD107" i="1"/>
  <c r="AE107" i="1" s="1"/>
  <c r="AC107" i="1"/>
  <c r="W114" i="1"/>
  <c r="AA114" i="1" s="1"/>
  <c r="AD114" i="1"/>
  <c r="AE114" i="1" s="1"/>
  <c r="AC114" i="1"/>
  <c r="AE129" i="1"/>
  <c r="W157" i="1"/>
  <c r="AA157" i="1" s="1"/>
  <c r="AD157" i="1"/>
  <c r="AE157" i="1" s="1"/>
  <c r="AC157" i="1"/>
  <c r="AD168" i="1"/>
  <c r="W168" i="1"/>
  <c r="AA168" i="1" s="1"/>
  <c r="AC168" i="1"/>
  <c r="W167" i="1"/>
  <c r="AA167" i="1" s="1"/>
  <c r="AD167" i="1"/>
  <c r="AC167" i="1"/>
  <c r="W36" i="1"/>
  <c r="AA36" i="1" s="1"/>
  <c r="AD36" i="1"/>
  <c r="AE36" i="1" s="1"/>
  <c r="AC36" i="1"/>
  <c r="AD71" i="1"/>
  <c r="AE71" i="1" s="1"/>
  <c r="W71" i="1"/>
  <c r="AA71" i="1" s="1"/>
  <c r="AC71" i="1"/>
  <c r="W25" i="1"/>
  <c r="AA25" i="1" s="1"/>
  <c r="AD25" i="1"/>
  <c r="AE25" i="1" s="1"/>
  <c r="AC25" i="1"/>
  <c r="AD102" i="1"/>
  <c r="AE102" i="1" s="1"/>
  <c r="W102" i="1"/>
  <c r="AA102" i="1" s="1"/>
  <c r="AC102" i="1"/>
  <c r="AE136" i="1"/>
  <c r="W202" i="1"/>
  <c r="AA202" i="1" s="1"/>
  <c r="AD202" i="1"/>
  <c r="AE202" i="1" s="1"/>
  <c r="R202" i="1"/>
  <c r="P202" i="1" s="1"/>
  <c r="S202" i="1" s="1"/>
  <c r="M202" i="1" s="1"/>
  <c r="N202" i="1" s="1"/>
  <c r="AC202" i="1"/>
  <c r="AD150" i="1"/>
  <c r="AE150" i="1" s="1"/>
  <c r="W150" i="1"/>
  <c r="AA150" i="1" s="1"/>
  <c r="AC150" i="1"/>
  <c r="AD210" i="1"/>
  <c r="W210" i="1"/>
  <c r="AA210" i="1" s="1"/>
  <c r="AC210" i="1"/>
  <c r="AD211" i="1"/>
  <c r="AE211" i="1" s="1"/>
  <c r="W211" i="1"/>
  <c r="AA211" i="1" s="1"/>
  <c r="AC211" i="1"/>
  <c r="W43" i="1"/>
  <c r="AA43" i="1" s="1"/>
  <c r="AD43" i="1"/>
  <c r="AC43" i="1"/>
  <c r="AC148" i="1"/>
  <c r="AD148" i="1"/>
  <c r="AE148" i="1" s="1"/>
  <c r="W148" i="1"/>
  <c r="AA148" i="1" s="1"/>
  <c r="R148" i="1"/>
  <c r="P148" i="1" s="1"/>
  <c r="S148" i="1" s="1"/>
  <c r="M148" i="1" s="1"/>
  <c r="N148" i="1" s="1"/>
  <c r="AD88" i="1"/>
  <c r="AE88" i="1" s="1"/>
  <c r="W88" i="1"/>
  <c r="AA88" i="1" s="1"/>
  <c r="AC88" i="1"/>
  <c r="AE123" i="1"/>
  <c r="R22" i="1"/>
  <c r="P22" i="1" s="1"/>
  <c r="S22" i="1" s="1"/>
  <c r="M22" i="1" s="1"/>
  <c r="N22" i="1" s="1"/>
  <c r="AE90" i="1"/>
  <c r="AE183" i="1"/>
  <c r="AD221" i="1"/>
  <c r="AE221" i="1" s="1"/>
  <c r="W221" i="1"/>
  <c r="AA221" i="1" s="1"/>
  <c r="AC221" i="1"/>
  <c r="W172" i="1"/>
  <c r="AA172" i="1" s="1"/>
  <c r="AD172" i="1"/>
  <c r="AC172" i="1"/>
  <c r="W147" i="1"/>
  <c r="AA147" i="1" s="1"/>
  <c r="AD147" i="1"/>
  <c r="AE147" i="1" s="1"/>
  <c r="AC147" i="1"/>
  <c r="AC152" i="1"/>
  <c r="W152" i="1"/>
  <c r="AA152" i="1" s="1"/>
  <c r="AD152" i="1"/>
  <c r="AE68" i="1"/>
  <c r="AD117" i="1"/>
  <c r="AE117" i="1" s="1"/>
  <c r="AC117" i="1"/>
  <c r="W117" i="1"/>
  <c r="AA117" i="1" s="1"/>
  <c r="W199" i="1"/>
  <c r="AA199" i="1" s="1"/>
  <c r="AC199" i="1"/>
  <c r="AD199" i="1"/>
  <c r="R199" i="1"/>
  <c r="P199" i="1" s="1"/>
  <c r="S199" i="1" s="1"/>
  <c r="M199" i="1" s="1"/>
  <c r="N199" i="1" s="1"/>
  <c r="W77" i="1"/>
  <c r="AA77" i="1" s="1"/>
  <c r="AD77" i="1"/>
  <c r="AE77" i="1" s="1"/>
  <c r="AC77" i="1"/>
  <c r="W124" i="1"/>
  <c r="AA124" i="1" s="1"/>
  <c r="AD124" i="1"/>
  <c r="AE124" i="1" s="1"/>
  <c r="AC124" i="1"/>
  <c r="R124" i="1"/>
  <c r="P124" i="1" s="1"/>
  <c r="S124" i="1" s="1"/>
  <c r="M124" i="1" s="1"/>
  <c r="N124" i="1" s="1"/>
  <c r="W177" i="1"/>
  <c r="AA177" i="1" s="1"/>
  <c r="AD177" i="1"/>
  <c r="AC177" i="1"/>
  <c r="W179" i="1"/>
  <c r="AA179" i="1" s="1"/>
  <c r="AD179" i="1"/>
  <c r="AE179" i="1" s="1"/>
  <c r="AC179" i="1"/>
  <c r="W180" i="1"/>
  <c r="AA180" i="1" s="1"/>
  <c r="AD180" i="1"/>
  <c r="AE180" i="1" s="1"/>
  <c r="AC180" i="1"/>
  <c r="W21" i="1"/>
  <c r="AA21" i="1" s="1"/>
  <c r="AD21" i="1"/>
  <c r="AE21" i="1" s="1"/>
  <c r="AC21" i="1"/>
  <c r="R21" i="1"/>
  <c r="P21" i="1" s="1"/>
  <c r="S21" i="1" s="1"/>
  <c r="M21" i="1" s="1"/>
  <c r="N21" i="1" s="1"/>
  <c r="W85" i="1"/>
  <c r="AA85" i="1" s="1"/>
  <c r="AD85" i="1"/>
  <c r="AC85" i="1"/>
  <c r="R117" i="1"/>
  <c r="P117" i="1" s="1"/>
  <c r="S117" i="1" s="1"/>
  <c r="M117" i="1" s="1"/>
  <c r="N117" i="1" s="1"/>
  <c r="AD144" i="1"/>
  <c r="AC144" i="1"/>
  <c r="W144" i="1"/>
  <c r="AA144" i="1" s="1"/>
  <c r="R144" i="1"/>
  <c r="P144" i="1" s="1"/>
  <c r="S144" i="1" s="1"/>
  <c r="M144" i="1" s="1"/>
  <c r="N144" i="1" s="1"/>
  <c r="AD213" i="1"/>
  <c r="AE213" i="1" s="1"/>
  <c r="W213" i="1"/>
  <c r="AA213" i="1" s="1"/>
  <c r="AC213" i="1"/>
  <c r="AD226" i="1"/>
  <c r="AE226" i="1" s="1"/>
  <c r="W226" i="1"/>
  <c r="AA226" i="1" s="1"/>
  <c r="AC226" i="1"/>
  <c r="AE190" i="1"/>
  <c r="W44" i="1"/>
  <c r="AA44" i="1" s="1"/>
  <c r="AD44" i="1"/>
  <c r="AE44" i="1" s="1"/>
  <c r="AC44" i="1"/>
  <c r="W78" i="1"/>
  <c r="AA78" i="1" s="1"/>
  <c r="AD78" i="1"/>
  <c r="AE78" i="1" s="1"/>
  <c r="AC78" i="1"/>
  <c r="R78" i="1"/>
  <c r="P78" i="1" s="1"/>
  <c r="S78" i="1" s="1"/>
  <c r="M78" i="1" s="1"/>
  <c r="N78" i="1" s="1"/>
  <c r="W104" i="1"/>
  <c r="AA104" i="1" s="1"/>
  <c r="AD104" i="1"/>
  <c r="AE104" i="1" s="1"/>
  <c r="AC104" i="1"/>
  <c r="AD154" i="1"/>
  <c r="W154" i="1"/>
  <c r="AA154" i="1" s="1"/>
  <c r="R154" i="1"/>
  <c r="P154" i="1" s="1"/>
  <c r="S154" i="1" s="1"/>
  <c r="M154" i="1" s="1"/>
  <c r="N154" i="1" s="1"/>
  <c r="AC154" i="1"/>
  <c r="AD84" i="1"/>
  <c r="W84" i="1"/>
  <c r="AA84" i="1" s="1"/>
  <c r="AC84" i="1"/>
  <c r="W28" i="1"/>
  <c r="AA28" i="1" s="1"/>
  <c r="AD28" i="1"/>
  <c r="AC28" i="1"/>
  <c r="AD97" i="1"/>
  <c r="AE97" i="1" s="1"/>
  <c r="W97" i="1"/>
  <c r="AA97" i="1" s="1"/>
  <c r="AC97" i="1"/>
  <c r="AD92" i="1"/>
  <c r="W92" i="1"/>
  <c r="AA92" i="1" s="1"/>
  <c r="AC92" i="1"/>
  <c r="AD216" i="1"/>
  <c r="W216" i="1"/>
  <c r="AA216" i="1" s="1"/>
  <c r="AC216" i="1"/>
  <c r="AD217" i="1"/>
  <c r="AE217" i="1" s="1"/>
  <c r="W217" i="1"/>
  <c r="AA217" i="1" s="1"/>
  <c r="AC217" i="1"/>
  <c r="AE141" i="1"/>
  <c r="AE54" i="1"/>
  <c r="R152" i="1"/>
  <c r="P152" i="1" s="1"/>
  <c r="S152" i="1" s="1"/>
  <c r="M152" i="1" s="1"/>
  <c r="N152" i="1" s="1"/>
  <c r="W87" i="1"/>
  <c r="AA87" i="1" s="1"/>
  <c r="AD87" i="1"/>
  <c r="AE87" i="1" s="1"/>
  <c r="AC87" i="1"/>
  <c r="W161" i="1"/>
  <c r="AA161" i="1" s="1"/>
  <c r="AD161" i="1"/>
  <c r="AC161" i="1"/>
  <c r="W32" i="1"/>
  <c r="AA32" i="1" s="1"/>
  <c r="AD32" i="1"/>
  <c r="AE32" i="1" s="1"/>
  <c r="AC32" i="1"/>
  <c r="W64" i="1"/>
  <c r="AA64" i="1" s="1"/>
  <c r="AD64" i="1"/>
  <c r="AC64" i="1"/>
  <c r="W95" i="1"/>
  <c r="AA95" i="1" s="1"/>
  <c r="AD95" i="1"/>
  <c r="AE95" i="1" s="1"/>
  <c r="AC95" i="1"/>
  <c r="W149" i="1"/>
  <c r="AA149" i="1" s="1"/>
  <c r="AD149" i="1"/>
  <c r="AC149" i="1"/>
  <c r="W50" i="1"/>
  <c r="AA50" i="1" s="1"/>
  <c r="AD50" i="1"/>
  <c r="AE50" i="1" s="1"/>
  <c r="AC50" i="1"/>
  <c r="R95" i="1"/>
  <c r="P95" i="1" s="1"/>
  <c r="S95" i="1" s="1"/>
  <c r="M95" i="1" s="1"/>
  <c r="N95" i="1" s="1"/>
  <c r="R149" i="1"/>
  <c r="P149" i="1" s="1"/>
  <c r="S149" i="1" s="1"/>
  <c r="M149" i="1" s="1"/>
  <c r="N149" i="1" s="1"/>
  <c r="AD207" i="1"/>
  <c r="W207" i="1"/>
  <c r="AA207" i="1" s="1"/>
  <c r="AC207" i="1"/>
  <c r="AE61" i="1"/>
  <c r="AD98" i="1"/>
  <c r="W98" i="1"/>
  <c r="AA98" i="1" s="1"/>
  <c r="AC98" i="1"/>
  <c r="AC156" i="1"/>
  <c r="W156" i="1"/>
  <c r="AA156" i="1" s="1"/>
  <c r="AD156" i="1"/>
  <c r="AE193" i="1"/>
  <c r="AD218" i="1"/>
  <c r="AE218" i="1" s="1"/>
  <c r="W218" i="1"/>
  <c r="AA218" i="1" s="1"/>
  <c r="AC218" i="1"/>
  <c r="W134" i="1"/>
  <c r="AA134" i="1" s="1"/>
  <c r="AD134" i="1"/>
  <c r="AE134" i="1" s="1"/>
  <c r="AC134" i="1"/>
  <c r="AD214" i="1"/>
  <c r="AE214" i="1" s="1"/>
  <c r="W214" i="1"/>
  <c r="AA214" i="1" s="1"/>
  <c r="AC214" i="1"/>
  <c r="AD34" i="1"/>
  <c r="AE34" i="1" s="1"/>
  <c r="AC34" i="1"/>
  <c r="W34" i="1"/>
  <c r="AA34" i="1" s="1"/>
  <c r="W171" i="1"/>
  <c r="AA171" i="1" s="1"/>
  <c r="AD171" i="1"/>
  <c r="AE171" i="1" s="1"/>
  <c r="AC171" i="1"/>
  <c r="AD187" i="1"/>
  <c r="AE187" i="1" s="1"/>
  <c r="AC187" i="1"/>
  <c r="W187" i="1"/>
  <c r="AA187" i="1" s="1"/>
  <c r="AD224" i="1"/>
  <c r="W224" i="1"/>
  <c r="AA224" i="1" s="1"/>
  <c r="AC224" i="1"/>
  <c r="AD80" i="1"/>
  <c r="W80" i="1"/>
  <c r="AA80" i="1" s="1"/>
  <c r="AC80" i="1"/>
  <c r="W33" i="1"/>
  <c r="AA33" i="1" s="1"/>
  <c r="AD33" i="1"/>
  <c r="AE33" i="1" s="1"/>
  <c r="AC33" i="1"/>
  <c r="W83" i="1"/>
  <c r="AA83" i="1" s="1"/>
  <c r="AD83" i="1"/>
  <c r="AE83" i="1" s="1"/>
  <c r="AC83" i="1"/>
  <c r="W108" i="1"/>
  <c r="AA108" i="1" s="1"/>
  <c r="AD108" i="1"/>
  <c r="AE108" i="1" s="1"/>
  <c r="AC108" i="1"/>
  <c r="R25" i="1"/>
  <c r="P25" i="1" s="1"/>
  <c r="S25" i="1" s="1"/>
  <c r="M25" i="1" s="1"/>
  <c r="N25" i="1" s="1"/>
  <c r="R102" i="1"/>
  <c r="P102" i="1" s="1"/>
  <c r="S102" i="1" s="1"/>
  <c r="M102" i="1" s="1"/>
  <c r="N102" i="1" s="1"/>
  <c r="AE66" i="1"/>
  <c r="AE86" i="1"/>
  <c r="R114" i="1"/>
  <c r="P114" i="1" s="1"/>
  <c r="S114" i="1" s="1"/>
  <c r="M114" i="1" s="1"/>
  <c r="N114" i="1" s="1"/>
  <c r="AE175" i="1"/>
  <c r="AE145" i="1"/>
  <c r="AE159" i="1"/>
  <c r="AD166" i="1"/>
  <c r="AE166" i="1" s="1"/>
  <c r="W166" i="1"/>
  <c r="AA166" i="1" s="1"/>
  <c r="R166" i="1"/>
  <c r="P166" i="1" s="1"/>
  <c r="S166" i="1" s="1"/>
  <c r="M166" i="1" s="1"/>
  <c r="N166" i="1" s="1"/>
  <c r="AC166" i="1"/>
  <c r="W173" i="1"/>
  <c r="AA173" i="1" s="1"/>
  <c r="AD173" i="1"/>
  <c r="AC173" i="1"/>
  <c r="R32" i="1"/>
  <c r="P32" i="1" s="1"/>
  <c r="S32" i="1" s="1"/>
  <c r="M32" i="1" s="1"/>
  <c r="N32" i="1" s="1"/>
  <c r="AD119" i="1"/>
  <c r="W119" i="1"/>
  <c r="AA119" i="1" s="1"/>
  <c r="AC119" i="1"/>
  <c r="AD75" i="1"/>
  <c r="AE75" i="1" s="1"/>
  <c r="W75" i="1"/>
  <c r="AA75" i="1" s="1"/>
  <c r="AC75" i="1"/>
  <c r="W153" i="1"/>
  <c r="AA153" i="1" s="1"/>
  <c r="AD153" i="1"/>
  <c r="AC153" i="1"/>
  <c r="W163" i="1"/>
  <c r="AA163" i="1" s="1"/>
  <c r="AD163" i="1"/>
  <c r="AE163" i="1" s="1"/>
  <c r="AC163" i="1"/>
  <c r="AD209" i="1"/>
  <c r="AE209" i="1" s="1"/>
  <c r="W209" i="1"/>
  <c r="AA209" i="1" s="1"/>
  <c r="AC209" i="1"/>
  <c r="AD228" i="1"/>
  <c r="AE228" i="1" s="1"/>
  <c r="W228" i="1"/>
  <c r="AA228" i="1" s="1"/>
  <c r="AC228" i="1"/>
  <c r="W29" i="1"/>
  <c r="AA29" i="1" s="1"/>
  <c r="AD29" i="1"/>
  <c r="AC29" i="1"/>
  <c r="AE47" i="1"/>
  <c r="AD73" i="1"/>
  <c r="W73" i="1"/>
  <c r="AA73" i="1" s="1"/>
  <c r="AC73" i="1"/>
  <c r="AD160" i="1"/>
  <c r="AC160" i="1"/>
  <c r="W160" i="1"/>
  <c r="AA160" i="1" s="1"/>
  <c r="AD113" i="1"/>
  <c r="AE113" i="1" s="1"/>
  <c r="AC113" i="1"/>
  <c r="W113" i="1"/>
  <c r="AA113" i="1" s="1"/>
  <c r="R156" i="1"/>
  <c r="P156" i="1" s="1"/>
  <c r="S156" i="1" s="1"/>
  <c r="M156" i="1" s="1"/>
  <c r="N156" i="1" s="1"/>
  <c r="W126" i="1"/>
  <c r="AA126" i="1" s="1"/>
  <c r="AD126" i="1"/>
  <c r="AC126" i="1"/>
  <c r="R126" i="1"/>
  <c r="P126" i="1" s="1"/>
  <c r="S126" i="1" s="1"/>
  <c r="M126" i="1" s="1"/>
  <c r="N126" i="1" s="1"/>
  <c r="AD23" i="1"/>
  <c r="AE23" i="1" s="1"/>
  <c r="W23" i="1"/>
  <c r="AA23" i="1" s="1"/>
  <c r="AC23" i="1"/>
  <c r="AD18" i="1"/>
  <c r="AC18" i="1"/>
  <c r="W18" i="1"/>
  <c r="AA18" i="1" s="1"/>
  <c r="W146" i="1"/>
  <c r="AA146" i="1" s="1"/>
  <c r="AD146" i="1"/>
  <c r="AC146" i="1"/>
  <c r="AD220" i="1"/>
  <c r="W220" i="1"/>
  <c r="AA220" i="1" s="1"/>
  <c r="AC220" i="1"/>
  <c r="AD225" i="1"/>
  <c r="W225" i="1"/>
  <c r="AA225" i="1" s="1"/>
  <c r="AC225" i="1"/>
  <c r="AE151" i="1"/>
  <c r="AE67" i="1"/>
  <c r="AD188" i="1"/>
  <c r="W188" i="1"/>
  <c r="AA188" i="1" s="1"/>
  <c r="AC188" i="1"/>
  <c r="W118" i="1"/>
  <c r="AA118" i="1" s="1"/>
  <c r="AD118" i="1"/>
  <c r="AC118" i="1"/>
  <c r="AC96" i="1"/>
  <c r="W96" i="1"/>
  <c r="AA96" i="1" s="1"/>
  <c r="AD96" i="1"/>
  <c r="AD158" i="1"/>
  <c r="AE158" i="1" s="1"/>
  <c r="W158" i="1"/>
  <c r="AA158" i="1" s="1"/>
  <c r="R158" i="1"/>
  <c r="P158" i="1" s="1"/>
  <c r="S158" i="1" s="1"/>
  <c r="M158" i="1" s="1"/>
  <c r="N158" i="1" s="1"/>
  <c r="AC158" i="1"/>
  <c r="R228" i="1"/>
  <c r="P228" i="1" s="1"/>
  <c r="S228" i="1" s="1"/>
  <c r="M228" i="1" s="1"/>
  <c r="N228" i="1" s="1"/>
  <c r="AD35" i="1"/>
  <c r="AC35" i="1"/>
  <c r="W35" i="1"/>
  <c r="AA35" i="1" s="1"/>
  <c r="R103" i="1"/>
  <c r="P103" i="1" s="1"/>
  <c r="S103" i="1" s="1"/>
  <c r="M103" i="1" s="1"/>
  <c r="N103" i="1" s="1"/>
  <c r="R173" i="1"/>
  <c r="P173" i="1" s="1"/>
  <c r="S173" i="1" s="1"/>
  <c r="M173" i="1" s="1"/>
  <c r="N173" i="1" s="1"/>
  <c r="W62" i="1"/>
  <c r="AA62" i="1" s="1"/>
  <c r="AD62" i="1"/>
  <c r="AC62" i="1"/>
  <c r="AD48" i="1"/>
  <c r="AE48" i="1" s="1"/>
  <c r="W48" i="1"/>
  <c r="AA48" i="1" s="1"/>
  <c r="AC48" i="1"/>
  <c r="W52" i="1"/>
  <c r="AA52" i="1" s="1"/>
  <c r="AD52" i="1"/>
  <c r="AC52" i="1"/>
  <c r="W100" i="1"/>
  <c r="AA100" i="1" s="1"/>
  <c r="AD100" i="1"/>
  <c r="AE100" i="1" s="1"/>
  <c r="AC100" i="1"/>
  <c r="W115" i="1"/>
  <c r="AA115" i="1" s="1"/>
  <c r="AD115" i="1"/>
  <c r="AC115" i="1"/>
  <c r="R153" i="1"/>
  <c r="P153" i="1" s="1"/>
  <c r="S153" i="1" s="1"/>
  <c r="M153" i="1" s="1"/>
  <c r="N153" i="1" s="1"/>
  <c r="AD223" i="1"/>
  <c r="W223" i="1"/>
  <c r="AA223" i="1" s="1"/>
  <c r="AC223" i="1"/>
  <c r="AD39" i="1"/>
  <c r="AC39" i="1"/>
  <c r="W39" i="1"/>
  <c r="AA39" i="1" s="1"/>
  <c r="AD79" i="1"/>
  <c r="AC79" i="1"/>
  <c r="W79" i="1"/>
  <c r="AA79" i="1" s="1"/>
  <c r="AD109" i="1"/>
  <c r="AC109" i="1"/>
  <c r="W109" i="1"/>
  <c r="AA109" i="1" s="1"/>
  <c r="AD215" i="1"/>
  <c r="W215" i="1"/>
  <c r="AA215" i="1" s="1"/>
  <c r="AC215" i="1"/>
  <c r="AE164" i="1"/>
  <c r="R177" i="1"/>
  <c r="P177" i="1" s="1"/>
  <c r="S177" i="1" s="1"/>
  <c r="M177" i="1" s="1"/>
  <c r="N177" i="1" s="1"/>
  <c r="W53" i="1"/>
  <c r="AA53" i="1" s="1"/>
  <c r="AD53" i="1"/>
  <c r="AE53" i="1" s="1"/>
  <c r="AC53" i="1"/>
  <c r="R71" i="1"/>
  <c r="P71" i="1" s="1"/>
  <c r="S71" i="1" s="1"/>
  <c r="M71" i="1" s="1"/>
  <c r="N71" i="1" s="1"/>
  <c r="W82" i="1"/>
  <c r="AA82" i="1" s="1"/>
  <c r="AD82" i="1"/>
  <c r="AC82" i="1"/>
  <c r="R82" i="1"/>
  <c r="P82" i="1" s="1"/>
  <c r="S82" i="1" s="1"/>
  <c r="M82" i="1" s="1"/>
  <c r="N82" i="1" s="1"/>
  <c r="W106" i="1"/>
  <c r="AA106" i="1" s="1"/>
  <c r="AD106" i="1"/>
  <c r="AE106" i="1" s="1"/>
  <c r="AC106" i="1"/>
  <c r="AE137" i="1"/>
  <c r="W174" i="1"/>
  <c r="AA174" i="1" s="1"/>
  <c r="AD174" i="1"/>
  <c r="AC174" i="1"/>
  <c r="R109" i="1"/>
  <c r="P109" i="1" s="1"/>
  <c r="S109" i="1" s="1"/>
  <c r="M109" i="1" s="1"/>
  <c r="N109" i="1" s="1"/>
  <c r="W112" i="1"/>
  <c r="AA112" i="1" s="1"/>
  <c r="AD112" i="1"/>
  <c r="AE112" i="1" s="1"/>
  <c r="AC112" i="1"/>
  <c r="W165" i="1"/>
  <c r="AA165" i="1" s="1"/>
  <c r="AD165" i="1"/>
  <c r="AC165" i="1"/>
  <c r="W56" i="1"/>
  <c r="AA56" i="1" s="1"/>
  <c r="AD56" i="1"/>
  <c r="AE56" i="1" s="1"/>
  <c r="AC56" i="1"/>
  <c r="R98" i="1"/>
  <c r="P98" i="1" s="1"/>
  <c r="S98" i="1" s="1"/>
  <c r="M98" i="1" s="1"/>
  <c r="N98" i="1" s="1"/>
  <c r="W110" i="1"/>
  <c r="AA110" i="1" s="1"/>
  <c r="AD110" i="1"/>
  <c r="AE110" i="1" s="1"/>
  <c r="AC110" i="1"/>
  <c r="W116" i="1"/>
  <c r="AA116" i="1" s="1"/>
  <c r="AD116" i="1"/>
  <c r="AC116" i="1"/>
  <c r="R225" i="1"/>
  <c r="P225" i="1" s="1"/>
  <c r="S225" i="1" s="1"/>
  <c r="M225" i="1" s="1"/>
  <c r="N225" i="1" s="1"/>
  <c r="R223" i="1"/>
  <c r="P223" i="1" s="1"/>
  <c r="S223" i="1" s="1"/>
  <c r="M223" i="1" s="1"/>
  <c r="N223" i="1" s="1"/>
  <c r="AE45" i="1"/>
  <c r="AE185" i="1"/>
  <c r="AD212" i="1"/>
  <c r="W212" i="1"/>
  <c r="AA212" i="1" s="1"/>
  <c r="AC212" i="1"/>
  <c r="W40" i="1"/>
  <c r="AA40" i="1" s="1"/>
  <c r="AD40" i="1"/>
  <c r="AC40" i="1"/>
  <c r="W74" i="1"/>
  <c r="AA74" i="1" s="1"/>
  <c r="AD74" i="1"/>
  <c r="AE74" i="1" s="1"/>
  <c r="AC74" i="1"/>
  <c r="R74" i="1"/>
  <c r="P74" i="1" s="1"/>
  <c r="S74" i="1" s="1"/>
  <c r="M74" i="1" s="1"/>
  <c r="N74" i="1" s="1"/>
  <c r="AD101" i="1"/>
  <c r="AC101" i="1"/>
  <c r="W101" i="1"/>
  <c r="AA101" i="1" s="1"/>
  <c r="W135" i="1"/>
  <c r="AA135" i="1" s="1"/>
  <c r="AD135" i="1"/>
  <c r="AC135" i="1"/>
  <c r="AD162" i="1"/>
  <c r="W162" i="1"/>
  <c r="AA162" i="1" s="1"/>
  <c r="AC162" i="1"/>
  <c r="AE200" i="1"/>
  <c r="AD208" i="1"/>
  <c r="W208" i="1"/>
  <c r="AA208" i="1" s="1"/>
  <c r="R208" i="1"/>
  <c r="P208" i="1" s="1"/>
  <c r="S208" i="1" s="1"/>
  <c r="M208" i="1" s="1"/>
  <c r="N208" i="1" s="1"/>
  <c r="AC208" i="1"/>
  <c r="W99" i="1"/>
  <c r="AA99" i="1" s="1"/>
  <c r="AD99" i="1"/>
  <c r="AE99" i="1" s="1"/>
  <c r="AC99" i="1"/>
  <c r="AE140" i="1"/>
  <c r="R85" i="1"/>
  <c r="P85" i="1" s="1"/>
  <c r="S85" i="1" s="1"/>
  <c r="M85" i="1" s="1"/>
  <c r="N85" i="1" s="1"/>
  <c r="W111" i="1"/>
  <c r="AA111" i="1" s="1"/>
  <c r="AD111" i="1"/>
  <c r="AC111" i="1"/>
  <c r="AE139" i="1"/>
  <c r="R77" i="1"/>
  <c r="P77" i="1" s="1"/>
  <c r="S77" i="1" s="1"/>
  <c r="M77" i="1" s="1"/>
  <c r="N77" i="1" s="1"/>
  <c r="W122" i="1"/>
  <c r="AA122" i="1" s="1"/>
  <c r="AD122" i="1"/>
  <c r="R122" i="1"/>
  <c r="P122" i="1" s="1"/>
  <c r="S122" i="1" s="1"/>
  <c r="M122" i="1" s="1"/>
  <c r="N122" i="1" s="1"/>
  <c r="AC122" i="1"/>
  <c r="W184" i="1"/>
  <c r="AA184" i="1" s="1"/>
  <c r="AD184" i="1"/>
  <c r="AE184" i="1" s="1"/>
  <c r="AC184" i="1"/>
  <c r="R218" i="1"/>
  <c r="P218" i="1" s="1"/>
  <c r="S218" i="1" s="1"/>
  <c r="M218" i="1" s="1"/>
  <c r="N218" i="1" s="1"/>
  <c r="AC204" i="1"/>
  <c r="W204" i="1"/>
  <c r="AA204" i="1" s="1"/>
  <c r="AD204" i="1"/>
  <c r="R204" i="1"/>
  <c r="P204" i="1" s="1"/>
  <c r="S204" i="1" s="1"/>
  <c r="M204" i="1" s="1"/>
  <c r="N204" i="1" s="1"/>
  <c r="R207" i="1"/>
  <c r="P207" i="1" s="1"/>
  <c r="S207" i="1" s="1"/>
  <c r="M207" i="1" s="1"/>
  <c r="N207" i="1" s="1"/>
  <c r="W89" i="1"/>
  <c r="AA89" i="1" s="1"/>
  <c r="AD89" i="1"/>
  <c r="AC89" i="1"/>
  <c r="AD120" i="1"/>
  <c r="AE120" i="1" s="1"/>
  <c r="W120" i="1"/>
  <c r="AA120" i="1" s="1"/>
  <c r="AC120" i="1"/>
  <c r="R120" i="1"/>
  <c r="P120" i="1" s="1"/>
  <c r="S120" i="1" s="1"/>
  <c r="M120" i="1" s="1"/>
  <c r="N120" i="1" s="1"/>
  <c r="R130" i="1"/>
  <c r="P130" i="1" s="1"/>
  <c r="S130" i="1" s="1"/>
  <c r="M130" i="1" s="1"/>
  <c r="N130" i="1" s="1"/>
  <c r="W138" i="1"/>
  <c r="AA138" i="1" s="1"/>
  <c r="AD138" i="1"/>
  <c r="AC138" i="1"/>
  <c r="R214" i="1"/>
  <c r="P214" i="1" s="1"/>
  <c r="S214" i="1" s="1"/>
  <c r="M214" i="1" s="1"/>
  <c r="N214" i="1" s="1"/>
  <c r="AE70" i="1"/>
  <c r="W37" i="1"/>
  <c r="AA37" i="1" s="1"/>
  <c r="AD37" i="1"/>
  <c r="AE37" i="1" s="1"/>
  <c r="AC37" i="1"/>
  <c r="AD93" i="1"/>
  <c r="AE93" i="1" s="1"/>
  <c r="AC93" i="1"/>
  <c r="W93" i="1"/>
  <c r="AA93" i="1" s="1"/>
  <c r="R93" i="1"/>
  <c r="P93" i="1" s="1"/>
  <c r="S93" i="1" s="1"/>
  <c r="M93" i="1" s="1"/>
  <c r="N93" i="1" s="1"/>
  <c r="R50" i="1"/>
  <c r="P50" i="1" s="1"/>
  <c r="S50" i="1" s="1"/>
  <c r="M50" i="1" s="1"/>
  <c r="N50" i="1" s="1"/>
  <c r="W186" i="1"/>
  <c r="AA186" i="1" s="1"/>
  <c r="AD186" i="1"/>
  <c r="AE186" i="1" s="1"/>
  <c r="AC186" i="1"/>
  <c r="R186" i="1"/>
  <c r="P186" i="1" s="1"/>
  <c r="S186" i="1" s="1"/>
  <c r="M186" i="1" s="1"/>
  <c r="N186" i="1" s="1"/>
  <c r="W182" i="1"/>
  <c r="AA182" i="1" s="1"/>
  <c r="AD182" i="1"/>
  <c r="AE182" i="1" s="1"/>
  <c r="AC182" i="1"/>
  <c r="AD222" i="1"/>
  <c r="W222" i="1"/>
  <c r="AA222" i="1" s="1"/>
  <c r="AC222" i="1"/>
  <c r="W176" i="1"/>
  <c r="AA176" i="1" s="1"/>
  <c r="AD176" i="1"/>
  <c r="AE176" i="1" s="1"/>
  <c r="AC176" i="1"/>
  <c r="AE51" i="1"/>
  <c r="AE55" i="1"/>
  <c r="AD31" i="1"/>
  <c r="AE31" i="1" s="1"/>
  <c r="AC31" i="1"/>
  <c r="W31" i="1"/>
  <c r="AA31" i="1" s="1"/>
  <c r="W46" i="1"/>
  <c r="AA46" i="1" s="1"/>
  <c r="AD46" i="1"/>
  <c r="AE46" i="1" s="1"/>
  <c r="AC46" i="1"/>
  <c r="W27" i="1"/>
  <c r="AA27" i="1" s="1"/>
  <c r="AD27" i="1"/>
  <c r="AC27" i="1"/>
  <c r="W81" i="1"/>
  <c r="AA81" i="1" s="1"/>
  <c r="AD81" i="1"/>
  <c r="AE81" i="1" s="1"/>
  <c r="AC81" i="1"/>
  <c r="W127" i="1"/>
  <c r="AA127" i="1" s="1"/>
  <c r="AD127" i="1"/>
  <c r="AC127" i="1"/>
  <c r="AD192" i="1"/>
  <c r="AE192" i="1" s="1"/>
  <c r="W192" i="1"/>
  <c r="AA192" i="1" s="1"/>
  <c r="AC192" i="1"/>
  <c r="AD203" i="1"/>
  <c r="AE203" i="1" s="1"/>
  <c r="W203" i="1"/>
  <c r="AA203" i="1" s="1"/>
  <c r="AC203" i="1"/>
  <c r="AD227" i="1"/>
  <c r="W227" i="1"/>
  <c r="AA227" i="1" s="1"/>
  <c r="AC227" i="1"/>
  <c r="AE181" i="1"/>
  <c r="AD26" i="1"/>
  <c r="AC26" i="1"/>
  <c r="W26" i="1"/>
  <c r="AA26" i="1" s="1"/>
  <c r="AE72" i="1"/>
  <c r="W20" i="1"/>
  <c r="AA20" i="1" s="1"/>
  <c r="AD20" i="1"/>
  <c r="AC20" i="1"/>
  <c r="AD30" i="1"/>
  <c r="AE30" i="1" s="1"/>
  <c r="AC30" i="1"/>
  <c r="W30" i="1"/>
  <c r="AA30" i="1" s="1"/>
  <c r="AD105" i="1"/>
  <c r="AC105" i="1"/>
  <c r="W105" i="1"/>
  <c r="AA105" i="1" s="1"/>
  <c r="AD170" i="1"/>
  <c r="W170" i="1"/>
  <c r="AA170" i="1" s="1"/>
  <c r="AC170" i="1"/>
  <c r="R212" i="1"/>
  <c r="P212" i="1" s="1"/>
  <c r="S212" i="1" s="1"/>
  <c r="M212" i="1" s="1"/>
  <c r="N212" i="1" s="1"/>
  <c r="W133" i="1"/>
  <c r="AA133" i="1" s="1"/>
  <c r="AD133" i="1"/>
  <c r="AC133" i="1"/>
  <c r="W206" i="1"/>
  <c r="AA206" i="1" s="1"/>
  <c r="AD206" i="1"/>
  <c r="AC206" i="1"/>
  <c r="W195" i="1"/>
  <c r="AA195" i="1" s="1"/>
  <c r="AC195" i="1"/>
  <c r="AD195" i="1"/>
  <c r="AE195" i="1" s="1"/>
  <c r="R180" i="1"/>
  <c r="P180" i="1" s="1"/>
  <c r="S180" i="1" s="1"/>
  <c r="M180" i="1" s="1"/>
  <c r="N180" i="1" s="1"/>
  <c r="W24" i="1"/>
  <c r="AA24" i="1" s="1"/>
  <c r="AD24" i="1"/>
  <c r="AC24" i="1"/>
  <c r="AD38" i="1"/>
  <c r="AC38" i="1"/>
  <c r="W38" i="1"/>
  <c r="AA38" i="1" s="1"/>
  <c r="R38" i="1"/>
  <c r="P38" i="1" s="1"/>
  <c r="S38" i="1" s="1"/>
  <c r="M38" i="1" s="1"/>
  <c r="N38" i="1" s="1"/>
  <c r="R26" i="1"/>
  <c r="P26" i="1" s="1"/>
  <c r="S26" i="1" s="1"/>
  <c r="M26" i="1" s="1"/>
  <c r="N26" i="1" s="1"/>
  <c r="AD42" i="1"/>
  <c r="AE42" i="1" s="1"/>
  <c r="AC42" i="1"/>
  <c r="W42" i="1"/>
  <c r="AA42" i="1" s="1"/>
  <c r="R42" i="1"/>
  <c r="P42" i="1" s="1"/>
  <c r="S42" i="1" s="1"/>
  <c r="M42" i="1" s="1"/>
  <c r="N42" i="1" s="1"/>
  <c r="AD69" i="1"/>
  <c r="W69" i="1"/>
  <c r="AA69" i="1" s="1"/>
  <c r="AC69" i="1"/>
  <c r="R69" i="1"/>
  <c r="P69" i="1" s="1"/>
  <c r="S69" i="1" s="1"/>
  <c r="M69" i="1" s="1"/>
  <c r="N69" i="1" s="1"/>
  <c r="R96" i="1"/>
  <c r="P96" i="1" s="1"/>
  <c r="S96" i="1" s="1"/>
  <c r="M96" i="1" s="1"/>
  <c r="N96" i="1" s="1"/>
  <c r="R29" i="1"/>
  <c r="P29" i="1" s="1"/>
  <c r="S29" i="1" s="1"/>
  <c r="M29" i="1" s="1"/>
  <c r="N29" i="1" s="1"/>
  <c r="AD19" i="1"/>
  <c r="W19" i="1"/>
  <c r="AA19" i="1" s="1"/>
  <c r="AC19" i="1"/>
  <c r="R147" i="1"/>
  <c r="P147" i="1" s="1"/>
  <c r="S147" i="1" s="1"/>
  <c r="M147" i="1" s="1"/>
  <c r="N147" i="1" s="1"/>
  <c r="W41" i="1"/>
  <c r="AA41" i="1" s="1"/>
  <c r="AD41" i="1"/>
  <c r="AE41" i="1" s="1"/>
  <c r="AC41" i="1"/>
  <c r="R80" i="1"/>
  <c r="P80" i="1" s="1"/>
  <c r="S80" i="1" s="1"/>
  <c r="M80" i="1" s="1"/>
  <c r="N80" i="1" s="1"/>
  <c r="R100" i="1"/>
  <c r="P100" i="1" s="1"/>
  <c r="S100" i="1" s="1"/>
  <c r="M100" i="1" s="1"/>
  <c r="N100" i="1" s="1"/>
  <c r="R146" i="1"/>
  <c r="P146" i="1" s="1"/>
  <c r="S146" i="1" s="1"/>
  <c r="M146" i="1" s="1"/>
  <c r="N146" i="1" s="1"/>
  <c r="AD219" i="1"/>
  <c r="AE219" i="1" s="1"/>
  <c r="AC219" i="1"/>
  <c r="W219" i="1"/>
  <c r="AA219" i="1" s="1"/>
  <c r="R209" i="1"/>
  <c r="P209" i="1" s="1"/>
  <c r="S209" i="1" s="1"/>
  <c r="M209" i="1" s="1"/>
  <c r="N209" i="1" s="1"/>
  <c r="W178" i="1"/>
  <c r="AA178" i="1" s="1"/>
  <c r="AD178" i="1"/>
  <c r="AC178" i="1"/>
  <c r="AE125" i="1"/>
  <c r="AE155" i="1"/>
  <c r="AE38" i="1" l="1"/>
  <c r="AE27" i="1"/>
  <c r="AE101" i="1"/>
  <c r="AE116" i="1"/>
  <c r="AE52" i="1"/>
  <c r="AE18" i="1"/>
  <c r="AE153" i="1"/>
  <c r="AE64" i="1"/>
  <c r="AE144" i="1"/>
  <c r="AE177" i="1"/>
  <c r="AE172" i="1"/>
  <c r="AE210" i="1"/>
  <c r="AE69" i="1"/>
  <c r="AE206" i="1"/>
  <c r="AE20" i="1"/>
  <c r="AE174" i="1"/>
  <c r="AE82" i="1"/>
  <c r="AE79" i="1"/>
  <c r="AE73" i="1"/>
  <c r="AE152" i="1"/>
  <c r="AE43" i="1"/>
  <c r="AE19" i="1"/>
  <c r="AE170" i="1"/>
  <c r="AE178" i="1"/>
  <c r="AE24" i="1"/>
  <c r="AE227" i="1"/>
  <c r="AE127" i="1"/>
  <c r="AE138" i="1"/>
  <c r="AE89" i="1"/>
  <c r="AE162" i="1"/>
  <c r="AE212" i="1"/>
  <c r="AE165" i="1"/>
  <c r="AE115" i="1"/>
  <c r="AE96" i="1"/>
  <c r="AE188" i="1"/>
  <c r="AE220" i="1"/>
  <c r="AE173" i="1"/>
  <c r="AE156" i="1"/>
  <c r="AE149" i="1"/>
  <c r="AE199" i="1"/>
  <c r="AE168" i="1"/>
  <c r="AE215" i="1"/>
  <c r="AE80" i="1"/>
  <c r="AE207" i="1"/>
  <c r="AE216" i="1"/>
  <c r="AE28" i="1"/>
  <c r="AE154" i="1"/>
  <c r="AE85" i="1"/>
  <c r="AE133" i="1"/>
  <c r="AE105" i="1"/>
  <c r="AE111" i="1"/>
  <c r="AE135" i="1"/>
  <c r="AE39" i="1"/>
  <c r="AE35" i="1"/>
  <c r="AE146" i="1"/>
  <c r="AE29" i="1"/>
  <c r="AE130" i="1"/>
  <c r="AE26" i="1"/>
  <c r="AE204" i="1"/>
  <c r="AE208" i="1"/>
  <c r="AE40" i="1"/>
  <c r="AE109" i="1"/>
  <c r="AE62" i="1"/>
  <c r="AE118" i="1"/>
  <c r="AE126" i="1"/>
  <c r="AE160" i="1"/>
  <c r="AE224" i="1"/>
  <c r="AE161" i="1"/>
  <c r="AE92" i="1"/>
  <c r="AE167" i="1"/>
  <c r="AE222" i="1"/>
  <c r="AE122" i="1"/>
  <c r="AE223" i="1"/>
  <c r="AE225" i="1"/>
  <c r="AE119" i="1"/>
  <c r="AE98" i="1"/>
  <c r="AE84" i="1"/>
  <c r="AE17" i="1"/>
  <c r="AE22" i="1"/>
</calcChain>
</file>

<file path=xl/sharedStrings.xml><?xml version="1.0" encoding="utf-8"?>
<sst xmlns="http://schemas.openxmlformats.org/spreadsheetml/2006/main" count="3189" uniqueCount="759">
  <si>
    <t>File opened</t>
  </si>
  <si>
    <t>2023-07-24 15:04:21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</si>
  <si>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</si>
  <si>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</si>
  <si>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</si>
  <si>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</si>
  <si>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</si>
  <si>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</si>
  <si>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</si>
  <si>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</si>
  <si>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</si>
  <si>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</si>
  <si>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</si>
  <si>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</si>
  <si>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</si>
  <si>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</si>
  <si>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</si>
  <si>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</si>
  <si>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</si>
  <si>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</si>
  <si>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</si>
  <si>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</si>
  <si>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</si>
  <si>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</si>
  <si>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</si>
  <si>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</si>
  <si>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</si>
  <si>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</si>
  <si>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</si>
  <si>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</si>
  <si>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</si>
  <si>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</si>
  <si>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</si>
  <si>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</si>
  <si>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15:04:21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</si>
  <si>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</si>
  <si>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</si>
  <si>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</si>
  <si>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</si>
  <si>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</si>
  <si>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</si>
  <si>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</si>
  <si>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</si>
  <si>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</si>
  <si>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</si>
  <si>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</si>
  <si>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</si>
  <si>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</si>
  <si>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</si>
  <si>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</si>
  <si>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</si>
  <si>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</si>
  <si>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</si>
  <si>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</si>
  <si>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</si>
  <si>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</si>
  <si>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</si>
  <si>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</si>
  <si>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</si>
  <si>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</si>
  <si>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</si>
  <si>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</si>
  <si>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</si>
  <si>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</si>
  <si>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</si>
  <si>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</si>
  <si>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</si>
  <si>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</si>
  <si>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</si>
  <si>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</si>
  <si>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</si>
  <si>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</si>
  <si>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</si>
  <si>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</si>
  <si>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</si>
  <si>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</si>
  <si>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</si>
  <si>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</si>
  <si>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</si>
  <si>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</si>
  <si>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</si>
  <si>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</si>
  <si>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</si>
  <si>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</si>
  <si>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</si>
  <si>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</si>
  <si>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</si>
  <si>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</si>
  <si>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</si>
  <si>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</si>
  <si>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</si>
  <si>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</si>
  <si>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</si>
  <si>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</si>
  <si>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</si>
  <si>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</si>
  <si>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</si>
  <si>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</si>
  <si>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</si>
  <si>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</si>
  <si>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</si>
  <si>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</si>
  <si>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</si>
  <si>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</si>
  <si>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</si>
  <si>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</si>
  <si>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</si>
  <si>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</si>
  <si>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</si>
  <si>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</si>
  <si>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</si>
  <si>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</si>
  <si>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</si>
  <si>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</si>
  <si>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</si>
  <si>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</si>
  <si>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</si>
  <si>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</si>
  <si>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</si>
  <si>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</si>
  <si>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</si>
  <si>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</si>
  <si>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</si>
  <si>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</si>
  <si>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</si>
  <si>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</si>
  <si>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</si>
  <si>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</si>
  <si>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</si>
  <si>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</si>
  <si>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</si>
  <si>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</si>
  <si>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</si>
  <si>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</si>
  <si>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</si>
  <si>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</si>
  <si>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</si>
  <si>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</si>
  <si>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</si>
  <si>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</si>
  <si>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</si>
  <si>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</si>
  <si>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</si>
  <si>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</si>
  <si>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</si>
  <si>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</si>
  <si>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</si>
  <si>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</si>
  <si>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</si>
  <si>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</si>
  <si>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</si>
  <si>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</si>
  <si>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</si>
  <si>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</si>
  <si>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</si>
  <si>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</si>
  <si>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</si>
  <si>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</si>
  <si>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</si>
  <si>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</si>
  <si>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</si>
  <si>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</si>
  <si>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</si>
  <si>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</si>
  <si>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</si>
  <si>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</si>
  <si>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</si>
  <si>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</si>
  <si>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</si>
  <si>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</si>
  <si>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</si>
  <si>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</si>
  <si>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</si>
  <si>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</si>
  <si>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</si>
  <si>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</si>
  <si>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</si>
  <si>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</si>
  <si>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</si>
  <si>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</si>
  <si>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</si>
  <si>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</si>
  <si>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</si>
  <si>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</si>
  <si>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</si>
  <si>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</si>
  <si>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</si>
  <si>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</si>
  <si>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</si>
  <si>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</si>
  <si>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</si>
  <si>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</si>
  <si>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</si>
  <si>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</si>
  <si>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</si>
  <si>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</si>
  <si>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</si>
  <si>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</si>
  <si>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</si>
  <si>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</si>
  <si>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</si>
  <si>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</si>
  <si>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</si>
  <si>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</si>
  <si>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</si>
  <si>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</si>
  <si>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</si>
  <si>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</si>
  <si>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</si>
  <si>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</si>
  <si>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</si>
  <si>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</si>
  <si>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</si>
  <si>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</si>
  <si>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</si>
  <si>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</si>
  <si>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</si>
  <si>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</si>
  <si>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</si>
  <si>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</si>
  <si>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</si>
  <si>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</si>
  <si>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</si>
  <si>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</si>
  <si>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</si>
  <si>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</si>
  <si>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</si>
  <si>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</si>
  <si>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</si>
  <si>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</si>
  <si>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</si>
  <si>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</si>
  <si>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</si>
  <si>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</si>
  <si>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</si>
  <si>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</si>
  <si>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</si>
  <si>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</si>
  <si>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</si>
  <si>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</si>
  <si>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</si>
  <si>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</si>
  <si>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</si>
  <si>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</si>
  <si>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</si>
  <si>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</si>
  <si>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</si>
  <si>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</si>
  <si>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</si>
  <si>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</si>
  <si>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</si>
  <si>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</si>
  <si>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</si>
  <si>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</si>
  <si>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</si>
  <si>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</si>
  <si>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</si>
  <si>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</si>
  <si>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</si>
  <si>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</si>
  <si>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</si>
  <si>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</si>
  <si>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</si>
  <si>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</si>
  <si>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</si>
  <si>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</si>
  <si>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</si>
  <si>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</si>
  <si>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</si>
  <si>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</si>
  <si>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</si>
  <si>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</si>
  <si>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</si>
  <si>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</si>
  <si>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</si>
  <si>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</si>
  <si>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</si>
  <si>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</si>
  <si>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</si>
  <si>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</si>
  <si>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</si>
  <si>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</si>
  <si>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</si>
  <si>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</si>
  <si>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</si>
  <si>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</si>
  <si>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</si>
  <si>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</si>
  <si>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</si>
  <si>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</si>
  <si>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</si>
  <si>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</si>
  <si>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</si>
  <si>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</si>
  <si>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</si>
  <si>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</si>
  <si>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</si>
  <si>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</si>
  <si>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</si>
  <si>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</si>
  <si>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</si>
  <si>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</si>
  <si>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</si>
  <si>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</si>
  <si>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</si>
  <si>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</si>
  <si>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</si>
  <si>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</si>
  <si>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</si>
  <si>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</si>
  <si>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</si>
  <si>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</si>
  <si>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</si>
  <si>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</si>
  <si>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</si>
  <si>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</si>
  <si>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</si>
  <si>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</si>
  <si>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</si>
  <si>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</si>
  <si>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</si>
  <si>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</si>
  <si>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</si>
  <si>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</si>
  <si>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</si>
  <si>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</si>
  <si>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</si>
  <si>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</si>
  <si>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15:11:45</t>
  </si>
  <si>
    <t>15:11:45</t>
  </si>
  <si>
    <t>none</t>
  </si>
  <si>
    <t>0: Broadleaf</t>
  </si>
  <si>
    <t>15:04:44</t>
  </si>
  <si>
    <t>0/0</t>
  </si>
  <si>
    <t>00000000</t>
  </si>
  <si>
    <t>iiiiiiii</t>
  </si>
  <si>
    <t>off</t>
  </si>
  <si>
    <t>20230724 15:11:46</t>
  </si>
  <si>
    <t>15:11:46</t>
  </si>
  <si>
    <t>20230724 15:11:47</t>
  </si>
  <si>
    <t>15:11:47</t>
  </si>
  <si>
    <t>20230724 15:11:48</t>
  </si>
  <si>
    <t>15:11:48</t>
  </si>
  <si>
    <t>20230724 15:11:49</t>
  </si>
  <si>
    <t>15:11:49</t>
  </si>
  <si>
    <t>20230724 15:15:44</t>
  </si>
  <si>
    <t>15:15:44</t>
  </si>
  <si>
    <t>20230724 15:15:54</t>
  </si>
  <si>
    <t>15:15:54</t>
  </si>
  <si>
    <t>20230724 15:16:04</t>
  </si>
  <si>
    <t>15:16:04</t>
  </si>
  <si>
    <t>20230724 15:16:14</t>
  </si>
  <si>
    <t>15:16:14</t>
  </si>
  <si>
    <t>20230724 15:16:24</t>
  </si>
  <si>
    <t>15:16:24</t>
  </si>
  <si>
    <t>20230724 15:16:34</t>
  </si>
  <si>
    <t>15:16:34</t>
  </si>
  <si>
    <t>20230724 15:16:44</t>
  </si>
  <si>
    <t>15:16:44</t>
  </si>
  <si>
    <t>20230724 15:16:54</t>
  </si>
  <si>
    <t>15:16:54</t>
  </si>
  <si>
    <t>20230724 15:17:04</t>
  </si>
  <si>
    <t>15:17:04</t>
  </si>
  <si>
    <t>20230724 15:17:14</t>
  </si>
  <si>
    <t>15:17:14</t>
  </si>
  <si>
    <t>20230724 15:17:24</t>
  </si>
  <si>
    <t>15:17:24</t>
  </si>
  <si>
    <t>20230724 15:17:34</t>
  </si>
  <si>
    <t>15:17:34</t>
  </si>
  <si>
    <t>20230724 15:17:44</t>
  </si>
  <si>
    <t>15:17:44</t>
  </si>
  <si>
    <t>20230724 15:17:54</t>
  </si>
  <si>
    <t>15:17:54</t>
  </si>
  <si>
    <t>20230724 15:18:04</t>
  </si>
  <si>
    <t>15:18:04</t>
  </si>
  <si>
    <t>20230724 15:18:14</t>
  </si>
  <si>
    <t>15:18:14</t>
  </si>
  <si>
    <t>20230724 15:18:24</t>
  </si>
  <si>
    <t>15:18:24</t>
  </si>
  <si>
    <t>20230724 15:18:34</t>
  </si>
  <si>
    <t>15:18:34</t>
  </si>
  <si>
    <t>20230724 15:18:44</t>
  </si>
  <si>
    <t>15:18:44</t>
  </si>
  <si>
    <t>20230724 15:18:54</t>
  </si>
  <si>
    <t>15:18:54</t>
  </si>
  <si>
    <t>20230724 15:19:04</t>
  </si>
  <si>
    <t>15:19:04</t>
  </si>
  <si>
    <t>20230724 15:19:14</t>
  </si>
  <si>
    <t>15:19:14</t>
  </si>
  <si>
    <t>20230724 15:19:24</t>
  </si>
  <si>
    <t>15:19:24</t>
  </si>
  <si>
    <t>20230724 15:19:34</t>
  </si>
  <si>
    <t>15:19:34</t>
  </si>
  <si>
    <t>20230724 15:19:44</t>
  </si>
  <si>
    <t>15:19:44</t>
  </si>
  <si>
    <t>20230724 15:19:54</t>
  </si>
  <si>
    <t>15:19:54</t>
  </si>
  <si>
    <t>20230724 15:20:04</t>
  </si>
  <si>
    <t>15:20:04</t>
  </si>
  <si>
    <t>20230724 15:20:14</t>
  </si>
  <si>
    <t>15:20:14</t>
  </si>
  <si>
    <t>20230724 15:20:24</t>
  </si>
  <si>
    <t>15:20:24</t>
  </si>
  <si>
    <t>20230724 15:20:34</t>
  </si>
  <si>
    <t>15:20:34</t>
  </si>
  <si>
    <t>20230724 15:20:44</t>
  </si>
  <si>
    <t>15:20:44</t>
  </si>
  <si>
    <t>20230724 15:20:54</t>
  </si>
  <si>
    <t>15:20:54</t>
  </si>
  <si>
    <t>20230724 15:21:04</t>
  </si>
  <si>
    <t>15:21:04</t>
  </si>
  <si>
    <t>20230724 15:21:14</t>
  </si>
  <si>
    <t>15:21:14</t>
  </si>
  <si>
    <t>20230724 15:21:24</t>
  </si>
  <si>
    <t>15:21:24</t>
  </si>
  <si>
    <t>20230724 15:21:34</t>
  </si>
  <si>
    <t>15:21:34</t>
  </si>
  <si>
    <t>20230724 15:21:44</t>
  </si>
  <si>
    <t>15:21:44</t>
  </si>
  <si>
    <t>20230724 15:21:54</t>
  </si>
  <si>
    <t>15:21:54</t>
  </si>
  <si>
    <t>20230724 15:22:04</t>
  </si>
  <si>
    <t>15:22:04</t>
  </si>
  <si>
    <t>20230724 15:22:14</t>
  </si>
  <si>
    <t>15:22:14</t>
  </si>
  <si>
    <t>20230724 15:22:24</t>
  </si>
  <si>
    <t>15:22:24</t>
  </si>
  <si>
    <t>20230724 15:22:34</t>
  </si>
  <si>
    <t>15:22:34</t>
  </si>
  <si>
    <t>20230724 15:22:44</t>
  </si>
  <si>
    <t>15:22:44</t>
  </si>
  <si>
    <t>20230724 15:22:54</t>
  </si>
  <si>
    <t>15:22:54</t>
  </si>
  <si>
    <t>20230724 15:23:04</t>
  </si>
  <si>
    <t>15:23:04</t>
  </si>
  <si>
    <t>20230724 15:23:14</t>
  </si>
  <si>
    <t>15:23:14</t>
  </si>
  <si>
    <t>20230724 15:23:24</t>
  </si>
  <si>
    <t>15:23:24</t>
  </si>
  <si>
    <t>20230724 15:23:34</t>
  </si>
  <si>
    <t>15:23:34</t>
  </si>
  <si>
    <t>20230724 15:23:44</t>
  </si>
  <si>
    <t>15:23:44</t>
  </si>
  <si>
    <t>20230724 15:23:54</t>
  </si>
  <si>
    <t>15:23:54</t>
  </si>
  <si>
    <t>20230724 15:24:04</t>
  </si>
  <si>
    <t>15:24:04</t>
  </si>
  <si>
    <t>20230724 15:24:14</t>
  </si>
  <si>
    <t>15:24:14</t>
  </si>
  <si>
    <t>20230724 15:24:24</t>
  </si>
  <si>
    <t>15:24:24</t>
  </si>
  <si>
    <t>20230724 15:24:34</t>
  </si>
  <si>
    <t>15:24:34</t>
  </si>
  <si>
    <t>20230724 15:24:44</t>
  </si>
  <si>
    <t>15:24:44</t>
  </si>
  <si>
    <t>20230724 15:24:54</t>
  </si>
  <si>
    <t>15:24:54</t>
  </si>
  <si>
    <t>20230724 15:25:04</t>
  </si>
  <si>
    <t>15:25:04</t>
  </si>
  <si>
    <t>20230724 15:25:14</t>
  </si>
  <si>
    <t>15:25:14</t>
  </si>
  <si>
    <t>20230724 15:25:24</t>
  </si>
  <si>
    <t>15:25:24</t>
  </si>
  <si>
    <t>20230724 15:25:34</t>
  </si>
  <si>
    <t>15:25:34</t>
  </si>
  <si>
    <t>20230724 15:25:44</t>
  </si>
  <si>
    <t>15:25:44</t>
  </si>
  <si>
    <t>20230724 15:25:54</t>
  </si>
  <si>
    <t>15:25:54</t>
  </si>
  <si>
    <t>20230724 15:26:04</t>
  </si>
  <si>
    <t>15:26:04</t>
  </si>
  <si>
    <t>20230724 15:26:14</t>
  </si>
  <si>
    <t>15:26:14</t>
  </si>
  <si>
    <t>20230724 15:26:24</t>
  </si>
  <si>
    <t>15:26:24</t>
  </si>
  <si>
    <t>20230724 15:26:34</t>
  </si>
  <si>
    <t>15:26:34</t>
  </si>
  <si>
    <t>20230724 15:26:44</t>
  </si>
  <si>
    <t>15:26:44</t>
  </si>
  <si>
    <t>20230724 15:26:54</t>
  </si>
  <si>
    <t>15:26:54</t>
  </si>
  <si>
    <t>20230724 15:27:04</t>
  </si>
  <si>
    <t>15:27:04</t>
  </si>
  <si>
    <t>20230724 15:27:14</t>
  </si>
  <si>
    <t>15:27:14</t>
  </si>
  <si>
    <t>20230724 15:27:24</t>
  </si>
  <si>
    <t>15:27:24</t>
  </si>
  <si>
    <t>20230724 15:27:34</t>
  </si>
  <si>
    <t>15:27:34</t>
  </si>
  <si>
    <t>20230724 15:27:44</t>
  </si>
  <si>
    <t>15:27:44</t>
  </si>
  <si>
    <t>20230724 15:27:55</t>
  </si>
  <si>
    <t>15:27:55</t>
  </si>
  <si>
    <t>20230724 15:28:05</t>
  </si>
  <si>
    <t>15:28:05</t>
  </si>
  <si>
    <t>20230724 15:28:15</t>
  </si>
  <si>
    <t>15:28:15</t>
  </si>
  <si>
    <t>20230724 15:28:25</t>
  </si>
  <si>
    <t>15:28:25</t>
  </si>
  <si>
    <t>20230724 15:28:35</t>
  </si>
  <si>
    <t>15:28:35</t>
  </si>
  <si>
    <t>20230724 15:28:45</t>
  </si>
  <si>
    <t>15:28:45</t>
  </si>
  <si>
    <t>20230724 15:28:55</t>
  </si>
  <si>
    <t>15:28:55</t>
  </si>
  <si>
    <t>20230724 15:29:05</t>
  </si>
  <si>
    <t>15:29:05</t>
  </si>
  <si>
    <t>20230724 15:29:15</t>
  </si>
  <si>
    <t>15:29:15</t>
  </si>
  <si>
    <t>20230724 15:29:25</t>
  </si>
  <si>
    <t>15:29:25</t>
  </si>
  <si>
    <t>20230724 15:29:35</t>
  </si>
  <si>
    <t>15:29:35</t>
  </si>
  <si>
    <t>20230724 15:29:45</t>
  </si>
  <si>
    <t>15:29:45</t>
  </si>
  <si>
    <t>20230724 15:29:55</t>
  </si>
  <si>
    <t>15:29:55</t>
  </si>
  <si>
    <t>20230724 15:30:05</t>
  </si>
  <si>
    <t>15:30:05</t>
  </si>
  <si>
    <t>20230724 15:30:15</t>
  </si>
  <si>
    <t>15:30:15</t>
  </si>
  <si>
    <t>20230724 15:30:25</t>
  </si>
  <si>
    <t>15:30:25</t>
  </si>
  <si>
    <t>20230724 15:30:35</t>
  </si>
  <si>
    <t>15:30:35</t>
  </si>
  <si>
    <t>20230724 15:30:45</t>
  </si>
  <si>
    <t>15:30:45</t>
  </si>
  <si>
    <t>20230724 15:30:55</t>
  </si>
  <si>
    <t>15:30:55</t>
  </si>
  <si>
    <t>20230724 15:31:05</t>
  </si>
  <si>
    <t>15:31:05</t>
  </si>
  <si>
    <t>20230724 15:31:15</t>
  </si>
  <si>
    <t>15:31:15</t>
  </si>
  <si>
    <t>20230724 15:31:25</t>
  </si>
  <si>
    <t>15:31:25</t>
  </si>
  <si>
    <t>20230724 15:31:35</t>
  </si>
  <si>
    <t>15:31:35</t>
  </si>
  <si>
    <t>20230724 15:31:45</t>
  </si>
  <si>
    <t>15:31:45</t>
  </si>
  <si>
    <t>20230724 15:31:55</t>
  </si>
  <si>
    <t>15:31:55</t>
  </si>
  <si>
    <t>20230724 15:32:05</t>
  </si>
  <si>
    <t>15:32:05</t>
  </si>
  <si>
    <t>20230724 15:32:15</t>
  </si>
  <si>
    <t>15:32:15</t>
  </si>
  <si>
    <t>20230724 15:32:25</t>
  </si>
  <si>
    <t>15:32:25</t>
  </si>
  <si>
    <t>20230724 15:32:35</t>
  </si>
  <si>
    <t>15:32:35</t>
  </si>
  <si>
    <t>20230724 15:32:45</t>
  </si>
  <si>
    <t>15:32:45</t>
  </si>
  <si>
    <t>20230724 15:32:55</t>
  </si>
  <si>
    <t>15:32:55</t>
  </si>
  <si>
    <t>20230724 15:33:05</t>
  </si>
  <si>
    <t>15:33:05</t>
  </si>
  <si>
    <t>20230724 15:33:15</t>
  </si>
  <si>
    <t>15:33:15</t>
  </si>
  <si>
    <t>20230724 15:33:25</t>
  </si>
  <si>
    <t>15:33:25</t>
  </si>
  <si>
    <t>20230724 15:33:35</t>
  </si>
  <si>
    <t>15:33:35</t>
  </si>
  <si>
    <t>20230724 15:33:45</t>
  </si>
  <si>
    <t>15:33:45</t>
  </si>
  <si>
    <t>20230724 15:33:55</t>
  </si>
  <si>
    <t>15:33:55</t>
  </si>
  <si>
    <t>20230724 15:34:05</t>
  </si>
  <si>
    <t>15:34:05</t>
  </si>
  <si>
    <t>20230724 15:34:15</t>
  </si>
  <si>
    <t>15:34:15</t>
  </si>
  <si>
    <t>20230724 15:34:25</t>
  </si>
  <si>
    <t>15:34:25</t>
  </si>
  <si>
    <t>20230724 15:34:35</t>
  </si>
  <si>
    <t>15:34:35</t>
  </si>
  <si>
    <t>20230724 15:34:45</t>
  </si>
  <si>
    <t>15:34:45</t>
  </si>
  <si>
    <t>20230724 15:34:55</t>
  </si>
  <si>
    <t>15:34:55</t>
  </si>
  <si>
    <t>20230724 15:35:05</t>
  </si>
  <si>
    <t>15:35:05</t>
  </si>
  <si>
    <t>20230724 15:35:15</t>
  </si>
  <si>
    <t>15:35:15</t>
  </si>
  <si>
    <t>20230724 15:35:25</t>
  </si>
  <si>
    <t>15:35:25</t>
  </si>
  <si>
    <t>20230724 15:35:35</t>
  </si>
  <si>
    <t>15:35:35</t>
  </si>
  <si>
    <t>20230724 15:35:45</t>
  </si>
  <si>
    <t>15:35:45</t>
  </si>
  <si>
    <t>20230724 15:35:55</t>
  </si>
  <si>
    <t>15:35:55</t>
  </si>
  <si>
    <t>20230724 15:36:05</t>
  </si>
  <si>
    <t>15:36:05</t>
  </si>
  <si>
    <t>20230724 15:36:15</t>
  </si>
  <si>
    <t>15:36:15</t>
  </si>
  <si>
    <t>20230724 15:36:25</t>
  </si>
  <si>
    <t>15:36:25</t>
  </si>
  <si>
    <t>20230724 15:36:35</t>
  </si>
  <si>
    <t>15:36:35</t>
  </si>
  <si>
    <t>20230724 15:36:45</t>
  </si>
  <si>
    <t>15:36:45</t>
  </si>
  <si>
    <t>20230724 15:36:55</t>
  </si>
  <si>
    <t>15:36:55</t>
  </si>
  <si>
    <t>20230724 15:37:05</t>
  </si>
  <si>
    <t>15:37:05</t>
  </si>
  <si>
    <t>20230724 15:37:15</t>
  </si>
  <si>
    <t>15:37:15</t>
  </si>
  <si>
    <t>20230724 15:37:25</t>
  </si>
  <si>
    <t>15:37:25</t>
  </si>
  <si>
    <t>20230724 15:37:35</t>
  </si>
  <si>
    <t>15:37:35</t>
  </si>
  <si>
    <t>20230724 15:37:45</t>
  </si>
  <si>
    <t>15:37:45</t>
  </si>
  <si>
    <t>20230724 15:37:55</t>
  </si>
  <si>
    <t>15:37:55</t>
  </si>
  <si>
    <t>20230724 15:38:05</t>
  </si>
  <si>
    <t>15:38:05</t>
  </si>
  <si>
    <t>20230724 15:38:15</t>
  </si>
  <si>
    <t>15:38:15</t>
  </si>
  <si>
    <t>20230724 15:38:25</t>
  </si>
  <si>
    <t>15:38:25</t>
  </si>
  <si>
    <t>20230724 15:38:35</t>
  </si>
  <si>
    <t>15:38:35</t>
  </si>
  <si>
    <t>20230724 15:38:45</t>
  </si>
  <si>
    <t>15:38:45</t>
  </si>
  <si>
    <t>20230724 15:38:55</t>
  </si>
  <si>
    <t>15:38:55</t>
  </si>
  <si>
    <t>20230724 15:39:05</t>
  </si>
  <si>
    <t>15:39:05</t>
  </si>
  <si>
    <t>20230724 15:39:15</t>
  </si>
  <si>
    <t>15:39:15</t>
  </si>
  <si>
    <t>20230724 15:39:25</t>
  </si>
  <si>
    <t>15:39:25</t>
  </si>
  <si>
    <t>20230724 15:39:35</t>
  </si>
  <si>
    <t>15:39:35</t>
  </si>
  <si>
    <t>20230724 15:39:45</t>
  </si>
  <si>
    <t>15:39:45</t>
  </si>
  <si>
    <t>20230724 15:39:55</t>
  </si>
  <si>
    <t>15:39:55</t>
  </si>
  <si>
    <t>20230724 15:40:05</t>
  </si>
  <si>
    <t>15:40:05</t>
  </si>
  <si>
    <t>20230724 15:40:15</t>
  </si>
  <si>
    <t>15:40:15</t>
  </si>
  <si>
    <t>20230724 15:40:25</t>
  </si>
  <si>
    <t>15:40:25</t>
  </si>
  <si>
    <t>20230724 15:40:35</t>
  </si>
  <si>
    <t>15:40:35</t>
  </si>
  <si>
    <t>20230724 15:40:45</t>
  </si>
  <si>
    <t>15:40:45</t>
  </si>
  <si>
    <t>20230724 15:40:55</t>
  </si>
  <si>
    <t>15:40:55</t>
  </si>
  <si>
    <t>20230724 15:41:05</t>
  </si>
  <si>
    <t>15:41:05</t>
  </si>
  <si>
    <t>20230724 15:41:15</t>
  </si>
  <si>
    <t>15:41:15</t>
  </si>
  <si>
    <t>20230724 15:41:25</t>
  </si>
  <si>
    <t>15:41:25</t>
  </si>
  <si>
    <t>20230724 15:41:35</t>
  </si>
  <si>
    <t>15:41:35</t>
  </si>
  <si>
    <t>20230724 15:41:45</t>
  </si>
  <si>
    <t>15:41:45</t>
  </si>
  <si>
    <t>20230724 15:41:55</t>
  </si>
  <si>
    <t>15:41:55</t>
  </si>
  <si>
    <t>20230724 15:42:05</t>
  </si>
  <si>
    <t>15:42:05</t>
  </si>
  <si>
    <t>20230724 15:42:15</t>
  </si>
  <si>
    <t>15:42:15</t>
  </si>
  <si>
    <t>20230724 15:42:25</t>
  </si>
  <si>
    <t>15:42:25</t>
  </si>
  <si>
    <t>20230724 15:42:35</t>
  </si>
  <si>
    <t>15:42:35</t>
  </si>
  <si>
    <t>20230724 15:42:45</t>
  </si>
  <si>
    <t>15:42:45</t>
  </si>
  <si>
    <t>20230724 15:42:55</t>
  </si>
  <si>
    <t>15:42:55</t>
  </si>
  <si>
    <t>20230724 15:43:05</t>
  </si>
  <si>
    <t>15:43:05</t>
  </si>
  <si>
    <t>20230724 15:43:15</t>
  </si>
  <si>
    <t>15:43:15</t>
  </si>
  <si>
    <t>20230724 15:43:25</t>
  </si>
  <si>
    <t>15:43:25</t>
  </si>
  <si>
    <t>20230724 15:43:35</t>
  </si>
  <si>
    <t>15:43:35</t>
  </si>
  <si>
    <t>20230724 15:43:45</t>
  </si>
  <si>
    <t>15:43:45</t>
  </si>
  <si>
    <t>20230724 15:43:55</t>
  </si>
  <si>
    <t>15:43:55</t>
  </si>
  <si>
    <t>20230724 15:44:05</t>
  </si>
  <si>
    <t>15:44:05</t>
  </si>
  <si>
    <t>20230724 15:44:15</t>
  </si>
  <si>
    <t>15:44:15</t>
  </si>
  <si>
    <t>20230724 15:44:25</t>
  </si>
  <si>
    <t>15:44:25</t>
  </si>
  <si>
    <t>20230724 15:44:35</t>
  </si>
  <si>
    <t>15:44:35</t>
  </si>
  <si>
    <t>20230724 15:44:45</t>
  </si>
  <si>
    <t>15:44:45</t>
  </si>
  <si>
    <t>20230724 15:44:55</t>
  </si>
  <si>
    <t>15:44:55</t>
  </si>
  <si>
    <t>20230724 15:45:05</t>
  </si>
  <si>
    <t>15:45:05</t>
  </si>
  <si>
    <t>20230724 15:45:15</t>
  </si>
  <si>
    <t>15:45:15</t>
  </si>
  <si>
    <t>20230724 15:45:25</t>
  </si>
  <si>
    <t>15:45:25</t>
  </si>
  <si>
    <t>20230724 15:45:35</t>
  </si>
  <si>
    <t>15:45:35</t>
  </si>
  <si>
    <t>20230724 15:45:45</t>
  </si>
  <si>
    <t>15:45:45</t>
  </si>
  <si>
    <t>20230724 15:45:55</t>
  </si>
  <si>
    <t>15:45:55</t>
  </si>
  <si>
    <t>20230724 15:46:05</t>
  </si>
  <si>
    <t>15:46:05</t>
  </si>
  <si>
    <t>20230724 15:46:15</t>
  </si>
  <si>
    <t>15:46:15</t>
  </si>
  <si>
    <t>20230724 15:46:25</t>
  </si>
  <si>
    <t>15:46:25</t>
  </si>
  <si>
    <t>20230724 15:46:35</t>
  </si>
  <si>
    <t>15:46:35</t>
  </si>
  <si>
    <t>20230724 15:46:45</t>
  </si>
  <si>
    <t>15:46:45</t>
  </si>
  <si>
    <t>20230724 15:46:55</t>
  </si>
  <si>
    <t>15:46:55</t>
  </si>
  <si>
    <t>20230724 15:47:05</t>
  </si>
  <si>
    <t>15:47:05</t>
  </si>
  <si>
    <t>20230724 15:47:15</t>
  </si>
  <si>
    <t>15:47:15</t>
  </si>
  <si>
    <t>20230724 15:47:25</t>
  </si>
  <si>
    <t>15:47:25</t>
  </si>
  <si>
    <t>20230724 15:47:35</t>
  </si>
  <si>
    <t>15:47:35</t>
  </si>
  <si>
    <t>20230724 15:47:45</t>
  </si>
  <si>
    <t>15:47:45</t>
  </si>
  <si>
    <t>20230724 15:47:55</t>
  </si>
  <si>
    <t>15:47:55</t>
  </si>
  <si>
    <t>20230724 15:48:05</t>
  </si>
  <si>
    <t>15:48:05</t>
  </si>
  <si>
    <t>20230724 15:48:15</t>
  </si>
  <si>
    <t>15:48:15</t>
  </si>
  <si>
    <t>20230724 15:48:25</t>
  </si>
  <si>
    <t>15:48:25</t>
  </si>
  <si>
    <t>20230724 15:48:35</t>
  </si>
  <si>
    <t>15:48:35</t>
  </si>
  <si>
    <t>20230724 15:48:45</t>
  </si>
  <si>
    <t>15:48:45</t>
  </si>
  <si>
    <t>20230724 15:48:55</t>
  </si>
  <si>
    <t>15:48:55</t>
  </si>
  <si>
    <t>20230724 15:49:05</t>
  </si>
  <si>
    <t>15:49:05</t>
  </si>
  <si>
    <t>20230724 15:49:15</t>
  </si>
  <si>
    <t>15:49:15</t>
  </si>
  <si>
    <t>20230724 15:49:25</t>
  </si>
  <si>
    <t>15:49:25</t>
  </si>
  <si>
    <t>20230724 15:49:35</t>
  </si>
  <si>
    <t>15:49:35</t>
  </si>
  <si>
    <t>20230724 15:49:45</t>
  </si>
  <si>
    <t>15:49:45</t>
  </si>
  <si>
    <t>20230724 15:49:55</t>
  </si>
  <si>
    <t>15:49:55</t>
  </si>
  <si>
    <t>20230724 15:50:05</t>
  </si>
  <si>
    <t>15:50:05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</si>
</sst>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8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1690229505.0999999</v>
      </c>
      <c r="C17">
        <v>0</v>
      </c>
      <c r="D17" t="s">
        <v>328</v>
      </c>
      <c r="E17" t="s">
        <v>329</v>
      </c>
      <c r="F17" t="s">
        <v>330</v>
      </c>
      <c r="H17">
        <v>1690229505.0999999</v>
      </c>
      <c r="I17">
        <f t="shared" ref="I17:I80" si="0">(J17)/1000</f>
        <v>1.55979971275721E-4</v>
      </c>
      <c r="J17">
        <f t="shared" ref="J17:J80" si="1">1000*AZ17*AH17*(AV17-AW17)/(100*AO17*(1000-AH17*AV17))</f>
        <v>0.155979971275721</v>
      </c>
      <c r="K17">
        <f t="shared" ref="K17:K80" si="2">AZ17*AH17*(AU17-AT17*(1000-AH17*AW17)/(1000-AH17*AV17))/(100*AO17)</f>
        <v>-0.90098466099471197</v>
      </c>
      <c r="L17">
        <f t="shared" ref="L17:L80" si="3">AT17 - IF(AH17&gt;1, K17*AO17*100/(AJ17*BH17), 0)</f>
        <v>808.16099999999994</v>
      </c>
      <c r="M17">
        <f t="shared" ref="M17:M80" si="4">((S17-I17/2)*L17-K17)/(S17+I17/2)</f>
        <v>908.07779356031028</v>
      </c>
      <c r="N17">
        <f t="shared" ref="N17:N80" si="5">M17*(BA17+BB17)/1000</f>
        <v>90.045080640061869</v>
      </c>
      <c r="O17">
        <f t="shared" ref="O17:O80" si="6">(AT17 - IF(AH17&gt;1, K17*AO17*100/(AJ17*BH17), 0))*(BA17+BB17)/1000</f>
        <v>80.137321858559403</v>
      </c>
      <c r="P17">
        <f t="shared" ref="P17:P80" si="7">2/((1/R17-1/Q17)+SIGN(R17)*SQRT((1/R17-1/Q17)*(1/R17-1/Q17) + 4*AP17/((AP17+1)*(AP17+1))*(2*1/R17*1/Q17-1/Q17*1/Q17)))</f>
        <v>1.2317463618913312E-2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2.175511690281704</v>
      </c>
      <c r="R17">
        <f t="shared" ref="R17:R80" si="9">I17*(1000-(1000*0.61365*EXP(17.502*V17/(240.97+V17))/(BA17+BB17)+AV17)/2)/(1000*0.61365*EXP(17.502*V17/(240.97+V17))/(BA17+BB17)-AV17)</f>
        <v>1.2278850396628732E-2</v>
      </c>
      <c r="S17">
        <f t="shared" ref="S17:S80" si="10">1/((AP17+1)/(P17/1.6)+1/(Q17/1.37)) + AP17/((AP17+1)/(P17/1.6) + AP17/(Q17/1.37))</f>
        <v>7.6777405959365204E-3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26.891941316315652</v>
      </c>
      <c r="V17">
        <f t="shared" ref="V17:V80" si="13">($C$7*BD17+$D$7*BE17+$E$7*U17)</f>
        <v>26.891941316315652</v>
      </c>
      <c r="W17">
        <f t="shared" ref="W17:W80" si="14">0.61365*EXP(17.502*V17/(240.97+V17))</f>
        <v>3.556507186757635</v>
      </c>
      <c r="X17">
        <f t="shared" ref="X17:X80" si="15">(Y17/Z17*100)</f>
        <v>65.428516167356094</v>
      </c>
      <c r="Y17">
        <f t="shared" ref="Y17:Y80" si="16">AV17*(BA17+BB17)/1000</f>
        <v>2.3342782257637005</v>
      </c>
      <c r="Z17">
        <f t="shared" ref="Z17:Z80" si="17">0.61365*EXP(17.502*BC17/(240.97+BC17))</f>
        <v>3.5676771574537551</v>
      </c>
      <c r="AA17">
        <f t="shared" ref="AA17:AA80" si="18">(W17-AV17*(BA17+BB17)/1000)</f>
        <v>1.2222289609939345</v>
      </c>
      <c r="AB17">
        <f t="shared" ref="AB17:AB80" si="19">(-I17*44100)</f>
        <v>-6.8787167332592967</v>
      </c>
      <c r="AC17">
        <f t="shared" ref="AC17:AC80" si="20">2*29.3*Q17*0.92*(BC17-V17)</f>
        <v>6.2582365124687245</v>
      </c>
      <c r="AD17">
        <f t="shared" ref="AD17:AD80" si="21">2*0.95*0.0000000567*(((BC17+$B$7)+273)^4-(V17+273)^4)</f>
        <v>0.62031467019771469</v>
      </c>
      <c r="AE17">
        <f t="shared" ref="AE17:AE80" si="22">T17+AD17+AB17+AC17</f>
        <v>-1.6555059285749962E-4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52267.182009608019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31.5</v>
      </c>
      <c r="AP17">
        <v>0.5</v>
      </c>
      <c r="AQ17" t="s">
        <v>331</v>
      </c>
      <c r="AR17">
        <v>2</v>
      </c>
      <c r="AS17">
        <v>1690229505.0999999</v>
      </c>
      <c r="AT17">
        <v>808.16099999999994</v>
      </c>
      <c r="AU17">
        <v>800.02800000000002</v>
      </c>
      <c r="AV17">
        <v>23.540500000000002</v>
      </c>
      <c r="AW17">
        <v>21.942</v>
      </c>
      <c r="AX17">
        <v>808.37300000000005</v>
      </c>
      <c r="AY17">
        <v>23.361899999999999</v>
      </c>
      <c r="AZ17">
        <v>300.13799999999998</v>
      </c>
      <c r="BA17">
        <v>99.060100000000006</v>
      </c>
      <c r="BB17">
        <v>9.9995399999999998E-2</v>
      </c>
      <c r="BC17">
        <v>26.9453</v>
      </c>
      <c r="BD17">
        <v>26.999099999999999</v>
      </c>
      <c r="BE17">
        <v>27.069600000000001</v>
      </c>
      <c r="BF17">
        <v>0</v>
      </c>
      <c r="BG17">
        <v>0</v>
      </c>
      <c r="BH17">
        <v>9975.6200000000008</v>
      </c>
      <c r="BI17">
        <v>0.72239600000000004</v>
      </c>
      <c r="BJ17">
        <v>1.2474700000000001</v>
      </c>
      <c r="BK17">
        <v>8.1327499999999997</v>
      </c>
      <c r="BL17">
        <v>827.64400000000001</v>
      </c>
      <c r="BM17">
        <v>817.976</v>
      </c>
      <c r="BN17">
        <v>1.5984799999999999</v>
      </c>
      <c r="BO17">
        <v>800.02800000000002</v>
      </c>
      <c r="BP17">
        <v>21.942</v>
      </c>
      <c r="BQ17">
        <v>2.3319200000000002</v>
      </c>
      <c r="BR17">
        <v>2.1735799999999998</v>
      </c>
      <c r="BS17">
        <v>19.898599999999998</v>
      </c>
      <c r="BT17">
        <v>18.768899999999999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1690229084.0999999</v>
      </c>
      <c r="CC17" t="s">
        <v>332</v>
      </c>
      <c r="CD17">
        <v>1690229084.0999999</v>
      </c>
      <c r="CE17">
        <v>1690229076.5999999</v>
      </c>
      <c r="CF17">
        <v>13</v>
      </c>
      <c r="CG17">
        <v>0.23300000000000001</v>
      </c>
      <c r="CH17">
        <v>-0.13100000000000001</v>
      </c>
      <c r="CI17">
        <v>-0.20599999999999999</v>
      </c>
      <c r="CJ17">
        <v>8.7999999999999995E-2</v>
      </c>
      <c r="CK17">
        <v>799</v>
      </c>
      <c r="CL17">
        <v>16</v>
      </c>
      <c r="CM17">
        <v>0.04</v>
      </c>
      <c r="CN17">
        <v>0.04</v>
      </c>
      <c r="CO17">
        <v>8.1176963414634145</v>
      </c>
      <c r="CP17">
        <v>-9.5239442508702407E-2</v>
      </c>
      <c r="CQ17">
        <v>3.6972425041432909E-2</v>
      </c>
      <c r="CR17">
        <v>-1</v>
      </c>
      <c r="CS17">
        <v>1.5932653658536591</v>
      </c>
      <c r="CT17">
        <v>2.8367665505230611E-2</v>
      </c>
      <c r="CU17">
        <v>2.924617212860684E-3</v>
      </c>
      <c r="CV17">
        <v>-1</v>
      </c>
      <c r="CW17">
        <v>0</v>
      </c>
      <c r="CX17">
        <v>0</v>
      </c>
      <c r="CY17" t="s">
        <v>333</v>
      </c>
      <c r="CZ17">
        <v>2.3641700000000001</v>
      </c>
      <c r="DA17">
        <v>2.7137600000000002</v>
      </c>
      <c r="DB17">
        <v>0.147704</v>
      </c>
      <c r="DC17">
        <v>0.14635000000000001</v>
      </c>
      <c r="DD17">
        <v>0.11233600000000001</v>
      </c>
      <c r="DE17">
        <v>0.10531500000000001</v>
      </c>
      <c r="DF17">
        <v>31121</v>
      </c>
      <c r="DG17">
        <v>27516.5</v>
      </c>
      <c r="DH17">
        <v>31172.6</v>
      </c>
      <c r="DI17">
        <v>28087.3</v>
      </c>
      <c r="DJ17">
        <v>37570</v>
      </c>
      <c r="DK17">
        <v>35733.699999999997</v>
      </c>
      <c r="DL17">
        <v>44363.4</v>
      </c>
      <c r="DM17">
        <v>42574.6</v>
      </c>
      <c r="DN17">
        <v>1.4721299999999999</v>
      </c>
      <c r="DO17">
        <v>2.0586799999999998</v>
      </c>
      <c r="DP17">
        <v>7.7038999999999996E-2</v>
      </c>
      <c r="DQ17">
        <v>7.78586E-2</v>
      </c>
      <c r="DR17">
        <v>25.7379</v>
      </c>
      <c r="DS17">
        <v>25.795100000000001</v>
      </c>
      <c r="DT17">
        <v>55.7</v>
      </c>
      <c r="DU17">
        <v>29.4</v>
      </c>
      <c r="DV17">
        <v>23.142600000000002</v>
      </c>
      <c r="DW17">
        <v>62.009799999999998</v>
      </c>
      <c r="DX17">
        <v>36.350200000000001</v>
      </c>
      <c r="DY17">
        <v>1</v>
      </c>
      <c r="DZ17">
        <v>-7.9423300000000002E-2</v>
      </c>
      <c r="EA17">
        <v>-1.52111</v>
      </c>
      <c r="EB17">
        <v>20.296399999999998</v>
      </c>
      <c r="EC17">
        <v>5.2409499999999998</v>
      </c>
      <c r="ED17">
        <v>12.039899999999999</v>
      </c>
      <c r="EE17">
        <v>5.0170000000000003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1.8691800000000001</v>
      </c>
      <c r="EN17">
        <v>1.8672200000000001</v>
      </c>
      <c r="EO17">
        <v>1.8633999999999999</v>
      </c>
      <c r="EP17">
        <v>1.8644799999999999</v>
      </c>
      <c r="EQ17">
        <v>1.87012</v>
      </c>
      <c r="ER17">
        <v>1.86937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-0.21199999999999999</v>
      </c>
      <c r="FG17">
        <v>0.17860000000000001</v>
      </c>
      <c r="FH17">
        <v>0.3448811944559278</v>
      </c>
      <c r="FI17">
        <v>-6.1462078757559423E-4</v>
      </c>
      <c r="FJ17">
        <v>-1.8861989874597051E-7</v>
      </c>
      <c r="FK17">
        <v>1.1980462299894961E-10</v>
      </c>
      <c r="FL17">
        <v>0.17862261546663211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7</v>
      </c>
      <c r="FU17">
        <v>7.1</v>
      </c>
      <c r="FV17">
        <v>1.79565</v>
      </c>
      <c r="FW17">
        <v>2.5817899999999998</v>
      </c>
      <c r="FX17">
        <v>1.5490699999999999</v>
      </c>
      <c r="FY17">
        <v>2.3290999999999999</v>
      </c>
      <c r="FZ17">
        <v>1.50146</v>
      </c>
      <c r="GA17">
        <v>2.34375</v>
      </c>
      <c r="GB17">
        <v>33.896099999999997</v>
      </c>
      <c r="GC17">
        <v>24.017499999999998</v>
      </c>
      <c r="GD17">
        <v>19</v>
      </c>
      <c r="GE17">
        <v>281.68099999999998</v>
      </c>
      <c r="GF17">
        <v>603.04200000000003</v>
      </c>
      <c r="GG17">
        <v>28.525200000000002</v>
      </c>
      <c r="GH17">
        <v>26.402000000000001</v>
      </c>
      <c r="GI17">
        <v>29.999300000000002</v>
      </c>
      <c r="GJ17">
        <v>26.473500000000001</v>
      </c>
      <c r="GK17">
        <v>26.444299999999998</v>
      </c>
      <c r="GL17">
        <v>35.900799999999997</v>
      </c>
      <c r="GM17">
        <v>14.966799999999999</v>
      </c>
      <c r="GN17">
        <v>100</v>
      </c>
      <c r="GO17">
        <v>28.518599999999999</v>
      </c>
      <c r="GP17">
        <v>800</v>
      </c>
      <c r="GQ17">
        <v>21.944299999999998</v>
      </c>
      <c r="GR17">
        <v>99.741500000000002</v>
      </c>
      <c r="GS17">
        <v>99.593100000000007</v>
      </c>
    </row>
    <row r="18" spans="1:201" x14ac:dyDescent="0.25">
      <c r="A18">
        <v>2</v>
      </c>
      <c r="B18">
        <v>1690229506.0999999</v>
      </c>
      <c r="C18">
        <v>1</v>
      </c>
      <c r="D18" t="s">
        <v>337</v>
      </c>
      <c r="E18" t="s">
        <v>338</v>
      </c>
      <c r="F18" t="s">
        <v>330</v>
      </c>
      <c r="H18">
        <v>1690229506.0999999</v>
      </c>
      <c r="I18">
        <f t="shared" si="0"/>
        <v>1.561546007003576E-4</v>
      </c>
      <c r="J18">
        <f t="shared" si="1"/>
        <v>0.15615460070035761</v>
      </c>
      <c r="K18">
        <f t="shared" si="2"/>
        <v>-0.90055151578866055</v>
      </c>
      <c r="L18">
        <f t="shared" si="3"/>
        <v>808.15899999999999</v>
      </c>
      <c r="M18">
        <f t="shared" si="4"/>
        <v>907.85997081157052</v>
      </c>
      <c r="N18">
        <f t="shared" si="5"/>
        <v>90.023392526811392</v>
      </c>
      <c r="O18">
        <f t="shared" si="6"/>
        <v>80.137044500418398</v>
      </c>
      <c r="P18">
        <f t="shared" si="7"/>
        <v>1.2334996720235593E-2</v>
      </c>
      <c r="Q18">
        <f t="shared" si="8"/>
        <v>2.1802907679221093</v>
      </c>
      <c r="R18">
        <f t="shared" si="9"/>
        <v>1.2296358271217759E-2</v>
      </c>
      <c r="S18">
        <f t="shared" si="10"/>
        <v>7.6886852851892028E-3</v>
      </c>
      <c r="T18">
        <f t="shared" si="11"/>
        <v>0</v>
      </c>
      <c r="U18">
        <f t="shared" si="12"/>
        <v>26.890288045732849</v>
      </c>
      <c r="V18">
        <f t="shared" si="13"/>
        <v>26.890288045732849</v>
      </c>
      <c r="W18">
        <f t="shared" si="14"/>
        <v>3.55616158348972</v>
      </c>
      <c r="X18">
        <f t="shared" si="15"/>
        <v>65.435821292452474</v>
      </c>
      <c r="Y18">
        <f t="shared" si="16"/>
        <v>2.3343056715020798</v>
      </c>
      <c r="Z18">
        <f t="shared" si="17"/>
        <v>3.5673208120508821</v>
      </c>
      <c r="AA18">
        <f t="shared" si="18"/>
        <v>1.2218559119876402</v>
      </c>
      <c r="AB18">
        <f t="shared" si="19"/>
        <v>-6.8864178908857703</v>
      </c>
      <c r="AC18">
        <f t="shared" si="20"/>
        <v>6.2664916028316666</v>
      </c>
      <c r="AD18">
        <f t="shared" si="21"/>
        <v>0.61976102915544917</v>
      </c>
      <c r="AE18">
        <f t="shared" si="22"/>
        <v>-1.6525889865448562E-4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52465.331794528865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31.5</v>
      </c>
      <c r="AP18">
        <v>0.5</v>
      </c>
      <c r="AQ18" t="s">
        <v>331</v>
      </c>
      <c r="AR18">
        <v>2</v>
      </c>
      <c r="AS18">
        <v>1690229506.0999999</v>
      </c>
      <c r="AT18">
        <v>808.15899999999999</v>
      </c>
      <c r="AU18">
        <v>800.03399999999999</v>
      </c>
      <c r="AV18">
        <v>23.540800000000001</v>
      </c>
      <c r="AW18">
        <v>21.940899999999999</v>
      </c>
      <c r="AX18">
        <v>808.37099999999998</v>
      </c>
      <c r="AY18">
        <v>23.362200000000001</v>
      </c>
      <c r="AZ18">
        <v>300.21100000000001</v>
      </c>
      <c r="BA18">
        <v>99.06</v>
      </c>
      <c r="BB18">
        <v>9.9997600000000006E-2</v>
      </c>
      <c r="BC18">
        <v>26.9436</v>
      </c>
      <c r="BD18">
        <v>26.997900000000001</v>
      </c>
      <c r="BE18">
        <v>27.0702</v>
      </c>
      <c r="BF18">
        <v>0</v>
      </c>
      <c r="BG18">
        <v>0</v>
      </c>
      <c r="BH18">
        <v>10015</v>
      </c>
      <c r="BI18">
        <v>0.71512299999999995</v>
      </c>
      <c r="BJ18">
        <v>1.1886000000000001</v>
      </c>
      <c r="BK18">
        <v>8.1248799999999992</v>
      </c>
      <c r="BL18">
        <v>827.64200000000005</v>
      </c>
      <c r="BM18">
        <v>817.98099999999999</v>
      </c>
      <c r="BN18">
        <v>1.5999300000000001</v>
      </c>
      <c r="BO18">
        <v>800.03399999999999</v>
      </c>
      <c r="BP18">
        <v>21.940899999999999</v>
      </c>
      <c r="BQ18">
        <v>2.33195</v>
      </c>
      <c r="BR18">
        <v>2.1734599999999999</v>
      </c>
      <c r="BS18">
        <v>19.898800000000001</v>
      </c>
      <c r="BT18">
        <v>18.768000000000001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1690229084.0999999</v>
      </c>
      <c r="CC18" t="s">
        <v>332</v>
      </c>
      <c r="CD18">
        <v>1690229084.0999999</v>
      </c>
      <c r="CE18">
        <v>1690229076.5999999</v>
      </c>
      <c r="CF18">
        <v>13</v>
      </c>
      <c r="CG18">
        <v>0.23300000000000001</v>
      </c>
      <c r="CH18">
        <v>-0.13100000000000001</v>
      </c>
      <c r="CI18">
        <v>-0.20599999999999999</v>
      </c>
      <c r="CJ18">
        <v>8.7999999999999995E-2</v>
      </c>
      <c r="CK18">
        <v>799</v>
      </c>
      <c r="CL18">
        <v>16</v>
      </c>
      <c r="CM18">
        <v>0.04</v>
      </c>
      <c r="CN18">
        <v>0.04</v>
      </c>
      <c r="CO18">
        <v>8.1214547499999998</v>
      </c>
      <c r="CP18">
        <v>-0.17278210131332891</v>
      </c>
      <c r="CQ18">
        <v>3.4868459170681682E-2</v>
      </c>
      <c r="CR18">
        <v>-1</v>
      </c>
      <c r="CS18">
        <v>1.5940067499999999</v>
      </c>
      <c r="CT18">
        <v>2.940844277673612E-2</v>
      </c>
      <c r="CU18">
        <v>2.94826252859207E-3</v>
      </c>
      <c r="CV18">
        <v>-1</v>
      </c>
      <c r="CW18">
        <v>0</v>
      </c>
      <c r="CX18">
        <v>0</v>
      </c>
      <c r="CY18" t="s">
        <v>333</v>
      </c>
      <c r="CZ18">
        <v>2.36442</v>
      </c>
      <c r="DA18">
        <v>2.7138</v>
      </c>
      <c r="DB18">
        <v>0.147704</v>
      </c>
      <c r="DC18">
        <v>0.14635000000000001</v>
      </c>
      <c r="DD18">
        <v>0.11233700000000001</v>
      </c>
      <c r="DE18">
        <v>0.105311</v>
      </c>
      <c r="DF18">
        <v>31121.1</v>
      </c>
      <c r="DG18">
        <v>27516.400000000001</v>
      </c>
      <c r="DH18">
        <v>31172.6</v>
      </c>
      <c r="DI18">
        <v>28087.200000000001</v>
      </c>
      <c r="DJ18">
        <v>37569.9</v>
      </c>
      <c r="DK18">
        <v>35733.800000000003</v>
      </c>
      <c r="DL18">
        <v>44363.4</v>
      </c>
      <c r="DM18">
        <v>42574.5</v>
      </c>
      <c r="DN18">
        <v>1.4719800000000001</v>
      </c>
      <c r="DO18">
        <v>2.0586799999999998</v>
      </c>
      <c r="DP18">
        <v>7.6964500000000005E-2</v>
      </c>
      <c r="DQ18">
        <v>7.7933100000000005E-2</v>
      </c>
      <c r="DR18">
        <v>25.7379</v>
      </c>
      <c r="DS18">
        <v>25.794599999999999</v>
      </c>
      <c r="DT18">
        <v>55.7</v>
      </c>
      <c r="DU18">
        <v>29.4</v>
      </c>
      <c r="DV18">
        <v>23.1433</v>
      </c>
      <c r="DW18">
        <v>61.339799999999997</v>
      </c>
      <c r="DX18">
        <v>35.188299999999998</v>
      </c>
      <c r="DY18">
        <v>1</v>
      </c>
      <c r="DZ18">
        <v>-7.9624E-2</v>
      </c>
      <c r="EA18">
        <v>-1.52525</v>
      </c>
      <c r="EB18">
        <v>20.296399999999998</v>
      </c>
      <c r="EC18">
        <v>5.2404999999999999</v>
      </c>
      <c r="ED18">
        <v>12.039899999999999</v>
      </c>
      <c r="EE18">
        <v>5.0169499999999996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1.8691800000000001</v>
      </c>
      <c r="EN18">
        <v>1.8672200000000001</v>
      </c>
      <c r="EO18">
        <v>1.8633999999999999</v>
      </c>
      <c r="EP18">
        <v>1.86449</v>
      </c>
      <c r="EQ18">
        <v>1.87012</v>
      </c>
      <c r="ER18">
        <v>1.86938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-0.21199999999999999</v>
      </c>
      <c r="FG18">
        <v>0.17860000000000001</v>
      </c>
      <c r="FH18">
        <v>0.3448811944559278</v>
      </c>
      <c r="FI18">
        <v>-6.1462078757559423E-4</v>
      </c>
      <c r="FJ18">
        <v>-1.8861989874597051E-7</v>
      </c>
      <c r="FK18">
        <v>1.1980462299894961E-10</v>
      </c>
      <c r="FL18">
        <v>0.17862261546663211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7</v>
      </c>
      <c r="FU18">
        <v>7.2</v>
      </c>
      <c r="FV18">
        <v>1.79565</v>
      </c>
      <c r="FW18">
        <v>2.5878899999999998</v>
      </c>
      <c r="FX18">
        <v>1.5490699999999999</v>
      </c>
      <c r="FY18">
        <v>2.3290999999999999</v>
      </c>
      <c r="FZ18">
        <v>1.50146</v>
      </c>
      <c r="GA18">
        <v>2.3828100000000001</v>
      </c>
      <c r="GB18">
        <v>33.896099999999997</v>
      </c>
      <c r="GC18">
        <v>24.017499999999998</v>
      </c>
      <c r="GD18">
        <v>19</v>
      </c>
      <c r="GE18">
        <v>281.62</v>
      </c>
      <c r="GF18">
        <v>603.048</v>
      </c>
      <c r="GG18">
        <v>28.523599999999998</v>
      </c>
      <c r="GH18">
        <v>26.402000000000001</v>
      </c>
      <c r="GI18">
        <v>29.999199999999998</v>
      </c>
      <c r="GJ18">
        <v>26.4741</v>
      </c>
      <c r="GK18">
        <v>26.444800000000001</v>
      </c>
      <c r="GL18">
        <v>35.901200000000003</v>
      </c>
      <c r="GM18">
        <v>14.966799999999999</v>
      </c>
      <c r="GN18">
        <v>100</v>
      </c>
      <c r="GO18">
        <v>28.518599999999999</v>
      </c>
      <c r="GP18">
        <v>800</v>
      </c>
      <c r="GQ18">
        <v>21.944500000000001</v>
      </c>
      <c r="GR18">
        <v>99.741399999999999</v>
      </c>
      <c r="GS18">
        <v>99.592799999999997</v>
      </c>
    </row>
    <row r="19" spans="1:201" x14ac:dyDescent="0.25">
      <c r="A19">
        <v>3</v>
      </c>
      <c r="B19">
        <v>1690229507.0999999</v>
      </c>
      <c r="C19">
        <v>2</v>
      </c>
      <c r="D19" t="s">
        <v>339</v>
      </c>
      <c r="E19" t="s">
        <v>340</v>
      </c>
      <c r="F19" t="s">
        <v>330</v>
      </c>
      <c r="H19">
        <v>1690229507.0999999</v>
      </c>
      <c r="I19">
        <f t="shared" si="0"/>
        <v>1.5628696359071666E-4</v>
      </c>
      <c r="J19">
        <f t="shared" si="1"/>
        <v>0.15628696359071667</v>
      </c>
      <c r="K19">
        <f t="shared" si="2"/>
        <v>-0.90335353593155043</v>
      </c>
      <c r="L19">
        <f t="shared" si="3"/>
        <v>808.16600000000005</v>
      </c>
      <c r="M19">
        <f t="shared" si="4"/>
        <v>908.09819212828484</v>
      </c>
      <c r="N19">
        <f t="shared" si="5"/>
        <v>90.047273904848723</v>
      </c>
      <c r="O19">
        <f t="shared" si="6"/>
        <v>80.137969432611214</v>
      </c>
      <c r="P19">
        <f t="shared" si="7"/>
        <v>1.2349327738858178E-2</v>
      </c>
      <c r="Q19">
        <f t="shared" si="8"/>
        <v>2.1815783332157066</v>
      </c>
      <c r="R19">
        <f t="shared" si="9"/>
        <v>1.2310622388136835E-2</v>
      </c>
      <c r="S19">
        <f t="shared" si="10"/>
        <v>7.697606345815601E-3</v>
      </c>
      <c r="T19">
        <f t="shared" si="11"/>
        <v>0</v>
      </c>
      <c r="U19">
        <f t="shared" si="12"/>
        <v>26.888571432757331</v>
      </c>
      <c r="V19">
        <f t="shared" si="13"/>
        <v>26.888571432757331</v>
      </c>
      <c r="W19">
        <f t="shared" si="14"/>
        <v>3.5558027700154229</v>
      </c>
      <c r="X19">
        <f t="shared" si="15"/>
        <v>65.44282434758712</v>
      </c>
      <c r="Y19">
        <f t="shared" si="16"/>
        <v>2.3343223107828797</v>
      </c>
      <c r="Z19">
        <f t="shared" si="17"/>
        <v>3.5669644977187578</v>
      </c>
      <c r="AA19">
        <f t="shared" si="18"/>
        <v>1.2214804592325432</v>
      </c>
      <c r="AB19">
        <f t="shared" si="19"/>
        <v>-6.8922550943506042</v>
      </c>
      <c r="AC19">
        <f t="shared" si="20"/>
        <v>6.2721461699326433</v>
      </c>
      <c r="AD19">
        <f t="shared" si="21"/>
        <v>0.61994356438871889</v>
      </c>
      <c r="AE19">
        <f t="shared" si="22"/>
        <v>-1.6536002924194548E-4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52519.020534227893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31.5</v>
      </c>
      <c r="AP19">
        <v>0.5</v>
      </c>
      <c r="AQ19" t="s">
        <v>331</v>
      </c>
      <c r="AR19">
        <v>2</v>
      </c>
      <c r="AS19">
        <v>1690229507.0999999</v>
      </c>
      <c r="AT19">
        <v>808.16600000000005</v>
      </c>
      <c r="AU19">
        <v>800.01199999999994</v>
      </c>
      <c r="AV19">
        <v>23.540900000000001</v>
      </c>
      <c r="AW19">
        <v>21.939499999999999</v>
      </c>
      <c r="AX19">
        <v>808.37800000000004</v>
      </c>
      <c r="AY19">
        <v>23.362300000000001</v>
      </c>
      <c r="AZ19">
        <v>300.18400000000003</v>
      </c>
      <c r="BA19">
        <v>99.060299999999998</v>
      </c>
      <c r="BB19">
        <v>9.9983199999999994E-2</v>
      </c>
      <c r="BC19">
        <v>26.9419</v>
      </c>
      <c r="BD19">
        <v>27.0016</v>
      </c>
      <c r="BE19">
        <v>27.066500000000001</v>
      </c>
      <c r="BF19">
        <v>0</v>
      </c>
      <c r="BG19">
        <v>0</v>
      </c>
      <c r="BH19">
        <v>10025.6</v>
      </c>
      <c r="BI19">
        <v>0.693299</v>
      </c>
      <c r="BJ19">
        <v>1.14375</v>
      </c>
      <c r="BK19">
        <v>8.1542399999999997</v>
      </c>
      <c r="BL19">
        <v>827.65</v>
      </c>
      <c r="BM19">
        <v>817.95799999999997</v>
      </c>
      <c r="BN19">
        <v>1.6013900000000001</v>
      </c>
      <c r="BO19">
        <v>800.01199999999994</v>
      </c>
      <c r="BP19">
        <v>21.939499999999999</v>
      </c>
      <c r="BQ19">
        <v>2.3319700000000001</v>
      </c>
      <c r="BR19">
        <v>2.17334</v>
      </c>
      <c r="BS19">
        <v>19.899000000000001</v>
      </c>
      <c r="BT19">
        <v>18.767099999999999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1690229084.0999999</v>
      </c>
      <c r="CC19" t="s">
        <v>332</v>
      </c>
      <c r="CD19">
        <v>1690229084.0999999</v>
      </c>
      <c r="CE19">
        <v>1690229076.5999999</v>
      </c>
      <c r="CF19">
        <v>13</v>
      </c>
      <c r="CG19">
        <v>0.23300000000000001</v>
      </c>
      <c r="CH19">
        <v>-0.13100000000000001</v>
      </c>
      <c r="CI19">
        <v>-0.20599999999999999</v>
      </c>
      <c r="CJ19">
        <v>8.7999999999999995E-2</v>
      </c>
      <c r="CK19">
        <v>799</v>
      </c>
      <c r="CL19">
        <v>16</v>
      </c>
      <c r="CM19">
        <v>0.04</v>
      </c>
      <c r="CN19">
        <v>0.04</v>
      </c>
      <c r="CO19">
        <v>8.1223717073170718</v>
      </c>
      <c r="CP19">
        <v>-0.16940550522646261</v>
      </c>
      <c r="CQ19">
        <v>3.4333719605704117E-2</v>
      </c>
      <c r="CR19">
        <v>-1</v>
      </c>
      <c r="CS19">
        <v>1.594647804878049</v>
      </c>
      <c r="CT19">
        <v>3.033595818815641E-2</v>
      </c>
      <c r="CU19">
        <v>3.1061100385665059E-3</v>
      </c>
      <c r="CV19">
        <v>-1</v>
      </c>
      <c r="CW19">
        <v>0</v>
      </c>
      <c r="CX19">
        <v>0</v>
      </c>
      <c r="CY19" t="s">
        <v>333</v>
      </c>
      <c r="CZ19">
        <v>2.3643100000000001</v>
      </c>
      <c r="DA19">
        <v>2.7138</v>
      </c>
      <c r="DB19">
        <v>0.147705</v>
      </c>
      <c r="DC19">
        <v>0.14634800000000001</v>
      </c>
      <c r="DD19">
        <v>0.11233799999999999</v>
      </c>
      <c r="DE19">
        <v>0.105307</v>
      </c>
      <c r="DF19">
        <v>31121.1</v>
      </c>
      <c r="DG19">
        <v>27516.2</v>
      </c>
      <c r="DH19">
        <v>31172.6</v>
      </c>
      <c r="DI19">
        <v>28087</v>
      </c>
      <c r="DJ19">
        <v>37569.9</v>
      </c>
      <c r="DK19">
        <v>35733.800000000003</v>
      </c>
      <c r="DL19">
        <v>44363.3</v>
      </c>
      <c r="DM19">
        <v>42574.3</v>
      </c>
      <c r="DN19">
        <v>1.47193</v>
      </c>
      <c r="DO19">
        <v>2.0587200000000001</v>
      </c>
      <c r="DP19">
        <v>7.7188000000000007E-2</v>
      </c>
      <c r="DQ19">
        <v>7.7709600000000004E-2</v>
      </c>
      <c r="DR19">
        <v>25.7379</v>
      </c>
      <c r="DS19">
        <v>25.794499999999999</v>
      </c>
      <c r="DT19">
        <v>55.7</v>
      </c>
      <c r="DU19">
        <v>29.4</v>
      </c>
      <c r="DV19">
        <v>23.142199999999999</v>
      </c>
      <c r="DW19">
        <v>61.839799999999997</v>
      </c>
      <c r="DX19">
        <v>36.0657</v>
      </c>
      <c r="DY19">
        <v>1</v>
      </c>
      <c r="DZ19">
        <v>-7.9707799999999995E-2</v>
      </c>
      <c r="EA19">
        <v>-1.52704</v>
      </c>
      <c r="EB19">
        <v>20.296299999999999</v>
      </c>
      <c r="EC19">
        <v>5.2404999999999999</v>
      </c>
      <c r="ED19">
        <v>12.039899999999999</v>
      </c>
      <c r="EE19">
        <v>5.0168499999999998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1.86917</v>
      </c>
      <c r="EN19">
        <v>1.8672200000000001</v>
      </c>
      <c r="EO19">
        <v>1.8633999999999999</v>
      </c>
      <c r="EP19">
        <v>1.86449</v>
      </c>
      <c r="EQ19">
        <v>1.87012</v>
      </c>
      <c r="ER19">
        <v>1.8693900000000001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-0.21199999999999999</v>
      </c>
      <c r="FG19">
        <v>0.17860000000000001</v>
      </c>
      <c r="FH19">
        <v>0.3448811944559278</v>
      </c>
      <c r="FI19">
        <v>-6.1462078757559423E-4</v>
      </c>
      <c r="FJ19">
        <v>-1.8861989874597051E-7</v>
      </c>
      <c r="FK19">
        <v>1.1980462299894961E-10</v>
      </c>
      <c r="FL19">
        <v>0.17862261546663211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7</v>
      </c>
      <c r="FU19">
        <v>7.2</v>
      </c>
      <c r="FV19">
        <v>1.79565</v>
      </c>
      <c r="FW19">
        <v>2.5817899999999998</v>
      </c>
      <c r="FX19">
        <v>1.5490699999999999</v>
      </c>
      <c r="FY19">
        <v>2.3290999999999999</v>
      </c>
      <c r="FZ19">
        <v>1.50146</v>
      </c>
      <c r="GA19">
        <v>2.3962400000000001</v>
      </c>
      <c r="GB19">
        <v>33.896099999999997</v>
      </c>
      <c r="GC19">
        <v>24.017499999999998</v>
      </c>
      <c r="GD19">
        <v>19</v>
      </c>
      <c r="GE19">
        <v>281.601</v>
      </c>
      <c r="GF19">
        <v>603.09199999999998</v>
      </c>
      <c r="GG19">
        <v>28.523099999999999</v>
      </c>
      <c r="GH19">
        <v>26.402000000000001</v>
      </c>
      <c r="GI19">
        <v>29.999300000000002</v>
      </c>
      <c r="GJ19">
        <v>26.474699999999999</v>
      </c>
      <c r="GK19">
        <v>26.444900000000001</v>
      </c>
      <c r="GL19">
        <v>35.901499999999999</v>
      </c>
      <c r="GM19">
        <v>14.966799999999999</v>
      </c>
      <c r="GN19">
        <v>100</v>
      </c>
      <c r="GO19">
        <v>28.518599999999999</v>
      </c>
      <c r="GP19">
        <v>800</v>
      </c>
      <c r="GQ19">
        <v>21.943999999999999</v>
      </c>
      <c r="GR19">
        <v>99.741399999999999</v>
      </c>
      <c r="GS19">
        <v>99.592299999999994</v>
      </c>
    </row>
    <row r="20" spans="1:201" x14ac:dyDescent="0.25">
      <c r="A20">
        <v>4</v>
      </c>
      <c r="B20">
        <v>1690229508.5999999</v>
      </c>
      <c r="C20">
        <v>3.5</v>
      </c>
      <c r="D20" t="s">
        <v>341</v>
      </c>
      <c r="E20" t="s">
        <v>342</v>
      </c>
      <c r="F20" t="s">
        <v>330</v>
      </c>
      <c r="H20">
        <v>1690229508.5999999</v>
      </c>
      <c r="I20">
        <f t="shared" si="0"/>
        <v>1.564005048137265E-4</v>
      </c>
      <c r="J20">
        <f t="shared" si="1"/>
        <v>0.1564005048137265</v>
      </c>
      <c r="K20">
        <f t="shared" si="2"/>
        <v>-0.90356837485157171</v>
      </c>
      <c r="L20">
        <f t="shared" si="3"/>
        <v>808.14499999999998</v>
      </c>
      <c r="M20">
        <f t="shared" si="4"/>
        <v>907.96898096750942</v>
      </c>
      <c r="N20">
        <f t="shared" si="5"/>
        <v>90.035528879481475</v>
      </c>
      <c r="O20">
        <f t="shared" si="6"/>
        <v>80.13683728355501</v>
      </c>
      <c r="P20">
        <f t="shared" si="7"/>
        <v>1.2364892027493149E-2</v>
      </c>
      <c r="Q20">
        <f t="shared" si="8"/>
        <v>2.17765397070161</v>
      </c>
      <c r="R20">
        <f t="shared" si="9"/>
        <v>1.2326019527944624E-2</v>
      </c>
      <c r="S20">
        <f t="shared" si="10"/>
        <v>7.7072445010120255E-3</v>
      </c>
      <c r="T20">
        <f t="shared" si="11"/>
        <v>0</v>
      </c>
      <c r="U20">
        <f t="shared" si="12"/>
        <v>26.885545043821381</v>
      </c>
      <c r="V20">
        <f t="shared" si="13"/>
        <v>26.885545043821381</v>
      </c>
      <c r="W20">
        <f t="shared" si="14"/>
        <v>3.5551702587825282</v>
      </c>
      <c r="X20">
        <f t="shared" si="15"/>
        <v>65.453640686110759</v>
      </c>
      <c r="Y20">
        <f t="shared" si="16"/>
        <v>2.3343103255895001</v>
      </c>
      <c r="Z20">
        <f t="shared" si="17"/>
        <v>3.5663567390909701</v>
      </c>
      <c r="AA20">
        <f t="shared" si="18"/>
        <v>1.2208599331930281</v>
      </c>
      <c r="AB20">
        <f t="shared" si="19"/>
        <v>-6.8972622622853388</v>
      </c>
      <c r="AC20">
        <f t="shared" si="20"/>
        <v>6.2757017061200537</v>
      </c>
      <c r="AD20">
        <f t="shared" si="21"/>
        <v>0.62139441465928014</v>
      </c>
      <c r="AE20">
        <f t="shared" si="22"/>
        <v>-1.6614150600524624E-4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52356.943652873531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31.5</v>
      </c>
      <c r="AP20">
        <v>0.5</v>
      </c>
      <c r="AQ20" t="s">
        <v>331</v>
      </c>
      <c r="AR20">
        <v>2</v>
      </c>
      <c r="AS20">
        <v>1690229508.5999999</v>
      </c>
      <c r="AT20">
        <v>808.14499999999998</v>
      </c>
      <c r="AU20">
        <v>799.99</v>
      </c>
      <c r="AV20">
        <v>23.540500000000002</v>
      </c>
      <c r="AW20">
        <v>21.937999999999999</v>
      </c>
      <c r="AX20">
        <v>808.35699999999997</v>
      </c>
      <c r="AY20">
        <v>23.361799999999999</v>
      </c>
      <c r="AZ20">
        <v>300.19600000000003</v>
      </c>
      <c r="BA20">
        <v>99.061400000000006</v>
      </c>
      <c r="BB20">
        <v>0.100059</v>
      </c>
      <c r="BC20">
        <v>26.939</v>
      </c>
      <c r="BD20">
        <v>26.99</v>
      </c>
      <c r="BE20">
        <v>27.060500000000001</v>
      </c>
      <c r="BF20">
        <v>0</v>
      </c>
      <c r="BG20">
        <v>0</v>
      </c>
      <c r="BH20">
        <v>9993.1200000000008</v>
      </c>
      <c r="BI20">
        <v>0.68845000000000001</v>
      </c>
      <c r="BJ20">
        <v>1.1213200000000001</v>
      </c>
      <c r="BK20">
        <v>8.1551500000000008</v>
      </c>
      <c r="BL20">
        <v>827.62800000000004</v>
      </c>
      <c r="BM20">
        <v>817.93299999999999</v>
      </c>
      <c r="BN20">
        <v>1.6024700000000001</v>
      </c>
      <c r="BO20">
        <v>799.99</v>
      </c>
      <c r="BP20">
        <v>21.937999999999999</v>
      </c>
      <c r="BQ20">
        <v>2.33195</v>
      </c>
      <c r="BR20">
        <v>2.1732100000000001</v>
      </c>
      <c r="BS20">
        <v>19.898800000000001</v>
      </c>
      <c r="BT20">
        <v>18.766200000000001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1690229084.0999999</v>
      </c>
      <c r="CC20" t="s">
        <v>332</v>
      </c>
      <c r="CD20">
        <v>1690229084.0999999</v>
      </c>
      <c r="CE20">
        <v>1690229076.5999999</v>
      </c>
      <c r="CF20">
        <v>13</v>
      </c>
      <c r="CG20">
        <v>0.23300000000000001</v>
      </c>
      <c r="CH20">
        <v>-0.13100000000000001</v>
      </c>
      <c r="CI20">
        <v>-0.20599999999999999</v>
      </c>
      <c r="CJ20">
        <v>8.7999999999999995E-2</v>
      </c>
      <c r="CK20">
        <v>799</v>
      </c>
      <c r="CL20">
        <v>16</v>
      </c>
      <c r="CM20">
        <v>0.04</v>
      </c>
      <c r="CN20">
        <v>0.04</v>
      </c>
      <c r="CO20">
        <v>8.118739999999999</v>
      </c>
      <c r="CP20">
        <v>-9.2577861163299965E-3</v>
      </c>
      <c r="CQ20">
        <v>2.8078454729560821E-2</v>
      </c>
      <c r="CR20">
        <v>-1</v>
      </c>
      <c r="CS20">
        <v>1.5957557499999999</v>
      </c>
      <c r="CT20">
        <v>3.078540337710756E-2</v>
      </c>
      <c r="CU20">
        <v>3.0964591774315531E-3</v>
      </c>
      <c r="CV20">
        <v>-1</v>
      </c>
      <c r="CW20">
        <v>0</v>
      </c>
      <c r="CX20">
        <v>0</v>
      </c>
      <c r="CY20" t="s">
        <v>333</v>
      </c>
      <c r="CZ20">
        <v>2.36435</v>
      </c>
      <c r="DA20">
        <v>2.7138399999999998</v>
      </c>
      <c r="DB20">
        <v>0.147704</v>
      </c>
      <c r="DC20">
        <v>0.146347</v>
      </c>
      <c r="DD20">
        <v>0.11233700000000001</v>
      </c>
      <c r="DE20">
        <v>0.10530299999999999</v>
      </c>
      <c r="DF20">
        <v>31121.1</v>
      </c>
      <c r="DG20">
        <v>27516.2</v>
      </c>
      <c r="DH20">
        <v>31172.7</v>
      </c>
      <c r="DI20">
        <v>28086.9</v>
      </c>
      <c r="DJ20">
        <v>37569.800000000003</v>
      </c>
      <c r="DK20">
        <v>35733.800000000003</v>
      </c>
      <c r="DL20">
        <v>44363.3</v>
      </c>
      <c r="DM20">
        <v>42574.1</v>
      </c>
      <c r="DN20">
        <v>1.4719800000000001</v>
      </c>
      <c r="DO20">
        <v>2.0585800000000001</v>
      </c>
      <c r="DP20">
        <v>7.6480199999999998E-2</v>
      </c>
      <c r="DQ20">
        <v>7.7355699999999999E-2</v>
      </c>
      <c r="DR20">
        <v>25.7379</v>
      </c>
      <c r="DS20">
        <v>25.7943</v>
      </c>
      <c r="DT20">
        <v>55.7</v>
      </c>
      <c r="DU20">
        <v>29.4</v>
      </c>
      <c r="DV20">
        <v>23.142099999999999</v>
      </c>
      <c r="DW20">
        <v>62.069800000000001</v>
      </c>
      <c r="DX20">
        <v>36.322099999999999</v>
      </c>
      <c r="DY20">
        <v>1</v>
      </c>
      <c r="DZ20">
        <v>-7.9344499999999998E-2</v>
      </c>
      <c r="EA20">
        <v>-1.5246599999999999</v>
      </c>
      <c r="EB20">
        <v>20.296299999999999</v>
      </c>
      <c r="EC20">
        <v>5.2406499999999996</v>
      </c>
      <c r="ED20">
        <v>12.039899999999999</v>
      </c>
      <c r="EE20">
        <v>5.0168999999999997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1.86463</v>
      </c>
      <c r="EM20">
        <v>1.86917</v>
      </c>
      <c r="EN20">
        <v>1.8672200000000001</v>
      </c>
      <c r="EO20">
        <v>1.8633999999999999</v>
      </c>
      <c r="EP20">
        <v>1.86449</v>
      </c>
      <c r="EQ20">
        <v>1.8701300000000001</v>
      </c>
      <c r="ER20">
        <v>1.8693900000000001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-0.21199999999999999</v>
      </c>
      <c r="FG20">
        <v>0.1787</v>
      </c>
      <c r="FH20">
        <v>0.3448811944559278</v>
      </c>
      <c r="FI20">
        <v>-6.1462078757559423E-4</v>
      </c>
      <c r="FJ20">
        <v>-1.8861989874597051E-7</v>
      </c>
      <c r="FK20">
        <v>1.1980462299894961E-10</v>
      </c>
      <c r="FL20">
        <v>0.17862261546663211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7.1</v>
      </c>
      <c r="FU20">
        <v>7.2</v>
      </c>
      <c r="FV20">
        <v>1.79565</v>
      </c>
      <c r="FW20">
        <v>2.5903299999999998</v>
      </c>
      <c r="FX20">
        <v>1.5490699999999999</v>
      </c>
      <c r="FY20">
        <v>2.3290999999999999</v>
      </c>
      <c r="FZ20">
        <v>1.50146</v>
      </c>
      <c r="GA20">
        <v>2.2875999999999999</v>
      </c>
      <c r="GB20">
        <v>33.896099999999997</v>
      </c>
      <c r="GC20">
        <v>24.017499999999998</v>
      </c>
      <c r="GD20">
        <v>19</v>
      </c>
      <c r="GE20">
        <v>281.62200000000001</v>
      </c>
      <c r="GF20">
        <v>602.96500000000003</v>
      </c>
      <c r="GG20">
        <v>28.524000000000001</v>
      </c>
      <c r="GH20">
        <v>26.402000000000001</v>
      </c>
      <c r="GI20">
        <v>29.9998</v>
      </c>
      <c r="GJ20">
        <v>26.474699999999999</v>
      </c>
      <c r="GK20">
        <v>26.444900000000001</v>
      </c>
      <c r="GL20">
        <v>35.900599999999997</v>
      </c>
      <c r="GM20">
        <v>14.966799999999999</v>
      </c>
      <c r="GN20">
        <v>100</v>
      </c>
      <c r="GO20">
        <v>28.518599999999999</v>
      </c>
      <c r="GP20">
        <v>800</v>
      </c>
      <c r="GQ20">
        <v>21.942</v>
      </c>
      <c r="GR20">
        <v>99.741399999999999</v>
      </c>
      <c r="GS20">
        <v>99.591800000000006</v>
      </c>
    </row>
    <row r="21" spans="1:201" x14ac:dyDescent="0.25">
      <c r="A21">
        <v>5</v>
      </c>
      <c r="B21">
        <v>1690229509.5999999</v>
      </c>
      <c r="C21">
        <v>4.5</v>
      </c>
      <c r="D21" t="s">
        <v>343</v>
      </c>
      <c r="E21" t="s">
        <v>344</v>
      </c>
      <c r="F21" t="s">
        <v>330</v>
      </c>
      <c r="H21">
        <v>1690229509.5999999</v>
      </c>
      <c r="I21">
        <f t="shared" si="0"/>
        <v>1.5662983630990499E-4</v>
      </c>
      <c r="J21">
        <f t="shared" si="1"/>
        <v>0.15662983630990499</v>
      </c>
      <c r="K21">
        <f t="shared" si="2"/>
        <v>-0.90015746873580982</v>
      </c>
      <c r="L21">
        <f t="shared" si="3"/>
        <v>808.14099999999996</v>
      </c>
      <c r="M21">
        <f t="shared" si="4"/>
        <v>907.34548605583564</v>
      </c>
      <c r="N21">
        <f t="shared" si="5"/>
        <v>89.973139660159461</v>
      </c>
      <c r="O21">
        <f t="shared" si="6"/>
        <v>80.135939590298989</v>
      </c>
      <c r="P21">
        <f t="shared" si="7"/>
        <v>1.2384617020662075E-2</v>
      </c>
      <c r="Q21">
        <f t="shared" si="8"/>
        <v>2.1772677624338446</v>
      </c>
      <c r="R21">
        <f t="shared" si="9"/>
        <v>1.2345613717516137E-2</v>
      </c>
      <c r="S21">
        <f t="shared" si="10"/>
        <v>7.7195025692023186E-3</v>
      </c>
      <c r="T21">
        <f t="shared" si="11"/>
        <v>0</v>
      </c>
      <c r="U21">
        <f t="shared" si="12"/>
        <v>26.88495799821597</v>
      </c>
      <c r="V21">
        <f t="shared" si="13"/>
        <v>26.88495799821597</v>
      </c>
      <c r="W21">
        <f t="shared" si="14"/>
        <v>3.5550475784122053</v>
      </c>
      <c r="X21">
        <f t="shared" si="15"/>
        <v>65.456544731103151</v>
      </c>
      <c r="Y21">
        <f t="shared" si="16"/>
        <v>2.3343453108989998</v>
      </c>
      <c r="Z21">
        <f t="shared" si="17"/>
        <v>3.5662519622576152</v>
      </c>
      <c r="AA21">
        <f t="shared" si="18"/>
        <v>1.2207022675132055</v>
      </c>
      <c r="AB21">
        <f t="shared" si="19"/>
        <v>-6.9073757812668104</v>
      </c>
      <c r="AC21">
        <f t="shared" si="20"/>
        <v>6.2848061945604696</v>
      </c>
      <c r="AD21">
        <f t="shared" si="21"/>
        <v>0.62240290426091582</v>
      </c>
      <c r="AE21">
        <f t="shared" si="22"/>
        <v>-1.6668244542472621E-4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52341.031976892154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31.5</v>
      </c>
      <c r="AP21">
        <v>0.5</v>
      </c>
      <c r="AQ21" t="s">
        <v>331</v>
      </c>
      <c r="AR21">
        <v>2</v>
      </c>
      <c r="AS21">
        <v>1690229509.5999999</v>
      </c>
      <c r="AT21">
        <v>808.14099999999996</v>
      </c>
      <c r="AU21">
        <v>800.02599999999995</v>
      </c>
      <c r="AV21">
        <v>23.541</v>
      </c>
      <c r="AW21">
        <v>21.936599999999999</v>
      </c>
      <c r="AX21">
        <v>808.35299999999995</v>
      </c>
      <c r="AY21">
        <v>23.362300000000001</v>
      </c>
      <c r="AZ21">
        <v>300.27999999999997</v>
      </c>
      <c r="BA21">
        <v>99.0608</v>
      </c>
      <c r="BB21">
        <v>0.100039</v>
      </c>
      <c r="BC21">
        <v>26.938500000000001</v>
      </c>
      <c r="BD21">
        <v>26.986599999999999</v>
      </c>
      <c r="BE21">
        <v>27.056000000000001</v>
      </c>
      <c r="BF21">
        <v>0</v>
      </c>
      <c r="BG21">
        <v>0</v>
      </c>
      <c r="BH21">
        <v>9990</v>
      </c>
      <c r="BI21">
        <v>0.69208599999999998</v>
      </c>
      <c r="BJ21">
        <v>1.1213200000000001</v>
      </c>
      <c r="BK21">
        <v>8.1152999999999995</v>
      </c>
      <c r="BL21">
        <v>827.62400000000002</v>
      </c>
      <c r="BM21">
        <v>817.96900000000005</v>
      </c>
      <c r="BN21">
        <v>1.6043400000000001</v>
      </c>
      <c r="BO21">
        <v>800.02599999999995</v>
      </c>
      <c r="BP21">
        <v>21.936599999999999</v>
      </c>
      <c r="BQ21">
        <v>2.3319899999999998</v>
      </c>
      <c r="BR21">
        <v>2.17306</v>
      </c>
      <c r="BS21">
        <v>19.899100000000001</v>
      </c>
      <c r="BT21">
        <v>18.7651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1690229084.0999999</v>
      </c>
      <c r="CC21" t="s">
        <v>332</v>
      </c>
      <c r="CD21">
        <v>1690229084.0999999</v>
      </c>
      <c r="CE21">
        <v>1690229076.5999999</v>
      </c>
      <c r="CF21">
        <v>13</v>
      </c>
      <c r="CG21">
        <v>0.23300000000000001</v>
      </c>
      <c r="CH21">
        <v>-0.13100000000000001</v>
      </c>
      <c r="CI21">
        <v>-0.20599999999999999</v>
      </c>
      <c r="CJ21">
        <v>8.7999999999999995E-2</v>
      </c>
      <c r="CK21">
        <v>799</v>
      </c>
      <c r="CL21">
        <v>16</v>
      </c>
      <c r="CM21">
        <v>0.04</v>
      </c>
      <c r="CN21">
        <v>0.04</v>
      </c>
      <c r="CO21">
        <v>8.118739999999999</v>
      </c>
      <c r="CP21">
        <v>-9.2577861163299965E-3</v>
      </c>
      <c r="CQ21">
        <v>2.8078454729560821E-2</v>
      </c>
      <c r="CR21">
        <v>-1</v>
      </c>
      <c r="CS21">
        <v>1.5957557499999999</v>
      </c>
      <c r="CT21">
        <v>3.078540337710756E-2</v>
      </c>
      <c r="CU21">
        <v>3.0964591774315531E-3</v>
      </c>
      <c r="CV21">
        <v>-1</v>
      </c>
      <c r="CW21">
        <v>0</v>
      </c>
      <c r="CX21">
        <v>0</v>
      </c>
      <c r="CY21" t="s">
        <v>333</v>
      </c>
      <c r="CZ21">
        <v>2.3646199999999999</v>
      </c>
      <c r="DA21">
        <v>2.7138200000000001</v>
      </c>
      <c r="DB21">
        <v>0.147703</v>
      </c>
      <c r="DC21">
        <v>0.14635000000000001</v>
      </c>
      <c r="DD21">
        <v>0.11233799999999999</v>
      </c>
      <c r="DE21">
        <v>0.105298</v>
      </c>
      <c r="DF21">
        <v>31121.200000000001</v>
      </c>
      <c r="DG21">
        <v>27516.1</v>
      </c>
      <c r="DH21">
        <v>31172.7</v>
      </c>
      <c r="DI21">
        <v>28086.9</v>
      </c>
      <c r="DJ21">
        <v>37569.800000000003</v>
      </c>
      <c r="DK21">
        <v>35734</v>
      </c>
      <c r="DL21">
        <v>44363.3</v>
      </c>
      <c r="DM21">
        <v>42574.1</v>
      </c>
      <c r="DN21">
        <v>1.47207</v>
      </c>
      <c r="DO21">
        <v>2.0584799999999999</v>
      </c>
      <c r="DP21">
        <v>7.6275300000000004E-2</v>
      </c>
      <c r="DQ21">
        <v>7.7113500000000001E-2</v>
      </c>
      <c r="DR21">
        <v>25.7379</v>
      </c>
      <c r="DS21">
        <v>25.793800000000001</v>
      </c>
      <c r="DT21">
        <v>55.7</v>
      </c>
      <c r="DU21">
        <v>29.4</v>
      </c>
      <c r="DV21">
        <v>23.142399999999999</v>
      </c>
      <c r="DW21">
        <v>62.059800000000003</v>
      </c>
      <c r="DX21">
        <v>35</v>
      </c>
      <c r="DY21">
        <v>1</v>
      </c>
      <c r="DZ21">
        <v>-7.9253000000000004E-2</v>
      </c>
      <c r="EA21">
        <v>-1.51823</v>
      </c>
      <c r="EB21">
        <v>20.296299999999999</v>
      </c>
      <c r="EC21">
        <v>5.2408000000000001</v>
      </c>
      <c r="ED21">
        <v>12.039899999999999</v>
      </c>
      <c r="EE21">
        <v>5.0170000000000003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1.86463</v>
      </c>
      <c r="EM21">
        <v>1.86917</v>
      </c>
      <c r="EN21">
        <v>1.8672200000000001</v>
      </c>
      <c r="EO21">
        <v>1.8633999999999999</v>
      </c>
      <c r="EP21">
        <v>1.86449</v>
      </c>
      <c r="EQ21">
        <v>1.8701300000000001</v>
      </c>
      <c r="ER21">
        <v>1.86938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-0.21199999999999999</v>
      </c>
      <c r="FG21">
        <v>0.1787</v>
      </c>
      <c r="FH21">
        <v>0.3448811944559278</v>
      </c>
      <c r="FI21">
        <v>-6.1462078757559423E-4</v>
      </c>
      <c r="FJ21">
        <v>-1.8861989874597051E-7</v>
      </c>
      <c r="FK21">
        <v>1.1980462299894961E-10</v>
      </c>
      <c r="FL21">
        <v>0.17862261546663211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7.1</v>
      </c>
      <c r="FU21">
        <v>7.2</v>
      </c>
      <c r="FV21">
        <v>1.79565</v>
      </c>
      <c r="FW21">
        <v>2.5817899999999998</v>
      </c>
      <c r="FX21">
        <v>1.5490699999999999</v>
      </c>
      <c r="FY21">
        <v>2.3290999999999999</v>
      </c>
      <c r="FZ21">
        <v>1.50146</v>
      </c>
      <c r="GA21">
        <v>2.3938000000000001</v>
      </c>
      <c r="GB21">
        <v>33.896099999999997</v>
      </c>
      <c r="GC21">
        <v>24.026199999999999</v>
      </c>
      <c r="GD21">
        <v>19</v>
      </c>
      <c r="GE21">
        <v>281.66500000000002</v>
      </c>
      <c r="GF21">
        <v>602.88</v>
      </c>
      <c r="GG21">
        <v>28.524999999999999</v>
      </c>
      <c r="GH21">
        <v>26.402000000000001</v>
      </c>
      <c r="GI21">
        <v>29.9999</v>
      </c>
      <c r="GJ21">
        <v>26.474699999999999</v>
      </c>
      <c r="GK21">
        <v>26.444900000000001</v>
      </c>
      <c r="GL21">
        <v>35.899799999999999</v>
      </c>
      <c r="GM21">
        <v>14.966799999999999</v>
      </c>
      <c r="GN21">
        <v>100</v>
      </c>
      <c r="GO21">
        <v>28.518599999999999</v>
      </c>
      <c r="GP21">
        <v>800</v>
      </c>
      <c r="GQ21">
        <v>21.941199999999998</v>
      </c>
      <c r="GR21">
        <v>99.741500000000002</v>
      </c>
      <c r="GS21">
        <v>99.591800000000006</v>
      </c>
    </row>
    <row r="22" spans="1:201" x14ac:dyDescent="0.25">
      <c r="A22">
        <v>6</v>
      </c>
      <c r="B22">
        <v>1690229744.5999999</v>
      </c>
      <c r="C22">
        <v>239.5</v>
      </c>
      <c r="D22" t="s">
        <v>345</v>
      </c>
      <c r="E22" t="s">
        <v>346</v>
      </c>
      <c r="F22" t="s">
        <v>330</v>
      </c>
      <c r="H22">
        <v>1690229744.5999999</v>
      </c>
      <c r="I22">
        <f t="shared" si="0"/>
        <v>1.6737085026376119E-4</v>
      </c>
      <c r="J22">
        <f t="shared" si="1"/>
        <v>0.1673708502637612</v>
      </c>
      <c r="K22">
        <f t="shared" si="2"/>
        <v>-0.88505148964523606</v>
      </c>
      <c r="L22">
        <f t="shared" si="3"/>
        <v>807.928</v>
      </c>
      <c r="M22">
        <f t="shared" si="4"/>
        <v>940.80752164192006</v>
      </c>
      <c r="N22">
        <f t="shared" si="5"/>
        <v>93.292612865993988</v>
      </c>
      <c r="O22">
        <f t="shared" si="6"/>
        <v>80.115977385100791</v>
      </c>
      <c r="P22">
        <f t="shared" si="7"/>
        <v>8.9120188951705408E-3</v>
      </c>
      <c r="Q22">
        <f t="shared" si="8"/>
        <v>2.1855318068643217</v>
      </c>
      <c r="R22">
        <f t="shared" si="9"/>
        <v>8.8918788043893856E-3</v>
      </c>
      <c r="S22">
        <f t="shared" si="10"/>
        <v>5.5592299320888633E-3</v>
      </c>
      <c r="T22">
        <f t="shared" si="11"/>
        <v>276.07545012005772</v>
      </c>
      <c r="U22">
        <f t="shared" si="12"/>
        <v>29.476231913731016</v>
      </c>
      <c r="V22">
        <f t="shared" si="13"/>
        <v>29.476231913731016</v>
      </c>
      <c r="W22">
        <f t="shared" si="14"/>
        <v>4.1339429493032345</v>
      </c>
      <c r="X22">
        <f t="shared" si="15"/>
        <v>63.536169742095957</v>
      </c>
      <c r="Y22">
        <f t="shared" si="16"/>
        <v>2.3282409380817599</v>
      </c>
      <c r="Z22">
        <f t="shared" si="17"/>
        <v>3.6644338925882423</v>
      </c>
      <c r="AA22">
        <f t="shared" si="18"/>
        <v>1.8057020112214746</v>
      </c>
      <c r="AB22">
        <f t="shared" si="19"/>
        <v>-7.3810544966318687</v>
      </c>
      <c r="AC22">
        <f t="shared" si="20"/>
        <v>-244.45817321372419</v>
      </c>
      <c r="AD22">
        <f t="shared" si="21"/>
        <v>-24.488462766064771</v>
      </c>
      <c r="AE22">
        <f t="shared" si="22"/>
        <v>-0.25224035636310305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52602.591623287168</v>
      </c>
      <c r="AK22">
        <f t="shared" si="26"/>
        <v>1799.74</v>
      </c>
      <c r="AL22">
        <f t="shared" si="27"/>
        <v>1498.89564517348</v>
      </c>
      <c r="AM22">
        <f t="shared" si="28"/>
        <v>0.83284010200000003</v>
      </c>
      <c r="AN22">
        <f t="shared" si="29"/>
        <v>0.15339740746999997</v>
      </c>
      <c r="AO22">
        <v>31.5</v>
      </c>
      <c r="AP22">
        <v>0.5</v>
      </c>
      <c r="AQ22" t="s">
        <v>331</v>
      </c>
      <c r="AR22">
        <v>2</v>
      </c>
      <c r="AS22">
        <v>1690229744.5999999</v>
      </c>
      <c r="AT22">
        <v>807.928</v>
      </c>
      <c r="AU22">
        <v>800.06</v>
      </c>
      <c r="AV22">
        <v>23.479099999999999</v>
      </c>
      <c r="AW22">
        <v>21.764099999999999</v>
      </c>
      <c r="AX22">
        <v>808.14</v>
      </c>
      <c r="AY22">
        <v>23.3005</v>
      </c>
      <c r="AZ22">
        <v>300.19799999999998</v>
      </c>
      <c r="BA22">
        <v>99.062299999999993</v>
      </c>
      <c r="BB22">
        <v>9.9973599999999996E-2</v>
      </c>
      <c r="BC22">
        <v>27.401499999999999</v>
      </c>
      <c r="BD22">
        <v>28.2135</v>
      </c>
      <c r="BE22">
        <v>28.689</v>
      </c>
      <c r="BF22">
        <v>0</v>
      </c>
      <c r="BG22">
        <v>0</v>
      </c>
      <c r="BH22">
        <v>10058.1</v>
      </c>
      <c r="BI22">
        <v>1073.8</v>
      </c>
      <c r="BJ22">
        <v>1.2208399999999999</v>
      </c>
      <c r="BK22">
        <v>7.8677999999999999</v>
      </c>
      <c r="BL22">
        <v>827.35299999999995</v>
      </c>
      <c r="BM22">
        <v>817.86</v>
      </c>
      <c r="BN22">
        <v>1.7149700000000001</v>
      </c>
      <c r="BO22">
        <v>800.06</v>
      </c>
      <c r="BP22">
        <v>21.764099999999999</v>
      </c>
      <c r="BQ22">
        <v>2.3258899999999998</v>
      </c>
      <c r="BR22">
        <v>2.1560000000000001</v>
      </c>
      <c r="BS22">
        <v>19.8568</v>
      </c>
      <c r="BT22">
        <v>18.639099999999999</v>
      </c>
      <c r="BU22">
        <v>1799.74</v>
      </c>
      <c r="BV22">
        <v>0.91000099999999995</v>
      </c>
      <c r="BW22">
        <v>3.4003600000000002E-2</v>
      </c>
      <c r="BX22">
        <v>2.1999100000000001E-2</v>
      </c>
      <c r="BY22">
        <v>3.3996699999999998E-2</v>
      </c>
      <c r="BZ22">
        <v>26</v>
      </c>
      <c r="CA22">
        <v>33523.5</v>
      </c>
      <c r="CB22">
        <v>1690229084.0999999</v>
      </c>
      <c r="CC22" t="s">
        <v>332</v>
      </c>
      <c r="CD22">
        <v>1690229084.0999999</v>
      </c>
      <c r="CE22">
        <v>1690229076.5999999</v>
      </c>
      <c r="CF22">
        <v>13</v>
      </c>
      <c r="CG22">
        <v>0.23300000000000001</v>
      </c>
      <c r="CH22">
        <v>-0.13100000000000001</v>
      </c>
      <c r="CI22">
        <v>-0.20599999999999999</v>
      </c>
      <c r="CJ22">
        <v>8.7999999999999995E-2</v>
      </c>
      <c r="CK22">
        <v>799</v>
      </c>
      <c r="CL22">
        <v>16</v>
      </c>
      <c r="CM22">
        <v>0.04</v>
      </c>
      <c r="CN22">
        <v>0.04</v>
      </c>
      <c r="CO22">
        <v>8.3464467500000001</v>
      </c>
      <c r="CP22">
        <v>-0.48495095684804579</v>
      </c>
      <c r="CQ22">
        <v>9.6770590506297383E-2</v>
      </c>
      <c r="CR22">
        <v>-1</v>
      </c>
      <c r="CS22">
        <v>1.6645460000000001</v>
      </c>
      <c r="CT22">
        <v>7.4421163227013115E-2</v>
      </c>
      <c r="CU22">
        <v>1.1596477870457049E-2</v>
      </c>
      <c r="CV22">
        <v>-1</v>
      </c>
      <c r="CW22">
        <v>0</v>
      </c>
      <c r="CX22">
        <v>0</v>
      </c>
      <c r="CY22" t="s">
        <v>333</v>
      </c>
      <c r="CZ22">
        <v>2.3643399999999999</v>
      </c>
      <c r="DA22">
        <v>2.7138200000000001</v>
      </c>
      <c r="DB22">
        <v>0.14766799999999999</v>
      </c>
      <c r="DC22">
        <v>0.146343</v>
      </c>
      <c r="DD22">
        <v>0.112123</v>
      </c>
      <c r="DE22">
        <v>0.10471</v>
      </c>
      <c r="DF22">
        <v>31121.1</v>
      </c>
      <c r="DG22">
        <v>27514.7</v>
      </c>
      <c r="DH22">
        <v>31171.4</v>
      </c>
      <c r="DI22">
        <v>28085.4</v>
      </c>
      <c r="DJ22">
        <v>37577.800000000003</v>
      </c>
      <c r="DK22">
        <v>35755.800000000003</v>
      </c>
      <c r="DL22">
        <v>44361.8</v>
      </c>
      <c r="DM22">
        <v>42572.1</v>
      </c>
      <c r="DN22">
        <v>1.4739500000000001</v>
      </c>
      <c r="DO22">
        <v>2.0583</v>
      </c>
      <c r="DP22">
        <v>0.14998800000000001</v>
      </c>
      <c r="DQ22">
        <v>0.175625</v>
      </c>
      <c r="DR22">
        <v>25.7606</v>
      </c>
      <c r="DS22">
        <v>25.818000000000001</v>
      </c>
      <c r="DT22">
        <v>56.3</v>
      </c>
      <c r="DU22">
        <v>29.3</v>
      </c>
      <c r="DV22">
        <v>23.256699999999999</v>
      </c>
      <c r="DW22">
        <v>61.509799999999998</v>
      </c>
      <c r="DX22">
        <v>34.996000000000002</v>
      </c>
      <c r="DY22">
        <v>1</v>
      </c>
      <c r="DZ22">
        <v>-7.8043699999999994E-2</v>
      </c>
      <c r="EA22">
        <v>-0.92442800000000003</v>
      </c>
      <c r="EB22">
        <v>20.1861</v>
      </c>
      <c r="EC22">
        <v>5.2408000000000001</v>
      </c>
      <c r="ED22">
        <v>12.039899999999999</v>
      </c>
      <c r="EE22">
        <v>5.0171999999999999</v>
      </c>
      <c r="EF22">
        <v>3.2879299999999998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1.8691899999999999</v>
      </c>
      <c r="EN22">
        <v>1.8672200000000001</v>
      </c>
      <c r="EO22">
        <v>1.8633999999999999</v>
      </c>
      <c r="EP22">
        <v>1.8644700000000001</v>
      </c>
      <c r="EQ22">
        <v>1.87012</v>
      </c>
      <c r="ER22">
        <v>1.86937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-0.21199999999999999</v>
      </c>
      <c r="FG22">
        <v>0.17860000000000001</v>
      </c>
      <c r="FH22">
        <v>0.3448811944559278</v>
      </c>
      <c r="FI22">
        <v>-6.1462078757559423E-4</v>
      </c>
      <c r="FJ22">
        <v>-1.8861989874597051E-7</v>
      </c>
      <c r="FK22">
        <v>1.1980462299894961E-10</v>
      </c>
      <c r="FL22">
        <v>0.17862261546663211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11</v>
      </c>
      <c r="FU22">
        <v>11.1</v>
      </c>
      <c r="FV22">
        <v>1.79443</v>
      </c>
      <c r="FW22">
        <v>2.5854499999999998</v>
      </c>
      <c r="FX22">
        <v>1.5490699999999999</v>
      </c>
      <c r="FY22">
        <v>2.3290999999999999</v>
      </c>
      <c r="FZ22">
        <v>1.50146</v>
      </c>
      <c r="GA22">
        <v>2.3962400000000001</v>
      </c>
      <c r="GB22">
        <v>33.850900000000003</v>
      </c>
      <c r="GC22">
        <v>23.982399999999998</v>
      </c>
      <c r="GD22">
        <v>19</v>
      </c>
      <c r="GE22">
        <v>282.60000000000002</v>
      </c>
      <c r="GF22">
        <v>603.11900000000003</v>
      </c>
      <c r="GG22">
        <v>28.4847</v>
      </c>
      <c r="GH22">
        <v>26.424299999999999</v>
      </c>
      <c r="GI22">
        <v>29.9999</v>
      </c>
      <c r="GJ22">
        <v>26.505400000000002</v>
      </c>
      <c r="GK22">
        <v>26.478100000000001</v>
      </c>
      <c r="GL22">
        <v>35.8825</v>
      </c>
      <c r="GM22">
        <v>15.518000000000001</v>
      </c>
      <c r="GN22">
        <v>100</v>
      </c>
      <c r="GO22">
        <v>28.414899999999999</v>
      </c>
      <c r="GP22">
        <v>800</v>
      </c>
      <c r="GQ22">
        <v>21.901700000000002</v>
      </c>
      <c r="GR22">
        <v>99.737799999999993</v>
      </c>
      <c r="GS22">
        <v>99.586799999999997</v>
      </c>
    </row>
    <row r="23" spans="1:201" x14ac:dyDescent="0.25">
      <c r="A23">
        <v>7</v>
      </c>
      <c r="B23">
        <v>1690229754.5999999</v>
      </c>
      <c r="C23">
        <v>249.5</v>
      </c>
      <c r="D23" t="s">
        <v>347</v>
      </c>
      <c r="E23" t="s">
        <v>348</v>
      </c>
      <c r="F23" t="s">
        <v>330</v>
      </c>
      <c r="H23">
        <v>1690229754.5999999</v>
      </c>
      <c r="I23">
        <f t="shared" si="0"/>
        <v>1.5599110859946516E-4</v>
      </c>
      <c r="J23">
        <f t="shared" si="1"/>
        <v>0.15599110859946516</v>
      </c>
      <c r="K23">
        <f t="shared" si="2"/>
        <v>-0.79983631538684485</v>
      </c>
      <c r="L23">
        <f t="shared" si="3"/>
        <v>806.84100000000001</v>
      </c>
      <c r="M23">
        <f t="shared" si="4"/>
        <v>938.80559481116609</v>
      </c>
      <c r="N23">
        <f t="shared" si="5"/>
        <v>93.096326349879902</v>
      </c>
      <c r="O23">
        <f t="shared" si="6"/>
        <v>80.010103756968007</v>
      </c>
      <c r="P23">
        <f t="shared" si="7"/>
        <v>8.0609870304440799E-3</v>
      </c>
      <c r="Q23">
        <f t="shared" si="8"/>
        <v>2.1759473507273581</v>
      </c>
      <c r="R23">
        <f t="shared" si="9"/>
        <v>8.0444334705519985E-3</v>
      </c>
      <c r="S23">
        <f t="shared" si="10"/>
        <v>5.0292553283916843E-3</v>
      </c>
      <c r="T23">
        <f t="shared" si="11"/>
        <v>276.10393060734003</v>
      </c>
      <c r="U23">
        <f t="shared" si="12"/>
        <v>29.73888076196712</v>
      </c>
      <c r="V23">
        <f t="shared" si="13"/>
        <v>29.73888076196712</v>
      </c>
      <c r="W23">
        <f t="shared" si="14"/>
        <v>4.1969656206087782</v>
      </c>
      <c r="X23">
        <f t="shared" si="15"/>
        <v>62.857422067408528</v>
      </c>
      <c r="Y23">
        <f t="shared" si="16"/>
        <v>2.3374000015432004</v>
      </c>
      <c r="Z23">
        <f t="shared" si="17"/>
        <v>3.7185743937073399</v>
      </c>
      <c r="AA23">
        <f t="shared" si="18"/>
        <v>1.8595656190655778</v>
      </c>
      <c r="AB23">
        <f t="shared" si="19"/>
        <v>-6.8792078892364135</v>
      </c>
      <c r="AC23">
        <f t="shared" si="20"/>
        <v>-244.7878390361976</v>
      </c>
      <c r="AD23">
        <f t="shared" si="21"/>
        <v>-24.692469661925713</v>
      </c>
      <c r="AE23">
        <f t="shared" si="22"/>
        <v>-0.25558598001970267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52162.360974737087</v>
      </c>
      <c r="AK23">
        <f t="shared" si="26"/>
        <v>1799.93</v>
      </c>
      <c r="AL23">
        <f t="shared" si="27"/>
        <v>1499.0535482059499</v>
      </c>
      <c r="AM23">
        <f t="shared" si="28"/>
        <v>0.83283991499999988</v>
      </c>
      <c r="AN23">
        <f t="shared" si="29"/>
        <v>0.15339703800000001</v>
      </c>
      <c r="AO23">
        <v>31.5</v>
      </c>
      <c r="AP23">
        <v>0.5</v>
      </c>
      <c r="AQ23" t="s">
        <v>331</v>
      </c>
      <c r="AR23">
        <v>2</v>
      </c>
      <c r="AS23">
        <v>1690229754.5999999</v>
      </c>
      <c r="AT23">
        <v>806.84100000000001</v>
      </c>
      <c r="AU23">
        <v>799.77</v>
      </c>
      <c r="AV23">
        <v>23.570900000000002</v>
      </c>
      <c r="AW23">
        <v>21.972899999999999</v>
      </c>
      <c r="AX23">
        <v>807.05200000000002</v>
      </c>
      <c r="AY23">
        <v>23.392299999999999</v>
      </c>
      <c r="AZ23">
        <v>300.24400000000003</v>
      </c>
      <c r="BA23">
        <v>99.064599999999999</v>
      </c>
      <c r="BB23">
        <v>0.100048</v>
      </c>
      <c r="BC23">
        <v>27.652200000000001</v>
      </c>
      <c r="BD23">
        <v>29.067799999999998</v>
      </c>
      <c r="BE23">
        <v>29.546900000000001</v>
      </c>
      <c r="BF23">
        <v>0</v>
      </c>
      <c r="BG23">
        <v>0</v>
      </c>
      <c r="BH23">
        <v>9978.75</v>
      </c>
      <c r="BI23">
        <v>1076.75</v>
      </c>
      <c r="BJ23">
        <v>1.2334499999999999</v>
      </c>
      <c r="BK23">
        <v>7.0714100000000002</v>
      </c>
      <c r="BL23">
        <v>826.31799999999998</v>
      </c>
      <c r="BM23">
        <v>817.73800000000006</v>
      </c>
      <c r="BN23">
        <v>1.59806</v>
      </c>
      <c r="BO23">
        <v>799.77</v>
      </c>
      <c r="BP23">
        <v>21.972899999999999</v>
      </c>
      <c r="BQ23">
        <v>2.3350399999999998</v>
      </c>
      <c r="BR23">
        <v>2.1767300000000001</v>
      </c>
      <c r="BS23">
        <v>19.920200000000001</v>
      </c>
      <c r="BT23">
        <v>18.792100000000001</v>
      </c>
      <c r="BU23">
        <v>1799.93</v>
      </c>
      <c r="BV23">
        <v>0.91000800000000004</v>
      </c>
      <c r="BW23">
        <v>3.4003800000000001E-2</v>
      </c>
      <c r="BX23">
        <v>2.1995500000000001E-2</v>
      </c>
      <c r="BY23">
        <v>3.3992599999999998E-2</v>
      </c>
      <c r="BZ23">
        <v>26</v>
      </c>
      <c r="CA23">
        <v>33527.1</v>
      </c>
      <c r="CB23">
        <v>1690229084.0999999</v>
      </c>
      <c r="CC23" t="s">
        <v>332</v>
      </c>
      <c r="CD23">
        <v>1690229084.0999999</v>
      </c>
      <c r="CE23">
        <v>1690229076.5999999</v>
      </c>
      <c r="CF23">
        <v>13</v>
      </c>
      <c r="CG23">
        <v>0.23300000000000001</v>
      </c>
      <c r="CH23">
        <v>-0.13100000000000001</v>
      </c>
      <c r="CI23">
        <v>-0.20599999999999999</v>
      </c>
      <c r="CJ23">
        <v>8.7999999999999995E-2</v>
      </c>
      <c r="CK23">
        <v>799</v>
      </c>
      <c r="CL23">
        <v>16</v>
      </c>
      <c r="CM23">
        <v>0.04</v>
      </c>
      <c r="CN23">
        <v>0.04</v>
      </c>
      <c r="CO23">
        <v>7.9611202499999987</v>
      </c>
      <c r="CP23">
        <v>-4.2014216510319189</v>
      </c>
      <c r="CQ23">
        <v>0.42645784130724762</v>
      </c>
      <c r="CR23">
        <v>-1</v>
      </c>
      <c r="CS23">
        <v>1.69529975</v>
      </c>
      <c r="CT23">
        <v>0.26392761726078517</v>
      </c>
      <c r="CU23">
        <v>3.8974987138387873E-2</v>
      </c>
      <c r="CV23">
        <v>-1</v>
      </c>
      <c r="CW23">
        <v>0</v>
      </c>
      <c r="CX23">
        <v>0</v>
      </c>
      <c r="CY23" t="s">
        <v>333</v>
      </c>
      <c r="CZ23">
        <v>2.36449</v>
      </c>
      <c r="DA23">
        <v>2.7138200000000001</v>
      </c>
      <c r="DB23">
        <v>0.147539</v>
      </c>
      <c r="DC23">
        <v>0.146314</v>
      </c>
      <c r="DD23">
        <v>0.11243499999999999</v>
      </c>
      <c r="DE23">
        <v>0.10541499999999999</v>
      </c>
      <c r="DF23">
        <v>31125.1</v>
      </c>
      <c r="DG23">
        <v>27515.200000000001</v>
      </c>
      <c r="DH23">
        <v>31170.7</v>
      </c>
      <c r="DI23">
        <v>28084.9</v>
      </c>
      <c r="DJ23">
        <v>37563.5</v>
      </c>
      <c r="DK23">
        <v>35726.9</v>
      </c>
      <c r="DL23">
        <v>44360.7</v>
      </c>
      <c r="DM23">
        <v>42571.199999999997</v>
      </c>
      <c r="DN23">
        <v>1.47102</v>
      </c>
      <c r="DO23">
        <v>2.0586799999999998</v>
      </c>
      <c r="DP23">
        <v>0.199296</v>
      </c>
      <c r="DQ23">
        <v>0.22644900000000001</v>
      </c>
      <c r="DR23">
        <v>25.8108</v>
      </c>
      <c r="DS23">
        <v>25.8477</v>
      </c>
      <c r="DT23">
        <v>56.4</v>
      </c>
      <c r="DU23">
        <v>29.3</v>
      </c>
      <c r="DV23">
        <v>23.2974</v>
      </c>
      <c r="DW23">
        <v>62.099800000000002</v>
      </c>
      <c r="DX23">
        <v>36.041699999999999</v>
      </c>
      <c r="DY23">
        <v>1</v>
      </c>
      <c r="DZ23">
        <v>-6.4060000000000006E-2</v>
      </c>
      <c r="EA23">
        <v>7.5932599999999999</v>
      </c>
      <c r="EB23">
        <v>19.9541</v>
      </c>
      <c r="EC23">
        <v>5.2408000000000001</v>
      </c>
      <c r="ED23">
        <v>12.039899999999999</v>
      </c>
      <c r="EE23">
        <v>5.0171999999999999</v>
      </c>
      <c r="EF23">
        <v>3.2879499999999999</v>
      </c>
      <c r="EG23">
        <v>9999</v>
      </c>
      <c r="EH23">
        <v>9999</v>
      </c>
      <c r="EI23">
        <v>9999</v>
      </c>
      <c r="EJ23">
        <v>999.9</v>
      </c>
      <c r="EK23">
        <v>1.8688899999999999</v>
      </c>
      <c r="EL23">
        <v>1.8646199999999999</v>
      </c>
      <c r="EM23">
        <v>1.8691500000000001</v>
      </c>
      <c r="EN23">
        <v>1.8672200000000001</v>
      </c>
      <c r="EO23">
        <v>1.8633900000000001</v>
      </c>
      <c r="EP23">
        <v>1.8644700000000001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-0.21099999999999999</v>
      </c>
      <c r="FG23">
        <v>0.17860000000000001</v>
      </c>
      <c r="FH23">
        <v>0.3448811944559278</v>
      </c>
      <c r="FI23">
        <v>-6.1462078757559423E-4</v>
      </c>
      <c r="FJ23">
        <v>-1.8861989874597051E-7</v>
      </c>
      <c r="FK23">
        <v>1.1980462299894961E-10</v>
      </c>
      <c r="FL23">
        <v>0.17862261546663211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11.2</v>
      </c>
      <c r="FU23">
        <v>11.3</v>
      </c>
      <c r="FV23">
        <v>1.79565</v>
      </c>
      <c r="FW23">
        <v>2.5903299999999998</v>
      </c>
      <c r="FX23">
        <v>1.5490699999999999</v>
      </c>
      <c r="FY23">
        <v>2.3290999999999999</v>
      </c>
      <c r="FZ23">
        <v>1.50146</v>
      </c>
      <c r="GA23">
        <v>2.2705099999999998</v>
      </c>
      <c r="GB23">
        <v>33.850900000000003</v>
      </c>
      <c r="GC23">
        <v>23.9299</v>
      </c>
      <c r="GD23">
        <v>19</v>
      </c>
      <c r="GE23">
        <v>281.36500000000001</v>
      </c>
      <c r="GF23">
        <v>603.46400000000006</v>
      </c>
      <c r="GG23">
        <v>26.7224</v>
      </c>
      <c r="GH23">
        <v>26.425999999999998</v>
      </c>
      <c r="GI23">
        <v>30.008400000000002</v>
      </c>
      <c r="GJ23">
        <v>26.507999999999999</v>
      </c>
      <c r="GK23">
        <v>26.4803</v>
      </c>
      <c r="GL23">
        <v>35.900100000000002</v>
      </c>
      <c r="GM23">
        <v>12.6958</v>
      </c>
      <c r="GN23">
        <v>100</v>
      </c>
      <c r="GO23">
        <v>25.892199999999999</v>
      </c>
      <c r="GP23">
        <v>800</v>
      </c>
      <c r="GQ23">
        <v>22.3568</v>
      </c>
      <c r="GR23">
        <v>99.735399999999998</v>
      </c>
      <c r="GS23">
        <v>99.584900000000005</v>
      </c>
    </row>
    <row r="24" spans="1:201" x14ac:dyDescent="0.25">
      <c r="A24">
        <v>8</v>
      </c>
      <c r="B24">
        <v>1690229764.5999999</v>
      </c>
      <c r="C24">
        <v>259.5</v>
      </c>
      <c r="D24" t="s">
        <v>349</v>
      </c>
      <c r="E24" t="s">
        <v>350</v>
      </c>
      <c r="F24" t="s">
        <v>330</v>
      </c>
      <c r="H24">
        <v>1690229764.5999999</v>
      </c>
      <c r="I24">
        <f t="shared" si="0"/>
        <v>1.1430015810736238E-4</v>
      </c>
      <c r="J24">
        <f t="shared" si="1"/>
        <v>0.11430015810736238</v>
      </c>
      <c r="K24">
        <f t="shared" si="2"/>
        <v>-0.69521811870665362</v>
      </c>
      <c r="L24">
        <f t="shared" si="3"/>
        <v>806.16499999999996</v>
      </c>
      <c r="M24">
        <f t="shared" si="4"/>
        <v>965.03861907558769</v>
      </c>
      <c r="N24">
        <f t="shared" si="5"/>
        <v>95.698520967291387</v>
      </c>
      <c r="O24">
        <f t="shared" si="6"/>
        <v>79.943741763927989</v>
      </c>
      <c r="P24">
        <f t="shared" si="7"/>
        <v>5.9898776788767866E-3</v>
      </c>
      <c r="Q24">
        <f t="shared" si="8"/>
        <v>2.1772512500846206</v>
      </c>
      <c r="R24">
        <f t="shared" si="9"/>
        <v>5.9807378381994906E-3</v>
      </c>
      <c r="S24">
        <f t="shared" si="10"/>
        <v>3.7387811476347821E-3</v>
      </c>
      <c r="T24">
        <f t="shared" si="11"/>
        <v>276.10589569934882</v>
      </c>
      <c r="U24">
        <f t="shared" si="12"/>
        <v>29.580628375329084</v>
      </c>
      <c r="V24">
        <f t="shared" si="13"/>
        <v>29.580628375329084</v>
      </c>
      <c r="W24">
        <f t="shared" si="14"/>
        <v>4.1588934200736905</v>
      </c>
      <c r="X24">
        <f t="shared" si="15"/>
        <v>63.173142626369192</v>
      </c>
      <c r="Y24">
        <f t="shared" si="16"/>
        <v>2.32566857819968</v>
      </c>
      <c r="Z24">
        <f t="shared" si="17"/>
        <v>3.6814197956789934</v>
      </c>
      <c r="AA24">
        <f t="shared" si="18"/>
        <v>1.8332248418740105</v>
      </c>
      <c r="AB24">
        <f t="shared" si="19"/>
        <v>-5.0406369725346813</v>
      </c>
      <c r="AC24">
        <f t="shared" si="20"/>
        <v>-246.51300442077937</v>
      </c>
      <c r="AD24">
        <f t="shared" si="21"/>
        <v>-24.810857921487216</v>
      </c>
      <c r="AE24">
        <f t="shared" si="22"/>
        <v>-0.25860361545244359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52246.041047751511</v>
      </c>
      <c r="AK24">
        <f t="shared" si="26"/>
        <v>1799.94</v>
      </c>
      <c r="AL24">
        <f t="shared" si="27"/>
        <v>1499.0597922745801</v>
      </c>
      <c r="AM24">
        <f t="shared" si="28"/>
        <v>0.83283875699999999</v>
      </c>
      <c r="AN24">
        <f t="shared" si="29"/>
        <v>0.15339727752000001</v>
      </c>
      <c r="AO24">
        <v>31.5</v>
      </c>
      <c r="AP24">
        <v>0.5</v>
      </c>
      <c r="AQ24" t="s">
        <v>331</v>
      </c>
      <c r="AR24">
        <v>2</v>
      </c>
      <c r="AS24">
        <v>1690229764.5999999</v>
      </c>
      <c r="AT24">
        <v>806.16499999999996</v>
      </c>
      <c r="AU24">
        <v>799.83600000000001</v>
      </c>
      <c r="AV24">
        <v>23.452400000000001</v>
      </c>
      <c r="AW24">
        <v>22.280999999999999</v>
      </c>
      <c r="AX24">
        <v>806.375</v>
      </c>
      <c r="AY24">
        <v>23.273700000000002</v>
      </c>
      <c r="AZ24">
        <v>300.15499999999997</v>
      </c>
      <c r="BA24">
        <v>99.065600000000003</v>
      </c>
      <c r="BB24">
        <v>9.9883200000000005E-2</v>
      </c>
      <c r="BC24">
        <v>27.480499999999999</v>
      </c>
      <c r="BD24">
        <v>29.028300000000002</v>
      </c>
      <c r="BE24">
        <v>29.529599999999999</v>
      </c>
      <c r="BF24">
        <v>0</v>
      </c>
      <c r="BG24">
        <v>0</v>
      </c>
      <c r="BH24">
        <v>9989.3799999999992</v>
      </c>
      <c r="BI24">
        <v>1078.33</v>
      </c>
      <c r="BJ24">
        <v>1.2334499999999999</v>
      </c>
      <c r="BK24">
        <v>6.32843</v>
      </c>
      <c r="BL24">
        <v>825.52499999999998</v>
      </c>
      <c r="BM24">
        <v>818.06399999999996</v>
      </c>
      <c r="BN24">
        <v>1.17134</v>
      </c>
      <c r="BO24">
        <v>799.83600000000001</v>
      </c>
      <c r="BP24">
        <v>22.280999999999999</v>
      </c>
      <c r="BQ24">
        <v>2.3233199999999998</v>
      </c>
      <c r="BR24">
        <v>2.2072799999999999</v>
      </c>
      <c r="BS24">
        <v>19.838999999999999</v>
      </c>
      <c r="BT24">
        <v>19.0153</v>
      </c>
      <c r="BU24">
        <v>1799.94</v>
      </c>
      <c r="BV24">
        <v>0.90999399999999997</v>
      </c>
      <c r="BW24">
        <v>3.4005000000000001E-2</v>
      </c>
      <c r="BX24">
        <v>2.19981E-2</v>
      </c>
      <c r="BY24">
        <v>3.4002600000000001E-2</v>
      </c>
      <c r="BZ24">
        <v>26</v>
      </c>
      <c r="CA24">
        <v>33527.300000000003</v>
      </c>
      <c r="CB24">
        <v>1690229084.0999999</v>
      </c>
      <c r="CC24" t="s">
        <v>332</v>
      </c>
      <c r="CD24">
        <v>1690229084.0999999</v>
      </c>
      <c r="CE24">
        <v>1690229076.5999999</v>
      </c>
      <c r="CF24">
        <v>13</v>
      </c>
      <c r="CG24">
        <v>0.23300000000000001</v>
      </c>
      <c r="CH24">
        <v>-0.13100000000000001</v>
      </c>
      <c r="CI24">
        <v>-0.20599999999999999</v>
      </c>
      <c r="CJ24">
        <v>8.7999999999999995E-2</v>
      </c>
      <c r="CK24">
        <v>799</v>
      </c>
      <c r="CL24">
        <v>16</v>
      </c>
      <c r="CM24">
        <v>0.04</v>
      </c>
      <c r="CN24">
        <v>0.04</v>
      </c>
      <c r="CO24">
        <v>7.1326324390243903</v>
      </c>
      <c r="CP24">
        <v>-4.9232724041811649</v>
      </c>
      <c r="CQ24">
        <v>0.48675690059513083</v>
      </c>
      <c r="CR24">
        <v>-1</v>
      </c>
      <c r="CS24">
        <v>1.5774573170731701</v>
      </c>
      <c r="CT24">
        <v>-1.6246933797909411</v>
      </c>
      <c r="CU24">
        <v>0.17084124332148601</v>
      </c>
      <c r="CV24">
        <v>-1</v>
      </c>
      <c r="CW24">
        <v>0</v>
      </c>
      <c r="CX24">
        <v>0</v>
      </c>
      <c r="CY24" t="s">
        <v>333</v>
      </c>
      <c r="CZ24">
        <v>2.3641999999999999</v>
      </c>
      <c r="DA24">
        <v>2.71366</v>
      </c>
      <c r="DB24">
        <v>0.147457</v>
      </c>
      <c r="DC24">
        <v>0.14632899999999999</v>
      </c>
      <c r="DD24">
        <v>0.112036</v>
      </c>
      <c r="DE24">
        <v>0.10645</v>
      </c>
      <c r="DF24">
        <v>31125.3</v>
      </c>
      <c r="DG24">
        <v>27512</v>
      </c>
      <c r="DH24">
        <v>31167.9</v>
      </c>
      <c r="DI24">
        <v>28082.1</v>
      </c>
      <c r="DJ24">
        <v>37577.300000000003</v>
      </c>
      <c r="DK24">
        <v>35682</v>
      </c>
      <c r="DL24">
        <v>44356.9</v>
      </c>
      <c r="DM24">
        <v>42567.1</v>
      </c>
      <c r="DN24">
        <v>1.4681500000000001</v>
      </c>
      <c r="DO24">
        <v>2.0592299999999999</v>
      </c>
      <c r="DP24">
        <v>0.193249</v>
      </c>
      <c r="DQ24">
        <v>0.22313</v>
      </c>
      <c r="DR24">
        <v>25.870200000000001</v>
      </c>
      <c r="DS24">
        <v>25.884699999999999</v>
      </c>
      <c r="DT24">
        <v>56.4</v>
      </c>
      <c r="DU24">
        <v>29.3</v>
      </c>
      <c r="DV24">
        <v>23.296299999999999</v>
      </c>
      <c r="DW24">
        <v>62.479799999999997</v>
      </c>
      <c r="DX24">
        <v>35.781199999999998</v>
      </c>
      <c r="DY24">
        <v>1</v>
      </c>
      <c r="DZ24">
        <v>-5.2373000000000003E-2</v>
      </c>
      <c r="EA24">
        <v>9.2810500000000005</v>
      </c>
      <c r="EB24">
        <v>19.863</v>
      </c>
      <c r="EC24">
        <v>5.2408000000000001</v>
      </c>
      <c r="ED24">
        <v>12.039899999999999</v>
      </c>
      <c r="EE24">
        <v>5.0172499999999998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1.8688899999999999</v>
      </c>
      <c r="EL24">
        <v>1.8646199999999999</v>
      </c>
      <c r="EM24">
        <v>1.8691599999999999</v>
      </c>
      <c r="EN24">
        <v>1.8672200000000001</v>
      </c>
      <c r="EO24">
        <v>1.86338</v>
      </c>
      <c r="EP24">
        <v>1.8644700000000001</v>
      </c>
      <c r="EQ24">
        <v>1.87012</v>
      </c>
      <c r="ER24">
        <v>1.8693599999999999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-0.21</v>
      </c>
      <c r="FG24">
        <v>0.1787</v>
      </c>
      <c r="FH24">
        <v>0.3448811944559278</v>
      </c>
      <c r="FI24">
        <v>-6.1462078757559423E-4</v>
      </c>
      <c r="FJ24">
        <v>-1.8861989874597051E-7</v>
      </c>
      <c r="FK24">
        <v>1.1980462299894961E-10</v>
      </c>
      <c r="FL24">
        <v>0.17862261546663211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11.3</v>
      </c>
      <c r="FU24">
        <v>11.5</v>
      </c>
      <c r="FV24">
        <v>1.79565</v>
      </c>
      <c r="FW24">
        <v>2.5842299999999998</v>
      </c>
      <c r="FX24">
        <v>1.5490699999999999</v>
      </c>
      <c r="FY24">
        <v>2.3290999999999999</v>
      </c>
      <c r="FZ24">
        <v>1.50146</v>
      </c>
      <c r="GA24">
        <v>2.4023400000000001</v>
      </c>
      <c r="GB24">
        <v>33.8735</v>
      </c>
      <c r="GC24">
        <v>23.868600000000001</v>
      </c>
      <c r="GD24">
        <v>19</v>
      </c>
      <c r="GE24">
        <v>280.13400000000001</v>
      </c>
      <c r="GF24">
        <v>603.95600000000002</v>
      </c>
      <c r="GG24">
        <v>23.990500000000001</v>
      </c>
      <c r="GH24">
        <v>26.427299999999999</v>
      </c>
      <c r="GI24">
        <v>30.004799999999999</v>
      </c>
      <c r="GJ24">
        <v>26.505800000000001</v>
      </c>
      <c r="GK24">
        <v>26.482500000000002</v>
      </c>
      <c r="GL24">
        <v>35.9084</v>
      </c>
      <c r="GM24">
        <v>11.121499999999999</v>
      </c>
      <c r="GN24">
        <v>100</v>
      </c>
      <c r="GO24">
        <v>21.781500000000001</v>
      </c>
      <c r="GP24">
        <v>800</v>
      </c>
      <c r="GQ24">
        <v>22.4924</v>
      </c>
      <c r="GR24">
        <v>99.726600000000005</v>
      </c>
      <c r="GS24">
        <v>99.575100000000006</v>
      </c>
    </row>
    <row r="25" spans="1:201" x14ac:dyDescent="0.25">
      <c r="A25">
        <v>9</v>
      </c>
      <c r="B25">
        <v>1690229774.5999999</v>
      </c>
      <c r="C25">
        <v>269.5</v>
      </c>
      <c r="D25" t="s">
        <v>351</v>
      </c>
      <c r="E25" t="s">
        <v>352</v>
      </c>
      <c r="F25" t="s">
        <v>330</v>
      </c>
      <c r="H25">
        <v>1690229774.5999999</v>
      </c>
      <c r="I25">
        <f t="shared" si="0"/>
        <v>6.3960667979831161E-5</v>
      </c>
      <c r="J25">
        <f t="shared" si="1"/>
        <v>6.3960667979831159E-2</v>
      </c>
      <c r="K25">
        <f t="shared" si="2"/>
        <v>-0.58522605155625629</v>
      </c>
      <c r="L25">
        <f t="shared" si="3"/>
        <v>805.54100000000005</v>
      </c>
      <c r="M25">
        <f t="shared" si="4"/>
        <v>1051.2862874747311</v>
      </c>
      <c r="N25">
        <f t="shared" si="5"/>
        <v>104.2503555879297</v>
      </c>
      <c r="O25">
        <f t="shared" si="6"/>
        <v>79.881129137884813</v>
      </c>
      <c r="P25">
        <f t="shared" si="7"/>
        <v>3.4262285578276035E-3</v>
      </c>
      <c r="Q25">
        <f t="shared" si="8"/>
        <v>2.1800441411737435</v>
      </c>
      <c r="R25">
        <f t="shared" si="9"/>
        <v>3.4232398356232518E-3</v>
      </c>
      <c r="S25">
        <f t="shared" si="10"/>
        <v>2.1397931986602003E-3</v>
      </c>
      <c r="T25">
        <f t="shared" si="11"/>
        <v>276.1101077354744</v>
      </c>
      <c r="U25">
        <f t="shared" si="12"/>
        <v>29.277002393696954</v>
      </c>
      <c r="V25">
        <f t="shared" si="13"/>
        <v>29.277002393696954</v>
      </c>
      <c r="W25">
        <f t="shared" si="14"/>
        <v>4.0866895582048492</v>
      </c>
      <c r="X25">
        <f t="shared" si="15"/>
        <v>63.474109694353295</v>
      </c>
      <c r="Y25">
        <f t="shared" si="16"/>
        <v>2.2934782397183997</v>
      </c>
      <c r="Z25">
        <f t="shared" si="17"/>
        <v>3.6132499546069714</v>
      </c>
      <c r="AA25">
        <f t="shared" si="18"/>
        <v>1.7932113184864495</v>
      </c>
      <c r="AB25">
        <f t="shared" si="19"/>
        <v>-2.8206654579105543</v>
      </c>
      <c r="AC25">
        <f t="shared" si="20"/>
        <v>-248.63613815026238</v>
      </c>
      <c r="AD25">
        <f t="shared" si="21"/>
        <v>-24.915161192692487</v>
      </c>
      <c r="AE25">
        <f t="shared" si="22"/>
        <v>-0.26185706539104103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52417.130926616483</v>
      </c>
      <c r="AK25">
        <f t="shared" si="26"/>
        <v>1799.96</v>
      </c>
      <c r="AL25">
        <f t="shared" si="27"/>
        <v>1499.0766146460398</v>
      </c>
      <c r="AM25">
        <f t="shared" si="28"/>
        <v>0.83283884899999994</v>
      </c>
      <c r="AN25">
        <f t="shared" si="29"/>
        <v>0.15339791314000001</v>
      </c>
      <c r="AO25">
        <v>31.5</v>
      </c>
      <c r="AP25">
        <v>0.5</v>
      </c>
      <c r="AQ25" t="s">
        <v>331</v>
      </c>
      <c r="AR25">
        <v>2</v>
      </c>
      <c r="AS25">
        <v>1690229774.5999999</v>
      </c>
      <c r="AT25">
        <v>805.54100000000005</v>
      </c>
      <c r="AU25">
        <v>799.94100000000003</v>
      </c>
      <c r="AV25">
        <v>23.128</v>
      </c>
      <c r="AW25">
        <v>22.4724</v>
      </c>
      <c r="AX25">
        <v>805.75099999999998</v>
      </c>
      <c r="AY25">
        <v>22.949400000000001</v>
      </c>
      <c r="AZ25">
        <v>300.20800000000003</v>
      </c>
      <c r="BA25">
        <v>99.064599999999999</v>
      </c>
      <c r="BB25">
        <v>9.9972800000000001E-2</v>
      </c>
      <c r="BC25">
        <v>27.1615</v>
      </c>
      <c r="BD25">
        <v>28.782900000000001</v>
      </c>
      <c r="BE25">
        <v>29.215800000000002</v>
      </c>
      <c r="BF25">
        <v>0</v>
      </c>
      <c r="BG25">
        <v>0</v>
      </c>
      <c r="BH25">
        <v>10012.5</v>
      </c>
      <c r="BI25">
        <v>1078.95</v>
      </c>
      <c r="BJ25">
        <v>1.1773899999999999</v>
      </c>
      <c r="BK25">
        <v>5.6002799999999997</v>
      </c>
      <c r="BL25">
        <v>824.61300000000006</v>
      </c>
      <c r="BM25">
        <v>818.33100000000002</v>
      </c>
      <c r="BN25">
        <v>0.655582</v>
      </c>
      <c r="BO25">
        <v>799.94100000000003</v>
      </c>
      <c r="BP25">
        <v>22.4724</v>
      </c>
      <c r="BQ25">
        <v>2.2911700000000002</v>
      </c>
      <c r="BR25">
        <v>2.2262200000000001</v>
      </c>
      <c r="BS25">
        <v>19.6144</v>
      </c>
      <c r="BT25">
        <v>19.1523</v>
      </c>
      <c r="BU25">
        <v>1799.96</v>
      </c>
      <c r="BV25">
        <v>0.90998500000000004</v>
      </c>
      <c r="BW25">
        <v>3.4006099999999997E-2</v>
      </c>
      <c r="BX25">
        <v>2.2006700000000001E-2</v>
      </c>
      <c r="BY25">
        <v>3.4001799999999999E-2</v>
      </c>
      <c r="BZ25">
        <v>26</v>
      </c>
      <c r="CA25">
        <v>33527.5</v>
      </c>
      <c r="CB25">
        <v>1690229084.0999999</v>
      </c>
      <c r="CC25" t="s">
        <v>332</v>
      </c>
      <c r="CD25">
        <v>1690229084.0999999</v>
      </c>
      <c r="CE25">
        <v>1690229076.5999999</v>
      </c>
      <c r="CF25">
        <v>13</v>
      </c>
      <c r="CG25">
        <v>0.23300000000000001</v>
      </c>
      <c r="CH25">
        <v>-0.13100000000000001</v>
      </c>
      <c r="CI25">
        <v>-0.20599999999999999</v>
      </c>
      <c r="CJ25">
        <v>8.7999999999999995E-2</v>
      </c>
      <c r="CK25">
        <v>799</v>
      </c>
      <c r="CL25">
        <v>16</v>
      </c>
      <c r="CM25">
        <v>0.04</v>
      </c>
      <c r="CN25">
        <v>0.04</v>
      </c>
      <c r="CO25">
        <v>6.3371557499999991</v>
      </c>
      <c r="CP25">
        <v>-3.9999639399625031</v>
      </c>
      <c r="CQ25">
        <v>0.38705048882469772</v>
      </c>
      <c r="CR25">
        <v>-1</v>
      </c>
      <c r="CS25">
        <v>1.160815425</v>
      </c>
      <c r="CT25">
        <v>-2.904599313320829</v>
      </c>
      <c r="CU25">
        <v>0.2799053584457511</v>
      </c>
      <c r="CV25">
        <v>-1</v>
      </c>
      <c r="CW25">
        <v>0</v>
      </c>
      <c r="CX25">
        <v>0</v>
      </c>
      <c r="CY25" t="s">
        <v>333</v>
      </c>
      <c r="CZ25">
        <v>2.3643800000000001</v>
      </c>
      <c r="DA25">
        <v>2.7137699999999998</v>
      </c>
      <c r="DB25">
        <v>0.147372</v>
      </c>
      <c r="DC25">
        <v>0.146343</v>
      </c>
      <c r="DD25">
        <v>0.11093500000000001</v>
      </c>
      <c r="DE25">
        <v>0.107089</v>
      </c>
      <c r="DF25">
        <v>31128.1</v>
      </c>
      <c r="DG25">
        <v>27511.5</v>
      </c>
      <c r="DH25">
        <v>31167.599999999999</v>
      </c>
      <c r="DI25">
        <v>28082</v>
      </c>
      <c r="DJ25">
        <v>37624.300000000003</v>
      </c>
      <c r="DK25">
        <v>35656.5</v>
      </c>
      <c r="DL25">
        <v>44356.800000000003</v>
      </c>
      <c r="DM25">
        <v>42567.1</v>
      </c>
      <c r="DN25">
        <v>1.4681500000000001</v>
      </c>
      <c r="DO25">
        <v>2.0590999999999999</v>
      </c>
      <c r="DP25">
        <v>0.17527899999999999</v>
      </c>
      <c r="DQ25">
        <v>0.20302500000000001</v>
      </c>
      <c r="DR25">
        <v>25.918099999999999</v>
      </c>
      <c r="DS25">
        <v>25.898599999999998</v>
      </c>
      <c r="DT25">
        <v>56.4</v>
      </c>
      <c r="DU25">
        <v>29.3</v>
      </c>
      <c r="DV25">
        <v>23.301200000000001</v>
      </c>
      <c r="DW25">
        <v>62.169800000000002</v>
      </c>
      <c r="DX25">
        <v>35.060099999999998</v>
      </c>
      <c r="DY25">
        <v>1</v>
      </c>
      <c r="DZ25">
        <v>-5.28227E-2</v>
      </c>
      <c r="EA25">
        <v>9.2810500000000005</v>
      </c>
      <c r="EB25">
        <v>19.874600000000001</v>
      </c>
      <c r="EC25">
        <v>5.2409499999999998</v>
      </c>
      <c r="ED25">
        <v>12.039899999999999</v>
      </c>
      <c r="EE25">
        <v>5.0166500000000003</v>
      </c>
      <c r="EF25">
        <v>3.2879499999999999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1.86917</v>
      </c>
      <c r="EN25">
        <v>1.8672200000000001</v>
      </c>
      <c r="EO25">
        <v>1.86338</v>
      </c>
      <c r="EP25">
        <v>1.8644700000000001</v>
      </c>
      <c r="EQ25">
        <v>1.87012</v>
      </c>
      <c r="ER25">
        <v>1.8693599999999999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-0.21</v>
      </c>
      <c r="FG25">
        <v>0.17860000000000001</v>
      </c>
      <c r="FH25">
        <v>0.3448811944559278</v>
      </c>
      <c r="FI25">
        <v>-6.1462078757559423E-4</v>
      </c>
      <c r="FJ25">
        <v>-1.8861989874597051E-7</v>
      </c>
      <c r="FK25">
        <v>1.1980462299894961E-10</v>
      </c>
      <c r="FL25">
        <v>0.17862261546663211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11.5</v>
      </c>
      <c r="FU25">
        <v>11.6</v>
      </c>
      <c r="FV25">
        <v>1.79688</v>
      </c>
      <c r="FW25">
        <v>2.5866699999999998</v>
      </c>
      <c r="FX25">
        <v>1.5490699999999999</v>
      </c>
      <c r="FY25">
        <v>2.3290999999999999</v>
      </c>
      <c r="FZ25">
        <v>1.50146</v>
      </c>
      <c r="GA25">
        <v>2.3828100000000001</v>
      </c>
      <c r="GB25">
        <v>33.850900000000003</v>
      </c>
      <c r="GC25">
        <v>23.868600000000001</v>
      </c>
      <c r="GD25">
        <v>19</v>
      </c>
      <c r="GE25">
        <v>280.12400000000002</v>
      </c>
      <c r="GF25">
        <v>603.85</v>
      </c>
      <c r="GG25">
        <v>22.051300000000001</v>
      </c>
      <c r="GH25">
        <v>26.431699999999999</v>
      </c>
      <c r="GI25">
        <v>30.0002</v>
      </c>
      <c r="GJ25">
        <v>26.503599999999999</v>
      </c>
      <c r="GK25">
        <v>26.482500000000002</v>
      </c>
      <c r="GL25">
        <v>35.9148</v>
      </c>
      <c r="GM25">
        <v>10.2453</v>
      </c>
      <c r="GN25">
        <v>100</v>
      </c>
      <c r="GO25">
        <v>20.422599999999999</v>
      </c>
      <c r="GP25">
        <v>800</v>
      </c>
      <c r="GQ25">
        <v>22.576000000000001</v>
      </c>
      <c r="GR25">
        <v>99.726200000000006</v>
      </c>
      <c r="GS25">
        <v>99.575100000000006</v>
      </c>
    </row>
    <row r="26" spans="1:201" x14ac:dyDescent="0.25">
      <c r="A26">
        <v>10</v>
      </c>
      <c r="B26">
        <v>1690229784.5999999</v>
      </c>
      <c r="C26">
        <v>279.5</v>
      </c>
      <c r="D26" t="s">
        <v>353</v>
      </c>
      <c r="E26" t="s">
        <v>354</v>
      </c>
      <c r="F26" t="s">
        <v>330</v>
      </c>
      <c r="H26">
        <v>1690229784.5999999</v>
      </c>
      <c r="I26">
        <f t="shared" si="0"/>
        <v>1.8815953275989083E-5</v>
      </c>
      <c r="J26">
        <f t="shared" si="1"/>
        <v>1.8815953275989082E-2</v>
      </c>
      <c r="K26">
        <f t="shared" si="2"/>
        <v>-0.45969232147983985</v>
      </c>
      <c r="L26">
        <f t="shared" si="3"/>
        <v>804.61199999999997</v>
      </c>
      <c r="M26">
        <f t="shared" si="4"/>
        <v>1487.328876234018</v>
      </c>
      <c r="N26">
        <f t="shared" si="5"/>
        <v>147.48760843328074</v>
      </c>
      <c r="O26">
        <f t="shared" si="6"/>
        <v>79.787531522414398</v>
      </c>
      <c r="P26">
        <f t="shared" si="7"/>
        <v>1.0270216030371061E-3</v>
      </c>
      <c r="Q26">
        <f t="shared" si="8"/>
        <v>2.1770639191910237</v>
      </c>
      <c r="R26">
        <f t="shared" si="9"/>
        <v>1.02675251613084E-3</v>
      </c>
      <c r="S26">
        <f t="shared" si="10"/>
        <v>6.4174449250084986E-4</v>
      </c>
      <c r="T26">
        <f t="shared" si="11"/>
        <v>276.10708310975099</v>
      </c>
      <c r="U26">
        <f t="shared" si="12"/>
        <v>28.970170137527774</v>
      </c>
      <c r="V26">
        <f t="shared" si="13"/>
        <v>28.970170137527774</v>
      </c>
      <c r="W26">
        <f t="shared" si="14"/>
        <v>4.0148359325148011</v>
      </c>
      <c r="X26">
        <f t="shared" si="15"/>
        <v>63.615470973339129</v>
      </c>
      <c r="Y26">
        <f t="shared" si="16"/>
        <v>2.2550598976292</v>
      </c>
      <c r="Z26">
        <f t="shared" si="17"/>
        <v>3.5448293679603227</v>
      </c>
      <c r="AA26">
        <f t="shared" si="18"/>
        <v>1.7597760348856011</v>
      </c>
      <c r="AB26">
        <f t="shared" si="19"/>
        <v>-0.8297835394711186</v>
      </c>
      <c r="AC26">
        <f t="shared" si="20"/>
        <v>-250.48727162390313</v>
      </c>
      <c r="AD26">
        <f t="shared" si="21"/>
        <v>-25.055961493310054</v>
      </c>
      <c r="AE26">
        <f t="shared" si="22"/>
        <v>-0.26593354693332572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52350.528628158179</v>
      </c>
      <c r="AK26">
        <f t="shared" si="26"/>
        <v>1799.95</v>
      </c>
      <c r="AL26">
        <f t="shared" si="27"/>
        <v>1499.07050739585</v>
      </c>
      <c r="AM26">
        <f t="shared" si="28"/>
        <v>0.83284008300000001</v>
      </c>
      <c r="AN26">
        <f t="shared" si="29"/>
        <v>0.15339708497999999</v>
      </c>
      <c r="AO26">
        <v>31.5</v>
      </c>
      <c r="AP26">
        <v>0.5</v>
      </c>
      <c r="AQ26" t="s">
        <v>331</v>
      </c>
      <c r="AR26">
        <v>2</v>
      </c>
      <c r="AS26">
        <v>1690229784.5999999</v>
      </c>
      <c r="AT26">
        <v>804.61199999999997</v>
      </c>
      <c r="AU26">
        <v>799.94600000000003</v>
      </c>
      <c r="AV26">
        <v>22.741</v>
      </c>
      <c r="AW26">
        <v>22.547999999999998</v>
      </c>
      <c r="AX26">
        <v>804.822</v>
      </c>
      <c r="AY26">
        <v>22.5624</v>
      </c>
      <c r="AZ26">
        <v>300.11599999999999</v>
      </c>
      <c r="BA26">
        <v>99.062799999999996</v>
      </c>
      <c r="BB26">
        <v>9.9941199999999994E-2</v>
      </c>
      <c r="BC26">
        <v>26.835999999999999</v>
      </c>
      <c r="BD26">
        <v>28.463699999999999</v>
      </c>
      <c r="BE26">
        <v>28.836400000000001</v>
      </c>
      <c r="BF26">
        <v>0</v>
      </c>
      <c r="BG26">
        <v>0</v>
      </c>
      <c r="BH26">
        <v>9988.1200000000008</v>
      </c>
      <c r="BI26">
        <v>1078.7</v>
      </c>
      <c r="BJ26">
        <v>1.1773899999999999</v>
      </c>
      <c r="BK26">
        <v>4.6666299999999996</v>
      </c>
      <c r="BL26">
        <v>823.33600000000001</v>
      </c>
      <c r="BM26">
        <v>818.399</v>
      </c>
      <c r="BN26">
        <v>0.193024</v>
      </c>
      <c r="BO26">
        <v>799.94600000000003</v>
      </c>
      <c r="BP26">
        <v>22.547999999999998</v>
      </c>
      <c r="BQ26">
        <v>2.2527900000000001</v>
      </c>
      <c r="BR26">
        <v>2.23367</v>
      </c>
      <c r="BS26">
        <v>19.342700000000001</v>
      </c>
      <c r="BT26">
        <v>19.2059</v>
      </c>
      <c r="BU26">
        <v>1799.95</v>
      </c>
      <c r="BV26">
        <v>0.91000599999999998</v>
      </c>
      <c r="BW26">
        <v>3.4002900000000003E-2</v>
      </c>
      <c r="BX26">
        <v>2.1994900000000001E-2</v>
      </c>
      <c r="BY26">
        <v>3.3996600000000002E-2</v>
      </c>
      <c r="BZ26">
        <v>26</v>
      </c>
      <c r="CA26">
        <v>33527.599999999999</v>
      </c>
      <c r="CB26">
        <v>1690229084.0999999</v>
      </c>
      <c r="CC26" t="s">
        <v>332</v>
      </c>
      <c r="CD26">
        <v>1690229084.0999999</v>
      </c>
      <c r="CE26">
        <v>1690229076.5999999</v>
      </c>
      <c r="CF26">
        <v>13</v>
      </c>
      <c r="CG26">
        <v>0.23300000000000001</v>
      </c>
      <c r="CH26">
        <v>-0.13100000000000001</v>
      </c>
      <c r="CI26">
        <v>-0.20599999999999999</v>
      </c>
      <c r="CJ26">
        <v>8.7999999999999995E-2</v>
      </c>
      <c r="CK26">
        <v>799</v>
      </c>
      <c r="CL26">
        <v>16</v>
      </c>
      <c r="CM26">
        <v>0.04</v>
      </c>
      <c r="CN26">
        <v>0.04</v>
      </c>
      <c r="CO26">
        <v>5.6705021951219514</v>
      </c>
      <c r="CP26">
        <v>-4.6265862020905848</v>
      </c>
      <c r="CQ26">
        <v>0.45783559235481991</v>
      </c>
      <c r="CR26">
        <v>-1</v>
      </c>
      <c r="CS26">
        <v>0.71877404878048778</v>
      </c>
      <c r="CT26">
        <v>-2.862665832752612</v>
      </c>
      <c r="CU26">
        <v>0.28258284549007201</v>
      </c>
      <c r="CV26">
        <v>-1</v>
      </c>
      <c r="CW26">
        <v>0</v>
      </c>
      <c r="CX26">
        <v>0</v>
      </c>
      <c r="CY26" t="s">
        <v>333</v>
      </c>
      <c r="CZ26">
        <v>2.3640699999999999</v>
      </c>
      <c r="DA26">
        <v>2.7137199999999999</v>
      </c>
      <c r="DB26">
        <v>0.14724999999999999</v>
      </c>
      <c r="DC26">
        <v>0.146343</v>
      </c>
      <c r="DD26">
        <v>0.109613</v>
      </c>
      <c r="DE26">
        <v>0.107339</v>
      </c>
      <c r="DF26">
        <v>31133.7</v>
      </c>
      <c r="DG26">
        <v>27512.799999999999</v>
      </c>
      <c r="DH26">
        <v>31168.799999999999</v>
      </c>
      <c r="DI26">
        <v>28083.4</v>
      </c>
      <c r="DJ26">
        <v>37682.5</v>
      </c>
      <c r="DK26">
        <v>35648.300000000003</v>
      </c>
      <c r="DL26">
        <v>44358.7</v>
      </c>
      <c r="DM26">
        <v>42569.3</v>
      </c>
      <c r="DN26">
        <v>1.46763</v>
      </c>
      <c r="DO26">
        <v>2.05925</v>
      </c>
      <c r="DP26">
        <v>0.154421</v>
      </c>
      <c r="DQ26">
        <v>0.181001</v>
      </c>
      <c r="DR26">
        <v>25.9391</v>
      </c>
      <c r="DS26">
        <v>25.878</v>
      </c>
      <c r="DT26">
        <v>56.4</v>
      </c>
      <c r="DU26">
        <v>29.3</v>
      </c>
      <c r="DV26">
        <v>23.293900000000001</v>
      </c>
      <c r="DW26">
        <v>62.819800000000001</v>
      </c>
      <c r="DX26">
        <v>36.25</v>
      </c>
      <c r="DY26">
        <v>1</v>
      </c>
      <c r="DZ26">
        <v>-5.3788099999999998E-2</v>
      </c>
      <c r="EA26">
        <v>9.2810500000000005</v>
      </c>
      <c r="EB26">
        <v>19.8842</v>
      </c>
      <c r="EC26">
        <v>5.24125</v>
      </c>
      <c r="ED26">
        <v>12.039899999999999</v>
      </c>
      <c r="EE26">
        <v>5.016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1.8691800000000001</v>
      </c>
      <c r="EN26">
        <v>1.8672200000000001</v>
      </c>
      <c r="EO26">
        <v>1.86337</v>
      </c>
      <c r="EP26">
        <v>1.8644700000000001</v>
      </c>
      <c r="EQ26">
        <v>1.8701300000000001</v>
      </c>
      <c r="ER26">
        <v>1.8693599999999999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-0.21</v>
      </c>
      <c r="FG26">
        <v>0.17860000000000001</v>
      </c>
      <c r="FH26">
        <v>0.3448811944559278</v>
      </c>
      <c r="FI26">
        <v>-6.1462078757559423E-4</v>
      </c>
      <c r="FJ26">
        <v>-1.8861989874597051E-7</v>
      </c>
      <c r="FK26">
        <v>1.1980462299894961E-10</v>
      </c>
      <c r="FL26">
        <v>0.17862261546663211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11.7</v>
      </c>
      <c r="FU26">
        <v>11.8</v>
      </c>
      <c r="FV26">
        <v>1.79688</v>
      </c>
      <c r="FW26">
        <v>2.5854499999999998</v>
      </c>
      <c r="FX26">
        <v>1.5490699999999999</v>
      </c>
      <c r="FY26">
        <v>2.3290999999999999</v>
      </c>
      <c r="FZ26">
        <v>1.50146</v>
      </c>
      <c r="GA26">
        <v>2.2936999999999999</v>
      </c>
      <c r="GB26">
        <v>33.8735</v>
      </c>
      <c r="GC26">
        <v>23.877400000000002</v>
      </c>
      <c r="GD26">
        <v>19</v>
      </c>
      <c r="GE26">
        <v>279.89999999999998</v>
      </c>
      <c r="GF26">
        <v>604.00300000000004</v>
      </c>
      <c r="GG26">
        <v>20.568000000000001</v>
      </c>
      <c r="GH26">
        <v>26.440300000000001</v>
      </c>
      <c r="GI26">
        <v>29.9998</v>
      </c>
      <c r="GJ26">
        <v>26.503</v>
      </c>
      <c r="GK26">
        <v>26.4848</v>
      </c>
      <c r="GL26">
        <v>35.92</v>
      </c>
      <c r="GM26">
        <v>9.5922599999999996</v>
      </c>
      <c r="GN26">
        <v>100</v>
      </c>
      <c r="GO26">
        <v>20.318200000000001</v>
      </c>
      <c r="GP26">
        <v>800</v>
      </c>
      <c r="GQ26">
        <v>22.695499999999999</v>
      </c>
      <c r="GR26">
        <v>99.7303</v>
      </c>
      <c r="GS26">
        <v>99.580100000000002</v>
      </c>
    </row>
    <row r="27" spans="1:201" x14ac:dyDescent="0.25">
      <c r="A27">
        <v>11</v>
      </c>
      <c r="B27">
        <v>1690229794.5999999</v>
      </c>
      <c r="C27">
        <v>289.5</v>
      </c>
      <c r="D27" t="s">
        <v>355</v>
      </c>
      <c r="E27" t="s">
        <v>356</v>
      </c>
      <c r="F27" t="s">
        <v>330</v>
      </c>
      <c r="H27">
        <v>1690229794.5999999</v>
      </c>
      <c r="I27">
        <f t="shared" si="0"/>
        <v>-4.1814759813677467E-5</v>
      </c>
      <c r="J27">
        <f t="shared" si="1"/>
        <v>-4.1814759813677466E-2</v>
      </c>
      <c r="K27">
        <f t="shared" si="2"/>
        <v>-0.27863936366752012</v>
      </c>
      <c r="L27">
        <f t="shared" si="3"/>
        <v>803.36599999999999</v>
      </c>
      <c r="M27">
        <f t="shared" si="4"/>
        <v>588.49205545783707</v>
      </c>
      <c r="N27">
        <f t="shared" si="5"/>
        <v>58.3569454767105</v>
      </c>
      <c r="O27">
        <f t="shared" si="6"/>
        <v>79.664602818418004</v>
      </c>
      <c r="P27">
        <f t="shared" si="7"/>
        <v>-2.2903502448468637E-3</v>
      </c>
      <c r="Q27">
        <f t="shared" si="8"/>
        <v>2.1758572914862087</v>
      </c>
      <c r="R27">
        <f t="shared" si="9"/>
        <v>-2.2916904623073117E-3</v>
      </c>
      <c r="S27">
        <f t="shared" si="10"/>
        <v>-1.4321860636247869E-3</v>
      </c>
      <c r="T27">
        <f t="shared" si="11"/>
        <v>276.11163725068019</v>
      </c>
      <c r="U27">
        <f t="shared" si="12"/>
        <v>28.698792983387907</v>
      </c>
      <c r="V27">
        <f t="shared" si="13"/>
        <v>28.698792983387907</v>
      </c>
      <c r="W27">
        <f t="shared" si="14"/>
        <v>3.9522057210399564</v>
      </c>
      <c r="X27">
        <f t="shared" si="15"/>
        <v>63.115152181041324</v>
      </c>
      <c r="Y27">
        <f t="shared" si="16"/>
        <v>2.1989610388772998</v>
      </c>
      <c r="Z27">
        <f t="shared" si="17"/>
        <v>3.4840461646511387</v>
      </c>
      <c r="AA27">
        <f t="shared" si="18"/>
        <v>1.7532446821626566</v>
      </c>
      <c r="AB27">
        <f t="shared" si="19"/>
        <v>1.8440309077831762</v>
      </c>
      <c r="AC27">
        <f t="shared" si="20"/>
        <v>-252.97874806036373</v>
      </c>
      <c r="AD27">
        <f t="shared" si="21"/>
        <v>-25.24795397043761</v>
      </c>
      <c r="AE27">
        <f t="shared" si="22"/>
        <v>-0.27103387233796639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52351.903313546405</v>
      </c>
      <c r="AK27">
        <f t="shared" si="26"/>
        <v>1799.97</v>
      </c>
      <c r="AL27">
        <f t="shared" si="27"/>
        <v>1499.0882675791199</v>
      </c>
      <c r="AM27">
        <f t="shared" si="28"/>
        <v>0.83284069599999999</v>
      </c>
      <c r="AN27">
        <f t="shared" si="29"/>
        <v>0.15339791066</v>
      </c>
      <c r="AO27">
        <v>31.5</v>
      </c>
      <c r="AP27">
        <v>0.5</v>
      </c>
      <c r="AQ27" t="s">
        <v>331</v>
      </c>
      <c r="AR27">
        <v>2</v>
      </c>
      <c r="AS27">
        <v>1690229794.5999999</v>
      </c>
      <c r="AT27">
        <v>803.36599999999999</v>
      </c>
      <c r="AU27">
        <v>800.09</v>
      </c>
      <c r="AV27">
        <v>22.1751</v>
      </c>
      <c r="AW27">
        <v>22.604099999999999</v>
      </c>
      <c r="AX27">
        <v>803.57500000000005</v>
      </c>
      <c r="AY27">
        <v>21.996500000000001</v>
      </c>
      <c r="AZ27">
        <v>300.22300000000001</v>
      </c>
      <c r="BA27">
        <v>99.063500000000005</v>
      </c>
      <c r="BB27">
        <v>0.100023</v>
      </c>
      <c r="BC27">
        <v>26.542200000000001</v>
      </c>
      <c r="BD27">
        <v>28.122499999999999</v>
      </c>
      <c r="BE27">
        <v>28.477699999999999</v>
      </c>
      <c r="BF27">
        <v>0</v>
      </c>
      <c r="BG27">
        <v>0</v>
      </c>
      <c r="BH27">
        <v>9978.1200000000008</v>
      </c>
      <c r="BI27">
        <v>1077.8699999999999</v>
      </c>
      <c r="BJ27">
        <v>1.1773899999999999</v>
      </c>
      <c r="BK27">
        <v>3.27576</v>
      </c>
      <c r="BL27">
        <v>821.58500000000004</v>
      </c>
      <c r="BM27">
        <v>818.59400000000005</v>
      </c>
      <c r="BN27">
        <v>-0.42902899999999999</v>
      </c>
      <c r="BO27">
        <v>800.09</v>
      </c>
      <c r="BP27">
        <v>22.604099999999999</v>
      </c>
      <c r="BQ27">
        <v>2.1967400000000001</v>
      </c>
      <c r="BR27">
        <v>2.2392400000000001</v>
      </c>
      <c r="BS27">
        <v>18.938600000000001</v>
      </c>
      <c r="BT27">
        <v>19.245899999999999</v>
      </c>
      <c r="BU27">
        <v>1799.97</v>
      </c>
      <c r="BV27">
        <v>0.90999699999999994</v>
      </c>
      <c r="BW27">
        <v>3.3996400000000003E-2</v>
      </c>
      <c r="BX27">
        <v>2.2007800000000001E-2</v>
      </c>
      <c r="BY27">
        <v>3.3998599999999997E-2</v>
      </c>
      <c r="BZ27">
        <v>26</v>
      </c>
      <c r="CA27">
        <v>33527.800000000003</v>
      </c>
      <c r="CB27">
        <v>1690229084.0999999</v>
      </c>
      <c r="CC27" t="s">
        <v>332</v>
      </c>
      <c r="CD27">
        <v>1690229084.0999999</v>
      </c>
      <c r="CE27">
        <v>1690229076.5999999</v>
      </c>
      <c r="CF27">
        <v>13</v>
      </c>
      <c r="CG27">
        <v>0.23300000000000001</v>
      </c>
      <c r="CH27">
        <v>-0.13100000000000001</v>
      </c>
      <c r="CI27">
        <v>-0.20599999999999999</v>
      </c>
      <c r="CJ27">
        <v>8.7999999999999995E-2</v>
      </c>
      <c r="CK27">
        <v>799</v>
      </c>
      <c r="CL27">
        <v>16</v>
      </c>
      <c r="CM27">
        <v>0.04</v>
      </c>
      <c r="CN27">
        <v>0.04</v>
      </c>
      <c r="CO27">
        <v>4.7273653658536583</v>
      </c>
      <c r="CP27">
        <v>-6.4712050871080082</v>
      </c>
      <c r="CQ27">
        <v>0.64261128039675652</v>
      </c>
      <c r="CR27">
        <v>-1</v>
      </c>
      <c r="CS27">
        <v>0.2182212280487805</v>
      </c>
      <c r="CT27">
        <v>-3.1642682163763061</v>
      </c>
      <c r="CU27">
        <v>0.31329069594696068</v>
      </c>
      <c r="CV27">
        <v>-1</v>
      </c>
      <c r="CW27">
        <v>0</v>
      </c>
      <c r="CX27">
        <v>0</v>
      </c>
      <c r="CY27" t="s">
        <v>333</v>
      </c>
      <c r="CZ27">
        <v>2.3643999999999998</v>
      </c>
      <c r="DA27">
        <v>2.7138</v>
      </c>
      <c r="DB27">
        <v>0.147087</v>
      </c>
      <c r="DC27">
        <v>0.14636199999999999</v>
      </c>
      <c r="DD27">
        <v>0.107665</v>
      </c>
      <c r="DE27">
        <v>0.107526</v>
      </c>
      <c r="DF27">
        <v>31140.7</v>
      </c>
      <c r="DG27">
        <v>27512.799999999999</v>
      </c>
      <c r="DH27">
        <v>31169.9</v>
      </c>
      <c r="DI27">
        <v>28084.1</v>
      </c>
      <c r="DJ27">
        <v>37766.800000000003</v>
      </c>
      <c r="DK27">
        <v>35641.5</v>
      </c>
      <c r="DL27">
        <v>44360</v>
      </c>
      <c r="DM27">
        <v>42570.1</v>
      </c>
      <c r="DN27">
        <v>1.46722</v>
      </c>
      <c r="DO27">
        <v>2.0588000000000002</v>
      </c>
      <c r="DP27">
        <v>0.13383100000000001</v>
      </c>
      <c r="DQ27">
        <v>0.161886</v>
      </c>
      <c r="DR27">
        <v>25.934000000000001</v>
      </c>
      <c r="DS27">
        <v>25.8309</v>
      </c>
      <c r="DT27">
        <v>56.4</v>
      </c>
      <c r="DU27">
        <v>29.3</v>
      </c>
      <c r="DV27">
        <v>23.3003</v>
      </c>
      <c r="DW27">
        <v>62.599800000000002</v>
      </c>
      <c r="DX27">
        <v>35.264400000000002</v>
      </c>
      <c r="DY27">
        <v>1</v>
      </c>
      <c r="DZ27">
        <v>-5.4319100000000002E-2</v>
      </c>
      <c r="EA27">
        <v>9.2810500000000005</v>
      </c>
      <c r="EB27">
        <v>19.891300000000001</v>
      </c>
      <c r="EC27">
        <v>5.2406499999999996</v>
      </c>
      <c r="ED27">
        <v>12.039899999999999</v>
      </c>
      <c r="EE27">
        <v>5.0165499999999996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1.8691199999999999</v>
      </c>
      <c r="EN27">
        <v>1.8672200000000001</v>
      </c>
      <c r="EO27">
        <v>1.86338</v>
      </c>
      <c r="EP27">
        <v>1.8644799999999999</v>
      </c>
      <c r="EQ27">
        <v>1.8701300000000001</v>
      </c>
      <c r="ER27">
        <v>1.86937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-0.20899999999999999</v>
      </c>
      <c r="FG27">
        <v>0.17860000000000001</v>
      </c>
      <c r="FH27">
        <v>0.3448811944559278</v>
      </c>
      <c r="FI27">
        <v>-6.1462078757559423E-4</v>
      </c>
      <c r="FJ27">
        <v>-1.8861989874597051E-7</v>
      </c>
      <c r="FK27">
        <v>1.1980462299894961E-10</v>
      </c>
      <c r="FL27">
        <v>0.17862261546663211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11.8</v>
      </c>
      <c r="FU27">
        <v>12</v>
      </c>
      <c r="FV27">
        <v>1.79688</v>
      </c>
      <c r="FW27">
        <v>2.5817899999999998</v>
      </c>
      <c r="FX27">
        <v>1.5490699999999999</v>
      </c>
      <c r="FY27">
        <v>2.3290999999999999</v>
      </c>
      <c r="FZ27">
        <v>1.50146</v>
      </c>
      <c r="GA27">
        <v>2.3913600000000002</v>
      </c>
      <c r="GB27">
        <v>33.8735</v>
      </c>
      <c r="GC27">
        <v>23.886099999999999</v>
      </c>
      <c r="GD27">
        <v>19</v>
      </c>
      <c r="GE27">
        <v>279.73</v>
      </c>
      <c r="GF27">
        <v>603.64700000000005</v>
      </c>
      <c r="GG27">
        <v>19.401599999999998</v>
      </c>
      <c r="GH27">
        <v>26.453700000000001</v>
      </c>
      <c r="GI27">
        <v>29.9999</v>
      </c>
      <c r="GJ27">
        <v>26.5032</v>
      </c>
      <c r="GK27">
        <v>26.486999999999998</v>
      </c>
      <c r="GL27">
        <v>35.921900000000001</v>
      </c>
      <c r="GM27">
        <v>10.3612</v>
      </c>
      <c r="GN27">
        <v>100</v>
      </c>
      <c r="GO27">
        <v>20.288</v>
      </c>
      <c r="GP27">
        <v>800</v>
      </c>
      <c r="GQ27">
        <v>22.356999999999999</v>
      </c>
      <c r="GR27">
        <v>99.733400000000003</v>
      </c>
      <c r="GS27">
        <v>99.582300000000004</v>
      </c>
    </row>
    <row r="28" spans="1:201" x14ac:dyDescent="0.25">
      <c r="A28">
        <v>12</v>
      </c>
      <c r="B28">
        <v>1690229804.5999999</v>
      </c>
      <c r="C28">
        <v>299.5</v>
      </c>
      <c r="D28" t="s">
        <v>357</v>
      </c>
      <c r="E28" t="s">
        <v>358</v>
      </c>
      <c r="F28" t="s">
        <v>330</v>
      </c>
      <c r="H28">
        <v>1690229804.5999999</v>
      </c>
      <c r="I28">
        <f t="shared" si="0"/>
        <v>-5.938134054705155E-5</v>
      </c>
      <c r="J28">
        <f t="shared" si="1"/>
        <v>-5.9381340547051548E-2</v>
      </c>
      <c r="K28">
        <f t="shared" si="2"/>
        <v>-0.14851247582420068</v>
      </c>
      <c r="L28">
        <f t="shared" si="3"/>
        <v>802.14700000000005</v>
      </c>
      <c r="M28">
        <f t="shared" si="4"/>
        <v>707.80117211431502</v>
      </c>
      <c r="N28">
        <f t="shared" si="5"/>
        <v>70.188990692329682</v>
      </c>
      <c r="O28">
        <f t="shared" si="6"/>
        <v>79.544779713626994</v>
      </c>
      <c r="P28">
        <f t="shared" si="7"/>
        <v>-3.2765516081112445E-3</v>
      </c>
      <c r="Q28">
        <f t="shared" si="8"/>
        <v>2.1800453662049799</v>
      </c>
      <c r="R28">
        <f t="shared" si="9"/>
        <v>-3.2792899509677753E-3</v>
      </c>
      <c r="S28">
        <f t="shared" si="10"/>
        <v>-2.0493100062339412E-3</v>
      </c>
      <c r="T28">
        <f t="shared" si="11"/>
        <v>276.10955770369765</v>
      </c>
      <c r="U28">
        <f t="shared" si="12"/>
        <v>28.453885511618012</v>
      </c>
      <c r="V28">
        <f t="shared" si="13"/>
        <v>28.453885511618012</v>
      </c>
      <c r="W28">
        <f t="shared" si="14"/>
        <v>3.8964175556210954</v>
      </c>
      <c r="X28">
        <f t="shared" si="15"/>
        <v>62.779017124699855</v>
      </c>
      <c r="Y28">
        <f t="shared" si="16"/>
        <v>2.1555362323328997</v>
      </c>
      <c r="Z28">
        <f t="shared" si="17"/>
        <v>3.4335297541394971</v>
      </c>
      <c r="AA28">
        <f t="shared" si="18"/>
        <v>1.7408813232881957</v>
      </c>
      <c r="AB28">
        <f t="shared" si="19"/>
        <v>2.6187171181249735</v>
      </c>
      <c r="AC28">
        <f t="shared" si="20"/>
        <v>-253.78213423858082</v>
      </c>
      <c r="AD28">
        <f t="shared" si="21"/>
        <v>-25.217405351678533</v>
      </c>
      <c r="AE28">
        <f t="shared" si="22"/>
        <v>-0.27126476843673686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52569.009019193865</v>
      </c>
      <c r="AK28">
        <f t="shared" si="26"/>
        <v>1799.96</v>
      </c>
      <c r="AL28">
        <f t="shared" si="27"/>
        <v>1499.07709523536</v>
      </c>
      <c r="AM28">
        <f t="shared" si="28"/>
        <v>0.83283911600000005</v>
      </c>
      <c r="AN28">
        <f t="shared" si="29"/>
        <v>0.15339760756000001</v>
      </c>
      <c r="AO28">
        <v>31.5</v>
      </c>
      <c r="AP28">
        <v>0.5</v>
      </c>
      <c r="AQ28" t="s">
        <v>331</v>
      </c>
      <c r="AR28">
        <v>2</v>
      </c>
      <c r="AS28">
        <v>1690229804.5999999</v>
      </c>
      <c r="AT28">
        <v>802.14700000000005</v>
      </c>
      <c r="AU28">
        <v>800.08900000000006</v>
      </c>
      <c r="AV28">
        <v>21.736899999999999</v>
      </c>
      <c r="AW28">
        <v>22.346399999999999</v>
      </c>
      <c r="AX28">
        <v>802.35400000000004</v>
      </c>
      <c r="AY28">
        <v>21.558299999999999</v>
      </c>
      <c r="AZ28">
        <v>300.22199999999998</v>
      </c>
      <c r="BA28">
        <v>99.064700000000002</v>
      </c>
      <c r="BB28">
        <v>0.10014099999999999</v>
      </c>
      <c r="BC28">
        <v>26.294599999999999</v>
      </c>
      <c r="BD28">
        <v>27.8949</v>
      </c>
      <c r="BE28">
        <v>28.177</v>
      </c>
      <c r="BF28">
        <v>0</v>
      </c>
      <c r="BG28">
        <v>0</v>
      </c>
      <c r="BH28">
        <v>10012.5</v>
      </c>
      <c r="BI28">
        <v>1076.69</v>
      </c>
      <c r="BJ28">
        <v>1.1773899999999999</v>
      </c>
      <c r="BK28">
        <v>2.0573700000000001</v>
      </c>
      <c r="BL28">
        <v>819.97</v>
      </c>
      <c r="BM28">
        <v>818.37699999999995</v>
      </c>
      <c r="BN28">
        <v>-0.60946100000000003</v>
      </c>
      <c r="BO28">
        <v>800.08900000000006</v>
      </c>
      <c r="BP28">
        <v>22.346399999999999</v>
      </c>
      <c r="BQ28">
        <v>2.1533600000000002</v>
      </c>
      <c r="BR28">
        <v>2.21374</v>
      </c>
      <c r="BS28">
        <v>18.619499999999999</v>
      </c>
      <c r="BT28">
        <v>19.062100000000001</v>
      </c>
      <c r="BU28">
        <v>1799.96</v>
      </c>
      <c r="BV28">
        <v>0.90998900000000005</v>
      </c>
      <c r="BW28">
        <v>3.4005800000000003E-2</v>
      </c>
      <c r="BX28">
        <v>2.2000800000000001E-2</v>
      </c>
      <c r="BY28">
        <v>3.4004800000000002E-2</v>
      </c>
      <c r="BZ28">
        <v>26</v>
      </c>
      <c r="CA28">
        <v>33527.5</v>
      </c>
      <c r="CB28">
        <v>1690229084.0999999</v>
      </c>
      <c r="CC28" t="s">
        <v>332</v>
      </c>
      <c r="CD28">
        <v>1690229084.0999999</v>
      </c>
      <c r="CE28">
        <v>1690229076.5999999</v>
      </c>
      <c r="CF28">
        <v>13</v>
      </c>
      <c r="CG28">
        <v>0.23300000000000001</v>
      </c>
      <c r="CH28">
        <v>-0.13100000000000001</v>
      </c>
      <c r="CI28">
        <v>-0.20599999999999999</v>
      </c>
      <c r="CJ28">
        <v>8.7999999999999995E-2</v>
      </c>
      <c r="CK28">
        <v>799</v>
      </c>
      <c r="CL28">
        <v>16</v>
      </c>
      <c r="CM28">
        <v>0.04</v>
      </c>
      <c r="CN28">
        <v>0.04</v>
      </c>
      <c r="CO28">
        <v>3.5393647499999998</v>
      </c>
      <c r="CP28">
        <v>-7.8509965103189554</v>
      </c>
      <c r="CQ28">
        <v>0.75751406473407312</v>
      </c>
      <c r="CR28">
        <v>-1</v>
      </c>
      <c r="CS28">
        <v>-0.30885526624999998</v>
      </c>
      <c r="CT28">
        <v>-3.2743849457786109</v>
      </c>
      <c r="CU28">
        <v>0.31847785041304938</v>
      </c>
      <c r="CV28">
        <v>-1</v>
      </c>
      <c r="CW28">
        <v>0</v>
      </c>
      <c r="CX28">
        <v>0</v>
      </c>
      <c r="CY28" t="s">
        <v>333</v>
      </c>
      <c r="CZ28">
        <v>2.3643700000000001</v>
      </c>
      <c r="DA28">
        <v>2.71394</v>
      </c>
      <c r="DB28">
        <v>0.14693000000000001</v>
      </c>
      <c r="DC28">
        <v>0.14635799999999999</v>
      </c>
      <c r="DD28">
        <v>0.106143</v>
      </c>
      <c r="DE28">
        <v>0.106667</v>
      </c>
      <c r="DF28">
        <v>31147.4</v>
      </c>
      <c r="DG28">
        <v>27514.3</v>
      </c>
      <c r="DH28">
        <v>31171</v>
      </c>
      <c r="DI28">
        <v>28085.599999999999</v>
      </c>
      <c r="DJ28">
        <v>37833.1</v>
      </c>
      <c r="DK28">
        <v>35677.800000000003</v>
      </c>
      <c r="DL28">
        <v>44361.4</v>
      </c>
      <c r="DM28">
        <v>42572.3</v>
      </c>
      <c r="DN28">
        <v>1.4717</v>
      </c>
      <c r="DO28">
        <v>2.0581499999999999</v>
      </c>
      <c r="DP28">
        <v>0.12137000000000001</v>
      </c>
      <c r="DQ28">
        <v>0.147589</v>
      </c>
      <c r="DR28">
        <v>25.909800000000001</v>
      </c>
      <c r="DS28">
        <v>25.763300000000001</v>
      </c>
      <c r="DT28">
        <v>56.5</v>
      </c>
      <c r="DU28">
        <v>29.3</v>
      </c>
      <c r="DV28">
        <v>23.3383</v>
      </c>
      <c r="DW28">
        <v>62.1098</v>
      </c>
      <c r="DX28">
        <v>35.464700000000001</v>
      </c>
      <c r="DY28">
        <v>1</v>
      </c>
      <c r="DZ28">
        <v>-7.1008600000000005E-2</v>
      </c>
      <c r="EA28">
        <v>2.4323800000000002</v>
      </c>
      <c r="EB28">
        <v>20.1707</v>
      </c>
      <c r="EC28">
        <v>5.2409499999999998</v>
      </c>
      <c r="ED28">
        <v>12.039899999999999</v>
      </c>
      <c r="EE28">
        <v>5.0173500000000004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1.8691899999999999</v>
      </c>
      <c r="EN28">
        <v>1.8672299999999999</v>
      </c>
      <c r="EO28">
        <v>1.8633999999999999</v>
      </c>
      <c r="EP28">
        <v>1.8644799999999999</v>
      </c>
      <c r="EQ28">
        <v>1.8701399999999999</v>
      </c>
      <c r="ER28">
        <v>1.86938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-0.20699999999999999</v>
      </c>
      <c r="FG28">
        <v>0.17860000000000001</v>
      </c>
      <c r="FH28">
        <v>0.3448811944559278</v>
      </c>
      <c r="FI28">
        <v>-6.1462078757559423E-4</v>
      </c>
      <c r="FJ28">
        <v>-1.8861989874597051E-7</v>
      </c>
      <c r="FK28">
        <v>1.1980462299894961E-10</v>
      </c>
      <c r="FL28">
        <v>0.17862261546663211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12</v>
      </c>
      <c r="FU28">
        <v>12.1</v>
      </c>
      <c r="FV28">
        <v>1.79688</v>
      </c>
      <c r="FW28">
        <v>2.5878899999999998</v>
      </c>
      <c r="FX28">
        <v>1.5490699999999999</v>
      </c>
      <c r="FY28">
        <v>2.3290999999999999</v>
      </c>
      <c r="FZ28">
        <v>1.50146</v>
      </c>
      <c r="GA28">
        <v>2.33521</v>
      </c>
      <c r="GB28">
        <v>33.8735</v>
      </c>
      <c r="GC28">
        <v>23.973700000000001</v>
      </c>
      <c r="GD28">
        <v>19</v>
      </c>
      <c r="GE28">
        <v>281.64400000000001</v>
      </c>
      <c r="GF28">
        <v>603.10199999999998</v>
      </c>
      <c r="GG28">
        <v>19.6175</v>
      </c>
      <c r="GH28">
        <v>26.4695</v>
      </c>
      <c r="GI28">
        <v>29.991299999999999</v>
      </c>
      <c r="GJ28">
        <v>26.5063</v>
      </c>
      <c r="GK28">
        <v>26.4876</v>
      </c>
      <c r="GL28">
        <v>35.914099999999998</v>
      </c>
      <c r="GM28">
        <v>13.5526</v>
      </c>
      <c r="GN28">
        <v>100</v>
      </c>
      <c r="GO28">
        <v>20.524000000000001</v>
      </c>
      <c r="GP28">
        <v>800</v>
      </c>
      <c r="GQ28">
        <v>21.889800000000001</v>
      </c>
      <c r="GR28">
        <v>99.736800000000002</v>
      </c>
      <c r="GS28">
        <v>99.587500000000006</v>
      </c>
    </row>
    <row r="29" spans="1:201" x14ac:dyDescent="0.25">
      <c r="A29">
        <v>13</v>
      </c>
      <c r="B29">
        <v>1690229814.5999999</v>
      </c>
      <c r="C29">
        <v>309.5</v>
      </c>
      <c r="D29" t="s">
        <v>359</v>
      </c>
      <c r="E29" t="s">
        <v>360</v>
      </c>
      <c r="F29" t="s">
        <v>330</v>
      </c>
      <c r="H29">
        <v>1690229814.5999999</v>
      </c>
      <c r="I29">
        <f t="shared" si="0"/>
        <v>-1.5479136756648668E-5</v>
      </c>
      <c r="J29">
        <f t="shared" si="1"/>
        <v>-1.5479136756648668E-2</v>
      </c>
      <c r="K29">
        <f t="shared" si="2"/>
        <v>-6.196132056612904E-2</v>
      </c>
      <c r="L29">
        <f t="shared" si="3"/>
        <v>800.73699999999997</v>
      </c>
      <c r="M29">
        <f t="shared" si="4"/>
        <v>667.55961699338343</v>
      </c>
      <c r="N29">
        <f t="shared" si="5"/>
        <v>66.197708294031457</v>
      </c>
      <c r="O29">
        <f t="shared" si="6"/>
        <v>79.404075676380003</v>
      </c>
      <c r="P29">
        <f t="shared" si="7"/>
        <v>-8.8076408516541381E-4</v>
      </c>
      <c r="Q29">
        <f t="shared" si="8"/>
        <v>2.1722820598182038</v>
      </c>
      <c r="R29">
        <f t="shared" si="9"/>
        <v>-8.8096252832814371E-4</v>
      </c>
      <c r="S29">
        <f t="shared" si="10"/>
        <v>-5.5058374761252549E-4</v>
      </c>
      <c r="T29">
        <f t="shared" si="11"/>
        <v>276.10977807966697</v>
      </c>
      <c r="U29">
        <f t="shared" si="12"/>
        <v>28.353542735695299</v>
      </c>
      <c r="V29">
        <f t="shared" si="13"/>
        <v>28.353542735695299</v>
      </c>
      <c r="W29">
        <f t="shared" si="14"/>
        <v>3.8737593228903369</v>
      </c>
      <c r="X29">
        <f t="shared" si="15"/>
        <v>63.974249720509903</v>
      </c>
      <c r="Y29">
        <f t="shared" si="16"/>
        <v>2.1846069413220004</v>
      </c>
      <c r="Z29">
        <f t="shared" si="17"/>
        <v>3.4148222931352703</v>
      </c>
      <c r="AA29">
        <f t="shared" si="18"/>
        <v>1.6891523815683365</v>
      </c>
      <c r="AB29">
        <f t="shared" si="19"/>
        <v>0.68262993096820623</v>
      </c>
      <c r="AC29">
        <f t="shared" si="20"/>
        <v>-251.95991314350505</v>
      </c>
      <c r="AD29">
        <f t="shared" si="21"/>
        <v>-25.101621953534856</v>
      </c>
      <c r="AE29">
        <f t="shared" si="22"/>
        <v>-0.2691270864047226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52263.301871448006</v>
      </c>
      <c r="AK29">
        <f t="shared" si="26"/>
        <v>1799.97</v>
      </c>
      <c r="AL29">
        <f t="shared" si="27"/>
        <v>1499.0887463711399</v>
      </c>
      <c r="AM29">
        <f t="shared" si="28"/>
        <v>0.83284096199999991</v>
      </c>
      <c r="AN29">
        <f t="shared" si="29"/>
        <v>0.15339687777000002</v>
      </c>
      <c r="AO29">
        <v>31.5</v>
      </c>
      <c r="AP29">
        <v>0.5</v>
      </c>
      <c r="AQ29" t="s">
        <v>331</v>
      </c>
      <c r="AR29">
        <v>2</v>
      </c>
      <c r="AS29">
        <v>1690229814.5999999</v>
      </c>
      <c r="AT29">
        <v>800.73699999999997</v>
      </c>
      <c r="AU29">
        <v>799.95699999999999</v>
      </c>
      <c r="AV29">
        <v>22.0303</v>
      </c>
      <c r="AW29">
        <v>22.1891</v>
      </c>
      <c r="AX29">
        <v>800.94399999999996</v>
      </c>
      <c r="AY29">
        <v>21.851600000000001</v>
      </c>
      <c r="AZ29">
        <v>300.28399999999999</v>
      </c>
      <c r="BA29">
        <v>99.063500000000005</v>
      </c>
      <c r="BB29">
        <v>0.10024</v>
      </c>
      <c r="BC29">
        <v>26.202100000000002</v>
      </c>
      <c r="BD29">
        <v>27.7789</v>
      </c>
      <c r="BE29">
        <v>28.002400000000002</v>
      </c>
      <c r="BF29">
        <v>0</v>
      </c>
      <c r="BG29">
        <v>0</v>
      </c>
      <c r="BH29">
        <v>9948.75</v>
      </c>
      <c r="BI29">
        <v>1075.53</v>
      </c>
      <c r="BJ29">
        <v>1.2334499999999999</v>
      </c>
      <c r="BK29">
        <v>0.78045699999999996</v>
      </c>
      <c r="BL29">
        <v>818.77499999999998</v>
      </c>
      <c r="BM29">
        <v>818.11</v>
      </c>
      <c r="BN29">
        <v>-0.15878500000000001</v>
      </c>
      <c r="BO29">
        <v>799.95699999999999</v>
      </c>
      <c r="BP29">
        <v>22.1891</v>
      </c>
      <c r="BQ29">
        <v>2.1823899999999998</v>
      </c>
      <c r="BR29">
        <v>2.1981199999999999</v>
      </c>
      <c r="BS29">
        <v>18.8337</v>
      </c>
      <c r="BT29">
        <v>18.948599999999999</v>
      </c>
      <c r="BU29">
        <v>1799.97</v>
      </c>
      <c r="BV29">
        <v>0.91001600000000005</v>
      </c>
      <c r="BW29">
        <v>3.3995400000000002E-2</v>
      </c>
      <c r="BX29">
        <v>2.1994099999999999E-2</v>
      </c>
      <c r="BY29">
        <v>3.3994499999999997E-2</v>
      </c>
      <c r="BZ29">
        <v>26</v>
      </c>
      <c r="CA29">
        <v>33527.9</v>
      </c>
      <c r="CB29">
        <v>1690229084.0999999</v>
      </c>
      <c r="CC29" t="s">
        <v>332</v>
      </c>
      <c r="CD29">
        <v>1690229084.0999999</v>
      </c>
      <c r="CE29">
        <v>1690229076.5999999</v>
      </c>
      <c r="CF29">
        <v>13</v>
      </c>
      <c r="CG29">
        <v>0.23300000000000001</v>
      </c>
      <c r="CH29">
        <v>-0.13100000000000001</v>
      </c>
      <c r="CI29">
        <v>-0.20599999999999999</v>
      </c>
      <c r="CJ29">
        <v>8.7999999999999995E-2</v>
      </c>
      <c r="CK29">
        <v>799</v>
      </c>
      <c r="CL29">
        <v>16</v>
      </c>
      <c r="CM29">
        <v>0.04</v>
      </c>
      <c r="CN29">
        <v>0.04</v>
      </c>
      <c r="CO29">
        <v>2.1434951951219512</v>
      </c>
      <c r="CP29">
        <v>-8.0255346480836245</v>
      </c>
      <c r="CQ29">
        <v>0.79386815749339756</v>
      </c>
      <c r="CR29">
        <v>-1</v>
      </c>
      <c r="CS29">
        <v>-0.4575997317073171</v>
      </c>
      <c r="CT29">
        <v>1.350558898954703</v>
      </c>
      <c r="CU29">
        <v>0.20050198366235131</v>
      </c>
      <c r="CV29">
        <v>-1</v>
      </c>
      <c r="CW29">
        <v>0</v>
      </c>
      <c r="CX29">
        <v>0</v>
      </c>
      <c r="CY29" t="s">
        <v>333</v>
      </c>
      <c r="CZ29">
        <v>2.3645499999999999</v>
      </c>
      <c r="DA29">
        <v>2.7139899999999999</v>
      </c>
      <c r="DB29">
        <v>0.146755</v>
      </c>
      <c r="DC29">
        <v>0.14633399999999999</v>
      </c>
      <c r="DD29">
        <v>0.107157</v>
      </c>
      <c r="DE29">
        <v>0.106137</v>
      </c>
      <c r="DF29">
        <v>31154.9</v>
      </c>
      <c r="DG29">
        <v>27515.4</v>
      </c>
      <c r="DH29">
        <v>31172.2</v>
      </c>
      <c r="DI29">
        <v>28086</v>
      </c>
      <c r="DJ29">
        <v>37791</v>
      </c>
      <c r="DK29">
        <v>35699.300000000003</v>
      </c>
      <c r="DL29">
        <v>44362.8</v>
      </c>
      <c r="DM29">
        <v>42572.7</v>
      </c>
      <c r="DN29">
        <v>1.4696199999999999</v>
      </c>
      <c r="DO29">
        <v>2.0578500000000002</v>
      </c>
      <c r="DP29">
        <v>0.116572</v>
      </c>
      <c r="DQ29">
        <v>0.14169100000000001</v>
      </c>
      <c r="DR29">
        <v>25.872</v>
      </c>
      <c r="DS29">
        <v>25.6846</v>
      </c>
      <c r="DT29">
        <v>56.5</v>
      </c>
      <c r="DU29">
        <v>29.3</v>
      </c>
      <c r="DV29">
        <v>23.341200000000001</v>
      </c>
      <c r="DW29">
        <v>62.819800000000001</v>
      </c>
      <c r="DX29">
        <v>36.502400000000002</v>
      </c>
      <c r="DY29">
        <v>1</v>
      </c>
      <c r="DZ29">
        <v>-6.4024399999999995E-2</v>
      </c>
      <c r="EA29">
        <v>6.0379699999999996</v>
      </c>
      <c r="EB29">
        <v>20.066700000000001</v>
      </c>
      <c r="EC29">
        <v>5.2409499999999998</v>
      </c>
      <c r="ED29">
        <v>12.039899999999999</v>
      </c>
      <c r="EE29">
        <v>5.0144500000000001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1.8692</v>
      </c>
      <c r="EN29">
        <v>1.86724</v>
      </c>
      <c r="EO29">
        <v>1.8633999999999999</v>
      </c>
      <c r="EP29">
        <v>1.8644799999999999</v>
      </c>
      <c r="EQ29">
        <v>1.8701399999999999</v>
      </c>
      <c r="ER29">
        <v>1.8694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-0.20699999999999999</v>
      </c>
      <c r="FG29">
        <v>0.1787</v>
      </c>
      <c r="FH29">
        <v>0.3448811944559278</v>
      </c>
      <c r="FI29">
        <v>-6.1462078757559423E-4</v>
      </c>
      <c r="FJ29">
        <v>-1.8861989874597051E-7</v>
      </c>
      <c r="FK29">
        <v>1.1980462299894961E-10</v>
      </c>
      <c r="FL29">
        <v>0.17862261546663211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12.2</v>
      </c>
      <c r="FU29">
        <v>12.3</v>
      </c>
      <c r="FV29">
        <v>1.79565</v>
      </c>
      <c r="FW29">
        <v>2.5793499999999998</v>
      </c>
      <c r="FX29">
        <v>1.5490699999999999</v>
      </c>
      <c r="FY29">
        <v>2.3290999999999999</v>
      </c>
      <c r="FZ29">
        <v>1.50146</v>
      </c>
      <c r="GA29">
        <v>2.3754900000000001</v>
      </c>
      <c r="GB29">
        <v>33.8735</v>
      </c>
      <c r="GC29">
        <v>23.947399999999998</v>
      </c>
      <c r="GD29">
        <v>19</v>
      </c>
      <c r="GE29">
        <v>280.834</v>
      </c>
      <c r="GF29">
        <v>602.899</v>
      </c>
      <c r="GG29">
        <v>19.439599999999999</v>
      </c>
      <c r="GH29">
        <v>26.486799999999999</v>
      </c>
      <c r="GI29">
        <v>30.001999999999999</v>
      </c>
      <c r="GJ29">
        <v>26.5227</v>
      </c>
      <c r="GK29">
        <v>26.492000000000001</v>
      </c>
      <c r="GL29">
        <v>35.915999999999997</v>
      </c>
      <c r="GM29">
        <v>12.473000000000001</v>
      </c>
      <c r="GN29">
        <v>100</v>
      </c>
      <c r="GO29">
        <v>19.390899999999998</v>
      </c>
      <c r="GP29">
        <v>800</v>
      </c>
      <c r="GQ29">
        <v>22.113600000000002</v>
      </c>
      <c r="GR29">
        <v>99.740099999999998</v>
      </c>
      <c r="GS29">
        <v>99.5886</v>
      </c>
    </row>
    <row r="30" spans="1:201" x14ac:dyDescent="0.25">
      <c r="A30">
        <v>14</v>
      </c>
      <c r="B30">
        <v>1690229824.5999999</v>
      </c>
      <c r="C30">
        <v>319.5</v>
      </c>
      <c r="D30" t="s">
        <v>361</v>
      </c>
      <c r="E30" t="s">
        <v>362</v>
      </c>
      <c r="F30" t="s">
        <v>330</v>
      </c>
      <c r="H30">
        <v>1690229824.5999999</v>
      </c>
      <c r="I30">
        <f t="shared" si="0"/>
        <v>-2.5939311618461456E-5</v>
      </c>
      <c r="J30">
        <f t="shared" si="1"/>
        <v>-2.5939311618461455E-2</v>
      </c>
      <c r="K30">
        <f t="shared" si="2"/>
        <v>3.618956933567042E-2</v>
      </c>
      <c r="L30">
        <f t="shared" si="3"/>
        <v>799.92399999999998</v>
      </c>
      <c r="M30">
        <f t="shared" si="4"/>
        <v>816.28208644559766</v>
      </c>
      <c r="N30">
        <f t="shared" si="5"/>
        <v>80.949813662810442</v>
      </c>
      <c r="O30">
        <f t="shared" si="6"/>
        <v>79.327599882011611</v>
      </c>
      <c r="P30">
        <f t="shared" si="7"/>
        <v>-1.4889753800587852E-3</v>
      </c>
      <c r="Q30">
        <f t="shared" si="8"/>
        <v>2.183354621055416</v>
      </c>
      <c r="R30">
        <f t="shared" si="9"/>
        <v>-1.4895397397582254E-3</v>
      </c>
      <c r="S30">
        <f t="shared" si="10"/>
        <v>-9.3091161538550772E-4</v>
      </c>
      <c r="T30">
        <f t="shared" si="11"/>
        <v>276.11347080045823</v>
      </c>
      <c r="U30">
        <f t="shared" si="12"/>
        <v>28.230328737061811</v>
      </c>
      <c r="V30">
        <f t="shared" si="13"/>
        <v>28.230328737061811</v>
      </c>
      <c r="W30">
        <f t="shared" si="14"/>
        <v>3.8460938568587628</v>
      </c>
      <c r="X30">
        <f t="shared" si="15"/>
        <v>64.033040571620731</v>
      </c>
      <c r="Y30">
        <f t="shared" si="16"/>
        <v>2.1715316116235703</v>
      </c>
      <c r="Z30">
        <f t="shared" si="17"/>
        <v>3.3912673710921468</v>
      </c>
      <c r="AA30">
        <f t="shared" si="18"/>
        <v>1.6745622452351925</v>
      </c>
      <c r="AB30">
        <f t="shared" si="19"/>
        <v>1.1439236423741501</v>
      </c>
      <c r="AC30">
        <f t="shared" si="20"/>
        <v>-252.52453105409793</v>
      </c>
      <c r="AD30">
        <f t="shared" si="21"/>
        <v>-25.000250470061484</v>
      </c>
      <c r="AE30">
        <f t="shared" si="22"/>
        <v>-0.26738708132702982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52743.599607293916</v>
      </c>
      <c r="AK30">
        <f t="shared" si="26"/>
        <v>1799.98</v>
      </c>
      <c r="AL30">
        <f t="shared" si="27"/>
        <v>1499.0968893828201</v>
      </c>
      <c r="AM30">
        <f t="shared" si="28"/>
        <v>0.83284085900000004</v>
      </c>
      <c r="AN30">
        <f t="shared" si="29"/>
        <v>0.15339807709</v>
      </c>
      <c r="AO30">
        <v>31.5</v>
      </c>
      <c r="AP30">
        <v>0.5</v>
      </c>
      <c r="AQ30" t="s">
        <v>331</v>
      </c>
      <c r="AR30">
        <v>2</v>
      </c>
      <c r="AS30">
        <v>1690229824.5999999</v>
      </c>
      <c r="AT30">
        <v>799.92399999999998</v>
      </c>
      <c r="AU30">
        <v>800.08600000000001</v>
      </c>
      <c r="AV30">
        <v>21.897300000000001</v>
      </c>
      <c r="AW30">
        <v>22.163499999999999</v>
      </c>
      <c r="AX30">
        <v>800.13</v>
      </c>
      <c r="AY30">
        <v>21.718599999999999</v>
      </c>
      <c r="AZ30">
        <v>300.22399999999999</v>
      </c>
      <c r="BA30">
        <v>99.069000000000003</v>
      </c>
      <c r="BB30">
        <v>9.9920900000000007E-2</v>
      </c>
      <c r="BC30">
        <v>26.085000000000001</v>
      </c>
      <c r="BD30">
        <v>27.627400000000002</v>
      </c>
      <c r="BE30">
        <v>27.876100000000001</v>
      </c>
      <c r="BF30">
        <v>0</v>
      </c>
      <c r="BG30">
        <v>0</v>
      </c>
      <c r="BH30">
        <v>10039.4</v>
      </c>
      <c r="BI30">
        <v>1074.33</v>
      </c>
      <c r="BJ30">
        <v>1.2334499999999999</v>
      </c>
      <c r="BK30">
        <v>-0.161743</v>
      </c>
      <c r="BL30">
        <v>817.83299999999997</v>
      </c>
      <c r="BM30">
        <v>818.221</v>
      </c>
      <c r="BN30">
        <v>-0.26620100000000002</v>
      </c>
      <c r="BO30">
        <v>800.08600000000001</v>
      </c>
      <c r="BP30">
        <v>22.163499999999999</v>
      </c>
      <c r="BQ30">
        <v>2.16934</v>
      </c>
      <c r="BR30">
        <v>2.1957100000000001</v>
      </c>
      <c r="BS30">
        <v>18.7377</v>
      </c>
      <c r="BT30">
        <v>18.931100000000001</v>
      </c>
      <c r="BU30">
        <v>1799.98</v>
      </c>
      <c r="BV30">
        <v>0.90999799999999997</v>
      </c>
      <c r="BW30">
        <v>3.4006399999999999E-2</v>
      </c>
      <c r="BX30">
        <v>2.2008199999999999E-2</v>
      </c>
      <c r="BY30">
        <v>3.3987900000000001E-2</v>
      </c>
      <c r="BZ30">
        <v>26</v>
      </c>
      <c r="CA30">
        <v>33527.800000000003</v>
      </c>
      <c r="CB30">
        <v>1690229084.0999999</v>
      </c>
      <c r="CC30" t="s">
        <v>332</v>
      </c>
      <c r="CD30">
        <v>1690229084.0999999</v>
      </c>
      <c r="CE30">
        <v>1690229076.5999999</v>
      </c>
      <c r="CF30">
        <v>13</v>
      </c>
      <c r="CG30">
        <v>0.23300000000000001</v>
      </c>
      <c r="CH30">
        <v>-0.13100000000000001</v>
      </c>
      <c r="CI30">
        <v>-0.20599999999999999</v>
      </c>
      <c r="CJ30">
        <v>8.7999999999999995E-2</v>
      </c>
      <c r="CK30">
        <v>799</v>
      </c>
      <c r="CL30">
        <v>16</v>
      </c>
      <c r="CM30">
        <v>0.04</v>
      </c>
      <c r="CN30">
        <v>0.04</v>
      </c>
      <c r="CO30">
        <v>0.93429622682926838</v>
      </c>
      <c r="CP30">
        <v>-6.5281394989547001</v>
      </c>
      <c r="CQ30">
        <v>0.648335370917694</v>
      </c>
      <c r="CR30">
        <v>-1</v>
      </c>
      <c r="CS30">
        <v>-0.28827212195121948</v>
      </c>
      <c r="CT30">
        <v>0.74486885017421511</v>
      </c>
      <c r="CU30">
        <v>0.14273349522580669</v>
      </c>
      <c r="CV30">
        <v>-1</v>
      </c>
      <c r="CW30">
        <v>0</v>
      </c>
      <c r="CX30">
        <v>0</v>
      </c>
      <c r="CY30" t="s">
        <v>333</v>
      </c>
      <c r="CZ30">
        <v>2.3643299999999998</v>
      </c>
      <c r="DA30">
        <v>2.7137500000000001</v>
      </c>
      <c r="DB30">
        <v>0.14666000000000001</v>
      </c>
      <c r="DC30">
        <v>0.14635699999999999</v>
      </c>
      <c r="DD30">
        <v>0.106701</v>
      </c>
      <c r="DE30">
        <v>0.106056</v>
      </c>
      <c r="DF30">
        <v>31156.2</v>
      </c>
      <c r="DG30">
        <v>27512.400000000001</v>
      </c>
      <c r="DH30">
        <v>31170.1</v>
      </c>
      <c r="DI30">
        <v>28083.7</v>
      </c>
      <c r="DJ30">
        <v>37808</v>
      </c>
      <c r="DK30">
        <v>35699.599999999999</v>
      </c>
      <c r="DL30">
        <v>44359.9</v>
      </c>
      <c r="DM30">
        <v>42569.3</v>
      </c>
      <c r="DN30">
        <v>1.4700200000000001</v>
      </c>
      <c r="DO30">
        <v>2.05748</v>
      </c>
      <c r="DP30">
        <v>0.11013100000000001</v>
      </c>
      <c r="DQ30">
        <v>0.138741</v>
      </c>
      <c r="DR30">
        <v>25.825500000000002</v>
      </c>
      <c r="DS30">
        <v>25.606200000000001</v>
      </c>
      <c r="DT30">
        <v>56.5</v>
      </c>
      <c r="DU30">
        <v>29.3</v>
      </c>
      <c r="DV30">
        <v>23.339200000000002</v>
      </c>
      <c r="DW30">
        <v>62.1798</v>
      </c>
      <c r="DX30">
        <v>34.991999999999997</v>
      </c>
      <c r="DY30">
        <v>1</v>
      </c>
      <c r="DZ30">
        <v>-6.4850099999999994E-2</v>
      </c>
      <c r="EA30">
        <v>4.7061400000000004</v>
      </c>
      <c r="EB30">
        <v>20.116800000000001</v>
      </c>
      <c r="EC30">
        <v>5.2411000000000003</v>
      </c>
      <c r="ED30">
        <v>12.039899999999999</v>
      </c>
      <c r="EE30">
        <v>5.0171999999999999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1.8689100000000001</v>
      </c>
      <c r="EL30">
        <v>1.86463</v>
      </c>
      <c r="EM30">
        <v>1.8692</v>
      </c>
      <c r="EN30">
        <v>1.8672299999999999</v>
      </c>
      <c r="EO30">
        <v>1.8633999999999999</v>
      </c>
      <c r="EP30">
        <v>1.8644700000000001</v>
      </c>
      <c r="EQ30">
        <v>1.87015</v>
      </c>
      <c r="ER30">
        <v>1.8694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-0.20599999999999999</v>
      </c>
      <c r="FG30">
        <v>0.1787</v>
      </c>
      <c r="FH30">
        <v>0.3448811944559278</v>
      </c>
      <c r="FI30">
        <v>-6.1462078757559423E-4</v>
      </c>
      <c r="FJ30">
        <v>-1.8861989874597051E-7</v>
      </c>
      <c r="FK30">
        <v>1.1980462299894961E-10</v>
      </c>
      <c r="FL30">
        <v>0.17862261546663211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12.3</v>
      </c>
      <c r="FU30">
        <v>12.5</v>
      </c>
      <c r="FV30">
        <v>1.79688</v>
      </c>
      <c r="FW30">
        <v>2.5793499999999998</v>
      </c>
      <c r="FX30">
        <v>1.5490699999999999</v>
      </c>
      <c r="FY30">
        <v>2.3290999999999999</v>
      </c>
      <c r="FZ30">
        <v>1.50146</v>
      </c>
      <c r="GA30">
        <v>2.4035600000000001</v>
      </c>
      <c r="GB30">
        <v>33.896099999999997</v>
      </c>
      <c r="GC30">
        <v>23.9649</v>
      </c>
      <c r="GD30">
        <v>19</v>
      </c>
      <c r="GE30">
        <v>281.02999999999997</v>
      </c>
      <c r="GF30">
        <v>602.64499999999998</v>
      </c>
      <c r="GG30">
        <v>19.276</v>
      </c>
      <c r="GH30">
        <v>26.504300000000001</v>
      </c>
      <c r="GI30">
        <v>29.999400000000001</v>
      </c>
      <c r="GJ30">
        <v>26.5288</v>
      </c>
      <c r="GK30">
        <v>26.497599999999998</v>
      </c>
      <c r="GL30">
        <v>35.912399999999998</v>
      </c>
      <c r="GM30">
        <v>13.436400000000001</v>
      </c>
      <c r="GN30">
        <v>100</v>
      </c>
      <c r="GO30">
        <v>19.3949</v>
      </c>
      <c r="GP30">
        <v>800</v>
      </c>
      <c r="GQ30">
        <v>21.991399999999999</v>
      </c>
      <c r="GR30">
        <v>99.733500000000006</v>
      </c>
      <c r="GS30">
        <v>99.580500000000001</v>
      </c>
    </row>
    <row r="31" spans="1:201" x14ac:dyDescent="0.25">
      <c r="A31">
        <v>15</v>
      </c>
      <c r="B31">
        <v>1690229834.5999999</v>
      </c>
      <c r="C31">
        <v>329.5</v>
      </c>
      <c r="D31" t="s">
        <v>363</v>
      </c>
      <c r="E31" t="s">
        <v>364</v>
      </c>
      <c r="F31" t="s">
        <v>330</v>
      </c>
      <c r="H31">
        <v>1690229834.5999999</v>
      </c>
      <c r="I31">
        <f t="shared" si="0"/>
        <v>-8.3787797479678085E-6</v>
      </c>
      <c r="J31">
        <f t="shared" si="1"/>
        <v>-8.3787797479678086E-3</v>
      </c>
      <c r="K31">
        <f t="shared" si="2"/>
        <v>8.140397774362329E-2</v>
      </c>
      <c r="L31">
        <f t="shared" si="3"/>
        <v>799.28</v>
      </c>
      <c r="M31">
        <f t="shared" si="4"/>
        <v>1040.7686419496208</v>
      </c>
      <c r="N31">
        <f t="shared" si="5"/>
        <v>103.21387653012437</v>
      </c>
      <c r="O31">
        <f t="shared" si="6"/>
        <v>79.265250611759996</v>
      </c>
      <c r="P31">
        <f t="shared" si="7"/>
        <v>-4.8822129582453398E-4</v>
      </c>
      <c r="Q31">
        <f t="shared" si="8"/>
        <v>2.1773902318584204</v>
      </c>
      <c r="R31">
        <f t="shared" si="9"/>
        <v>-4.88282120961342E-4</v>
      </c>
      <c r="S31">
        <f t="shared" si="10"/>
        <v>-3.0517086021286243E-4</v>
      </c>
      <c r="T31">
        <f t="shared" si="11"/>
        <v>276.1113943087293</v>
      </c>
      <c r="U31">
        <f t="shared" si="12"/>
        <v>28.143223075314573</v>
      </c>
      <c r="V31">
        <f t="shared" si="13"/>
        <v>28.143223075314573</v>
      </c>
      <c r="W31">
        <f t="shared" si="14"/>
        <v>3.8266400040257036</v>
      </c>
      <c r="X31">
        <f t="shared" si="15"/>
        <v>64.506286528311037</v>
      </c>
      <c r="Y31">
        <f t="shared" si="16"/>
        <v>2.176402749882</v>
      </c>
      <c r="Z31">
        <f t="shared" si="17"/>
        <v>3.3739389864378611</v>
      </c>
      <c r="AA31">
        <f t="shared" si="18"/>
        <v>1.6502372541437036</v>
      </c>
      <c r="AB31">
        <f t="shared" si="19"/>
        <v>0.36950418688538034</v>
      </c>
      <c r="AC31">
        <f t="shared" si="20"/>
        <v>-251.775337636176</v>
      </c>
      <c r="AD31">
        <f t="shared" si="21"/>
        <v>-24.972667227773705</v>
      </c>
      <c r="AE31">
        <f t="shared" si="22"/>
        <v>-0.26710636833502122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52510.901105300334</v>
      </c>
      <c r="AK31">
        <f t="shared" si="26"/>
        <v>1799.97</v>
      </c>
      <c r="AL31">
        <f t="shared" si="27"/>
        <v>1499.08622101323</v>
      </c>
      <c r="AM31">
        <f t="shared" si="28"/>
        <v>0.83283955899999995</v>
      </c>
      <c r="AN31">
        <f t="shared" si="29"/>
        <v>0.15339777568999999</v>
      </c>
      <c r="AO31">
        <v>31.5</v>
      </c>
      <c r="AP31">
        <v>0.5</v>
      </c>
      <c r="AQ31" t="s">
        <v>331</v>
      </c>
      <c r="AR31">
        <v>2</v>
      </c>
      <c r="AS31">
        <v>1690229834.5999999</v>
      </c>
      <c r="AT31">
        <v>799.28</v>
      </c>
      <c r="AU31">
        <v>800.06399999999996</v>
      </c>
      <c r="AV31">
        <v>21.946000000000002</v>
      </c>
      <c r="AW31">
        <v>22.032</v>
      </c>
      <c r="AX31">
        <v>799.48599999999999</v>
      </c>
      <c r="AY31">
        <v>21.767299999999999</v>
      </c>
      <c r="AZ31">
        <v>300.16199999999998</v>
      </c>
      <c r="BA31">
        <v>99.070800000000006</v>
      </c>
      <c r="BB31">
        <v>0.10001699999999999</v>
      </c>
      <c r="BC31">
        <v>25.9984</v>
      </c>
      <c r="BD31">
        <v>27.566700000000001</v>
      </c>
      <c r="BE31">
        <v>27.808499999999999</v>
      </c>
      <c r="BF31">
        <v>0</v>
      </c>
      <c r="BG31">
        <v>0</v>
      </c>
      <c r="BH31">
        <v>9990</v>
      </c>
      <c r="BI31">
        <v>1073.03</v>
      </c>
      <c r="BJ31">
        <v>1.2040200000000001</v>
      </c>
      <c r="BK31">
        <v>-0.78405800000000003</v>
      </c>
      <c r="BL31">
        <v>817.21400000000006</v>
      </c>
      <c r="BM31">
        <v>818.08799999999997</v>
      </c>
      <c r="BN31">
        <v>-8.6038600000000007E-2</v>
      </c>
      <c r="BO31">
        <v>800.06399999999996</v>
      </c>
      <c r="BP31">
        <v>22.032</v>
      </c>
      <c r="BQ31">
        <v>2.1741999999999999</v>
      </c>
      <c r="BR31">
        <v>2.1827299999999998</v>
      </c>
      <c r="BS31">
        <v>18.773499999999999</v>
      </c>
      <c r="BT31">
        <v>18.836099999999998</v>
      </c>
      <c r="BU31">
        <v>1799.97</v>
      </c>
      <c r="BV31">
        <v>0.90998800000000002</v>
      </c>
      <c r="BW31">
        <v>3.3998800000000003E-2</v>
      </c>
      <c r="BX31">
        <v>2.2004200000000002E-2</v>
      </c>
      <c r="BY31">
        <v>3.40091E-2</v>
      </c>
      <c r="BZ31">
        <v>26</v>
      </c>
      <c r="CA31">
        <v>33527.800000000003</v>
      </c>
      <c r="CB31">
        <v>1690229084.0999999</v>
      </c>
      <c r="CC31" t="s">
        <v>332</v>
      </c>
      <c r="CD31">
        <v>1690229084.0999999</v>
      </c>
      <c r="CE31">
        <v>1690229076.5999999</v>
      </c>
      <c r="CF31">
        <v>13</v>
      </c>
      <c r="CG31">
        <v>0.23300000000000001</v>
      </c>
      <c r="CH31">
        <v>-0.13100000000000001</v>
      </c>
      <c r="CI31">
        <v>-0.20599999999999999</v>
      </c>
      <c r="CJ31">
        <v>8.7999999999999995E-2</v>
      </c>
      <c r="CK31">
        <v>799</v>
      </c>
      <c r="CL31">
        <v>16</v>
      </c>
      <c r="CM31">
        <v>0.04</v>
      </c>
      <c r="CN31">
        <v>0.04</v>
      </c>
      <c r="CO31">
        <v>2.5076307500000009E-2</v>
      </c>
      <c r="CP31">
        <v>-4.8059350592870551</v>
      </c>
      <c r="CQ31">
        <v>0.46593612950472257</v>
      </c>
      <c r="CR31">
        <v>-1</v>
      </c>
      <c r="CS31">
        <v>-0.22124630000000001</v>
      </c>
      <c r="CT31">
        <v>0.13027010881801171</v>
      </c>
      <c r="CU31">
        <v>5.2414417897273267E-2</v>
      </c>
      <c r="CV31">
        <v>-1</v>
      </c>
      <c r="CW31">
        <v>0</v>
      </c>
      <c r="CX31">
        <v>0</v>
      </c>
      <c r="CY31" t="s">
        <v>333</v>
      </c>
      <c r="CZ31">
        <v>2.3641100000000002</v>
      </c>
      <c r="DA31">
        <v>2.7138</v>
      </c>
      <c r="DB31">
        <v>0.14658199999999999</v>
      </c>
      <c r="DC31">
        <v>0.14635400000000001</v>
      </c>
      <c r="DD31">
        <v>0.10687000000000001</v>
      </c>
      <c r="DE31">
        <v>0.105616</v>
      </c>
      <c r="DF31">
        <v>31158.5</v>
      </c>
      <c r="DG31">
        <v>27512.6</v>
      </c>
      <c r="DH31">
        <v>31169.599999999999</v>
      </c>
      <c r="DI31">
        <v>28083.9</v>
      </c>
      <c r="DJ31">
        <v>37800</v>
      </c>
      <c r="DK31">
        <v>35717.5</v>
      </c>
      <c r="DL31">
        <v>44359</v>
      </c>
      <c r="DM31">
        <v>42569.599999999999</v>
      </c>
      <c r="DN31">
        <v>1.4702999999999999</v>
      </c>
      <c r="DO31">
        <v>2.0571000000000002</v>
      </c>
      <c r="DP31">
        <v>0.10927000000000001</v>
      </c>
      <c r="DQ31">
        <v>0.13916899999999999</v>
      </c>
      <c r="DR31">
        <v>25.778700000000001</v>
      </c>
      <c r="DS31">
        <v>25.531300000000002</v>
      </c>
      <c r="DT31">
        <v>56.5</v>
      </c>
      <c r="DU31">
        <v>29.3</v>
      </c>
      <c r="DV31">
        <v>23.336600000000001</v>
      </c>
      <c r="DW31">
        <v>62.169800000000002</v>
      </c>
      <c r="DX31">
        <v>35.709099999999999</v>
      </c>
      <c r="DY31">
        <v>1</v>
      </c>
      <c r="DZ31">
        <v>-6.5528500000000003E-2</v>
      </c>
      <c r="EA31">
        <v>4.6606800000000002</v>
      </c>
      <c r="EB31">
        <v>20.118300000000001</v>
      </c>
      <c r="EC31">
        <v>5.2408000000000001</v>
      </c>
      <c r="ED31">
        <v>12.039899999999999</v>
      </c>
      <c r="EE31">
        <v>5.01755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1.86463</v>
      </c>
      <c r="EM31">
        <v>1.8691899999999999</v>
      </c>
      <c r="EN31">
        <v>1.8672200000000001</v>
      </c>
      <c r="EO31">
        <v>1.8633999999999999</v>
      </c>
      <c r="EP31">
        <v>1.8644700000000001</v>
      </c>
      <c r="EQ31">
        <v>1.8701700000000001</v>
      </c>
      <c r="ER31">
        <v>1.86941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-0.20599999999999999</v>
      </c>
      <c r="FG31">
        <v>0.1787</v>
      </c>
      <c r="FH31">
        <v>0.3448811944559278</v>
      </c>
      <c r="FI31">
        <v>-6.1462078757559423E-4</v>
      </c>
      <c r="FJ31">
        <v>-1.8861989874597051E-7</v>
      </c>
      <c r="FK31">
        <v>1.1980462299894961E-10</v>
      </c>
      <c r="FL31">
        <v>0.17862261546663211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12.5</v>
      </c>
      <c r="FU31">
        <v>12.6</v>
      </c>
      <c r="FV31">
        <v>1.79565</v>
      </c>
      <c r="FW31">
        <v>2.5903299999999998</v>
      </c>
      <c r="FX31">
        <v>1.5490699999999999</v>
      </c>
      <c r="FY31">
        <v>2.3290999999999999</v>
      </c>
      <c r="FZ31">
        <v>1.50146</v>
      </c>
      <c r="GA31">
        <v>2.3010299999999999</v>
      </c>
      <c r="GB31">
        <v>33.896099999999997</v>
      </c>
      <c r="GC31">
        <v>23.956199999999999</v>
      </c>
      <c r="GD31">
        <v>19</v>
      </c>
      <c r="GE31">
        <v>281.19400000000002</v>
      </c>
      <c r="GF31">
        <v>602.37900000000002</v>
      </c>
      <c r="GG31">
        <v>19.322800000000001</v>
      </c>
      <c r="GH31">
        <v>26.5215</v>
      </c>
      <c r="GI31">
        <v>30</v>
      </c>
      <c r="GJ31">
        <v>26.5396</v>
      </c>
      <c r="GK31">
        <v>26.501999999999999</v>
      </c>
      <c r="GL31">
        <v>35.9086</v>
      </c>
      <c r="GM31">
        <v>14.287800000000001</v>
      </c>
      <c r="GN31">
        <v>100</v>
      </c>
      <c r="GO31">
        <v>19.3278</v>
      </c>
      <c r="GP31">
        <v>800</v>
      </c>
      <c r="GQ31">
        <v>21.885000000000002</v>
      </c>
      <c r="GR31">
        <v>99.731700000000004</v>
      </c>
      <c r="GS31">
        <v>99.581299999999999</v>
      </c>
    </row>
    <row r="32" spans="1:201" x14ac:dyDescent="0.25">
      <c r="A32">
        <v>16</v>
      </c>
      <c r="B32">
        <v>1690229844.5999999</v>
      </c>
      <c r="C32">
        <v>339.5</v>
      </c>
      <c r="D32" t="s">
        <v>365</v>
      </c>
      <c r="E32" t="s">
        <v>366</v>
      </c>
      <c r="F32" t="s">
        <v>330</v>
      </c>
      <c r="H32">
        <v>1690229844.5999999</v>
      </c>
      <c r="I32">
        <f t="shared" si="0"/>
        <v>4.1122540069971363E-6</v>
      </c>
      <c r="J32">
        <f t="shared" si="1"/>
        <v>4.1122540069971365E-3</v>
      </c>
      <c r="K32">
        <f t="shared" si="2"/>
        <v>0.10955773792866599</v>
      </c>
      <c r="L32">
        <f t="shared" si="3"/>
        <v>798.827</v>
      </c>
      <c r="M32">
        <f t="shared" si="4"/>
        <v>65.795094355189022</v>
      </c>
      <c r="N32">
        <f t="shared" si="5"/>
        <v>6.5244892287342244</v>
      </c>
      <c r="O32">
        <f t="shared" si="6"/>
        <v>79.214692344476092</v>
      </c>
      <c r="P32">
        <f t="shared" si="7"/>
        <v>2.4302663071889012E-4</v>
      </c>
      <c r="Q32">
        <f t="shared" si="8"/>
        <v>2.1776080871305239</v>
      </c>
      <c r="R32">
        <f t="shared" si="9"/>
        <v>2.4301156373145473E-4</v>
      </c>
      <c r="S32">
        <f t="shared" si="10"/>
        <v>1.5188358092920251E-4</v>
      </c>
      <c r="T32">
        <f t="shared" si="11"/>
        <v>276.11222109234399</v>
      </c>
      <c r="U32">
        <f t="shared" si="12"/>
        <v>28.048434788168301</v>
      </c>
      <c r="V32">
        <f t="shared" si="13"/>
        <v>28.048434788168301</v>
      </c>
      <c r="W32">
        <f t="shared" si="14"/>
        <v>3.8055679268599927</v>
      </c>
      <c r="X32">
        <f t="shared" si="15"/>
        <v>64.904604453525025</v>
      </c>
      <c r="Y32">
        <f t="shared" si="16"/>
        <v>2.1781419992259297</v>
      </c>
      <c r="Z32">
        <f t="shared" si="17"/>
        <v>3.3559129087453097</v>
      </c>
      <c r="AA32">
        <f t="shared" si="18"/>
        <v>1.627425927634063</v>
      </c>
      <c r="AB32">
        <f t="shared" si="19"/>
        <v>-0.18135040170857372</v>
      </c>
      <c r="AC32">
        <f t="shared" si="20"/>
        <v>-251.29708710080968</v>
      </c>
      <c r="AD32">
        <f t="shared" si="21"/>
        <v>-24.899659759814583</v>
      </c>
      <c r="AE32">
        <f t="shared" si="22"/>
        <v>-0.26587616998887142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52535.697803251445</v>
      </c>
      <c r="AK32">
        <f t="shared" si="26"/>
        <v>1799.98</v>
      </c>
      <c r="AL32">
        <f t="shared" si="27"/>
        <v>1499.0974941760999</v>
      </c>
      <c r="AM32">
        <f t="shared" si="28"/>
        <v>0.83284119499999998</v>
      </c>
      <c r="AN32">
        <f t="shared" si="29"/>
        <v>0.15339738279999998</v>
      </c>
      <c r="AO32">
        <v>31.5</v>
      </c>
      <c r="AP32">
        <v>0.5</v>
      </c>
      <c r="AQ32" t="s">
        <v>331</v>
      </c>
      <c r="AR32">
        <v>2</v>
      </c>
      <c r="AS32">
        <v>1690229844.5999999</v>
      </c>
      <c r="AT32">
        <v>798.827</v>
      </c>
      <c r="AU32">
        <v>800.01099999999997</v>
      </c>
      <c r="AV32">
        <v>21.9651</v>
      </c>
      <c r="AW32">
        <v>21.922899999999998</v>
      </c>
      <c r="AX32">
        <v>799.03200000000004</v>
      </c>
      <c r="AY32">
        <v>21.7864</v>
      </c>
      <c r="AZ32">
        <v>300.21499999999997</v>
      </c>
      <c r="BA32">
        <v>99.063800000000001</v>
      </c>
      <c r="BB32">
        <v>9.9964300000000006E-2</v>
      </c>
      <c r="BC32">
        <v>25.907900000000001</v>
      </c>
      <c r="BD32">
        <v>27.457799999999999</v>
      </c>
      <c r="BE32">
        <v>27.711400000000001</v>
      </c>
      <c r="BF32">
        <v>0</v>
      </c>
      <c r="BG32">
        <v>0</v>
      </c>
      <c r="BH32">
        <v>9992.5</v>
      </c>
      <c r="BI32">
        <v>1071.6400000000001</v>
      </c>
      <c r="BJ32">
        <v>1.1928099999999999</v>
      </c>
      <c r="BK32">
        <v>-1.1839599999999999</v>
      </c>
      <c r="BL32">
        <v>816.76700000000005</v>
      </c>
      <c r="BM32">
        <v>817.94200000000001</v>
      </c>
      <c r="BN32">
        <v>4.2131399999999999E-2</v>
      </c>
      <c r="BO32">
        <v>800.01099999999997</v>
      </c>
      <c r="BP32">
        <v>21.922899999999998</v>
      </c>
      <c r="BQ32">
        <v>2.1759400000000002</v>
      </c>
      <c r="BR32">
        <v>2.17177</v>
      </c>
      <c r="BS32">
        <v>18.786300000000001</v>
      </c>
      <c r="BT32">
        <v>18.755600000000001</v>
      </c>
      <c r="BU32">
        <v>1799.98</v>
      </c>
      <c r="BV32">
        <v>0.91000599999999998</v>
      </c>
      <c r="BW32">
        <v>3.3993200000000001E-2</v>
      </c>
      <c r="BX32">
        <v>2.1999500000000002E-2</v>
      </c>
      <c r="BY32">
        <v>3.4001799999999999E-2</v>
      </c>
      <c r="BZ32">
        <v>26</v>
      </c>
      <c r="CA32">
        <v>33528</v>
      </c>
      <c r="CB32">
        <v>1690229084.0999999</v>
      </c>
      <c r="CC32" t="s">
        <v>332</v>
      </c>
      <c r="CD32">
        <v>1690229084.0999999</v>
      </c>
      <c r="CE32">
        <v>1690229076.5999999</v>
      </c>
      <c r="CF32">
        <v>13</v>
      </c>
      <c r="CG32">
        <v>0.23300000000000001</v>
      </c>
      <c r="CH32">
        <v>-0.13100000000000001</v>
      </c>
      <c r="CI32">
        <v>-0.20599999999999999</v>
      </c>
      <c r="CJ32">
        <v>8.7999999999999995E-2</v>
      </c>
      <c r="CK32">
        <v>799</v>
      </c>
      <c r="CL32">
        <v>16</v>
      </c>
      <c r="CM32">
        <v>0.04</v>
      </c>
      <c r="CN32">
        <v>0.04</v>
      </c>
      <c r="CO32">
        <v>-0.67359288780487803</v>
      </c>
      <c r="CP32">
        <v>-3.3400268362369339</v>
      </c>
      <c r="CQ32">
        <v>0.33057736387374331</v>
      </c>
      <c r="CR32">
        <v>-1</v>
      </c>
      <c r="CS32">
        <v>-0.11454574585365861</v>
      </c>
      <c r="CT32">
        <v>1.012192065365852</v>
      </c>
      <c r="CU32">
        <v>0.10009156931893951</v>
      </c>
      <c r="CV32">
        <v>-1</v>
      </c>
      <c r="CW32">
        <v>0</v>
      </c>
      <c r="CX32">
        <v>0</v>
      </c>
      <c r="CY32" t="s">
        <v>333</v>
      </c>
      <c r="CZ32">
        <v>2.3642500000000002</v>
      </c>
      <c r="DA32">
        <v>2.7137500000000001</v>
      </c>
      <c r="DB32">
        <v>0.146513</v>
      </c>
      <c r="DC32">
        <v>0.14633199999999999</v>
      </c>
      <c r="DD32">
        <v>0.10692599999999999</v>
      </c>
      <c r="DE32">
        <v>0.105239</v>
      </c>
      <c r="DF32">
        <v>31160.5</v>
      </c>
      <c r="DG32">
        <v>27512.2</v>
      </c>
      <c r="DH32">
        <v>31169.1</v>
      </c>
      <c r="DI32">
        <v>28082.799999999999</v>
      </c>
      <c r="DJ32">
        <v>37796.9</v>
      </c>
      <c r="DK32">
        <v>35731</v>
      </c>
      <c r="DL32">
        <v>44358.1</v>
      </c>
      <c r="DM32">
        <v>42567.7</v>
      </c>
      <c r="DN32">
        <v>1.4701500000000001</v>
      </c>
      <c r="DO32">
        <v>2.0568300000000002</v>
      </c>
      <c r="DP32">
        <v>0.10566</v>
      </c>
      <c r="DQ32">
        <v>0.137486</v>
      </c>
      <c r="DR32">
        <v>25.7287</v>
      </c>
      <c r="DS32">
        <v>25.461500000000001</v>
      </c>
      <c r="DT32">
        <v>56.5</v>
      </c>
      <c r="DU32">
        <v>29.3</v>
      </c>
      <c r="DV32">
        <v>23.3401</v>
      </c>
      <c r="DW32">
        <v>61.829799999999999</v>
      </c>
      <c r="DX32">
        <v>36.081699999999998</v>
      </c>
      <c r="DY32">
        <v>1</v>
      </c>
      <c r="DZ32">
        <v>-6.4291200000000007E-2</v>
      </c>
      <c r="EA32">
        <v>4.3712499999999999</v>
      </c>
      <c r="EB32">
        <v>20.1267</v>
      </c>
      <c r="EC32">
        <v>5.2406499999999996</v>
      </c>
      <c r="ED32">
        <v>12.039899999999999</v>
      </c>
      <c r="EE32">
        <v>5.0172499999999998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1.8689100000000001</v>
      </c>
      <c r="EL32">
        <v>1.86463</v>
      </c>
      <c r="EM32">
        <v>1.8692</v>
      </c>
      <c r="EN32">
        <v>1.86724</v>
      </c>
      <c r="EO32">
        <v>1.8633999999999999</v>
      </c>
      <c r="EP32">
        <v>1.8644700000000001</v>
      </c>
      <c r="EQ32">
        <v>1.87018</v>
      </c>
      <c r="ER32">
        <v>1.86941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-0.20499999999999999</v>
      </c>
      <c r="FG32">
        <v>0.1787</v>
      </c>
      <c r="FH32">
        <v>0.3448811944559278</v>
      </c>
      <c r="FI32">
        <v>-6.1462078757559423E-4</v>
      </c>
      <c r="FJ32">
        <v>-1.8861989874597051E-7</v>
      </c>
      <c r="FK32">
        <v>1.1980462299894961E-10</v>
      </c>
      <c r="FL32">
        <v>0.17862261546663211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12.7</v>
      </c>
      <c r="FU32">
        <v>12.8</v>
      </c>
      <c r="FV32">
        <v>1.79565</v>
      </c>
      <c r="FW32">
        <v>2.5805699999999998</v>
      </c>
      <c r="FX32">
        <v>1.5490699999999999</v>
      </c>
      <c r="FY32">
        <v>2.3290999999999999</v>
      </c>
      <c r="FZ32">
        <v>1.50146</v>
      </c>
      <c r="GA32">
        <v>2.4023400000000001</v>
      </c>
      <c r="GB32">
        <v>33.918700000000001</v>
      </c>
      <c r="GC32">
        <v>23.9649</v>
      </c>
      <c r="GD32">
        <v>19</v>
      </c>
      <c r="GE32">
        <v>281.16899999999998</v>
      </c>
      <c r="GF32">
        <v>602.21</v>
      </c>
      <c r="GG32">
        <v>19.263200000000001</v>
      </c>
      <c r="GH32">
        <v>26.537199999999999</v>
      </c>
      <c r="GI32">
        <v>30.000299999999999</v>
      </c>
      <c r="GJ32">
        <v>26.548500000000001</v>
      </c>
      <c r="GK32">
        <v>26.5075</v>
      </c>
      <c r="GL32">
        <v>35.906700000000001</v>
      </c>
      <c r="GM32">
        <v>14.833299999999999</v>
      </c>
      <c r="GN32">
        <v>100</v>
      </c>
      <c r="GO32">
        <v>19.303599999999999</v>
      </c>
      <c r="GP32">
        <v>800</v>
      </c>
      <c r="GQ32">
        <v>21.808299999999999</v>
      </c>
      <c r="GR32">
        <v>99.729900000000001</v>
      </c>
      <c r="GS32">
        <v>99.577100000000002</v>
      </c>
    </row>
    <row r="33" spans="1:201" x14ac:dyDescent="0.25">
      <c r="A33">
        <v>17</v>
      </c>
      <c r="B33">
        <v>1690229854.5999999</v>
      </c>
      <c r="C33">
        <v>349.5</v>
      </c>
      <c r="D33" t="s">
        <v>367</v>
      </c>
      <c r="E33" t="s">
        <v>368</v>
      </c>
      <c r="F33" t="s">
        <v>330</v>
      </c>
      <c r="H33">
        <v>1690229854.5999999</v>
      </c>
      <c r="I33">
        <f t="shared" si="0"/>
        <v>1.7164520405801934E-5</v>
      </c>
      <c r="J33">
        <f t="shared" si="1"/>
        <v>1.7164520405801933E-2</v>
      </c>
      <c r="K33">
        <f t="shared" si="2"/>
        <v>0.14224800287517442</v>
      </c>
      <c r="L33">
        <f t="shared" si="3"/>
        <v>798.38099999999997</v>
      </c>
      <c r="M33">
        <f t="shared" si="4"/>
        <v>559.04765129146097</v>
      </c>
      <c r="N33">
        <f t="shared" si="5"/>
        <v>55.437099965982384</v>
      </c>
      <c r="O33">
        <f t="shared" si="6"/>
        <v>79.170223156640986</v>
      </c>
      <c r="P33">
        <f t="shared" si="7"/>
        <v>1.0290748347372989E-3</v>
      </c>
      <c r="Q33">
        <f t="shared" si="8"/>
        <v>2.174488904132601</v>
      </c>
      <c r="R33">
        <f t="shared" si="9"/>
        <v>1.0288043511507085E-3</v>
      </c>
      <c r="S33">
        <f t="shared" si="10"/>
        <v>6.4302701482210872E-4</v>
      </c>
      <c r="T33">
        <f t="shared" si="11"/>
        <v>276.11165888659087</v>
      </c>
      <c r="U33">
        <f t="shared" si="12"/>
        <v>27.965112271554396</v>
      </c>
      <c r="V33">
        <f t="shared" si="13"/>
        <v>27.965112271554396</v>
      </c>
      <c r="W33">
        <f t="shared" si="14"/>
        <v>3.7871284468331483</v>
      </c>
      <c r="X33">
        <f t="shared" si="15"/>
        <v>65.349993580211716</v>
      </c>
      <c r="Y33">
        <f t="shared" si="16"/>
        <v>2.1824886131489998</v>
      </c>
      <c r="Z33">
        <f t="shared" si="17"/>
        <v>3.3396921615151736</v>
      </c>
      <c r="AA33">
        <f t="shared" si="18"/>
        <v>1.6046398336841485</v>
      </c>
      <c r="AB33">
        <f t="shared" si="19"/>
        <v>-0.75695534989586533</v>
      </c>
      <c r="AC33">
        <f t="shared" si="20"/>
        <v>-250.75864557249295</v>
      </c>
      <c r="AD33">
        <f t="shared" si="21"/>
        <v>-24.86141019670314</v>
      </c>
      <c r="AE33">
        <f t="shared" si="22"/>
        <v>-0.26535223250107265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52420.567053909843</v>
      </c>
      <c r="AK33">
        <f t="shared" si="26"/>
        <v>1799.98</v>
      </c>
      <c r="AL33">
        <f t="shared" si="27"/>
        <v>1499.0944990093799</v>
      </c>
      <c r="AM33">
        <f t="shared" si="28"/>
        <v>0.83283953099999997</v>
      </c>
      <c r="AN33">
        <f t="shared" si="29"/>
        <v>0.15339707046000003</v>
      </c>
      <c r="AO33">
        <v>31.5</v>
      </c>
      <c r="AP33">
        <v>0.5</v>
      </c>
      <c r="AQ33" t="s">
        <v>331</v>
      </c>
      <c r="AR33">
        <v>2</v>
      </c>
      <c r="AS33">
        <v>1690229854.5999999</v>
      </c>
      <c r="AT33">
        <v>798.38099999999997</v>
      </c>
      <c r="AU33">
        <v>800.01700000000005</v>
      </c>
      <c r="AV33">
        <v>22.009</v>
      </c>
      <c r="AW33">
        <v>21.832899999999999</v>
      </c>
      <c r="AX33">
        <v>798.58600000000001</v>
      </c>
      <c r="AY33">
        <v>21.830300000000001</v>
      </c>
      <c r="AZ33">
        <v>300.274</v>
      </c>
      <c r="BA33">
        <v>99.063400000000001</v>
      </c>
      <c r="BB33">
        <v>0.100061</v>
      </c>
      <c r="BC33">
        <v>25.8261</v>
      </c>
      <c r="BD33">
        <v>27.3535</v>
      </c>
      <c r="BE33">
        <v>27.611799999999999</v>
      </c>
      <c r="BF33">
        <v>0</v>
      </c>
      <c r="BG33">
        <v>0</v>
      </c>
      <c r="BH33">
        <v>9966.8799999999992</v>
      </c>
      <c r="BI33">
        <v>1070.27</v>
      </c>
      <c r="BJ33">
        <v>1.2320500000000001</v>
      </c>
      <c r="BK33">
        <v>-1.63635</v>
      </c>
      <c r="BL33">
        <v>816.34799999999996</v>
      </c>
      <c r="BM33">
        <v>817.87400000000002</v>
      </c>
      <c r="BN33">
        <v>0.17601</v>
      </c>
      <c r="BO33">
        <v>800.01700000000005</v>
      </c>
      <c r="BP33">
        <v>21.832899999999999</v>
      </c>
      <c r="BQ33">
        <v>2.1802800000000002</v>
      </c>
      <c r="BR33">
        <v>2.1628500000000002</v>
      </c>
      <c r="BS33">
        <v>18.818200000000001</v>
      </c>
      <c r="BT33">
        <v>18.689699999999998</v>
      </c>
      <c r="BU33">
        <v>1799.98</v>
      </c>
      <c r="BV33">
        <v>0.91000400000000004</v>
      </c>
      <c r="BW33">
        <v>3.4005300000000002E-2</v>
      </c>
      <c r="BX33">
        <v>2.1995299999999999E-2</v>
      </c>
      <c r="BY33">
        <v>3.3995400000000002E-2</v>
      </c>
      <c r="BZ33">
        <v>26</v>
      </c>
      <c r="CA33">
        <v>33528</v>
      </c>
      <c r="CB33">
        <v>1690229084.0999999</v>
      </c>
      <c r="CC33" t="s">
        <v>332</v>
      </c>
      <c r="CD33">
        <v>1690229084.0999999</v>
      </c>
      <c r="CE33">
        <v>1690229076.5999999</v>
      </c>
      <c r="CF33">
        <v>13</v>
      </c>
      <c r="CG33">
        <v>0.23300000000000001</v>
      </c>
      <c r="CH33">
        <v>-0.13100000000000001</v>
      </c>
      <c r="CI33">
        <v>-0.20599999999999999</v>
      </c>
      <c r="CJ33">
        <v>8.7999999999999995E-2</v>
      </c>
      <c r="CK33">
        <v>799</v>
      </c>
      <c r="CL33">
        <v>16</v>
      </c>
      <c r="CM33">
        <v>0.04</v>
      </c>
      <c r="CN33">
        <v>0.04</v>
      </c>
      <c r="CO33">
        <v>-1.2066432499999999</v>
      </c>
      <c r="CP33">
        <v>-2.5843794371482152</v>
      </c>
      <c r="CQ33">
        <v>0.25064103663533932</v>
      </c>
      <c r="CR33">
        <v>-1</v>
      </c>
      <c r="CS33">
        <v>3.9012535499999987E-2</v>
      </c>
      <c r="CT33">
        <v>0.69469780705440931</v>
      </c>
      <c r="CU33">
        <v>6.7157245509682079E-2</v>
      </c>
      <c r="CV33">
        <v>-1</v>
      </c>
      <c r="CW33">
        <v>0</v>
      </c>
      <c r="CX33">
        <v>0</v>
      </c>
      <c r="CY33" t="s">
        <v>333</v>
      </c>
      <c r="CZ33">
        <v>2.3644699999999998</v>
      </c>
      <c r="DA33">
        <v>2.7138200000000001</v>
      </c>
      <c r="DB33">
        <v>0.146455</v>
      </c>
      <c r="DC33">
        <v>0.14632899999999999</v>
      </c>
      <c r="DD33">
        <v>0.107075</v>
      </c>
      <c r="DE33">
        <v>0.104934</v>
      </c>
      <c r="DF33">
        <v>31161.3</v>
      </c>
      <c r="DG33">
        <v>27511</v>
      </c>
      <c r="DH33">
        <v>31168</v>
      </c>
      <c r="DI33">
        <v>28081.5</v>
      </c>
      <c r="DJ33">
        <v>37789.1</v>
      </c>
      <c r="DK33">
        <v>35742</v>
      </c>
      <c r="DL33">
        <v>44356.5</v>
      </c>
      <c r="DM33">
        <v>42566.3</v>
      </c>
      <c r="DN33">
        <v>1.47065</v>
      </c>
      <c r="DO33">
        <v>2.0562</v>
      </c>
      <c r="DP33">
        <v>0.102483</v>
      </c>
      <c r="DQ33">
        <v>0.135403</v>
      </c>
      <c r="DR33">
        <v>25.676200000000001</v>
      </c>
      <c r="DS33">
        <v>25.395600000000002</v>
      </c>
      <c r="DT33">
        <v>56.5</v>
      </c>
      <c r="DU33">
        <v>29.3</v>
      </c>
      <c r="DV33">
        <v>23.340299999999999</v>
      </c>
      <c r="DW33">
        <v>61.9998</v>
      </c>
      <c r="DX33">
        <v>34.9679</v>
      </c>
      <c r="DY33">
        <v>1</v>
      </c>
      <c r="DZ33">
        <v>-6.3734799999999994E-2</v>
      </c>
      <c r="EA33">
        <v>4.1336300000000001</v>
      </c>
      <c r="EB33">
        <v>20.132899999999999</v>
      </c>
      <c r="EC33">
        <v>5.2401999999999997</v>
      </c>
      <c r="ED33">
        <v>12.039899999999999</v>
      </c>
      <c r="EE33">
        <v>5.0174500000000002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1.8646400000000001</v>
      </c>
      <c r="EM33">
        <v>1.8692</v>
      </c>
      <c r="EN33">
        <v>1.8672299999999999</v>
      </c>
      <c r="EO33">
        <v>1.8633999999999999</v>
      </c>
      <c r="EP33">
        <v>1.8644799999999999</v>
      </c>
      <c r="EQ33">
        <v>1.8701700000000001</v>
      </c>
      <c r="ER33">
        <v>1.8694299999999999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-0.20499999999999999</v>
      </c>
      <c r="FG33">
        <v>0.1787</v>
      </c>
      <c r="FH33">
        <v>0.3448811944559278</v>
      </c>
      <c r="FI33">
        <v>-6.1462078757559423E-4</v>
      </c>
      <c r="FJ33">
        <v>-1.8861989874597051E-7</v>
      </c>
      <c r="FK33">
        <v>1.1980462299894961E-10</v>
      </c>
      <c r="FL33">
        <v>0.17862261546663211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12.8</v>
      </c>
      <c r="FU33">
        <v>13</v>
      </c>
      <c r="FV33">
        <v>1.79565</v>
      </c>
      <c r="FW33">
        <v>2.5878899999999998</v>
      </c>
      <c r="FX33">
        <v>1.5490699999999999</v>
      </c>
      <c r="FY33">
        <v>2.3290999999999999</v>
      </c>
      <c r="FZ33">
        <v>1.50146</v>
      </c>
      <c r="GA33">
        <v>2.36206</v>
      </c>
      <c r="GB33">
        <v>33.918700000000001</v>
      </c>
      <c r="GC33">
        <v>23.9649</v>
      </c>
      <c r="GD33">
        <v>19</v>
      </c>
      <c r="GE33">
        <v>281.42500000000001</v>
      </c>
      <c r="GF33">
        <v>601.75800000000004</v>
      </c>
      <c r="GG33">
        <v>19.295200000000001</v>
      </c>
      <c r="GH33">
        <v>26.552099999999999</v>
      </c>
      <c r="GI33">
        <v>30.000499999999999</v>
      </c>
      <c r="GJ33">
        <v>26.558399999999999</v>
      </c>
      <c r="GK33">
        <v>26.514199999999999</v>
      </c>
      <c r="GL33">
        <v>35.903500000000001</v>
      </c>
      <c r="GM33">
        <v>15.435600000000001</v>
      </c>
      <c r="GN33">
        <v>100</v>
      </c>
      <c r="GO33">
        <v>19.32</v>
      </c>
      <c r="GP33">
        <v>800</v>
      </c>
      <c r="GQ33">
        <v>21.697399999999998</v>
      </c>
      <c r="GR33">
        <v>99.726200000000006</v>
      </c>
      <c r="GS33">
        <v>99.5732</v>
      </c>
    </row>
    <row r="34" spans="1:201" x14ac:dyDescent="0.25">
      <c r="A34">
        <v>18</v>
      </c>
      <c r="B34">
        <v>1690229864.5999999</v>
      </c>
      <c r="C34">
        <v>359.5</v>
      </c>
      <c r="D34" t="s">
        <v>369</v>
      </c>
      <c r="E34" t="s">
        <v>370</v>
      </c>
      <c r="F34" t="s">
        <v>330</v>
      </c>
      <c r="H34">
        <v>1690229864.5999999</v>
      </c>
      <c r="I34">
        <f t="shared" si="0"/>
        <v>3.4463360173652552E-5</v>
      </c>
      <c r="J34">
        <f t="shared" si="1"/>
        <v>3.4463360173652549E-2</v>
      </c>
      <c r="K34">
        <f t="shared" si="2"/>
        <v>0.15977572653273817</v>
      </c>
      <c r="L34">
        <f t="shared" si="3"/>
        <v>798.01599999999996</v>
      </c>
      <c r="M34">
        <f t="shared" si="4"/>
        <v>656.91050757543064</v>
      </c>
      <c r="N34">
        <f t="shared" si="5"/>
        <v>65.142459077545411</v>
      </c>
      <c r="O34">
        <f t="shared" si="6"/>
        <v>79.135169895660781</v>
      </c>
      <c r="P34">
        <f t="shared" si="7"/>
        <v>2.0969400652711425E-3</v>
      </c>
      <c r="Q34">
        <f t="shared" si="8"/>
        <v>2.180812425644433</v>
      </c>
      <c r="R34">
        <f t="shared" si="9"/>
        <v>2.0958205481456469E-3</v>
      </c>
      <c r="S34">
        <f t="shared" si="10"/>
        <v>1.3099883745484589E-3</v>
      </c>
      <c r="T34">
        <f t="shared" si="11"/>
        <v>276.10929638969526</v>
      </c>
      <c r="U34">
        <f t="shared" si="12"/>
        <v>27.892649712299942</v>
      </c>
      <c r="V34">
        <f t="shared" si="13"/>
        <v>27.892649712299942</v>
      </c>
      <c r="W34">
        <f t="shared" si="14"/>
        <v>3.7711557253922989</v>
      </c>
      <c r="X34">
        <f t="shared" si="15"/>
        <v>65.7977067187134</v>
      </c>
      <c r="Y34">
        <f t="shared" si="16"/>
        <v>2.1895112174583495</v>
      </c>
      <c r="Z34">
        <f t="shared" si="17"/>
        <v>3.3276406225198039</v>
      </c>
      <c r="AA34">
        <f t="shared" si="18"/>
        <v>1.5816445079339494</v>
      </c>
      <c r="AB34">
        <f t="shared" si="19"/>
        <v>-1.5198341836580775</v>
      </c>
      <c r="AC34">
        <f t="shared" si="20"/>
        <v>-250.14018859034653</v>
      </c>
      <c r="AD34">
        <f t="shared" si="21"/>
        <v>-24.711675910891667</v>
      </c>
      <c r="AE34">
        <f t="shared" si="22"/>
        <v>-0.26240229520101366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52694.104921606784</v>
      </c>
      <c r="AK34">
        <f t="shared" si="26"/>
        <v>1799.97</v>
      </c>
      <c r="AL34">
        <f t="shared" si="27"/>
        <v>1499.0879165849699</v>
      </c>
      <c r="AM34">
        <f t="shared" si="28"/>
        <v>0.83284050099999996</v>
      </c>
      <c r="AN34">
        <f t="shared" si="29"/>
        <v>0.15339661016000003</v>
      </c>
      <c r="AO34">
        <v>31.5</v>
      </c>
      <c r="AP34">
        <v>0.5</v>
      </c>
      <c r="AQ34" t="s">
        <v>331</v>
      </c>
      <c r="AR34">
        <v>2</v>
      </c>
      <c r="AS34">
        <v>1690229864.5999999</v>
      </c>
      <c r="AT34">
        <v>798.01599999999996</v>
      </c>
      <c r="AU34">
        <v>799.98199999999997</v>
      </c>
      <c r="AV34">
        <v>22.079499999999999</v>
      </c>
      <c r="AW34">
        <v>21.7257</v>
      </c>
      <c r="AX34">
        <v>798.221</v>
      </c>
      <c r="AY34">
        <v>21.9009</v>
      </c>
      <c r="AZ34">
        <v>300.06400000000002</v>
      </c>
      <c r="BA34">
        <v>99.064999999999998</v>
      </c>
      <c r="BB34">
        <v>9.9891300000000002E-2</v>
      </c>
      <c r="BC34">
        <v>25.7651</v>
      </c>
      <c r="BD34">
        <v>27.3172</v>
      </c>
      <c r="BE34">
        <v>27.558700000000002</v>
      </c>
      <c r="BF34">
        <v>0</v>
      </c>
      <c r="BG34">
        <v>0</v>
      </c>
      <c r="BH34">
        <v>10018.799999999999</v>
      </c>
      <c r="BI34">
        <v>1069.02</v>
      </c>
      <c r="BJ34">
        <v>1.20682</v>
      </c>
      <c r="BK34">
        <v>-1.9661900000000001</v>
      </c>
      <c r="BL34">
        <v>816.03399999999999</v>
      </c>
      <c r="BM34">
        <v>817.74800000000005</v>
      </c>
      <c r="BN34">
        <v>0.353848</v>
      </c>
      <c r="BO34">
        <v>799.98199999999997</v>
      </c>
      <c r="BP34">
        <v>21.7257</v>
      </c>
      <c r="BQ34">
        <v>2.1873100000000001</v>
      </c>
      <c r="BR34">
        <v>2.1522600000000001</v>
      </c>
      <c r="BS34">
        <v>18.869700000000002</v>
      </c>
      <c r="BT34">
        <v>18.6113</v>
      </c>
      <c r="BU34">
        <v>1799.97</v>
      </c>
      <c r="BV34">
        <v>0.91002000000000005</v>
      </c>
      <c r="BW34">
        <v>3.3999099999999997E-2</v>
      </c>
      <c r="BX34">
        <v>2.1991299999999998E-2</v>
      </c>
      <c r="BY34">
        <v>3.3989199999999997E-2</v>
      </c>
      <c r="BZ34">
        <v>26</v>
      </c>
      <c r="CA34">
        <v>33528.1</v>
      </c>
      <c r="CB34">
        <v>1690229084.0999999</v>
      </c>
      <c r="CC34" t="s">
        <v>332</v>
      </c>
      <c r="CD34">
        <v>1690229084.0999999</v>
      </c>
      <c r="CE34">
        <v>1690229076.5999999</v>
      </c>
      <c r="CF34">
        <v>13</v>
      </c>
      <c r="CG34">
        <v>0.23300000000000001</v>
      </c>
      <c r="CH34">
        <v>-0.13100000000000001</v>
      </c>
      <c r="CI34">
        <v>-0.20599999999999999</v>
      </c>
      <c r="CJ34">
        <v>8.7999999999999995E-2</v>
      </c>
      <c r="CK34">
        <v>799</v>
      </c>
      <c r="CL34">
        <v>16</v>
      </c>
      <c r="CM34">
        <v>0.04</v>
      </c>
      <c r="CN34">
        <v>0.04</v>
      </c>
      <c r="CO34">
        <v>-1.6250232499999999</v>
      </c>
      <c r="CP34">
        <v>-2.426896998123826</v>
      </c>
      <c r="CQ34">
        <v>0.23548235916292651</v>
      </c>
      <c r="CR34">
        <v>-1</v>
      </c>
      <c r="CS34">
        <v>0.173807775</v>
      </c>
      <c r="CT34">
        <v>0.94268682551594751</v>
      </c>
      <c r="CU34">
        <v>9.115073424767009E-2</v>
      </c>
      <c r="CV34">
        <v>-1</v>
      </c>
      <c r="CW34">
        <v>0</v>
      </c>
      <c r="CX34">
        <v>0</v>
      </c>
      <c r="CY34" t="s">
        <v>333</v>
      </c>
      <c r="CZ34">
        <v>2.3637600000000001</v>
      </c>
      <c r="DA34">
        <v>2.7136999999999998</v>
      </c>
      <c r="DB34">
        <v>0.14641100000000001</v>
      </c>
      <c r="DC34">
        <v>0.14632200000000001</v>
      </c>
      <c r="DD34">
        <v>0.107319</v>
      </c>
      <c r="DE34">
        <v>0.104571</v>
      </c>
      <c r="DF34">
        <v>31162.2</v>
      </c>
      <c r="DG34">
        <v>27510.799999999999</v>
      </c>
      <c r="DH34">
        <v>31167.3</v>
      </c>
      <c r="DI34">
        <v>28081.200000000001</v>
      </c>
      <c r="DJ34">
        <v>37777.800000000003</v>
      </c>
      <c r="DK34">
        <v>35755.9</v>
      </c>
      <c r="DL34">
        <v>44355.4</v>
      </c>
      <c r="DM34">
        <v>42565.599999999999</v>
      </c>
      <c r="DN34">
        <v>1.4701500000000001</v>
      </c>
      <c r="DO34">
        <v>2.0559500000000002</v>
      </c>
      <c r="DP34">
        <v>0.103462</v>
      </c>
      <c r="DQ34">
        <v>0.135962</v>
      </c>
      <c r="DR34">
        <v>25.623699999999999</v>
      </c>
      <c r="DS34">
        <v>25.333100000000002</v>
      </c>
      <c r="DT34">
        <v>56.5</v>
      </c>
      <c r="DU34">
        <v>29.3</v>
      </c>
      <c r="DV34">
        <v>23.339200000000002</v>
      </c>
      <c r="DW34">
        <v>61.839799999999997</v>
      </c>
      <c r="DX34">
        <v>36.145800000000001</v>
      </c>
      <c r="DY34">
        <v>1</v>
      </c>
      <c r="DZ34">
        <v>-6.3536599999999999E-2</v>
      </c>
      <c r="EA34">
        <v>3.8684699999999999</v>
      </c>
      <c r="EB34">
        <v>20.139900000000001</v>
      </c>
      <c r="EC34">
        <v>5.2403500000000003</v>
      </c>
      <c r="ED34">
        <v>12.039899999999999</v>
      </c>
      <c r="EE34">
        <v>5.0171999999999999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1.86463</v>
      </c>
      <c r="EM34">
        <v>1.8691800000000001</v>
      </c>
      <c r="EN34">
        <v>1.8672500000000001</v>
      </c>
      <c r="EO34">
        <v>1.8633999999999999</v>
      </c>
      <c r="EP34">
        <v>1.86449</v>
      </c>
      <c r="EQ34">
        <v>1.87018</v>
      </c>
      <c r="ER34">
        <v>1.8694200000000001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-0.20499999999999999</v>
      </c>
      <c r="FG34">
        <v>0.17860000000000001</v>
      </c>
      <c r="FH34">
        <v>0.3448811944559278</v>
      </c>
      <c r="FI34">
        <v>-6.1462078757559423E-4</v>
      </c>
      <c r="FJ34">
        <v>-1.8861989874597051E-7</v>
      </c>
      <c r="FK34">
        <v>1.1980462299894961E-10</v>
      </c>
      <c r="FL34">
        <v>0.17862261546663211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13</v>
      </c>
      <c r="FU34">
        <v>13.1</v>
      </c>
      <c r="FV34">
        <v>1.79565</v>
      </c>
      <c r="FW34">
        <v>2.5915499999999998</v>
      </c>
      <c r="FX34">
        <v>1.5490699999999999</v>
      </c>
      <c r="FY34">
        <v>2.3290999999999999</v>
      </c>
      <c r="FZ34">
        <v>1.50146</v>
      </c>
      <c r="GA34">
        <v>2.2753899999999998</v>
      </c>
      <c r="GB34">
        <v>33.918700000000001</v>
      </c>
      <c r="GC34">
        <v>23.9649</v>
      </c>
      <c r="GD34">
        <v>19</v>
      </c>
      <c r="GE34">
        <v>281.25400000000002</v>
      </c>
      <c r="GF34">
        <v>601.61800000000005</v>
      </c>
      <c r="GG34">
        <v>19.343900000000001</v>
      </c>
      <c r="GH34">
        <v>26.5656</v>
      </c>
      <c r="GI34">
        <v>30.000299999999999</v>
      </c>
      <c r="GJ34">
        <v>26.568000000000001</v>
      </c>
      <c r="GK34">
        <v>26.520299999999999</v>
      </c>
      <c r="GL34">
        <v>35.902000000000001</v>
      </c>
      <c r="GM34">
        <v>16.284400000000002</v>
      </c>
      <c r="GN34">
        <v>100</v>
      </c>
      <c r="GO34">
        <v>19.3687</v>
      </c>
      <c r="GP34">
        <v>800</v>
      </c>
      <c r="GQ34">
        <v>21.559200000000001</v>
      </c>
      <c r="GR34">
        <v>99.7239</v>
      </c>
      <c r="GS34">
        <v>99.571700000000007</v>
      </c>
    </row>
    <row r="35" spans="1:201" x14ac:dyDescent="0.25">
      <c r="A35">
        <v>19</v>
      </c>
      <c r="B35">
        <v>1690229874.5999999</v>
      </c>
      <c r="C35">
        <v>369.5</v>
      </c>
      <c r="D35" t="s">
        <v>371</v>
      </c>
      <c r="E35" t="s">
        <v>372</v>
      </c>
      <c r="F35" t="s">
        <v>330</v>
      </c>
      <c r="H35">
        <v>1690229874.5999999</v>
      </c>
      <c r="I35">
        <f t="shared" si="0"/>
        <v>5.5015158236640683E-5</v>
      </c>
      <c r="J35">
        <f t="shared" si="1"/>
        <v>5.5015158236640681E-2</v>
      </c>
      <c r="K35">
        <f t="shared" si="2"/>
        <v>0.17739421976568268</v>
      </c>
      <c r="L35">
        <f t="shared" si="3"/>
        <v>797.74300000000005</v>
      </c>
      <c r="M35">
        <f t="shared" si="4"/>
        <v>694.59492143981072</v>
      </c>
      <c r="N35">
        <f t="shared" si="5"/>
        <v>68.879458152124158</v>
      </c>
      <c r="O35">
        <f t="shared" si="6"/>
        <v>79.108130348475996</v>
      </c>
      <c r="P35">
        <f t="shared" si="7"/>
        <v>3.3909571797069065E-3</v>
      </c>
      <c r="Q35">
        <f t="shared" si="8"/>
        <v>2.1766365017549645</v>
      </c>
      <c r="R35">
        <f t="shared" si="9"/>
        <v>3.3880250683701939E-3</v>
      </c>
      <c r="S35">
        <f t="shared" si="10"/>
        <v>2.1177788889541987E-3</v>
      </c>
      <c r="T35">
        <f t="shared" si="11"/>
        <v>276.11499565527981</v>
      </c>
      <c r="U35">
        <f t="shared" si="12"/>
        <v>27.841069050371456</v>
      </c>
      <c r="V35">
        <f t="shared" si="13"/>
        <v>27.841069050371456</v>
      </c>
      <c r="W35">
        <f t="shared" si="14"/>
        <v>3.7598217837318191</v>
      </c>
      <c r="X35">
        <f t="shared" si="15"/>
        <v>66.240846155524011</v>
      </c>
      <c r="Y35">
        <f t="shared" si="16"/>
        <v>2.1979411353139997</v>
      </c>
      <c r="Z35">
        <f t="shared" si="17"/>
        <v>3.3181054634379956</v>
      </c>
      <c r="AA35">
        <f t="shared" si="18"/>
        <v>1.5618806484178194</v>
      </c>
      <c r="AB35">
        <f t="shared" si="19"/>
        <v>-2.4261684782358541</v>
      </c>
      <c r="AC35">
        <f t="shared" si="20"/>
        <v>-249.28796761359544</v>
      </c>
      <c r="AD35">
        <f t="shared" si="21"/>
        <v>-24.662391457484709</v>
      </c>
      <c r="AE35">
        <f t="shared" si="22"/>
        <v>-0.26153189403621013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52528.975803543304</v>
      </c>
      <c r="AK35">
        <f t="shared" si="26"/>
        <v>1799.99</v>
      </c>
      <c r="AL35">
        <f t="shared" si="27"/>
        <v>1499.1050611922801</v>
      </c>
      <c r="AM35">
        <f t="shared" si="28"/>
        <v>0.83284077200000006</v>
      </c>
      <c r="AN35">
        <f t="shared" si="29"/>
        <v>0.15339807202</v>
      </c>
      <c r="AO35">
        <v>31.5</v>
      </c>
      <c r="AP35">
        <v>0.5</v>
      </c>
      <c r="AQ35" t="s">
        <v>331</v>
      </c>
      <c r="AR35">
        <v>2</v>
      </c>
      <c r="AS35">
        <v>1690229874.5999999</v>
      </c>
      <c r="AT35">
        <v>797.74300000000005</v>
      </c>
      <c r="AU35">
        <v>800.06500000000005</v>
      </c>
      <c r="AV35">
        <v>22.1645</v>
      </c>
      <c r="AW35">
        <v>21.6</v>
      </c>
      <c r="AX35">
        <v>797.94799999999998</v>
      </c>
      <c r="AY35">
        <v>21.985900000000001</v>
      </c>
      <c r="AZ35">
        <v>300.18900000000002</v>
      </c>
      <c r="BA35">
        <v>99.064999999999998</v>
      </c>
      <c r="BB35">
        <v>9.9932000000000007E-2</v>
      </c>
      <c r="BC35">
        <v>25.716699999999999</v>
      </c>
      <c r="BD35">
        <v>27.270399999999999</v>
      </c>
      <c r="BE35">
        <v>27.521799999999999</v>
      </c>
      <c r="BF35">
        <v>0</v>
      </c>
      <c r="BG35">
        <v>0</v>
      </c>
      <c r="BH35">
        <v>9984.3799999999992</v>
      </c>
      <c r="BI35">
        <v>1067.92</v>
      </c>
      <c r="BJ35">
        <v>1.2334499999999999</v>
      </c>
      <c r="BK35">
        <v>-2.3216600000000001</v>
      </c>
      <c r="BL35">
        <v>815.82500000000005</v>
      </c>
      <c r="BM35">
        <v>817.72699999999998</v>
      </c>
      <c r="BN35">
        <v>0.56455</v>
      </c>
      <c r="BO35">
        <v>800.06500000000005</v>
      </c>
      <c r="BP35">
        <v>21.6</v>
      </c>
      <c r="BQ35">
        <v>2.1957300000000002</v>
      </c>
      <c r="BR35">
        <v>2.1398000000000001</v>
      </c>
      <c r="BS35">
        <v>18.9312</v>
      </c>
      <c r="BT35">
        <v>18.518599999999999</v>
      </c>
      <c r="BU35">
        <v>1799.99</v>
      </c>
      <c r="BV35">
        <v>0.90999099999999999</v>
      </c>
      <c r="BW35">
        <v>3.3993500000000003E-2</v>
      </c>
      <c r="BX35">
        <v>2.20086E-2</v>
      </c>
      <c r="BY35">
        <v>3.4007200000000001E-2</v>
      </c>
      <c r="BZ35">
        <v>26</v>
      </c>
      <c r="CA35">
        <v>33528.1</v>
      </c>
      <c r="CB35">
        <v>1690229084.0999999</v>
      </c>
      <c r="CC35" t="s">
        <v>332</v>
      </c>
      <c r="CD35">
        <v>1690229084.0999999</v>
      </c>
      <c r="CE35">
        <v>1690229076.5999999</v>
      </c>
      <c r="CF35">
        <v>13</v>
      </c>
      <c r="CG35">
        <v>0.23300000000000001</v>
      </c>
      <c r="CH35">
        <v>-0.13100000000000001</v>
      </c>
      <c r="CI35">
        <v>-0.20599999999999999</v>
      </c>
      <c r="CJ35">
        <v>8.7999999999999995E-2</v>
      </c>
      <c r="CK35">
        <v>799</v>
      </c>
      <c r="CL35">
        <v>16</v>
      </c>
      <c r="CM35">
        <v>0.04</v>
      </c>
      <c r="CN35">
        <v>0.04</v>
      </c>
      <c r="CO35">
        <v>-1.9678117073170729</v>
      </c>
      <c r="CP35">
        <v>-2.196781463414637</v>
      </c>
      <c r="CQ35">
        <v>0.2195425973434417</v>
      </c>
      <c r="CR35">
        <v>-1</v>
      </c>
      <c r="CS35">
        <v>0.33934599999999998</v>
      </c>
      <c r="CT35">
        <v>1.1819918257839721</v>
      </c>
      <c r="CU35">
        <v>0.1167987088969737</v>
      </c>
      <c r="CV35">
        <v>-1</v>
      </c>
      <c r="CW35">
        <v>0</v>
      </c>
      <c r="CX35">
        <v>0</v>
      </c>
      <c r="CY35" t="s">
        <v>333</v>
      </c>
      <c r="CZ35">
        <v>2.3641700000000001</v>
      </c>
      <c r="DA35">
        <v>2.7137099999999998</v>
      </c>
      <c r="DB35">
        <v>0.14637600000000001</v>
      </c>
      <c r="DC35">
        <v>0.14632800000000001</v>
      </c>
      <c r="DD35">
        <v>0.107611</v>
      </c>
      <c r="DE35">
        <v>0.104144</v>
      </c>
      <c r="DF35">
        <v>31163.4</v>
      </c>
      <c r="DG35">
        <v>27509.9</v>
      </c>
      <c r="DH35">
        <v>31167.200000000001</v>
      </c>
      <c r="DI35">
        <v>28080.5</v>
      </c>
      <c r="DJ35">
        <v>37765</v>
      </c>
      <c r="DK35">
        <v>35772.199999999997</v>
      </c>
      <c r="DL35">
        <v>44355</v>
      </c>
      <c r="DM35">
        <v>42564.7</v>
      </c>
      <c r="DN35">
        <v>1.47037</v>
      </c>
      <c r="DO35">
        <v>2.0556199999999998</v>
      </c>
      <c r="DP35">
        <v>0.103727</v>
      </c>
      <c r="DQ35">
        <v>0.13724700000000001</v>
      </c>
      <c r="DR35">
        <v>25.572500000000002</v>
      </c>
      <c r="DS35">
        <v>25.274999999999999</v>
      </c>
      <c r="DT35">
        <v>56.6</v>
      </c>
      <c r="DU35">
        <v>29.3</v>
      </c>
      <c r="DV35">
        <v>23.382000000000001</v>
      </c>
      <c r="DW35">
        <v>61.1098</v>
      </c>
      <c r="DX35">
        <v>35.853400000000001</v>
      </c>
      <c r="DY35">
        <v>1</v>
      </c>
      <c r="DZ35">
        <v>-6.3150399999999995E-2</v>
      </c>
      <c r="EA35">
        <v>3.66676</v>
      </c>
      <c r="EB35">
        <v>20.1449</v>
      </c>
      <c r="EC35">
        <v>5.2406499999999996</v>
      </c>
      <c r="ED35">
        <v>12.039899999999999</v>
      </c>
      <c r="EE35">
        <v>5.0173500000000004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1.8692</v>
      </c>
      <c r="EN35">
        <v>1.8672299999999999</v>
      </c>
      <c r="EO35">
        <v>1.8633999999999999</v>
      </c>
      <c r="EP35">
        <v>1.86449</v>
      </c>
      <c r="EQ35">
        <v>1.87016</v>
      </c>
      <c r="ER35">
        <v>1.8694200000000001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-0.20499999999999999</v>
      </c>
      <c r="FG35">
        <v>0.17860000000000001</v>
      </c>
      <c r="FH35">
        <v>0.3448811944559278</v>
      </c>
      <c r="FI35">
        <v>-6.1462078757559423E-4</v>
      </c>
      <c r="FJ35">
        <v>-1.8861989874597051E-7</v>
      </c>
      <c r="FK35">
        <v>1.1980462299894961E-10</v>
      </c>
      <c r="FL35">
        <v>0.17862261546663211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13.2</v>
      </c>
      <c r="FU35">
        <v>13.3</v>
      </c>
      <c r="FV35">
        <v>1.79565</v>
      </c>
      <c r="FW35">
        <v>2.5830099999999998</v>
      </c>
      <c r="FX35">
        <v>1.5490699999999999</v>
      </c>
      <c r="FY35">
        <v>2.3290999999999999</v>
      </c>
      <c r="FZ35">
        <v>1.50146</v>
      </c>
      <c r="GA35">
        <v>2.4169900000000002</v>
      </c>
      <c r="GB35">
        <v>33.918700000000001</v>
      </c>
      <c r="GC35">
        <v>23.973700000000001</v>
      </c>
      <c r="GD35">
        <v>19</v>
      </c>
      <c r="GE35">
        <v>281.38900000000001</v>
      </c>
      <c r="GF35">
        <v>601.40599999999995</v>
      </c>
      <c r="GG35">
        <v>19.407</v>
      </c>
      <c r="GH35">
        <v>26.5763</v>
      </c>
      <c r="GI35">
        <v>30.0002</v>
      </c>
      <c r="GJ35">
        <v>26.577000000000002</v>
      </c>
      <c r="GK35">
        <v>26.5258</v>
      </c>
      <c r="GL35">
        <v>35.895400000000002</v>
      </c>
      <c r="GM35">
        <v>17.134799999999998</v>
      </c>
      <c r="GN35">
        <v>100</v>
      </c>
      <c r="GO35">
        <v>19.427800000000001</v>
      </c>
      <c r="GP35">
        <v>800</v>
      </c>
      <c r="GQ35">
        <v>21.400500000000001</v>
      </c>
      <c r="GR35">
        <v>99.723299999999995</v>
      </c>
      <c r="GS35">
        <v>99.569599999999994</v>
      </c>
    </row>
    <row r="36" spans="1:201" x14ac:dyDescent="0.25">
      <c r="A36">
        <v>20</v>
      </c>
      <c r="B36">
        <v>1690229884.5999999</v>
      </c>
      <c r="C36">
        <v>379.5</v>
      </c>
      <c r="D36" t="s">
        <v>373</v>
      </c>
      <c r="E36" t="s">
        <v>374</v>
      </c>
      <c r="F36" t="s">
        <v>330</v>
      </c>
      <c r="H36">
        <v>1690229884.5999999</v>
      </c>
      <c r="I36">
        <f t="shared" si="0"/>
        <v>7.4622057028035131E-5</v>
      </c>
      <c r="J36">
        <f t="shared" si="1"/>
        <v>7.4622057028035135E-2</v>
      </c>
      <c r="K36">
        <f t="shared" si="2"/>
        <v>0.18741240007895069</v>
      </c>
      <c r="L36">
        <f t="shared" si="3"/>
        <v>797.46199999999999</v>
      </c>
      <c r="M36">
        <f t="shared" si="4"/>
        <v>713.97721302769776</v>
      </c>
      <c r="N36">
        <f t="shared" si="5"/>
        <v>70.799763816109206</v>
      </c>
      <c r="O36">
        <f t="shared" si="6"/>
        <v>79.078323820583591</v>
      </c>
      <c r="P36">
        <f t="shared" si="7"/>
        <v>4.6773381043260943E-3</v>
      </c>
      <c r="Q36">
        <f t="shared" si="8"/>
        <v>2.184024453886888</v>
      </c>
      <c r="R36">
        <f t="shared" si="9"/>
        <v>4.6717802153698517E-3</v>
      </c>
      <c r="S36">
        <f t="shared" si="10"/>
        <v>2.9203614274576589E-3</v>
      </c>
      <c r="T36">
        <f t="shared" si="11"/>
        <v>276.11320787737958</v>
      </c>
      <c r="U36">
        <f t="shared" si="12"/>
        <v>27.76633300920302</v>
      </c>
      <c r="V36">
        <f t="shared" si="13"/>
        <v>27.76633300920302</v>
      </c>
      <c r="W36">
        <f t="shared" si="14"/>
        <v>3.7434525875234259</v>
      </c>
      <c r="X36">
        <f t="shared" si="15"/>
        <v>66.759129533663483</v>
      </c>
      <c r="Y36">
        <f t="shared" si="16"/>
        <v>2.2070597135346004</v>
      </c>
      <c r="Z36">
        <f t="shared" si="17"/>
        <v>3.3060043307210649</v>
      </c>
      <c r="AA36">
        <f t="shared" si="18"/>
        <v>1.5363928739888255</v>
      </c>
      <c r="AB36">
        <f t="shared" si="19"/>
        <v>-3.2908327149363492</v>
      </c>
      <c r="AC36">
        <f t="shared" si="20"/>
        <v>-248.58739743968434</v>
      </c>
      <c r="AD36">
        <f t="shared" si="21"/>
        <v>-24.493171417552073</v>
      </c>
      <c r="AE36">
        <f t="shared" si="22"/>
        <v>-0.25819369479319221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52847.306593471039</v>
      </c>
      <c r="AK36">
        <f t="shared" si="26"/>
        <v>1799.98</v>
      </c>
      <c r="AL36">
        <f t="shared" si="27"/>
        <v>1499.09333082236</v>
      </c>
      <c r="AM36">
        <f t="shared" si="28"/>
        <v>0.832838882</v>
      </c>
      <c r="AN36">
        <f t="shared" si="29"/>
        <v>0.15339793101999999</v>
      </c>
      <c r="AO36">
        <v>31.5</v>
      </c>
      <c r="AP36">
        <v>0.5</v>
      </c>
      <c r="AQ36" t="s">
        <v>331</v>
      </c>
      <c r="AR36">
        <v>2</v>
      </c>
      <c r="AS36">
        <v>1690229884.5999999</v>
      </c>
      <c r="AT36">
        <v>797.46199999999999</v>
      </c>
      <c r="AU36">
        <v>800.053</v>
      </c>
      <c r="AV36">
        <v>22.257000000000001</v>
      </c>
      <c r="AW36">
        <v>21.491399999999999</v>
      </c>
      <c r="AX36">
        <v>797.66700000000003</v>
      </c>
      <c r="AY36">
        <v>22.078399999999998</v>
      </c>
      <c r="AZ36">
        <v>300.19299999999998</v>
      </c>
      <c r="BA36">
        <v>99.0625</v>
      </c>
      <c r="BB36">
        <v>9.9997799999999998E-2</v>
      </c>
      <c r="BC36">
        <v>25.655100000000001</v>
      </c>
      <c r="BD36">
        <v>27.188099999999999</v>
      </c>
      <c r="BE36">
        <v>27.440999999999999</v>
      </c>
      <c r="BF36">
        <v>0</v>
      </c>
      <c r="BG36">
        <v>0</v>
      </c>
      <c r="BH36">
        <v>10045.6</v>
      </c>
      <c r="BI36">
        <v>1066.6400000000001</v>
      </c>
      <c r="BJ36">
        <v>1.2208399999999999</v>
      </c>
      <c r="BK36">
        <v>-2.5911300000000002</v>
      </c>
      <c r="BL36">
        <v>815.61500000000001</v>
      </c>
      <c r="BM36">
        <v>817.625</v>
      </c>
      <c r="BN36">
        <v>0.76559100000000002</v>
      </c>
      <c r="BO36">
        <v>800.053</v>
      </c>
      <c r="BP36">
        <v>21.491399999999999</v>
      </c>
      <c r="BQ36">
        <v>2.2048299999999998</v>
      </c>
      <c r="BR36">
        <v>2.1289899999999999</v>
      </c>
      <c r="BS36">
        <v>18.997499999999999</v>
      </c>
      <c r="BT36">
        <v>18.437799999999999</v>
      </c>
      <c r="BU36">
        <v>1799.98</v>
      </c>
      <c r="BV36">
        <v>0.90998100000000004</v>
      </c>
      <c r="BW36">
        <v>3.4003100000000001E-2</v>
      </c>
      <c r="BX36">
        <v>2.20056E-2</v>
      </c>
      <c r="BY36">
        <v>3.4010400000000003E-2</v>
      </c>
      <c r="BZ36">
        <v>26</v>
      </c>
      <c r="CA36">
        <v>33528</v>
      </c>
      <c r="CB36">
        <v>1690229084.0999999</v>
      </c>
      <c r="CC36" t="s">
        <v>332</v>
      </c>
      <c r="CD36">
        <v>1690229084.0999999</v>
      </c>
      <c r="CE36">
        <v>1690229076.5999999</v>
      </c>
      <c r="CF36">
        <v>13</v>
      </c>
      <c r="CG36">
        <v>0.23300000000000001</v>
      </c>
      <c r="CH36">
        <v>-0.13100000000000001</v>
      </c>
      <c r="CI36">
        <v>-0.20599999999999999</v>
      </c>
      <c r="CJ36">
        <v>8.7999999999999995E-2</v>
      </c>
      <c r="CK36">
        <v>799</v>
      </c>
      <c r="CL36">
        <v>16</v>
      </c>
      <c r="CM36">
        <v>0.04</v>
      </c>
      <c r="CN36">
        <v>0.04</v>
      </c>
      <c r="CO36">
        <v>-2.2838136585365851</v>
      </c>
      <c r="CP36">
        <v>-1.7088393031358911</v>
      </c>
      <c r="CQ36">
        <v>0.1721324437575095</v>
      </c>
      <c r="CR36">
        <v>-1</v>
      </c>
      <c r="CS36">
        <v>0.54858773170731712</v>
      </c>
      <c r="CT36">
        <v>1.3132078536585361</v>
      </c>
      <c r="CU36">
        <v>0.12962266502015771</v>
      </c>
      <c r="CV36">
        <v>-1</v>
      </c>
      <c r="CW36">
        <v>0</v>
      </c>
      <c r="CX36">
        <v>0</v>
      </c>
      <c r="CY36" t="s">
        <v>333</v>
      </c>
      <c r="CZ36">
        <v>2.3641800000000002</v>
      </c>
      <c r="DA36">
        <v>2.7138300000000002</v>
      </c>
      <c r="DB36">
        <v>0.14633699999999999</v>
      </c>
      <c r="DC36">
        <v>0.146319</v>
      </c>
      <c r="DD36">
        <v>0.10792599999999999</v>
      </c>
      <c r="DE36">
        <v>0.103772</v>
      </c>
      <c r="DF36">
        <v>31164.1</v>
      </c>
      <c r="DG36">
        <v>27509.599999999999</v>
      </c>
      <c r="DH36">
        <v>31166.5</v>
      </c>
      <c r="DI36">
        <v>28079.9</v>
      </c>
      <c r="DJ36">
        <v>37750.800000000003</v>
      </c>
      <c r="DK36">
        <v>35786.6</v>
      </c>
      <c r="DL36">
        <v>44354.1</v>
      </c>
      <c r="DM36">
        <v>42564.1</v>
      </c>
      <c r="DN36">
        <v>1.4705999999999999</v>
      </c>
      <c r="DO36">
        <v>2.0553499999999998</v>
      </c>
      <c r="DP36">
        <v>0.101678</v>
      </c>
      <c r="DQ36">
        <v>0.13567499999999999</v>
      </c>
      <c r="DR36">
        <v>25.523499999999999</v>
      </c>
      <c r="DS36">
        <v>25.219799999999999</v>
      </c>
      <c r="DT36">
        <v>56.6</v>
      </c>
      <c r="DU36">
        <v>29.2</v>
      </c>
      <c r="DV36">
        <v>23.2441</v>
      </c>
      <c r="DW36">
        <v>61.0398</v>
      </c>
      <c r="DX36">
        <v>35.1402</v>
      </c>
      <c r="DY36">
        <v>1</v>
      </c>
      <c r="DZ36">
        <v>-6.2487300000000003E-2</v>
      </c>
      <c r="EA36">
        <v>3.4865400000000002</v>
      </c>
      <c r="EB36">
        <v>20.149000000000001</v>
      </c>
      <c r="EC36">
        <v>5.2406499999999996</v>
      </c>
      <c r="ED36">
        <v>12.039899999999999</v>
      </c>
      <c r="EE36">
        <v>5.0171000000000001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1.8646199999999999</v>
      </c>
      <c r="EM36">
        <v>1.8692</v>
      </c>
      <c r="EN36">
        <v>1.8672200000000001</v>
      </c>
      <c r="EO36">
        <v>1.8633999999999999</v>
      </c>
      <c r="EP36">
        <v>1.8644799999999999</v>
      </c>
      <c r="EQ36">
        <v>1.87018</v>
      </c>
      <c r="ER36">
        <v>1.8694200000000001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-0.20499999999999999</v>
      </c>
      <c r="FG36">
        <v>0.17860000000000001</v>
      </c>
      <c r="FH36">
        <v>0.3448811944559278</v>
      </c>
      <c r="FI36">
        <v>-6.1462078757559423E-4</v>
      </c>
      <c r="FJ36">
        <v>-1.8861989874597051E-7</v>
      </c>
      <c r="FK36">
        <v>1.1980462299894961E-10</v>
      </c>
      <c r="FL36">
        <v>0.17862261546663211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13.3</v>
      </c>
      <c r="FU36">
        <v>13.5</v>
      </c>
      <c r="FV36">
        <v>1.79565</v>
      </c>
      <c r="FW36">
        <v>2.5878899999999998</v>
      </c>
      <c r="FX36">
        <v>1.5490699999999999</v>
      </c>
      <c r="FY36">
        <v>2.3290999999999999</v>
      </c>
      <c r="FZ36">
        <v>1.50146</v>
      </c>
      <c r="GA36">
        <v>2.3730500000000001</v>
      </c>
      <c r="GB36">
        <v>33.918700000000001</v>
      </c>
      <c r="GC36">
        <v>23.9649</v>
      </c>
      <c r="GD36">
        <v>19</v>
      </c>
      <c r="GE36">
        <v>281.52100000000002</v>
      </c>
      <c r="GF36">
        <v>601.23800000000006</v>
      </c>
      <c r="GG36">
        <v>19.4741</v>
      </c>
      <c r="GH36">
        <v>26.5853</v>
      </c>
      <c r="GI36">
        <v>30.000299999999999</v>
      </c>
      <c r="GJ36">
        <v>26.5852</v>
      </c>
      <c r="GK36">
        <v>26.531400000000001</v>
      </c>
      <c r="GL36">
        <v>35.889899999999997</v>
      </c>
      <c r="GM36">
        <v>17.7134</v>
      </c>
      <c r="GN36">
        <v>100</v>
      </c>
      <c r="GO36">
        <v>19.492899999999999</v>
      </c>
      <c r="GP36">
        <v>800</v>
      </c>
      <c r="GQ36">
        <v>21.3293</v>
      </c>
      <c r="GR36">
        <v>99.721100000000007</v>
      </c>
      <c r="GS36">
        <v>99.567800000000005</v>
      </c>
    </row>
    <row r="37" spans="1:201" x14ac:dyDescent="0.25">
      <c r="A37">
        <v>21</v>
      </c>
      <c r="B37">
        <v>1690229894.5999999</v>
      </c>
      <c r="C37">
        <v>389.5</v>
      </c>
      <c r="D37" t="s">
        <v>375</v>
      </c>
      <c r="E37" t="s">
        <v>376</v>
      </c>
      <c r="F37" t="s">
        <v>330</v>
      </c>
      <c r="H37">
        <v>1690229894.5999999</v>
      </c>
      <c r="I37">
        <f t="shared" si="0"/>
        <v>9.7041091535471566E-5</v>
      </c>
      <c r="J37">
        <f t="shared" si="1"/>
        <v>9.7041091535471566E-2</v>
      </c>
      <c r="K37">
        <f t="shared" si="2"/>
        <v>0.19083197306512437</v>
      </c>
      <c r="L37">
        <f t="shared" si="3"/>
        <v>797.19500000000005</v>
      </c>
      <c r="M37">
        <f t="shared" si="4"/>
        <v>728.38256630140268</v>
      </c>
      <c r="N37">
        <f t="shared" si="5"/>
        <v>72.229783315433664</v>
      </c>
      <c r="O37">
        <f t="shared" si="6"/>
        <v>79.053542429680007</v>
      </c>
      <c r="P37">
        <f t="shared" si="7"/>
        <v>6.166577814897811E-3</v>
      </c>
      <c r="Q37">
        <f t="shared" si="8"/>
        <v>2.1764031516900628</v>
      </c>
      <c r="R37">
        <f t="shared" si="9"/>
        <v>6.1568874761989672E-3</v>
      </c>
      <c r="S37">
        <f t="shared" si="10"/>
        <v>3.8489240237187137E-3</v>
      </c>
      <c r="T37">
        <f t="shared" si="11"/>
        <v>276.11263467374863</v>
      </c>
      <c r="U37">
        <f t="shared" si="12"/>
        <v>27.714284238845678</v>
      </c>
      <c r="V37">
        <f t="shared" si="13"/>
        <v>27.714284238845678</v>
      </c>
      <c r="W37">
        <f t="shared" si="14"/>
        <v>3.7320892782365411</v>
      </c>
      <c r="X37">
        <f t="shared" si="15"/>
        <v>67.233270310606301</v>
      </c>
      <c r="Y37">
        <f t="shared" si="16"/>
        <v>2.2159921866783998</v>
      </c>
      <c r="Z37">
        <f t="shared" si="17"/>
        <v>3.2959756032108687</v>
      </c>
      <c r="AA37">
        <f t="shared" si="18"/>
        <v>1.5160970915581413</v>
      </c>
      <c r="AB37">
        <f t="shared" si="19"/>
        <v>-4.2795121367142963</v>
      </c>
      <c r="AC37">
        <f t="shared" si="20"/>
        <v>-247.62034494187594</v>
      </c>
      <c r="AD37">
        <f t="shared" si="21"/>
        <v>-24.470675002363318</v>
      </c>
      <c r="AE37">
        <f t="shared" si="22"/>
        <v>-0.25789740720492205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52539.112703159342</v>
      </c>
      <c r="AK37">
        <f t="shared" si="26"/>
        <v>1799.98</v>
      </c>
      <c r="AL37">
        <f t="shared" si="27"/>
        <v>1499.0928718274597</v>
      </c>
      <c r="AM37">
        <f t="shared" si="28"/>
        <v>0.83283862699999989</v>
      </c>
      <c r="AN37">
        <f t="shared" si="29"/>
        <v>0.15339761257000001</v>
      </c>
      <c r="AO37">
        <v>31.5</v>
      </c>
      <c r="AP37">
        <v>0.5</v>
      </c>
      <c r="AQ37" t="s">
        <v>331</v>
      </c>
      <c r="AR37">
        <v>2</v>
      </c>
      <c r="AS37">
        <v>1690229894.5999999</v>
      </c>
      <c r="AT37">
        <v>797.19500000000005</v>
      </c>
      <c r="AU37">
        <v>800.01</v>
      </c>
      <c r="AV37">
        <v>22.346599999999999</v>
      </c>
      <c r="AW37">
        <v>21.3508</v>
      </c>
      <c r="AX37">
        <v>797.399</v>
      </c>
      <c r="AY37">
        <v>22.167999999999999</v>
      </c>
      <c r="AZ37">
        <v>300.10899999999998</v>
      </c>
      <c r="BA37">
        <v>99.064599999999999</v>
      </c>
      <c r="BB37">
        <v>0.100024</v>
      </c>
      <c r="BC37">
        <v>25.603899999999999</v>
      </c>
      <c r="BD37">
        <v>27.158799999999999</v>
      </c>
      <c r="BE37">
        <v>27.400400000000001</v>
      </c>
      <c r="BF37">
        <v>0</v>
      </c>
      <c r="BG37">
        <v>0</v>
      </c>
      <c r="BH37">
        <v>9982.5</v>
      </c>
      <c r="BI37">
        <v>1065.53</v>
      </c>
      <c r="BJ37">
        <v>1.28952</v>
      </c>
      <c r="BK37">
        <v>-2.8149999999999999</v>
      </c>
      <c r="BL37">
        <v>815.41600000000005</v>
      </c>
      <c r="BM37">
        <v>817.46299999999997</v>
      </c>
      <c r="BN37">
        <v>0.995838</v>
      </c>
      <c r="BO37">
        <v>800.01</v>
      </c>
      <c r="BP37">
        <v>21.3508</v>
      </c>
      <c r="BQ37">
        <v>2.2137600000000002</v>
      </c>
      <c r="BR37">
        <v>2.11511</v>
      </c>
      <c r="BS37">
        <v>19.062200000000001</v>
      </c>
      <c r="BT37">
        <v>18.333400000000001</v>
      </c>
      <c r="BU37">
        <v>1799.98</v>
      </c>
      <c r="BV37">
        <v>0.90998699999999999</v>
      </c>
      <c r="BW37">
        <v>3.4004300000000001E-2</v>
      </c>
      <c r="BX37">
        <v>2.2002600000000001E-2</v>
      </c>
      <c r="BY37">
        <v>3.40057E-2</v>
      </c>
      <c r="BZ37">
        <v>26</v>
      </c>
      <c r="CA37">
        <v>33528</v>
      </c>
      <c r="CB37">
        <v>1690229084.0999999</v>
      </c>
      <c r="CC37" t="s">
        <v>332</v>
      </c>
      <c r="CD37">
        <v>1690229084.0999999</v>
      </c>
      <c r="CE37">
        <v>1690229076.5999999</v>
      </c>
      <c r="CF37">
        <v>13</v>
      </c>
      <c r="CG37">
        <v>0.23300000000000001</v>
      </c>
      <c r="CH37">
        <v>-0.13100000000000001</v>
      </c>
      <c r="CI37">
        <v>-0.20599999999999999</v>
      </c>
      <c r="CJ37">
        <v>8.7999999999999995E-2</v>
      </c>
      <c r="CK37">
        <v>799</v>
      </c>
      <c r="CL37">
        <v>16</v>
      </c>
      <c r="CM37">
        <v>0.04</v>
      </c>
      <c r="CN37">
        <v>0.04</v>
      </c>
      <c r="CO37">
        <v>-2.5750197500000001</v>
      </c>
      <c r="CP37">
        <v>-1.470836735459659</v>
      </c>
      <c r="CQ37">
        <v>0.14333341905305089</v>
      </c>
      <c r="CR37">
        <v>-1</v>
      </c>
      <c r="CS37">
        <v>0.77255319999999994</v>
      </c>
      <c r="CT37">
        <v>1.206947279549718</v>
      </c>
      <c r="CU37">
        <v>0.1164101650639239</v>
      </c>
      <c r="CV37">
        <v>-1</v>
      </c>
      <c r="CW37">
        <v>0</v>
      </c>
      <c r="CX37">
        <v>0</v>
      </c>
      <c r="CY37" t="s">
        <v>333</v>
      </c>
      <c r="CZ37">
        <v>2.36388</v>
      </c>
      <c r="DA37">
        <v>2.7138</v>
      </c>
      <c r="DB37">
        <v>0.14630699999999999</v>
      </c>
      <c r="DC37">
        <v>0.146312</v>
      </c>
      <c r="DD37">
        <v>0.108236</v>
      </c>
      <c r="DE37">
        <v>0.103294</v>
      </c>
      <c r="DF37">
        <v>31164.3</v>
      </c>
      <c r="DG37">
        <v>27508.400000000001</v>
      </c>
      <c r="DH37">
        <v>31165.599999999999</v>
      </c>
      <c r="DI37">
        <v>28078.6</v>
      </c>
      <c r="DJ37">
        <v>37736.300000000003</v>
      </c>
      <c r="DK37">
        <v>35804.1</v>
      </c>
      <c r="DL37">
        <v>44352.6</v>
      </c>
      <c r="DM37">
        <v>42562.1</v>
      </c>
      <c r="DN37">
        <v>1.4704999999999999</v>
      </c>
      <c r="DO37">
        <v>2.0552000000000001</v>
      </c>
      <c r="DP37">
        <v>0.102643</v>
      </c>
      <c r="DQ37">
        <v>0.13625999999999999</v>
      </c>
      <c r="DR37">
        <v>25.478400000000001</v>
      </c>
      <c r="DS37">
        <v>25.1694</v>
      </c>
      <c r="DT37">
        <v>56.6</v>
      </c>
      <c r="DU37">
        <v>29.3</v>
      </c>
      <c r="DV37">
        <v>23.377099999999999</v>
      </c>
      <c r="DW37">
        <v>61.659799999999997</v>
      </c>
      <c r="DX37">
        <v>36.302100000000003</v>
      </c>
      <c r="DY37">
        <v>1</v>
      </c>
      <c r="DZ37">
        <v>-6.2134099999999998E-2</v>
      </c>
      <c r="EA37">
        <v>3.33921</v>
      </c>
      <c r="EB37">
        <v>20.152100000000001</v>
      </c>
      <c r="EC37">
        <v>5.2403500000000003</v>
      </c>
      <c r="ED37">
        <v>12.039899999999999</v>
      </c>
      <c r="EE37">
        <v>5.0170500000000002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1.86463</v>
      </c>
      <c r="EM37">
        <v>1.8692</v>
      </c>
      <c r="EN37">
        <v>1.8672299999999999</v>
      </c>
      <c r="EO37">
        <v>1.8633999999999999</v>
      </c>
      <c r="EP37">
        <v>1.8644799999999999</v>
      </c>
      <c r="EQ37">
        <v>1.87015</v>
      </c>
      <c r="ER37">
        <v>1.86941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-0.20399999999999999</v>
      </c>
      <c r="FG37">
        <v>0.17860000000000001</v>
      </c>
      <c r="FH37">
        <v>0.3448811944559278</v>
      </c>
      <c r="FI37">
        <v>-6.1462078757559423E-4</v>
      </c>
      <c r="FJ37">
        <v>-1.8861989874597051E-7</v>
      </c>
      <c r="FK37">
        <v>1.1980462299894961E-10</v>
      </c>
      <c r="FL37">
        <v>0.17862261546663211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13.5</v>
      </c>
      <c r="FU37">
        <v>13.6</v>
      </c>
      <c r="FV37">
        <v>1.79443</v>
      </c>
      <c r="FW37">
        <v>2.5817899999999998</v>
      </c>
      <c r="FX37">
        <v>1.5490699999999999</v>
      </c>
      <c r="FY37">
        <v>2.3290999999999999</v>
      </c>
      <c r="FZ37">
        <v>1.50146</v>
      </c>
      <c r="GA37">
        <v>2.3584000000000001</v>
      </c>
      <c r="GB37">
        <v>33.918700000000001</v>
      </c>
      <c r="GC37">
        <v>23.973700000000001</v>
      </c>
      <c r="GD37">
        <v>19</v>
      </c>
      <c r="GE37">
        <v>281.51</v>
      </c>
      <c r="GF37">
        <v>601.17600000000004</v>
      </c>
      <c r="GG37">
        <v>19.540600000000001</v>
      </c>
      <c r="GH37">
        <v>26.5929</v>
      </c>
      <c r="GI37">
        <v>30.000299999999999</v>
      </c>
      <c r="GJ37">
        <v>26.592600000000001</v>
      </c>
      <c r="GK37">
        <v>26.536899999999999</v>
      </c>
      <c r="GL37">
        <v>35.890500000000003</v>
      </c>
      <c r="GM37">
        <v>18.923300000000001</v>
      </c>
      <c r="GN37">
        <v>100</v>
      </c>
      <c r="GO37">
        <v>19.556999999999999</v>
      </c>
      <c r="GP37">
        <v>800</v>
      </c>
      <c r="GQ37">
        <v>21.158200000000001</v>
      </c>
      <c r="GR37">
        <v>99.718000000000004</v>
      </c>
      <c r="GS37">
        <v>99.563100000000006</v>
      </c>
    </row>
    <row r="38" spans="1:201" x14ac:dyDescent="0.25">
      <c r="A38">
        <v>22</v>
      </c>
      <c r="B38">
        <v>1690229904.5999999</v>
      </c>
      <c r="C38">
        <v>399.5</v>
      </c>
      <c r="D38" t="s">
        <v>377</v>
      </c>
      <c r="E38" t="s">
        <v>378</v>
      </c>
      <c r="F38" t="s">
        <v>330</v>
      </c>
      <c r="H38">
        <v>1690229904.5999999</v>
      </c>
      <c r="I38">
        <f t="shared" si="0"/>
        <v>1.2346768365851783E-4</v>
      </c>
      <c r="J38">
        <f t="shared" si="1"/>
        <v>0.12346768365851785</v>
      </c>
      <c r="K38">
        <f t="shared" si="2"/>
        <v>0.20285045278152583</v>
      </c>
      <c r="L38">
        <f t="shared" si="3"/>
        <v>796.928</v>
      </c>
      <c r="M38">
        <f t="shared" si="4"/>
        <v>736.99231253331868</v>
      </c>
      <c r="N38">
        <f t="shared" si="5"/>
        <v>73.084250450213077</v>
      </c>
      <c r="O38">
        <f t="shared" si="6"/>
        <v>79.027806060262407</v>
      </c>
      <c r="P38">
        <f t="shared" si="7"/>
        <v>7.9568624619447397E-3</v>
      </c>
      <c r="Q38">
        <f t="shared" si="8"/>
        <v>2.1769475832170833</v>
      </c>
      <c r="R38">
        <f t="shared" si="9"/>
        <v>7.9407407206205146E-3</v>
      </c>
      <c r="S38">
        <f t="shared" si="10"/>
        <v>4.9644086738731743E-3</v>
      </c>
      <c r="T38">
        <f t="shared" si="11"/>
        <v>276.11382933375944</v>
      </c>
      <c r="U38">
        <f t="shared" si="12"/>
        <v>27.658753713446352</v>
      </c>
      <c r="V38">
        <f t="shared" si="13"/>
        <v>27.658753713446352</v>
      </c>
      <c r="W38">
        <f t="shared" si="14"/>
        <v>3.719999027887432</v>
      </c>
      <c r="X38">
        <f t="shared" si="15"/>
        <v>67.67095497063373</v>
      </c>
      <c r="Y38">
        <f t="shared" si="16"/>
        <v>2.2243230267403202</v>
      </c>
      <c r="Z38">
        <f t="shared" si="17"/>
        <v>3.2869685786251726</v>
      </c>
      <c r="AA38">
        <f t="shared" si="18"/>
        <v>1.4956760011471117</v>
      </c>
      <c r="AB38">
        <f t="shared" si="19"/>
        <v>-5.4449248493406364</v>
      </c>
      <c r="AC38">
        <f t="shared" si="20"/>
        <v>-246.57548726506499</v>
      </c>
      <c r="AD38">
        <f t="shared" si="21"/>
        <v>-24.348930776971429</v>
      </c>
      <c r="AE38">
        <f t="shared" si="22"/>
        <v>-0.25551355761760419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52569.877850950186</v>
      </c>
      <c r="AK38">
        <f t="shared" si="26"/>
        <v>1799.99</v>
      </c>
      <c r="AL38">
        <f t="shared" si="27"/>
        <v>1499.10373639964</v>
      </c>
      <c r="AM38">
        <f t="shared" si="28"/>
        <v>0.83284003600000001</v>
      </c>
      <c r="AN38">
        <f t="shared" si="29"/>
        <v>0.15339742406000001</v>
      </c>
      <c r="AO38">
        <v>31.5</v>
      </c>
      <c r="AP38">
        <v>0.5</v>
      </c>
      <c r="AQ38" t="s">
        <v>331</v>
      </c>
      <c r="AR38">
        <v>2</v>
      </c>
      <c r="AS38">
        <v>1690229904.5999999</v>
      </c>
      <c r="AT38">
        <v>796.928</v>
      </c>
      <c r="AU38">
        <v>800.08900000000006</v>
      </c>
      <c r="AV38">
        <v>22.430399999999999</v>
      </c>
      <c r="AW38">
        <v>21.163900000000002</v>
      </c>
      <c r="AX38">
        <v>797.13300000000004</v>
      </c>
      <c r="AY38">
        <v>22.2517</v>
      </c>
      <c r="AZ38">
        <v>300.197</v>
      </c>
      <c r="BA38">
        <v>99.065600000000003</v>
      </c>
      <c r="BB38">
        <v>9.9953299999999995E-2</v>
      </c>
      <c r="BC38">
        <v>25.5578</v>
      </c>
      <c r="BD38">
        <v>27.091100000000001</v>
      </c>
      <c r="BE38">
        <v>27.3461</v>
      </c>
      <c r="BF38">
        <v>0</v>
      </c>
      <c r="BG38">
        <v>0</v>
      </c>
      <c r="BH38">
        <v>9986.8799999999992</v>
      </c>
      <c r="BI38">
        <v>1064.3800000000001</v>
      </c>
      <c r="BJ38">
        <v>1.28952</v>
      </c>
      <c r="BK38">
        <v>-3.1608299999999998</v>
      </c>
      <c r="BL38">
        <v>815.21400000000006</v>
      </c>
      <c r="BM38">
        <v>817.38800000000003</v>
      </c>
      <c r="BN38">
        <v>1.2664800000000001</v>
      </c>
      <c r="BO38">
        <v>800.08900000000006</v>
      </c>
      <c r="BP38">
        <v>21.163900000000002</v>
      </c>
      <c r="BQ38">
        <v>2.2220800000000001</v>
      </c>
      <c r="BR38">
        <v>2.0966100000000001</v>
      </c>
      <c r="BS38">
        <v>19.122399999999999</v>
      </c>
      <c r="BT38">
        <v>18.1935</v>
      </c>
      <c r="BU38">
        <v>1799.99</v>
      </c>
      <c r="BV38">
        <v>0.909999</v>
      </c>
      <c r="BW38">
        <v>3.4000000000000002E-2</v>
      </c>
      <c r="BX38">
        <v>2.19998E-2</v>
      </c>
      <c r="BY38">
        <v>3.4001400000000001E-2</v>
      </c>
      <c r="BZ38">
        <v>26</v>
      </c>
      <c r="CA38">
        <v>33528.199999999997</v>
      </c>
      <c r="CB38">
        <v>1690229084.0999999</v>
      </c>
      <c r="CC38" t="s">
        <v>332</v>
      </c>
      <c r="CD38">
        <v>1690229084.0999999</v>
      </c>
      <c r="CE38">
        <v>1690229076.5999999</v>
      </c>
      <c r="CF38">
        <v>13</v>
      </c>
      <c r="CG38">
        <v>0.23300000000000001</v>
      </c>
      <c r="CH38">
        <v>-0.13100000000000001</v>
      </c>
      <c r="CI38">
        <v>-0.20599999999999999</v>
      </c>
      <c r="CJ38">
        <v>8.7999999999999995E-2</v>
      </c>
      <c r="CK38">
        <v>799</v>
      </c>
      <c r="CL38">
        <v>16</v>
      </c>
      <c r="CM38">
        <v>0.04</v>
      </c>
      <c r="CN38">
        <v>0.04</v>
      </c>
      <c r="CO38">
        <v>-2.8546740000000002</v>
      </c>
      <c r="CP38">
        <v>-1.8251412382739101</v>
      </c>
      <c r="CQ38">
        <v>0.17936270442597591</v>
      </c>
      <c r="CR38">
        <v>-1</v>
      </c>
      <c r="CS38">
        <v>0.99477682499999998</v>
      </c>
      <c r="CT38">
        <v>1.498877639774856</v>
      </c>
      <c r="CU38">
        <v>0.14448338984653</v>
      </c>
      <c r="CV38">
        <v>-1</v>
      </c>
      <c r="CW38">
        <v>0</v>
      </c>
      <c r="CX38">
        <v>0</v>
      </c>
      <c r="CY38" t="s">
        <v>333</v>
      </c>
      <c r="CZ38">
        <v>2.36416</v>
      </c>
      <c r="DA38">
        <v>2.71373</v>
      </c>
      <c r="DB38">
        <v>0.14627599999999999</v>
      </c>
      <c r="DC38">
        <v>0.146319</v>
      </c>
      <c r="DD38">
        <v>0.108525</v>
      </c>
      <c r="DE38">
        <v>0.102657</v>
      </c>
      <c r="DF38">
        <v>31165</v>
      </c>
      <c r="DG38">
        <v>27508.1</v>
      </c>
      <c r="DH38">
        <v>31165.200000000001</v>
      </c>
      <c r="DI38">
        <v>28078.5</v>
      </c>
      <c r="DJ38">
        <v>37723.699999999997</v>
      </c>
      <c r="DK38">
        <v>35829.5</v>
      </c>
      <c r="DL38">
        <v>44352.3</v>
      </c>
      <c r="DM38">
        <v>42562</v>
      </c>
      <c r="DN38">
        <v>1.4706999999999999</v>
      </c>
      <c r="DO38">
        <v>2.0543999999999998</v>
      </c>
      <c r="DP38">
        <v>0.101119</v>
      </c>
      <c r="DQ38">
        <v>0.13596900000000001</v>
      </c>
      <c r="DR38">
        <v>25.435500000000001</v>
      </c>
      <c r="DS38">
        <v>25.119700000000002</v>
      </c>
      <c r="DT38">
        <v>56.6</v>
      </c>
      <c r="DU38">
        <v>29.2</v>
      </c>
      <c r="DV38">
        <v>23.2453</v>
      </c>
      <c r="DW38">
        <v>61.709800000000001</v>
      </c>
      <c r="DX38">
        <v>35.388599999999997</v>
      </c>
      <c r="DY38">
        <v>1</v>
      </c>
      <c r="DZ38">
        <v>-6.1763199999999997E-2</v>
      </c>
      <c r="EA38">
        <v>3.2231000000000001</v>
      </c>
      <c r="EB38">
        <v>20.154499999999999</v>
      </c>
      <c r="EC38">
        <v>5.2401999999999997</v>
      </c>
      <c r="ED38">
        <v>12.039899999999999</v>
      </c>
      <c r="EE38">
        <v>5.0168999999999997</v>
      </c>
      <c r="EF38">
        <v>3.2879499999999999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1.8646199999999999</v>
      </c>
      <c r="EM38">
        <v>1.8691899999999999</v>
      </c>
      <c r="EN38">
        <v>1.8672299999999999</v>
      </c>
      <c r="EO38">
        <v>1.8633999999999999</v>
      </c>
      <c r="EP38">
        <v>1.8645</v>
      </c>
      <c r="EQ38">
        <v>1.8701700000000001</v>
      </c>
      <c r="ER38">
        <v>1.8694299999999999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-0.20499999999999999</v>
      </c>
      <c r="FG38">
        <v>0.1787</v>
      </c>
      <c r="FH38">
        <v>0.3448811944559278</v>
      </c>
      <c r="FI38">
        <v>-6.1462078757559423E-4</v>
      </c>
      <c r="FJ38">
        <v>-1.8861989874597051E-7</v>
      </c>
      <c r="FK38">
        <v>1.1980462299894961E-10</v>
      </c>
      <c r="FL38">
        <v>0.17862261546663211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13.7</v>
      </c>
      <c r="FU38">
        <v>13.8</v>
      </c>
      <c r="FV38">
        <v>1.79443</v>
      </c>
      <c r="FW38">
        <v>2.5842299999999998</v>
      </c>
      <c r="FX38">
        <v>1.5490699999999999</v>
      </c>
      <c r="FY38">
        <v>2.3290999999999999</v>
      </c>
      <c r="FZ38">
        <v>1.50146</v>
      </c>
      <c r="GA38">
        <v>2.4145500000000002</v>
      </c>
      <c r="GB38">
        <v>33.941299999999998</v>
      </c>
      <c r="GC38">
        <v>23.973700000000001</v>
      </c>
      <c r="GD38">
        <v>19</v>
      </c>
      <c r="GE38">
        <v>281.625</v>
      </c>
      <c r="GF38">
        <v>600.56299999999999</v>
      </c>
      <c r="GG38">
        <v>19.6053</v>
      </c>
      <c r="GH38">
        <v>26.598600000000001</v>
      </c>
      <c r="GI38">
        <v>30.000299999999999</v>
      </c>
      <c r="GJ38">
        <v>26.599299999999999</v>
      </c>
      <c r="GK38">
        <v>26.5425</v>
      </c>
      <c r="GL38">
        <v>35.881599999999999</v>
      </c>
      <c r="GM38">
        <v>20.179099999999998</v>
      </c>
      <c r="GN38">
        <v>100</v>
      </c>
      <c r="GO38">
        <v>19.617999999999999</v>
      </c>
      <c r="GP38">
        <v>800</v>
      </c>
      <c r="GQ38">
        <v>20.881699999999999</v>
      </c>
      <c r="GR38">
        <v>99.716999999999999</v>
      </c>
      <c r="GS38">
        <v>99.562899999999999</v>
      </c>
    </row>
    <row r="39" spans="1:201" x14ac:dyDescent="0.25">
      <c r="A39">
        <v>23</v>
      </c>
      <c r="B39">
        <v>1690229914.5999999</v>
      </c>
      <c r="C39">
        <v>409.5</v>
      </c>
      <c r="D39" t="s">
        <v>379</v>
      </c>
      <c r="E39" t="s">
        <v>380</v>
      </c>
      <c r="F39" t="s">
        <v>330</v>
      </c>
      <c r="H39">
        <v>1690229914.5999999</v>
      </c>
      <c r="I39">
        <f t="shared" si="0"/>
        <v>1.5849880120301845E-4</v>
      </c>
      <c r="J39">
        <f t="shared" si="1"/>
        <v>0.15849880120301846</v>
      </c>
      <c r="K39">
        <f t="shared" si="2"/>
        <v>0.19610008104524068</v>
      </c>
      <c r="L39">
        <f t="shared" si="3"/>
        <v>796.76900000000001</v>
      </c>
      <c r="M39">
        <f t="shared" si="4"/>
        <v>747.39979050443708</v>
      </c>
      <c r="N39">
        <f t="shared" si="5"/>
        <v>74.115929373964335</v>
      </c>
      <c r="O39">
        <f t="shared" si="6"/>
        <v>79.011628958990997</v>
      </c>
      <c r="P39">
        <f t="shared" si="7"/>
        <v>1.0344731441798632E-2</v>
      </c>
      <c r="Q39">
        <f t="shared" si="8"/>
        <v>2.1763327013237355</v>
      </c>
      <c r="R39">
        <f t="shared" si="9"/>
        <v>1.0317491637124471E-2</v>
      </c>
      <c r="S39">
        <f t="shared" si="10"/>
        <v>6.4508736391433999E-3</v>
      </c>
      <c r="T39">
        <f t="shared" si="11"/>
        <v>276.11321785915652</v>
      </c>
      <c r="U39">
        <f t="shared" si="12"/>
        <v>27.608068651989452</v>
      </c>
      <c r="V39">
        <f t="shared" si="13"/>
        <v>27.608068651989452</v>
      </c>
      <c r="W39">
        <f t="shared" si="14"/>
        <v>3.7089935931056512</v>
      </c>
      <c r="X39">
        <f t="shared" si="15"/>
        <v>68.039775630486631</v>
      </c>
      <c r="Y39">
        <f t="shared" si="16"/>
        <v>2.2312332105077997</v>
      </c>
      <c r="Z39">
        <f t="shared" si="17"/>
        <v>3.279307125622045</v>
      </c>
      <c r="AA39">
        <f t="shared" si="18"/>
        <v>1.4777603825978516</v>
      </c>
      <c r="AB39">
        <f t="shared" si="19"/>
        <v>-6.9897971330531137</v>
      </c>
      <c r="AC39">
        <f t="shared" si="20"/>
        <v>-245.17002730539178</v>
      </c>
      <c r="AD39">
        <f t="shared" si="21"/>
        <v>-24.206072429627934</v>
      </c>
      <c r="AE39">
        <f t="shared" si="22"/>
        <v>-0.25267900891631712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52551.223188231284</v>
      </c>
      <c r="AK39">
        <f t="shared" si="26"/>
        <v>1799.99</v>
      </c>
      <c r="AL39">
        <f t="shared" si="27"/>
        <v>1499.10476059395</v>
      </c>
      <c r="AM39">
        <f t="shared" si="28"/>
        <v>0.83284060500000001</v>
      </c>
      <c r="AN39">
        <f t="shared" si="29"/>
        <v>0.15339708435000002</v>
      </c>
      <c r="AO39">
        <v>31.5</v>
      </c>
      <c r="AP39">
        <v>0.5</v>
      </c>
      <c r="AQ39" t="s">
        <v>331</v>
      </c>
      <c r="AR39">
        <v>2</v>
      </c>
      <c r="AS39">
        <v>1690229914.5999999</v>
      </c>
      <c r="AT39">
        <v>796.76900000000001</v>
      </c>
      <c r="AU39">
        <v>800.15200000000004</v>
      </c>
      <c r="AV39">
        <v>22.5002</v>
      </c>
      <c r="AW39">
        <v>20.874400000000001</v>
      </c>
      <c r="AX39">
        <v>796.97299999999996</v>
      </c>
      <c r="AY39">
        <v>22.3216</v>
      </c>
      <c r="AZ39">
        <v>300.18299999999999</v>
      </c>
      <c r="BA39">
        <v>99.064999999999998</v>
      </c>
      <c r="BB39">
        <v>0.100039</v>
      </c>
      <c r="BC39">
        <v>25.5185</v>
      </c>
      <c r="BD39">
        <v>27.0273</v>
      </c>
      <c r="BE39">
        <v>27.2928</v>
      </c>
      <c r="BF39">
        <v>0</v>
      </c>
      <c r="BG39">
        <v>0</v>
      </c>
      <c r="BH39">
        <v>9981.8799999999992</v>
      </c>
      <c r="BI39">
        <v>1063.4100000000001</v>
      </c>
      <c r="BJ39">
        <v>1.3455900000000001</v>
      </c>
      <c r="BK39">
        <v>-3.3832399999999998</v>
      </c>
      <c r="BL39">
        <v>815.10900000000004</v>
      </c>
      <c r="BM39">
        <v>817.21100000000001</v>
      </c>
      <c r="BN39">
        <v>1.6257900000000001</v>
      </c>
      <c r="BO39">
        <v>800.15200000000004</v>
      </c>
      <c r="BP39">
        <v>20.874400000000001</v>
      </c>
      <c r="BQ39">
        <v>2.22898</v>
      </c>
      <c r="BR39">
        <v>2.06792</v>
      </c>
      <c r="BS39">
        <v>19.1722</v>
      </c>
      <c r="BT39">
        <v>17.9742</v>
      </c>
      <c r="BU39">
        <v>1799.99</v>
      </c>
      <c r="BV39">
        <v>0.91000999999999999</v>
      </c>
      <c r="BW39">
        <v>3.3995699999999997E-2</v>
      </c>
      <c r="BX39">
        <v>2.1996999999999999E-2</v>
      </c>
      <c r="BY39">
        <v>3.3997100000000002E-2</v>
      </c>
      <c r="BZ39">
        <v>26</v>
      </c>
      <c r="CA39">
        <v>33528.300000000003</v>
      </c>
      <c r="CB39">
        <v>1690229084.0999999</v>
      </c>
      <c r="CC39" t="s">
        <v>332</v>
      </c>
      <c r="CD39">
        <v>1690229084.0999999</v>
      </c>
      <c r="CE39">
        <v>1690229076.5999999</v>
      </c>
      <c r="CF39">
        <v>13</v>
      </c>
      <c r="CG39">
        <v>0.23300000000000001</v>
      </c>
      <c r="CH39">
        <v>-0.13100000000000001</v>
      </c>
      <c r="CI39">
        <v>-0.20599999999999999</v>
      </c>
      <c r="CJ39">
        <v>8.7999999999999995E-2</v>
      </c>
      <c r="CK39">
        <v>799</v>
      </c>
      <c r="CL39">
        <v>16</v>
      </c>
      <c r="CM39">
        <v>0.04</v>
      </c>
      <c r="CN39">
        <v>0.04</v>
      </c>
      <c r="CO39">
        <v>-3.131084</v>
      </c>
      <c r="CP39">
        <v>-1.6220424765478449</v>
      </c>
      <c r="CQ39">
        <v>0.1606927678179699</v>
      </c>
      <c r="CR39">
        <v>-1</v>
      </c>
      <c r="CS39">
        <v>1.27627245</v>
      </c>
      <c r="CT39">
        <v>1.9167140487804879</v>
      </c>
      <c r="CU39">
        <v>0.18513920016327581</v>
      </c>
      <c r="CV39">
        <v>-1</v>
      </c>
      <c r="CW39">
        <v>0</v>
      </c>
      <c r="CX39">
        <v>0</v>
      </c>
      <c r="CY39" t="s">
        <v>333</v>
      </c>
      <c r="CZ39">
        <v>2.36409</v>
      </c>
      <c r="DA39">
        <v>2.7138100000000001</v>
      </c>
      <c r="DB39">
        <v>0.146254</v>
      </c>
      <c r="DC39">
        <v>0.146318</v>
      </c>
      <c r="DD39">
        <v>0.108762</v>
      </c>
      <c r="DE39">
        <v>0.101662</v>
      </c>
      <c r="DF39">
        <v>31165.8</v>
      </c>
      <c r="DG39">
        <v>27507.8</v>
      </c>
      <c r="DH39">
        <v>31165.200000000001</v>
      </c>
      <c r="DI39">
        <v>28078.1</v>
      </c>
      <c r="DJ39">
        <v>37713.4</v>
      </c>
      <c r="DK39">
        <v>35869</v>
      </c>
      <c r="DL39">
        <v>44352</v>
      </c>
      <c r="DM39">
        <v>42561.7</v>
      </c>
      <c r="DN39">
        <v>1.47065</v>
      </c>
      <c r="DO39">
        <v>2.0539000000000001</v>
      </c>
      <c r="DP39">
        <v>9.9699899999999994E-2</v>
      </c>
      <c r="DQ39">
        <v>0.13564200000000001</v>
      </c>
      <c r="DR39">
        <v>25.3948</v>
      </c>
      <c r="DS39">
        <v>25.0716</v>
      </c>
      <c r="DT39">
        <v>56.6</v>
      </c>
      <c r="DU39">
        <v>29.2</v>
      </c>
      <c r="DV39">
        <v>23.244800000000001</v>
      </c>
      <c r="DW39">
        <v>61.639800000000001</v>
      </c>
      <c r="DX39">
        <v>35.560899999999997</v>
      </c>
      <c r="DY39">
        <v>1</v>
      </c>
      <c r="DZ39">
        <v>-6.1077199999999998E-2</v>
      </c>
      <c r="EA39">
        <v>3.1285599999999998</v>
      </c>
      <c r="EB39">
        <v>20.156700000000001</v>
      </c>
      <c r="EC39">
        <v>5.2401999999999997</v>
      </c>
      <c r="ED39">
        <v>12.039899999999999</v>
      </c>
      <c r="EE39">
        <v>5.0172499999999998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1.8692</v>
      </c>
      <c r="EN39">
        <v>1.8672299999999999</v>
      </c>
      <c r="EO39">
        <v>1.8633999999999999</v>
      </c>
      <c r="EP39">
        <v>1.8644799999999999</v>
      </c>
      <c r="EQ39">
        <v>1.8701700000000001</v>
      </c>
      <c r="ER39">
        <v>1.8693900000000001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-0.20399999999999999</v>
      </c>
      <c r="FG39">
        <v>0.17860000000000001</v>
      </c>
      <c r="FH39">
        <v>0.3448811944559278</v>
      </c>
      <c r="FI39">
        <v>-6.1462078757559423E-4</v>
      </c>
      <c r="FJ39">
        <v>-1.8861989874597051E-7</v>
      </c>
      <c r="FK39">
        <v>1.1980462299894961E-10</v>
      </c>
      <c r="FL39">
        <v>0.17862261546663211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13.8</v>
      </c>
      <c r="FU39">
        <v>14</v>
      </c>
      <c r="FV39">
        <v>1.79443</v>
      </c>
      <c r="FW39">
        <v>2.5878899999999998</v>
      </c>
      <c r="FX39">
        <v>1.5490699999999999</v>
      </c>
      <c r="FY39">
        <v>2.3290999999999999</v>
      </c>
      <c r="FZ39">
        <v>1.50146</v>
      </c>
      <c r="GA39">
        <v>2.33765</v>
      </c>
      <c r="GB39">
        <v>33.941299999999998</v>
      </c>
      <c r="GC39">
        <v>23.9649</v>
      </c>
      <c r="GD39">
        <v>19</v>
      </c>
      <c r="GE39">
        <v>281.63299999999998</v>
      </c>
      <c r="GF39">
        <v>600.197</v>
      </c>
      <c r="GG39">
        <v>19.659300000000002</v>
      </c>
      <c r="GH39">
        <v>26.6035</v>
      </c>
      <c r="GI39">
        <v>30.000299999999999</v>
      </c>
      <c r="GJ39">
        <v>26.605899999999998</v>
      </c>
      <c r="GK39">
        <v>26.547499999999999</v>
      </c>
      <c r="GL39">
        <v>35.868499999999997</v>
      </c>
      <c r="GM39">
        <v>21.041899999999998</v>
      </c>
      <c r="GN39">
        <v>100</v>
      </c>
      <c r="GO39">
        <v>19.6709</v>
      </c>
      <c r="GP39">
        <v>800</v>
      </c>
      <c r="GQ39">
        <v>20.671199999999999</v>
      </c>
      <c r="GR39">
        <v>99.716700000000003</v>
      </c>
      <c r="GS39">
        <v>99.561999999999998</v>
      </c>
    </row>
    <row r="40" spans="1:201" x14ac:dyDescent="0.25">
      <c r="A40">
        <v>24</v>
      </c>
      <c r="B40">
        <v>1690229924.5999999</v>
      </c>
      <c r="C40">
        <v>419.5</v>
      </c>
      <c r="D40" t="s">
        <v>381</v>
      </c>
      <c r="E40" t="s">
        <v>382</v>
      </c>
      <c r="F40" t="s">
        <v>330</v>
      </c>
      <c r="H40">
        <v>1690229924.5999999</v>
      </c>
      <c r="I40">
        <f t="shared" si="0"/>
        <v>1.8467630389848918E-4</v>
      </c>
      <c r="J40">
        <f t="shared" si="1"/>
        <v>0.18467630389848919</v>
      </c>
      <c r="K40">
        <f t="shared" si="2"/>
        <v>0.19466886760470509</v>
      </c>
      <c r="L40">
        <f t="shared" si="3"/>
        <v>796.476</v>
      </c>
      <c r="M40">
        <f t="shared" si="4"/>
        <v>752.13758683070637</v>
      </c>
      <c r="N40">
        <f t="shared" si="5"/>
        <v>74.585322006168127</v>
      </c>
      <c r="O40">
        <f t="shared" si="6"/>
        <v>78.9821170625208</v>
      </c>
      <c r="P40">
        <f t="shared" si="7"/>
        <v>1.2217414304050007E-2</v>
      </c>
      <c r="Q40">
        <f t="shared" si="8"/>
        <v>2.1848838101047896</v>
      </c>
      <c r="R40">
        <f t="shared" si="9"/>
        <v>1.2179587178602508E-2</v>
      </c>
      <c r="S40">
        <f t="shared" si="10"/>
        <v>7.6156307851358383E-3</v>
      </c>
      <c r="T40">
        <f t="shared" si="11"/>
        <v>276.11282515533816</v>
      </c>
      <c r="U40">
        <f t="shared" si="12"/>
        <v>27.541973435003548</v>
      </c>
      <c r="V40">
        <f t="shared" si="13"/>
        <v>27.541973435003548</v>
      </c>
      <c r="W40">
        <f t="shared" si="14"/>
        <v>3.6946847838333632</v>
      </c>
      <c r="X40">
        <f t="shared" si="15"/>
        <v>68.388342734550733</v>
      </c>
      <c r="Y40">
        <f t="shared" si="16"/>
        <v>2.2360397064310402</v>
      </c>
      <c r="Z40">
        <f t="shared" si="17"/>
        <v>3.2696211328153186</v>
      </c>
      <c r="AA40">
        <f t="shared" si="18"/>
        <v>1.458645077402323</v>
      </c>
      <c r="AB40">
        <f t="shared" si="19"/>
        <v>-8.1442250019233722</v>
      </c>
      <c r="AC40">
        <f t="shared" si="20"/>
        <v>-244.21389653375724</v>
      </c>
      <c r="AD40">
        <f t="shared" si="21"/>
        <v>-24.003365193407387</v>
      </c>
      <c r="AE40">
        <f t="shared" si="22"/>
        <v>-0.24866157374981412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52916.226530626627</v>
      </c>
      <c r="AK40">
        <f t="shared" si="26"/>
        <v>1799.99</v>
      </c>
      <c r="AL40">
        <f t="shared" si="27"/>
        <v>1499.1057559884198</v>
      </c>
      <c r="AM40">
        <f t="shared" si="28"/>
        <v>0.83284115799999991</v>
      </c>
      <c r="AN40">
        <f t="shared" si="29"/>
        <v>0.15339686617999998</v>
      </c>
      <c r="AO40">
        <v>31.5</v>
      </c>
      <c r="AP40">
        <v>0.5</v>
      </c>
      <c r="AQ40" t="s">
        <v>331</v>
      </c>
      <c r="AR40">
        <v>2</v>
      </c>
      <c r="AS40">
        <v>1690229924.5999999</v>
      </c>
      <c r="AT40">
        <v>796.476</v>
      </c>
      <c r="AU40">
        <v>800.06299999999999</v>
      </c>
      <c r="AV40">
        <v>22.5488</v>
      </c>
      <c r="AW40">
        <v>20.654199999999999</v>
      </c>
      <c r="AX40">
        <v>796.68</v>
      </c>
      <c r="AY40">
        <v>22.370200000000001</v>
      </c>
      <c r="AZ40">
        <v>300.12299999999999</v>
      </c>
      <c r="BA40">
        <v>99.064599999999999</v>
      </c>
      <c r="BB40">
        <v>9.9865800000000005E-2</v>
      </c>
      <c r="BC40">
        <v>25.468699999999998</v>
      </c>
      <c r="BD40">
        <v>26.974599999999999</v>
      </c>
      <c r="BE40">
        <v>27.2468</v>
      </c>
      <c r="BF40">
        <v>0</v>
      </c>
      <c r="BG40">
        <v>0</v>
      </c>
      <c r="BH40">
        <v>10052.5</v>
      </c>
      <c r="BI40">
        <v>1062.45</v>
      </c>
      <c r="BJ40">
        <v>1.28952</v>
      </c>
      <c r="BK40">
        <v>-3.5867300000000002</v>
      </c>
      <c r="BL40">
        <v>814.85</v>
      </c>
      <c r="BM40">
        <v>816.93600000000004</v>
      </c>
      <c r="BN40">
        <v>1.8946499999999999</v>
      </c>
      <c r="BO40">
        <v>800.06299999999999</v>
      </c>
      <c r="BP40">
        <v>20.654199999999999</v>
      </c>
      <c r="BQ40">
        <v>2.2337899999999999</v>
      </c>
      <c r="BR40">
        <v>2.0461</v>
      </c>
      <c r="BS40">
        <v>19.206700000000001</v>
      </c>
      <c r="BT40">
        <v>17.805700000000002</v>
      </c>
      <c r="BU40">
        <v>1799.99</v>
      </c>
      <c r="BV40">
        <v>0.91001799999999999</v>
      </c>
      <c r="BW40">
        <v>3.3994299999999998E-2</v>
      </c>
      <c r="BX40">
        <v>2.1994400000000001E-2</v>
      </c>
      <c r="BY40">
        <v>3.3993200000000001E-2</v>
      </c>
      <c r="BZ40">
        <v>26</v>
      </c>
      <c r="CA40">
        <v>33528.300000000003</v>
      </c>
      <c r="CB40">
        <v>1690229084.0999999</v>
      </c>
      <c r="CC40" t="s">
        <v>332</v>
      </c>
      <c r="CD40">
        <v>1690229084.0999999</v>
      </c>
      <c r="CE40">
        <v>1690229076.5999999</v>
      </c>
      <c r="CF40">
        <v>13</v>
      </c>
      <c r="CG40">
        <v>0.23300000000000001</v>
      </c>
      <c r="CH40">
        <v>-0.13100000000000001</v>
      </c>
      <c r="CI40">
        <v>-0.20599999999999999</v>
      </c>
      <c r="CJ40">
        <v>8.7999999999999995E-2</v>
      </c>
      <c r="CK40">
        <v>799</v>
      </c>
      <c r="CL40">
        <v>16</v>
      </c>
      <c r="CM40">
        <v>0.04</v>
      </c>
      <c r="CN40">
        <v>0.04</v>
      </c>
      <c r="CO40">
        <v>-3.3727585000000011</v>
      </c>
      <c r="CP40">
        <v>-1.3578211632270121</v>
      </c>
      <c r="CQ40">
        <v>0.13282459037298031</v>
      </c>
      <c r="CR40">
        <v>-1</v>
      </c>
      <c r="CS40">
        <v>1.5966702500000001</v>
      </c>
      <c r="CT40">
        <v>1.9598664540337709</v>
      </c>
      <c r="CU40">
        <v>0.189307450110759</v>
      </c>
      <c r="CV40">
        <v>-1</v>
      </c>
      <c r="CW40">
        <v>0</v>
      </c>
      <c r="CX40">
        <v>0</v>
      </c>
      <c r="CY40" t="s">
        <v>333</v>
      </c>
      <c r="CZ40">
        <v>2.3639100000000002</v>
      </c>
      <c r="DA40">
        <v>2.7136999999999998</v>
      </c>
      <c r="DB40">
        <v>0.14621700000000001</v>
      </c>
      <c r="DC40">
        <v>0.14630000000000001</v>
      </c>
      <c r="DD40">
        <v>0.108927</v>
      </c>
      <c r="DE40">
        <v>0.100901</v>
      </c>
      <c r="DF40">
        <v>31166.9</v>
      </c>
      <c r="DG40">
        <v>27508.2</v>
      </c>
      <c r="DH40">
        <v>31165</v>
      </c>
      <c r="DI40">
        <v>28078</v>
      </c>
      <c r="DJ40">
        <v>37706.199999999997</v>
      </c>
      <c r="DK40">
        <v>35899.5</v>
      </c>
      <c r="DL40">
        <v>44351.9</v>
      </c>
      <c r="DM40">
        <v>42561.8</v>
      </c>
      <c r="DN40">
        <v>1.4706699999999999</v>
      </c>
      <c r="DO40">
        <v>2.05335</v>
      </c>
      <c r="DP40">
        <v>9.8947400000000005E-2</v>
      </c>
      <c r="DQ40">
        <v>0.135653</v>
      </c>
      <c r="DR40">
        <v>25.354199999999999</v>
      </c>
      <c r="DS40">
        <v>25.025200000000002</v>
      </c>
      <c r="DT40">
        <v>56.6</v>
      </c>
      <c r="DU40">
        <v>29.2</v>
      </c>
      <c r="DV40">
        <v>23.242899999999999</v>
      </c>
      <c r="DW40">
        <v>61.5398</v>
      </c>
      <c r="DX40">
        <v>36.466299999999997</v>
      </c>
      <c r="DY40">
        <v>1</v>
      </c>
      <c r="DZ40">
        <v>-6.0696100000000003E-2</v>
      </c>
      <c r="EA40">
        <v>3.0977299999999999</v>
      </c>
      <c r="EB40">
        <v>20.1568</v>
      </c>
      <c r="EC40">
        <v>5.2397499999999999</v>
      </c>
      <c r="ED40">
        <v>12.039899999999999</v>
      </c>
      <c r="EE40">
        <v>5.0169499999999996</v>
      </c>
      <c r="EF40">
        <v>3.2879499999999999</v>
      </c>
      <c r="EG40">
        <v>9999</v>
      </c>
      <c r="EH40">
        <v>9999</v>
      </c>
      <c r="EI40">
        <v>9999</v>
      </c>
      <c r="EJ40">
        <v>999.9</v>
      </c>
      <c r="EK40">
        <v>1.8689100000000001</v>
      </c>
      <c r="EL40">
        <v>1.8646199999999999</v>
      </c>
      <c r="EM40">
        <v>1.8692</v>
      </c>
      <c r="EN40">
        <v>1.8672200000000001</v>
      </c>
      <c r="EO40">
        <v>1.8633999999999999</v>
      </c>
      <c r="EP40">
        <v>1.8644799999999999</v>
      </c>
      <c r="EQ40">
        <v>1.87016</v>
      </c>
      <c r="ER40">
        <v>1.8694299999999999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-0.20399999999999999</v>
      </c>
      <c r="FG40">
        <v>0.17860000000000001</v>
      </c>
      <c r="FH40">
        <v>0.3448811944559278</v>
      </c>
      <c r="FI40">
        <v>-6.1462078757559423E-4</v>
      </c>
      <c r="FJ40">
        <v>-1.8861989874597051E-7</v>
      </c>
      <c r="FK40">
        <v>1.1980462299894961E-10</v>
      </c>
      <c r="FL40">
        <v>0.17862261546663211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14</v>
      </c>
      <c r="FU40">
        <v>14.1</v>
      </c>
      <c r="FV40">
        <v>1.79321</v>
      </c>
      <c r="FW40">
        <v>2.5793499999999998</v>
      </c>
      <c r="FX40">
        <v>1.5490699999999999</v>
      </c>
      <c r="FY40">
        <v>2.3290999999999999</v>
      </c>
      <c r="FZ40">
        <v>1.50146</v>
      </c>
      <c r="GA40">
        <v>2.36084</v>
      </c>
      <c r="GB40">
        <v>33.941299999999998</v>
      </c>
      <c r="GC40">
        <v>23.973700000000001</v>
      </c>
      <c r="GD40">
        <v>19</v>
      </c>
      <c r="GE40">
        <v>281.66800000000001</v>
      </c>
      <c r="GF40">
        <v>599.79100000000005</v>
      </c>
      <c r="GG40">
        <v>19.697500000000002</v>
      </c>
      <c r="GH40">
        <v>26.606400000000001</v>
      </c>
      <c r="GI40">
        <v>30.000299999999999</v>
      </c>
      <c r="GJ40">
        <v>26.6114</v>
      </c>
      <c r="GK40">
        <v>26.552499999999998</v>
      </c>
      <c r="GL40">
        <v>35.863</v>
      </c>
      <c r="GM40">
        <v>22.5382</v>
      </c>
      <c r="GN40">
        <v>100</v>
      </c>
      <c r="GO40">
        <v>19.703199999999999</v>
      </c>
      <c r="GP40">
        <v>800</v>
      </c>
      <c r="GQ40">
        <v>20.387</v>
      </c>
      <c r="GR40">
        <v>99.716200000000001</v>
      </c>
      <c r="GS40">
        <v>99.561899999999994</v>
      </c>
    </row>
    <row r="41" spans="1:201" x14ac:dyDescent="0.25">
      <c r="A41">
        <v>25</v>
      </c>
      <c r="B41">
        <v>1690229934.5999999</v>
      </c>
      <c r="C41">
        <v>429.5</v>
      </c>
      <c r="D41" t="s">
        <v>383</v>
      </c>
      <c r="E41" t="s">
        <v>384</v>
      </c>
      <c r="F41" t="s">
        <v>330</v>
      </c>
      <c r="H41">
        <v>1690229934.5999999</v>
      </c>
      <c r="I41">
        <f t="shared" si="0"/>
        <v>3.2263075042049551E-4</v>
      </c>
      <c r="J41">
        <f t="shared" si="1"/>
        <v>0.32263075042049549</v>
      </c>
      <c r="K41">
        <f t="shared" si="2"/>
        <v>0.2003605138105059</v>
      </c>
      <c r="L41">
        <f t="shared" si="3"/>
        <v>795.65800000000002</v>
      </c>
      <c r="M41">
        <f t="shared" si="4"/>
        <v>763.65397634307772</v>
      </c>
      <c r="N41">
        <f t="shared" si="5"/>
        <v>75.725579619538024</v>
      </c>
      <c r="O41">
        <f t="shared" si="6"/>
        <v>78.899167810859197</v>
      </c>
      <c r="P41">
        <f t="shared" si="7"/>
        <v>2.2704328591687573E-2</v>
      </c>
      <c r="Q41">
        <f t="shared" si="8"/>
        <v>2.1759179614314164</v>
      </c>
      <c r="R41">
        <f t="shared" si="9"/>
        <v>2.2573533134720592E-2</v>
      </c>
      <c r="S41">
        <f t="shared" si="10"/>
        <v>1.4120146741185653E-2</v>
      </c>
      <c r="T41">
        <f t="shared" si="11"/>
        <v>276.11124190322397</v>
      </c>
      <c r="U41">
        <f t="shared" si="12"/>
        <v>27.602414776307352</v>
      </c>
      <c r="V41">
        <f t="shared" si="13"/>
        <v>27.602414776307352</v>
      </c>
      <c r="W41">
        <f t="shared" si="14"/>
        <v>3.7077677094235506</v>
      </c>
      <c r="X41">
        <f t="shared" si="15"/>
        <v>70.951360558003913</v>
      </c>
      <c r="Y41">
        <f t="shared" si="16"/>
        <v>2.3336724137053597</v>
      </c>
      <c r="Z41">
        <f t="shared" si="17"/>
        <v>3.2891158046187772</v>
      </c>
      <c r="AA41">
        <f t="shared" si="18"/>
        <v>1.3740952957181909</v>
      </c>
      <c r="AB41">
        <f t="shared" si="19"/>
        <v>-14.228016093543852</v>
      </c>
      <c r="AC41">
        <f t="shared" si="20"/>
        <v>-238.55946344875389</v>
      </c>
      <c r="AD41">
        <f t="shared" si="21"/>
        <v>-23.563140815780184</v>
      </c>
      <c r="AE41">
        <f t="shared" si="22"/>
        <v>-0.2393784548539486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52525.075107678058</v>
      </c>
      <c r="AK41">
        <f t="shared" si="26"/>
        <v>1799.98</v>
      </c>
      <c r="AL41">
        <f t="shared" si="27"/>
        <v>1499.0956221969</v>
      </c>
      <c r="AM41">
        <f t="shared" si="28"/>
        <v>0.83284015499999997</v>
      </c>
      <c r="AN41">
        <f t="shared" si="29"/>
        <v>0.15339683879999999</v>
      </c>
      <c r="AO41">
        <v>31.5</v>
      </c>
      <c r="AP41">
        <v>0.5</v>
      </c>
      <c r="AQ41" t="s">
        <v>331</v>
      </c>
      <c r="AR41">
        <v>2</v>
      </c>
      <c r="AS41">
        <v>1690229934.5999999</v>
      </c>
      <c r="AT41">
        <v>795.65800000000002</v>
      </c>
      <c r="AU41">
        <v>800.45500000000004</v>
      </c>
      <c r="AV41">
        <v>23.533899999999999</v>
      </c>
      <c r="AW41">
        <v>20.227499999999999</v>
      </c>
      <c r="AX41">
        <v>795.86099999999999</v>
      </c>
      <c r="AY41">
        <v>23.3553</v>
      </c>
      <c r="AZ41">
        <v>300.13600000000002</v>
      </c>
      <c r="BA41">
        <v>99.062200000000004</v>
      </c>
      <c r="BB41">
        <v>9.9962400000000007E-2</v>
      </c>
      <c r="BC41">
        <v>25.5688</v>
      </c>
      <c r="BD41">
        <v>27.068100000000001</v>
      </c>
      <c r="BE41">
        <v>27.3126</v>
      </c>
      <c r="BF41">
        <v>0</v>
      </c>
      <c r="BG41">
        <v>0</v>
      </c>
      <c r="BH41">
        <v>9978.75</v>
      </c>
      <c r="BI41">
        <v>1061.67</v>
      </c>
      <c r="BJ41">
        <v>1.28952</v>
      </c>
      <c r="BK41">
        <v>-4.7976099999999997</v>
      </c>
      <c r="BL41">
        <v>814.83399999999995</v>
      </c>
      <c r="BM41">
        <v>816.98099999999999</v>
      </c>
      <c r="BN41">
        <v>3.3064399999999998</v>
      </c>
      <c r="BO41">
        <v>800.45500000000004</v>
      </c>
      <c r="BP41">
        <v>20.227499999999999</v>
      </c>
      <c r="BQ41">
        <v>2.3313199999999998</v>
      </c>
      <c r="BR41">
        <v>2.0037799999999999</v>
      </c>
      <c r="BS41">
        <v>19.894500000000001</v>
      </c>
      <c r="BT41">
        <v>17.4742</v>
      </c>
      <c r="BU41">
        <v>1799.98</v>
      </c>
      <c r="BV41">
        <v>0.91001299999999996</v>
      </c>
      <c r="BW41">
        <v>3.40074E-2</v>
      </c>
      <c r="BX41">
        <v>2.1991500000000001E-2</v>
      </c>
      <c r="BY41">
        <v>3.3988600000000001E-2</v>
      </c>
      <c r="BZ41">
        <v>26</v>
      </c>
      <c r="CA41">
        <v>33528.199999999997</v>
      </c>
      <c r="CB41">
        <v>1690229084.0999999</v>
      </c>
      <c r="CC41" t="s">
        <v>332</v>
      </c>
      <c r="CD41">
        <v>1690229084.0999999</v>
      </c>
      <c r="CE41">
        <v>1690229076.5999999</v>
      </c>
      <c r="CF41">
        <v>13</v>
      </c>
      <c r="CG41">
        <v>0.23300000000000001</v>
      </c>
      <c r="CH41">
        <v>-0.13100000000000001</v>
      </c>
      <c r="CI41">
        <v>-0.20599999999999999</v>
      </c>
      <c r="CJ41">
        <v>8.7999999999999995E-2</v>
      </c>
      <c r="CK41">
        <v>799</v>
      </c>
      <c r="CL41">
        <v>16</v>
      </c>
      <c r="CM41">
        <v>0.04</v>
      </c>
      <c r="CN41">
        <v>0.04</v>
      </c>
      <c r="CO41">
        <v>-3.680870731707317</v>
      </c>
      <c r="CP41">
        <v>-2.6654027874564612</v>
      </c>
      <c r="CQ41">
        <v>0.29039083445179698</v>
      </c>
      <c r="CR41">
        <v>-1</v>
      </c>
      <c r="CS41">
        <v>1.9738378048780489</v>
      </c>
      <c r="CT41">
        <v>3.0930451567944282</v>
      </c>
      <c r="CU41">
        <v>0.34116097803559808</v>
      </c>
      <c r="CV41">
        <v>-1</v>
      </c>
      <c r="CW41">
        <v>0</v>
      </c>
      <c r="CX41">
        <v>0</v>
      </c>
      <c r="CY41" t="s">
        <v>333</v>
      </c>
      <c r="CZ41">
        <v>2.36388</v>
      </c>
      <c r="DA41">
        <v>2.71373</v>
      </c>
      <c r="DB41">
        <v>0.14612700000000001</v>
      </c>
      <c r="DC41">
        <v>0.14633399999999999</v>
      </c>
      <c r="DD41">
        <v>0.112274</v>
      </c>
      <c r="DE41">
        <v>9.9417900000000003E-2</v>
      </c>
      <c r="DF41">
        <v>31169.5</v>
      </c>
      <c r="DG41">
        <v>27506.1</v>
      </c>
      <c r="DH41">
        <v>31164.2</v>
      </c>
      <c r="DI41">
        <v>28077</v>
      </c>
      <c r="DJ41">
        <v>37562.1</v>
      </c>
      <c r="DK41">
        <v>35957.5</v>
      </c>
      <c r="DL41">
        <v>44350.6</v>
      </c>
      <c r="DM41">
        <v>42560.2</v>
      </c>
      <c r="DN41">
        <v>1.4816</v>
      </c>
      <c r="DO41">
        <v>2.0524499999999999</v>
      </c>
      <c r="DP41">
        <v>0.10698299999999999</v>
      </c>
      <c r="DQ41">
        <v>0.14211199999999999</v>
      </c>
      <c r="DR41">
        <v>25.316299999999998</v>
      </c>
      <c r="DS41">
        <v>24.985299999999999</v>
      </c>
      <c r="DT41">
        <v>56.6</v>
      </c>
      <c r="DU41">
        <v>29.2</v>
      </c>
      <c r="DV41">
        <v>23.245200000000001</v>
      </c>
      <c r="DW41">
        <v>62.189799999999998</v>
      </c>
      <c r="DX41">
        <v>35.240400000000001</v>
      </c>
      <c r="DY41">
        <v>1</v>
      </c>
      <c r="DZ41">
        <v>-5.0792700000000003E-2</v>
      </c>
      <c r="EA41">
        <v>-6.6666699999999999</v>
      </c>
      <c r="EB41">
        <v>20.004200000000001</v>
      </c>
      <c r="EC41">
        <v>5.2404999999999999</v>
      </c>
      <c r="ED41">
        <v>12.039899999999999</v>
      </c>
      <c r="EE41">
        <v>5.0172499999999998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1.8691899999999999</v>
      </c>
      <c r="EN41">
        <v>1.8672200000000001</v>
      </c>
      <c r="EO41">
        <v>1.8633999999999999</v>
      </c>
      <c r="EP41">
        <v>1.8644700000000001</v>
      </c>
      <c r="EQ41">
        <v>1.87016</v>
      </c>
      <c r="ER41">
        <v>1.8694200000000001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-0.20300000000000001</v>
      </c>
      <c r="FG41">
        <v>0.17860000000000001</v>
      </c>
      <c r="FH41">
        <v>0.3448811944559278</v>
      </c>
      <c r="FI41">
        <v>-6.1462078757559423E-4</v>
      </c>
      <c r="FJ41">
        <v>-1.8861989874597051E-7</v>
      </c>
      <c r="FK41">
        <v>1.1980462299894961E-10</v>
      </c>
      <c r="FL41">
        <v>0.17862261546663211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14.2</v>
      </c>
      <c r="FU41">
        <v>14.3</v>
      </c>
      <c r="FV41">
        <v>1.79199</v>
      </c>
      <c r="FW41">
        <v>2.5842299999999998</v>
      </c>
      <c r="FX41">
        <v>1.5490699999999999</v>
      </c>
      <c r="FY41">
        <v>2.3290999999999999</v>
      </c>
      <c r="FZ41">
        <v>1.50146</v>
      </c>
      <c r="GA41">
        <v>2.3938000000000001</v>
      </c>
      <c r="GB41">
        <v>33.941299999999998</v>
      </c>
      <c r="GC41">
        <v>23.921099999999999</v>
      </c>
      <c r="GD41">
        <v>19</v>
      </c>
      <c r="GE41">
        <v>286.41899999999998</v>
      </c>
      <c r="GF41">
        <v>599.08199999999999</v>
      </c>
      <c r="GG41">
        <v>23.308599999999998</v>
      </c>
      <c r="GH41">
        <v>26.608000000000001</v>
      </c>
      <c r="GI41">
        <v>30.003599999999999</v>
      </c>
      <c r="GJ41">
        <v>26.626999999999999</v>
      </c>
      <c r="GK41">
        <v>26.556899999999999</v>
      </c>
      <c r="GL41">
        <v>35.838000000000001</v>
      </c>
      <c r="GM41">
        <v>26.938300000000002</v>
      </c>
      <c r="GN41">
        <v>100</v>
      </c>
      <c r="GO41">
        <v>24.163499999999999</v>
      </c>
      <c r="GP41">
        <v>800</v>
      </c>
      <c r="GQ41">
        <v>19.207000000000001</v>
      </c>
      <c r="GR41">
        <v>99.713499999999996</v>
      </c>
      <c r="GS41">
        <v>99.558300000000003</v>
      </c>
    </row>
    <row r="42" spans="1:201" x14ac:dyDescent="0.25">
      <c r="A42">
        <v>26</v>
      </c>
      <c r="B42">
        <v>1690229944.5999999</v>
      </c>
      <c r="C42">
        <v>439.5</v>
      </c>
      <c r="D42" t="s">
        <v>385</v>
      </c>
      <c r="E42" t="s">
        <v>386</v>
      </c>
      <c r="F42" t="s">
        <v>330</v>
      </c>
      <c r="H42">
        <v>1690229944.5999999</v>
      </c>
      <c r="I42">
        <f t="shared" si="0"/>
        <v>6.5417397751574031E-4</v>
      </c>
      <c r="J42">
        <f t="shared" si="1"/>
        <v>0.65417397751574036</v>
      </c>
      <c r="K42">
        <f t="shared" si="2"/>
        <v>0.11004187436702514</v>
      </c>
      <c r="L42">
        <f t="shared" si="3"/>
        <v>794.11199999999997</v>
      </c>
      <c r="M42">
        <f t="shared" si="4"/>
        <v>774.28906467743377</v>
      </c>
      <c r="N42">
        <f t="shared" si="5"/>
        <v>76.780497912329309</v>
      </c>
      <c r="O42">
        <f t="shared" si="6"/>
        <v>78.746191234867197</v>
      </c>
      <c r="P42">
        <f t="shared" si="7"/>
        <v>5.0845267063070923E-2</v>
      </c>
      <c r="Q42">
        <f t="shared" si="8"/>
        <v>2.1841006392582796</v>
      </c>
      <c r="R42">
        <f t="shared" si="9"/>
        <v>5.0196728471691869E-2</v>
      </c>
      <c r="S42">
        <f t="shared" si="10"/>
        <v>3.1430534662933426E-2</v>
      </c>
      <c r="T42">
        <f t="shared" si="11"/>
        <v>276.11493006364424</v>
      </c>
      <c r="U42">
        <f t="shared" si="12"/>
        <v>27.88685847732966</v>
      </c>
      <c r="V42">
        <f t="shared" si="13"/>
        <v>27.88685847732966</v>
      </c>
      <c r="W42">
        <f t="shared" si="14"/>
        <v>3.7698817197639296</v>
      </c>
      <c r="X42">
        <f t="shared" si="15"/>
        <v>74.755065098977951</v>
      </c>
      <c r="Y42">
        <f t="shared" si="16"/>
        <v>2.5185509276039197</v>
      </c>
      <c r="Z42">
        <f t="shared" si="17"/>
        <v>3.3690706098232708</v>
      </c>
      <c r="AA42">
        <f t="shared" si="18"/>
        <v>1.2513307921600099</v>
      </c>
      <c r="AB42">
        <f t="shared" si="19"/>
        <v>-28.849072408444147</v>
      </c>
      <c r="AC42">
        <f t="shared" si="20"/>
        <v>-225.23761981266495</v>
      </c>
      <c r="AD42">
        <f t="shared" si="21"/>
        <v>-22.240548540394595</v>
      </c>
      <c r="AE42">
        <f t="shared" si="22"/>
        <v>-0.21231069785946488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52794.117728242934</v>
      </c>
      <c r="AK42">
        <f t="shared" si="26"/>
        <v>1799.99</v>
      </c>
      <c r="AL42">
        <f t="shared" si="27"/>
        <v>1499.1049729927699</v>
      </c>
      <c r="AM42">
        <f t="shared" si="28"/>
        <v>0.832840723</v>
      </c>
      <c r="AN42">
        <f t="shared" si="29"/>
        <v>0.15339803558000001</v>
      </c>
      <c r="AO42">
        <v>31.5</v>
      </c>
      <c r="AP42">
        <v>0.5</v>
      </c>
      <c r="AQ42" t="s">
        <v>331</v>
      </c>
      <c r="AR42">
        <v>2</v>
      </c>
      <c r="AS42">
        <v>1690229944.5999999</v>
      </c>
      <c r="AT42">
        <v>794.11199999999997</v>
      </c>
      <c r="AU42">
        <v>800.721</v>
      </c>
      <c r="AV42">
        <v>25.398199999999999</v>
      </c>
      <c r="AW42">
        <v>18.704899999999999</v>
      </c>
      <c r="AX42">
        <v>794.31500000000005</v>
      </c>
      <c r="AY42">
        <v>25.2195</v>
      </c>
      <c r="AZ42">
        <v>300.048</v>
      </c>
      <c r="BA42">
        <v>99.062799999999996</v>
      </c>
      <c r="BB42">
        <v>9.9775600000000006E-2</v>
      </c>
      <c r="BC42">
        <v>25.974</v>
      </c>
      <c r="BD42">
        <v>27.364000000000001</v>
      </c>
      <c r="BE42">
        <v>27.671900000000001</v>
      </c>
      <c r="BF42">
        <v>0</v>
      </c>
      <c r="BG42">
        <v>0</v>
      </c>
      <c r="BH42">
        <v>10046.200000000001</v>
      </c>
      <c r="BI42">
        <v>1061.97</v>
      </c>
      <c r="BJ42">
        <v>1.4577199999999999</v>
      </c>
      <c r="BK42">
        <v>-6.6080899999999998</v>
      </c>
      <c r="BL42">
        <v>814.80700000000002</v>
      </c>
      <c r="BM42">
        <v>815.98299999999995</v>
      </c>
      <c r="BN42">
        <v>6.6932799999999997</v>
      </c>
      <c r="BO42">
        <v>800.721</v>
      </c>
      <c r="BP42">
        <v>18.704899999999999</v>
      </c>
      <c r="BQ42">
        <v>2.5160100000000001</v>
      </c>
      <c r="BR42">
        <v>1.8529599999999999</v>
      </c>
      <c r="BS42">
        <v>21.130500000000001</v>
      </c>
      <c r="BT42">
        <v>16.2408</v>
      </c>
      <c r="BU42">
        <v>1799.99</v>
      </c>
      <c r="BV42">
        <v>0.90999799999999997</v>
      </c>
      <c r="BW42">
        <v>3.40033E-2</v>
      </c>
      <c r="BX42">
        <v>2.2008900000000001E-2</v>
      </c>
      <c r="BY42">
        <v>3.3989800000000001E-2</v>
      </c>
      <c r="BZ42">
        <v>26</v>
      </c>
      <c r="CA42">
        <v>33528.1</v>
      </c>
      <c r="CB42">
        <v>1690229084.0999999</v>
      </c>
      <c r="CC42" t="s">
        <v>332</v>
      </c>
      <c r="CD42">
        <v>1690229084.0999999</v>
      </c>
      <c r="CE42">
        <v>1690229076.5999999</v>
      </c>
      <c r="CF42">
        <v>13</v>
      </c>
      <c r="CG42">
        <v>0.23300000000000001</v>
      </c>
      <c r="CH42">
        <v>-0.13100000000000001</v>
      </c>
      <c r="CI42">
        <v>-0.20599999999999999</v>
      </c>
      <c r="CJ42">
        <v>8.7999999999999995E-2</v>
      </c>
      <c r="CK42">
        <v>799</v>
      </c>
      <c r="CL42">
        <v>16</v>
      </c>
      <c r="CM42">
        <v>0.04</v>
      </c>
      <c r="CN42">
        <v>0.04</v>
      </c>
      <c r="CO42">
        <v>-4.7076804878048781</v>
      </c>
      <c r="CP42">
        <v>-9.4185516376306566</v>
      </c>
      <c r="CQ42">
        <v>0.94625612724878028</v>
      </c>
      <c r="CR42">
        <v>-1</v>
      </c>
      <c r="CS42">
        <v>3.4369031707317079</v>
      </c>
      <c r="CT42">
        <v>14.28541254355401</v>
      </c>
      <c r="CU42">
        <v>1.4570371285314641</v>
      </c>
      <c r="CV42">
        <v>-1</v>
      </c>
      <c r="CW42">
        <v>0</v>
      </c>
      <c r="CX42">
        <v>0</v>
      </c>
      <c r="CY42" t="s">
        <v>333</v>
      </c>
      <c r="CZ42">
        <v>2.3636300000000001</v>
      </c>
      <c r="DA42">
        <v>2.7136100000000001</v>
      </c>
      <c r="DB42">
        <v>0.14596500000000001</v>
      </c>
      <c r="DC42">
        <v>0.14633599999999999</v>
      </c>
      <c r="DD42">
        <v>0.118462</v>
      </c>
      <c r="DE42">
        <v>9.4032099999999993E-2</v>
      </c>
      <c r="DF42">
        <v>31174.5</v>
      </c>
      <c r="DG42">
        <v>27505</v>
      </c>
      <c r="DH42">
        <v>31163.3</v>
      </c>
      <c r="DI42">
        <v>28076</v>
      </c>
      <c r="DJ42">
        <v>37295.9</v>
      </c>
      <c r="DK42">
        <v>36171.9</v>
      </c>
      <c r="DL42">
        <v>44348.6</v>
      </c>
      <c r="DM42">
        <v>42558.9</v>
      </c>
      <c r="DN42">
        <v>1.4742299999999999</v>
      </c>
      <c r="DO42">
        <v>2.0506000000000002</v>
      </c>
      <c r="DP42">
        <v>0.126891</v>
      </c>
      <c r="DQ42">
        <v>0.16558899999999999</v>
      </c>
      <c r="DR42">
        <v>25.2866</v>
      </c>
      <c r="DS42">
        <v>24.960899999999999</v>
      </c>
      <c r="DT42">
        <v>56.7</v>
      </c>
      <c r="DU42">
        <v>29.2</v>
      </c>
      <c r="DV42">
        <v>23.2866</v>
      </c>
      <c r="DW42">
        <v>61.939799999999998</v>
      </c>
      <c r="DX42">
        <v>36.426299999999998</v>
      </c>
      <c r="DY42">
        <v>1</v>
      </c>
      <c r="DZ42">
        <v>-5.8793199999999997E-2</v>
      </c>
      <c r="EA42">
        <v>1.27386</v>
      </c>
      <c r="EB42">
        <v>20.1767</v>
      </c>
      <c r="EC42">
        <v>5.2401999999999997</v>
      </c>
      <c r="ED42">
        <v>12.039899999999999</v>
      </c>
      <c r="EE42">
        <v>5.01675</v>
      </c>
      <c r="EF42">
        <v>3.2879499999999999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1.8691899999999999</v>
      </c>
      <c r="EN42">
        <v>1.86724</v>
      </c>
      <c r="EO42">
        <v>1.8633999999999999</v>
      </c>
      <c r="EP42">
        <v>1.8644799999999999</v>
      </c>
      <c r="EQ42">
        <v>1.8701700000000001</v>
      </c>
      <c r="ER42">
        <v>1.8694500000000001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-0.20300000000000001</v>
      </c>
      <c r="FG42">
        <v>0.1787</v>
      </c>
      <c r="FH42">
        <v>0.3448811944559278</v>
      </c>
      <c r="FI42">
        <v>-6.1462078757559423E-4</v>
      </c>
      <c r="FJ42">
        <v>-1.8861989874597051E-7</v>
      </c>
      <c r="FK42">
        <v>1.1980462299894961E-10</v>
      </c>
      <c r="FL42">
        <v>0.17862261546663211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14.3</v>
      </c>
      <c r="FU42">
        <v>14.5</v>
      </c>
      <c r="FV42">
        <v>1.78955</v>
      </c>
      <c r="FW42">
        <v>2.5866699999999998</v>
      </c>
      <c r="FX42">
        <v>1.5490699999999999</v>
      </c>
      <c r="FY42">
        <v>2.3290999999999999</v>
      </c>
      <c r="FZ42">
        <v>1.50146</v>
      </c>
      <c r="GA42">
        <v>2.2656200000000002</v>
      </c>
      <c r="GB42">
        <v>33.941299999999998</v>
      </c>
      <c r="GC42">
        <v>23.9649</v>
      </c>
      <c r="GD42">
        <v>19</v>
      </c>
      <c r="GE42">
        <v>283.375</v>
      </c>
      <c r="GF42">
        <v>597.50900000000001</v>
      </c>
      <c r="GG42">
        <v>25.299199999999999</v>
      </c>
      <c r="GH42">
        <v>26.610199999999999</v>
      </c>
      <c r="GI42">
        <v>29.994900000000001</v>
      </c>
      <c r="GJ42">
        <v>26.654900000000001</v>
      </c>
      <c r="GK42">
        <v>26.555800000000001</v>
      </c>
      <c r="GL42">
        <v>35.782499999999999</v>
      </c>
      <c r="GM42">
        <v>33.309899999999999</v>
      </c>
      <c r="GN42">
        <v>99.603399999999993</v>
      </c>
      <c r="GO42">
        <v>23.654699999999998</v>
      </c>
      <c r="GP42">
        <v>800</v>
      </c>
      <c r="GQ42">
        <v>17.840299999999999</v>
      </c>
      <c r="GR42">
        <v>99.709699999999998</v>
      </c>
      <c r="GS42">
        <v>99.555099999999996</v>
      </c>
    </row>
    <row r="43" spans="1:201" x14ac:dyDescent="0.25">
      <c r="A43">
        <v>27</v>
      </c>
      <c r="B43">
        <v>1690229954.5999999</v>
      </c>
      <c r="C43">
        <v>449.5</v>
      </c>
      <c r="D43" t="s">
        <v>387</v>
      </c>
      <c r="E43" t="s">
        <v>388</v>
      </c>
      <c r="F43" t="s">
        <v>330</v>
      </c>
      <c r="H43">
        <v>1690229954.5999999</v>
      </c>
      <c r="I43">
        <f t="shared" si="0"/>
        <v>7.8476774576570355E-4</v>
      </c>
      <c r="J43">
        <f t="shared" si="1"/>
        <v>0.78476774576570352</v>
      </c>
      <c r="K43">
        <f t="shared" si="2"/>
        <v>3.7135463170814974E-2</v>
      </c>
      <c r="L43">
        <f t="shared" si="3"/>
        <v>793.35199999999998</v>
      </c>
      <c r="M43">
        <f t="shared" si="4"/>
        <v>776.11465365042545</v>
      </c>
      <c r="N43">
        <f t="shared" si="5"/>
        <v>76.960998163404071</v>
      </c>
      <c r="O43">
        <f t="shared" si="6"/>
        <v>78.670286056000791</v>
      </c>
      <c r="P43">
        <f t="shared" si="7"/>
        <v>6.142332994175953E-2</v>
      </c>
      <c r="Q43">
        <f t="shared" si="8"/>
        <v>2.1742429598191828</v>
      </c>
      <c r="R43">
        <f t="shared" si="9"/>
        <v>6.0475364700173694E-2</v>
      </c>
      <c r="S43">
        <f t="shared" si="10"/>
        <v>3.7881055114192631E-2</v>
      </c>
      <c r="T43">
        <f t="shared" si="11"/>
        <v>276.11493326762644</v>
      </c>
      <c r="U43">
        <f t="shared" si="12"/>
        <v>27.96302740809379</v>
      </c>
      <c r="V43">
        <f t="shared" si="13"/>
        <v>27.96302740809379</v>
      </c>
      <c r="W43">
        <f t="shared" si="14"/>
        <v>3.7866680627896128</v>
      </c>
      <c r="X43">
        <f t="shared" si="15"/>
        <v>74.916054519708624</v>
      </c>
      <c r="Y43">
        <f t="shared" si="16"/>
        <v>2.5409342598588895</v>
      </c>
      <c r="Z43">
        <f t="shared" si="17"/>
        <v>3.3917085945715821</v>
      </c>
      <c r="AA43">
        <f t="shared" si="18"/>
        <v>1.2457338029307232</v>
      </c>
      <c r="AB43">
        <f t="shared" si="19"/>
        <v>-34.608257588267527</v>
      </c>
      <c r="AC43">
        <f t="shared" si="20"/>
        <v>-219.88033653856689</v>
      </c>
      <c r="AD43">
        <f t="shared" si="21"/>
        <v>-21.830646613723619</v>
      </c>
      <c r="AE43">
        <f t="shared" si="22"/>
        <v>-0.20430747293158902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52364.580852379353</v>
      </c>
      <c r="AK43">
        <f t="shared" si="26"/>
        <v>1799.99</v>
      </c>
      <c r="AL43">
        <f t="shared" si="27"/>
        <v>1499.1016664111398</v>
      </c>
      <c r="AM43">
        <f t="shared" si="28"/>
        <v>0.83283888599999989</v>
      </c>
      <c r="AN43">
        <f t="shared" si="29"/>
        <v>0.15339803736000002</v>
      </c>
      <c r="AO43">
        <v>31.5</v>
      </c>
      <c r="AP43">
        <v>0.5</v>
      </c>
      <c r="AQ43" t="s">
        <v>331</v>
      </c>
      <c r="AR43">
        <v>2</v>
      </c>
      <c r="AS43">
        <v>1690229954.5999999</v>
      </c>
      <c r="AT43">
        <v>793.35199999999998</v>
      </c>
      <c r="AU43">
        <v>800.274</v>
      </c>
      <c r="AV43">
        <v>25.624099999999999</v>
      </c>
      <c r="AW43">
        <v>17.601199999999999</v>
      </c>
      <c r="AX43">
        <v>793.55399999999997</v>
      </c>
      <c r="AY43">
        <v>25.445499999999999</v>
      </c>
      <c r="AZ43">
        <v>300.22500000000002</v>
      </c>
      <c r="BA43">
        <v>99.061999999999998</v>
      </c>
      <c r="BB43">
        <v>9.9892900000000007E-2</v>
      </c>
      <c r="BC43">
        <v>26.087199999999999</v>
      </c>
      <c r="BD43">
        <v>27.6083</v>
      </c>
      <c r="BE43">
        <v>27.916499999999999</v>
      </c>
      <c r="BF43">
        <v>0</v>
      </c>
      <c r="BG43">
        <v>0</v>
      </c>
      <c r="BH43">
        <v>9965</v>
      </c>
      <c r="BI43">
        <v>1062.5</v>
      </c>
      <c r="BJ43">
        <v>1.4437</v>
      </c>
      <c r="BK43">
        <v>-6.92218</v>
      </c>
      <c r="BL43">
        <v>814.21600000000001</v>
      </c>
      <c r="BM43">
        <v>814.61199999999997</v>
      </c>
      <c r="BN43">
        <v>8.0229300000000006</v>
      </c>
      <c r="BO43">
        <v>800.274</v>
      </c>
      <c r="BP43">
        <v>17.601199999999999</v>
      </c>
      <c r="BQ43">
        <v>2.5383800000000001</v>
      </c>
      <c r="BR43">
        <v>1.7436100000000001</v>
      </c>
      <c r="BS43">
        <v>21.274699999999999</v>
      </c>
      <c r="BT43">
        <v>15.2902</v>
      </c>
      <c r="BU43">
        <v>1799.99</v>
      </c>
      <c r="BV43">
        <v>0.90997899999999998</v>
      </c>
      <c r="BW43">
        <v>3.4000200000000001E-2</v>
      </c>
      <c r="BX43">
        <v>2.2007800000000001E-2</v>
      </c>
      <c r="BY43">
        <v>3.4012800000000003E-2</v>
      </c>
      <c r="BZ43">
        <v>26</v>
      </c>
      <c r="CA43">
        <v>33528</v>
      </c>
      <c r="CB43">
        <v>1690229084.0999999</v>
      </c>
      <c r="CC43" t="s">
        <v>332</v>
      </c>
      <c r="CD43">
        <v>1690229084.0999999</v>
      </c>
      <c r="CE43">
        <v>1690229076.5999999</v>
      </c>
      <c r="CF43">
        <v>13</v>
      </c>
      <c r="CG43">
        <v>0.23300000000000001</v>
      </c>
      <c r="CH43">
        <v>-0.13100000000000001</v>
      </c>
      <c r="CI43">
        <v>-0.20599999999999999</v>
      </c>
      <c r="CJ43">
        <v>8.7999999999999995E-2</v>
      </c>
      <c r="CK43">
        <v>799</v>
      </c>
      <c r="CL43">
        <v>16</v>
      </c>
      <c r="CM43">
        <v>0.04</v>
      </c>
      <c r="CN43">
        <v>0.04</v>
      </c>
      <c r="CO43">
        <v>-6.1714019999999996</v>
      </c>
      <c r="CP43">
        <v>-8.0159840150093711</v>
      </c>
      <c r="CQ43">
        <v>0.79784798563761505</v>
      </c>
      <c r="CR43">
        <v>-1</v>
      </c>
      <c r="CS43">
        <v>6.0180872499999998</v>
      </c>
      <c r="CT43">
        <v>16.967555459662279</v>
      </c>
      <c r="CU43">
        <v>1.6532869651621089</v>
      </c>
      <c r="CV43">
        <v>-1</v>
      </c>
      <c r="CW43">
        <v>0</v>
      </c>
      <c r="CX43">
        <v>0</v>
      </c>
      <c r="CY43" t="s">
        <v>333</v>
      </c>
      <c r="CZ43">
        <v>2.36422</v>
      </c>
      <c r="DA43">
        <v>2.7136499999999999</v>
      </c>
      <c r="DB43">
        <v>0.14587800000000001</v>
      </c>
      <c r="DC43">
        <v>0.146259</v>
      </c>
      <c r="DD43">
        <v>0.119202</v>
      </c>
      <c r="DE43">
        <v>9.0019199999999994E-2</v>
      </c>
      <c r="DF43">
        <v>31178.7</v>
      </c>
      <c r="DG43">
        <v>27509.200000000001</v>
      </c>
      <c r="DH43">
        <v>31164.3</v>
      </c>
      <c r="DI43">
        <v>28077.8</v>
      </c>
      <c r="DJ43">
        <v>37265</v>
      </c>
      <c r="DK43">
        <v>36335</v>
      </c>
      <c r="DL43">
        <v>44349.599999999999</v>
      </c>
      <c r="DM43">
        <v>42561.9</v>
      </c>
      <c r="DN43">
        <v>1.4705299999999999</v>
      </c>
      <c r="DO43">
        <v>2.0497700000000001</v>
      </c>
      <c r="DP43">
        <v>0.14260800000000001</v>
      </c>
      <c r="DQ43">
        <v>0.17997199999999999</v>
      </c>
      <c r="DR43">
        <v>25.273900000000001</v>
      </c>
      <c r="DS43">
        <v>24.970500000000001</v>
      </c>
      <c r="DT43">
        <v>56.7</v>
      </c>
      <c r="DU43">
        <v>29.2</v>
      </c>
      <c r="DV43">
        <v>23.284400000000002</v>
      </c>
      <c r="DW43">
        <v>61.659799999999997</v>
      </c>
      <c r="DX43">
        <v>35.560899999999997</v>
      </c>
      <c r="DY43">
        <v>1</v>
      </c>
      <c r="DZ43">
        <v>-5.27795E-2</v>
      </c>
      <c r="EA43">
        <v>5.2187900000000003</v>
      </c>
      <c r="EB43">
        <v>20.0809</v>
      </c>
      <c r="EC43">
        <v>5.2400500000000001</v>
      </c>
      <c r="ED43">
        <v>12.039899999999999</v>
      </c>
      <c r="EE43">
        <v>5.01715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1.8672200000000001</v>
      </c>
      <c r="EO43">
        <v>1.8633999999999999</v>
      </c>
      <c r="EP43">
        <v>1.86449</v>
      </c>
      <c r="EQ43">
        <v>1.8701700000000001</v>
      </c>
      <c r="ER43">
        <v>1.86944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-0.20200000000000001</v>
      </c>
      <c r="FG43">
        <v>0.17860000000000001</v>
      </c>
      <c r="FH43">
        <v>0.3448811944559278</v>
      </c>
      <c r="FI43">
        <v>-6.1462078757559423E-4</v>
      </c>
      <c r="FJ43">
        <v>-1.8861989874597051E-7</v>
      </c>
      <c r="FK43">
        <v>1.1980462299894961E-10</v>
      </c>
      <c r="FL43">
        <v>0.17862261546663211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14.5</v>
      </c>
      <c r="FU43">
        <v>14.6</v>
      </c>
      <c r="FV43">
        <v>1.78833</v>
      </c>
      <c r="FW43">
        <v>2.5854499999999998</v>
      </c>
      <c r="FX43">
        <v>1.5490699999999999</v>
      </c>
      <c r="FY43">
        <v>2.3290999999999999</v>
      </c>
      <c r="FZ43">
        <v>1.50146</v>
      </c>
      <c r="GA43">
        <v>2.4072300000000002</v>
      </c>
      <c r="GB43">
        <v>33.941299999999998</v>
      </c>
      <c r="GC43">
        <v>23.9649</v>
      </c>
      <c r="GD43">
        <v>19</v>
      </c>
      <c r="GE43">
        <v>281.77</v>
      </c>
      <c r="GF43">
        <v>596.85900000000004</v>
      </c>
      <c r="GG43">
        <v>23.3508</v>
      </c>
      <c r="GH43">
        <v>26.610199999999999</v>
      </c>
      <c r="GI43">
        <v>30.002800000000001</v>
      </c>
      <c r="GJ43">
        <v>26.649100000000001</v>
      </c>
      <c r="GK43">
        <v>26.559699999999999</v>
      </c>
      <c r="GL43">
        <v>35.752699999999997</v>
      </c>
      <c r="GM43">
        <v>35.154899999999998</v>
      </c>
      <c r="GN43">
        <v>99.603399999999993</v>
      </c>
      <c r="GO43">
        <v>22.872800000000002</v>
      </c>
      <c r="GP43">
        <v>800</v>
      </c>
      <c r="GQ43">
        <v>17.398900000000001</v>
      </c>
      <c r="GR43">
        <v>99.712299999999999</v>
      </c>
      <c r="GS43">
        <v>99.561800000000005</v>
      </c>
    </row>
    <row r="44" spans="1:201" x14ac:dyDescent="0.25">
      <c r="A44">
        <v>28</v>
      </c>
      <c r="B44">
        <v>1690229964.5999999</v>
      </c>
      <c r="C44">
        <v>459.5</v>
      </c>
      <c r="D44" t="s">
        <v>389</v>
      </c>
      <c r="E44" t="s">
        <v>390</v>
      </c>
      <c r="F44" t="s">
        <v>330</v>
      </c>
      <c r="H44">
        <v>1690229964.5999999</v>
      </c>
      <c r="I44">
        <f t="shared" si="0"/>
        <v>6.4455592388613643E-4</v>
      </c>
      <c r="J44">
        <f t="shared" si="1"/>
        <v>0.64455592388613647</v>
      </c>
      <c r="K44">
        <f t="shared" si="2"/>
        <v>7.3279574203843692E-2</v>
      </c>
      <c r="L44">
        <f t="shared" si="3"/>
        <v>793.721</v>
      </c>
      <c r="M44">
        <f t="shared" si="4"/>
        <v>773.14017044685602</v>
      </c>
      <c r="N44">
        <f t="shared" si="5"/>
        <v>76.667115665153418</v>
      </c>
      <c r="O44">
        <f t="shared" si="6"/>
        <v>78.707978241112599</v>
      </c>
      <c r="P44">
        <f t="shared" si="7"/>
        <v>4.5399186754672943E-2</v>
      </c>
      <c r="Q44">
        <f t="shared" si="8"/>
        <v>2.1791188727239916</v>
      </c>
      <c r="R44">
        <f t="shared" si="9"/>
        <v>4.4880206462125684E-2</v>
      </c>
      <c r="S44">
        <f t="shared" si="10"/>
        <v>2.8096262950433659E-2</v>
      </c>
      <c r="T44">
        <f t="shared" si="11"/>
        <v>276.11475044264216</v>
      </c>
      <c r="U44">
        <f t="shared" si="12"/>
        <v>27.889935093239423</v>
      </c>
      <c r="V44">
        <f t="shared" si="13"/>
        <v>27.889935093239423</v>
      </c>
      <c r="W44">
        <f t="shared" si="14"/>
        <v>3.7705584934019818</v>
      </c>
      <c r="X44">
        <f t="shared" si="15"/>
        <v>70.976326110673298</v>
      </c>
      <c r="Y44">
        <f t="shared" si="16"/>
        <v>2.3906482013609196</v>
      </c>
      <c r="Z44">
        <f t="shared" si="17"/>
        <v>3.3682332298141002</v>
      </c>
      <c r="AA44">
        <f t="shared" si="18"/>
        <v>1.3799102920410622</v>
      </c>
      <c r="AB44">
        <f t="shared" si="19"/>
        <v>-28.424916243378618</v>
      </c>
      <c r="AC44">
        <f t="shared" si="20"/>
        <v>-225.57873164176667</v>
      </c>
      <c r="AD44">
        <f t="shared" si="21"/>
        <v>-22.325029079856471</v>
      </c>
      <c r="AE44">
        <f t="shared" si="22"/>
        <v>-0.21392652235959986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52587.575283196224</v>
      </c>
      <c r="AK44">
        <f t="shared" si="26"/>
        <v>1799.99</v>
      </c>
      <c r="AL44">
        <f t="shared" si="27"/>
        <v>1499.1038947987597</v>
      </c>
      <c r="AM44">
        <f t="shared" si="28"/>
        <v>0.83284012399999985</v>
      </c>
      <c r="AN44">
        <f t="shared" si="29"/>
        <v>0.15339793579000002</v>
      </c>
      <c r="AO44">
        <v>31.5</v>
      </c>
      <c r="AP44">
        <v>0.5</v>
      </c>
      <c r="AQ44" t="s">
        <v>331</v>
      </c>
      <c r="AR44">
        <v>2</v>
      </c>
      <c r="AS44">
        <v>1690229964.5999999</v>
      </c>
      <c r="AT44">
        <v>793.721</v>
      </c>
      <c r="AU44">
        <v>799.86</v>
      </c>
      <c r="AV44">
        <v>24.1082</v>
      </c>
      <c r="AW44">
        <v>17.5059</v>
      </c>
      <c r="AX44">
        <v>793.923</v>
      </c>
      <c r="AY44">
        <v>23.929500000000001</v>
      </c>
      <c r="AZ44">
        <v>300.108</v>
      </c>
      <c r="BA44">
        <v>99.063299999999998</v>
      </c>
      <c r="BB44">
        <v>9.9980600000000003E-2</v>
      </c>
      <c r="BC44">
        <v>25.969799999999999</v>
      </c>
      <c r="BD44">
        <v>27.517099999999999</v>
      </c>
      <c r="BE44">
        <v>27.871200000000002</v>
      </c>
      <c r="BF44">
        <v>0</v>
      </c>
      <c r="BG44">
        <v>0</v>
      </c>
      <c r="BH44">
        <v>10005</v>
      </c>
      <c r="BI44">
        <v>1062.56</v>
      </c>
      <c r="BJ44">
        <v>1.4577199999999999</v>
      </c>
      <c r="BK44">
        <v>-6.1393399999999998</v>
      </c>
      <c r="BL44">
        <v>813.32899999999995</v>
      </c>
      <c r="BM44">
        <v>814.11199999999997</v>
      </c>
      <c r="BN44">
        <v>6.6023100000000001</v>
      </c>
      <c r="BO44">
        <v>799.86</v>
      </c>
      <c r="BP44">
        <v>17.5059</v>
      </c>
      <c r="BQ44">
        <v>2.3882300000000001</v>
      </c>
      <c r="BR44">
        <v>1.7341899999999999</v>
      </c>
      <c r="BS44">
        <v>20.284199999999998</v>
      </c>
      <c r="BT44">
        <v>15.2059</v>
      </c>
      <c r="BU44">
        <v>1799.99</v>
      </c>
      <c r="BV44">
        <v>0.90998800000000002</v>
      </c>
      <c r="BW44">
        <v>3.3997100000000002E-2</v>
      </c>
      <c r="BX44">
        <v>2.20057E-2</v>
      </c>
      <c r="BY44">
        <v>3.4009699999999997E-2</v>
      </c>
      <c r="BZ44">
        <v>26</v>
      </c>
      <c r="CA44">
        <v>33528</v>
      </c>
      <c r="CB44">
        <v>1690229084.0999999</v>
      </c>
      <c r="CC44" t="s">
        <v>332</v>
      </c>
      <c r="CD44">
        <v>1690229084.0999999</v>
      </c>
      <c r="CE44">
        <v>1690229076.5999999</v>
      </c>
      <c r="CF44">
        <v>13</v>
      </c>
      <c r="CG44">
        <v>0.23300000000000001</v>
      </c>
      <c r="CH44">
        <v>-0.13100000000000001</v>
      </c>
      <c r="CI44">
        <v>-0.20599999999999999</v>
      </c>
      <c r="CJ44">
        <v>8.7999999999999995E-2</v>
      </c>
      <c r="CK44">
        <v>799</v>
      </c>
      <c r="CL44">
        <v>16</v>
      </c>
      <c r="CM44">
        <v>0.04</v>
      </c>
      <c r="CN44">
        <v>0.04</v>
      </c>
      <c r="CO44">
        <v>-6.77265725</v>
      </c>
      <c r="CP44">
        <v>0.84976243902439608</v>
      </c>
      <c r="CQ44">
        <v>0.19362696631651671</v>
      </c>
      <c r="CR44">
        <v>-1</v>
      </c>
      <c r="CS44">
        <v>7.5314435</v>
      </c>
      <c r="CT44">
        <v>0.91450626641649313</v>
      </c>
      <c r="CU44">
        <v>0.46214647726965308</v>
      </c>
      <c r="CV44">
        <v>-1</v>
      </c>
      <c r="CW44">
        <v>0</v>
      </c>
      <c r="CX44">
        <v>0</v>
      </c>
      <c r="CY44" t="s">
        <v>333</v>
      </c>
      <c r="CZ44">
        <v>2.3638599999999999</v>
      </c>
      <c r="DA44">
        <v>2.7137699999999998</v>
      </c>
      <c r="DB44">
        <v>0.14590500000000001</v>
      </c>
      <c r="DC44">
        <v>0.146205</v>
      </c>
      <c r="DD44">
        <v>0.114207</v>
      </c>
      <c r="DE44">
        <v>8.9667399999999994E-2</v>
      </c>
      <c r="DF44">
        <v>31176.6</v>
      </c>
      <c r="DG44">
        <v>27508.799999999999</v>
      </c>
      <c r="DH44">
        <v>31163.3</v>
      </c>
      <c r="DI44">
        <v>28075.7</v>
      </c>
      <c r="DJ44">
        <v>37478</v>
      </c>
      <c r="DK44">
        <v>36346.6</v>
      </c>
      <c r="DL44">
        <v>44348.9</v>
      </c>
      <c r="DM44">
        <v>42559</v>
      </c>
      <c r="DN44">
        <v>1.4702</v>
      </c>
      <c r="DO44">
        <v>2.0497700000000001</v>
      </c>
      <c r="DP44">
        <v>0.13728399999999999</v>
      </c>
      <c r="DQ44">
        <v>0.17637</v>
      </c>
      <c r="DR44">
        <v>25.2697</v>
      </c>
      <c r="DS44">
        <v>24.984100000000002</v>
      </c>
      <c r="DT44">
        <v>56.7</v>
      </c>
      <c r="DU44">
        <v>29.2</v>
      </c>
      <c r="DV44">
        <v>23.286999999999999</v>
      </c>
      <c r="DW44">
        <v>62.369799999999998</v>
      </c>
      <c r="DX44">
        <v>35.933500000000002</v>
      </c>
      <c r="DY44">
        <v>1</v>
      </c>
      <c r="DZ44">
        <v>-4.9895799999999997E-2</v>
      </c>
      <c r="EA44">
        <v>5.1568899999999998</v>
      </c>
      <c r="EB44">
        <v>20.085999999999999</v>
      </c>
      <c r="EC44">
        <v>5.2398999999999996</v>
      </c>
      <c r="ED44">
        <v>12.039899999999999</v>
      </c>
      <c r="EE44">
        <v>5.0163000000000002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1.8692</v>
      </c>
      <c r="EN44">
        <v>1.8672299999999999</v>
      </c>
      <c r="EO44">
        <v>1.8633999999999999</v>
      </c>
      <c r="EP44">
        <v>1.86449</v>
      </c>
      <c r="EQ44">
        <v>1.87015</v>
      </c>
      <c r="ER44">
        <v>1.86944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-0.20200000000000001</v>
      </c>
      <c r="FG44">
        <v>0.1787</v>
      </c>
      <c r="FH44">
        <v>0.3448811944559278</v>
      </c>
      <c r="FI44">
        <v>-6.1462078757559423E-4</v>
      </c>
      <c r="FJ44">
        <v>-1.8861989874597051E-7</v>
      </c>
      <c r="FK44">
        <v>1.1980462299894961E-10</v>
      </c>
      <c r="FL44">
        <v>0.17862261546663211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14.7</v>
      </c>
      <c r="FU44">
        <v>14.8</v>
      </c>
      <c r="FV44">
        <v>1.78833</v>
      </c>
      <c r="FW44">
        <v>2.5927699999999998</v>
      </c>
      <c r="FX44">
        <v>1.5490699999999999</v>
      </c>
      <c r="FY44">
        <v>2.3290999999999999</v>
      </c>
      <c r="FZ44">
        <v>1.50024</v>
      </c>
      <c r="GA44">
        <v>2.2973599999999998</v>
      </c>
      <c r="GB44">
        <v>33.963900000000002</v>
      </c>
      <c r="GC44">
        <v>23.956199999999999</v>
      </c>
      <c r="GD44">
        <v>19</v>
      </c>
      <c r="GE44">
        <v>281.49900000000002</v>
      </c>
      <c r="GF44">
        <v>596.93600000000004</v>
      </c>
      <c r="GG44">
        <v>21.903199999999998</v>
      </c>
      <c r="GH44">
        <v>26.608000000000001</v>
      </c>
      <c r="GI44">
        <v>30.000900000000001</v>
      </c>
      <c r="GJ44">
        <v>26.6188</v>
      </c>
      <c r="GK44">
        <v>26.566400000000002</v>
      </c>
      <c r="GL44">
        <v>35.756500000000003</v>
      </c>
      <c r="GM44">
        <v>32.770699999999998</v>
      </c>
      <c r="GN44">
        <v>99.603399999999993</v>
      </c>
      <c r="GO44">
        <v>21.905100000000001</v>
      </c>
      <c r="GP44">
        <v>800</v>
      </c>
      <c r="GQ44">
        <v>18.101299999999998</v>
      </c>
      <c r="GR44">
        <v>99.71</v>
      </c>
      <c r="GS44">
        <v>99.554699999999997</v>
      </c>
    </row>
    <row r="45" spans="1:201" x14ac:dyDescent="0.25">
      <c r="A45">
        <v>29</v>
      </c>
      <c r="B45">
        <v>1690229974.5999999</v>
      </c>
      <c r="C45">
        <v>469.5</v>
      </c>
      <c r="D45" t="s">
        <v>391</v>
      </c>
      <c r="E45" t="s">
        <v>392</v>
      </c>
      <c r="F45" t="s">
        <v>330</v>
      </c>
      <c r="H45">
        <v>1690229974.5999999</v>
      </c>
      <c r="I45">
        <f t="shared" si="0"/>
        <v>4.5503424896924073E-4</v>
      </c>
      <c r="J45">
        <f t="shared" si="1"/>
        <v>0.45503424896924072</v>
      </c>
      <c r="K45">
        <f t="shared" si="2"/>
        <v>0.18904320354130771</v>
      </c>
      <c r="L45">
        <f t="shared" si="3"/>
        <v>793.94899999999996</v>
      </c>
      <c r="M45">
        <f t="shared" si="4"/>
        <v>764.39724711625536</v>
      </c>
      <c r="N45">
        <f t="shared" si="5"/>
        <v>75.800614466503376</v>
      </c>
      <c r="O45">
        <f t="shared" si="6"/>
        <v>78.731081622946988</v>
      </c>
      <c r="P45">
        <f t="shared" si="7"/>
        <v>2.9621854094238891E-2</v>
      </c>
      <c r="Q45">
        <f t="shared" si="8"/>
        <v>2.1765464795652463</v>
      </c>
      <c r="R45">
        <f t="shared" si="9"/>
        <v>2.9399700419322224E-2</v>
      </c>
      <c r="S45">
        <f t="shared" si="10"/>
        <v>1.8394633400430533E-2</v>
      </c>
      <c r="T45">
        <f t="shared" si="11"/>
        <v>276.11416206191086</v>
      </c>
      <c r="U45">
        <f t="shared" si="12"/>
        <v>27.813814011991717</v>
      </c>
      <c r="V45">
        <f t="shared" si="13"/>
        <v>27.813814011991717</v>
      </c>
      <c r="W45">
        <f t="shared" si="14"/>
        <v>3.7538449794104731</v>
      </c>
      <c r="X45">
        <f t="shared" si="15"/>
        <v>67.837504782511431</v>
      </c>
      <c r="Y45">
        <f t="shared" si="16"/>
        <v>2.2656175246216002</v>
      </c>
      <c r="Z45">
        <f t="shared" si="17"/>
        <v>3.3397713136490217</v>
      </c>
      <c r="AA45">
        <f t="shared" si="18"/>
        <v>1.488227454788873</v>
      </c>
      <c r="AB45">
        <f t="shared" si="19"/>
        <v>-20.067010379543515</v>
      </c>
      <c r="AC45">
        <f t="shared" si="20"/>
        <v>-233.19534874006791</v>
      </c>
      <c r="AD45">
        <f t="shared" si="21"/>
        <v>-23.080775551743493</v>
      </c>
      <c r="AE45">
        <f t="shared" si="22"/>
        <v>-0.22897260944407094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52505.912537759825</v>
      </c>
      <c r="AK45">
        <f t="shared" si="26"/>
        <v>1799.99</v>
      </c>
      <c r="AL45">
        <f t="shared" si="27"/>
        <v>1499.1036733999899</v>
      </c>
      <c r="AM45">
        <f t="shared" si="28"/>
        <v>0.832840001</v>
      </c>
      <c r="AN45">
        <f t="shared" si="29"/>
        <v>0.15339760890999998</v>
      </c>
      <c r="AO45">
        <v>31.5</v>
      </c>
      <c r="AP45">
        <v>0.5</v>
      </c>
      <c r="AQ45" t="s">
        <v>331</v>
      </c>
      <c r="AR45">
        <v>2</v>
      </c>
      <c r="AS45">
        <v>1690229974.5999999</v>
      </c>
      <c r="AT45">
        <v>793.94899999999996</v>
      </c>
      <c r="AU45">
        <v>799.72299999999996</v>
      </c>
      <c r="AV45">
        <v>22.847200000000001</v>
      </c>
      <c r="AW45">
        <v>18.181999999999999</v>
      </c>
      <c r="AX45">
        <v>794.15099999999995</v>
      </c>
      <c r="AY45">
        <v>22.668600000000001</v>
      </c>
      <c r="AZ45">
        <v>300.22500000000002</v>
      </c>
      <c r="BA45">
        <v>99.063900000000004</v>
      </c>
      <c r="BB45">
        <v>0.10000299999999999</v>
      </c>
      <c r="BC45">
        <v>25.826499999999999</v>
      </c>
      <c r="BD45">
        <v>27.396100000000001</v>
      </c>
      <c r="BE45">
        <v>27.730899999999998</v>
      </c>
      <c r="BF45">
        <v>0</v>
      </c>
      <c r="BG45">
        <v>0</v>
      </c>
      <c r="BH45">
        <v>9983.75</v>
      </c>
      <c r="BI45">
        <v>1062.32</v>
      </c>
      <c r="BJ45">
        <v>1.4577199999999999</v>
      </c>
      <c r="BK45">
        <v>-5.7747200000000003</v>
      </c>
      <c r="BL45">
        <v>812.51199999999994</v>
      </c>
      <c r="BM45">
        <v>814.53300000000002</v>
      </c>
      <c r="BN45">
        <v>4.6652699999999996</v>
      </c>
      <c r="BO45">
        <v>799.72299999999996</v>
      </c>
      <c r="BP45">
        <v>18.181999999999999</v>
      </c>
      <c r="BQ45">
        <v>2.2633299999999998</v>
      </c>
      <c r="BR45">
        <v>1.8011699999999999</v>
      </c>
      <c r="BS45">
        <v>19.4178</v>
      </c>
      <c r="BT45">
        <v>15.797000000000001</v>
      </c>
      <c r="BU45">
        <v>1799.99</v>
      </c>
      <c r="BV45">
        <v>0.909995</v>
      </c>
      <c r="BW45">
        <v>3.3994099999999999E-2</v>
      </c>
      <c r="BX45">
        <v>2.20038E-2</v>
      </c>
      <c r="BY45">
        <v>3.4006700000000001E-2</v>
      </c>
      <c r="BZ45">
        <v>26</v>
      </c>
      <c r="CA45">
        <v>33528.1</v>
      </c>
      <c r="CB45">
        <v>1690229084.0999999</v>
      </c>
      <c r="CC45" t="s">
        <v>332</v>
      </c>
      <c r="CD45">
        <v>1690229084.0999999</v>
      </c>
      <c r="CE45">
        <v>1690229076.5999999</v>
      </c>
      <c r="CF45">
        <v>13</v>
      </c>
      <c r="CG45">
        <v>0.23300000000000001</v>
      </c>
      <c r="CH45">
        <v>-0.13100000000000001</v>
      </c>
      <c r="CI45">
        <v>-0.20599999999999999</v>
      </c>
      <c r="CJ45">
        <v>8.7999999999999995E-2</v>
      </c>
      <c r="CK45">
        <v>799</v>
      </c>
      <c r="CL45">
        <v>16</v>
      </c>
      <c r="CM45">
        <v>0.04</v>
      </c>
      <c r="CN45">
        <v>0.04</v>
      </c>
      <c r="CO45">
        <v>-6.3039955000000001</v>
      </c>
      <c r="CP45">
        <v>4.1702251407129678</v>
      </c>
      <c r="CQ45">
        <v>0.40961904565675411</v>
      </c>
      <c r="CR45">
        <v>-1</v>
      </c>
      <c r="CS45">
        <v>6.685122999999999</v>
      </c>
      <c r="CT45">
        <v>-10.67091129455912</v>
      </c>
      <c r="CU45">
        <v>1.0352993181109511</v>
      </c>
      <c r="CV45">
        <v>-1</v>
      </c>
      <c r="CW45">
        <v>0</v>
      </c>
      <c r="CX45">
        <v>0</v>
      </c>
      <c r="CY45" t="s">
        <v>333</v>
      </c>
      <c r="CZ45">
        <v>2.3641999999999999</v>
      </c>
      <c r="DA45">
        <v>2.7137799999999999</v>
      </c>
      <c r="DB45">
        <v>0.14591199999999999</v>
      </c>
      <c r="DC45">
        <v>0.146201</v>
      </c>
      <c r="DD45">
        <v>0.10994900000000001</v>
      </c>
      <c r="DE45">
        <v>9.2141500000000001E-2</v>
      </c>
      <c r="DF45">
        <v>31176.6</v>
      </c>
      <c r="DG45">
        <v>27510.3</v>
      </c>
      <c r="DH45">
        <v>31163.599999999999</v>
      </c>
      <c r="DI45">
        <v>28077</v>
      </c>
      <c r="DJ45">
        <v>37660.5</v>
      </c>
      <c r="DK45">
        <v>36249</v>
      </c>
      <c r="DL45">
        <v>44349.5</v>
      </c>
      <c r="DM45">
        <v>42560.7</v>
      </c>
      <c r="DN45">
        <v>1.4714</v>
      </c>
      <c r="DO45">
        <v>2.0496699999999999</v>
      </c>
      <c r="DP45">
        <v>0.13037399999999999</v>
      </c>
      <c r="DQ45">
        <v>0.167854</v>
      </c>
      <c r="DR45">
        <v>25.261700000000001</v>
      </c>
      <c r="DS45">
        <v>24.982900000000001</v>
      </c>
      <c r="DT45">
        <v>56.7</v>
      </c>
      <c r="DU45">
        <v>29.2</v>
      </c>
      <c r="DV45">
        <v>23.287099999999999</v>
      </c>
      <c r="DW45">
        <v>62.239800000000002</v>
      </c>
      <c r="DX45">
        <v>36.057699999999997</v>
      </c>
      <c r="DY45">
        <v>1</v>
      </c>
      <c r="DZ45">
        <v>-5.8844E-2</v>
      </c>
      <c r="EA45">
        <v>2.84537</v>
      </c>
      <c r="EB45">
        <v>20.158799999999999</v>
      </c>
      <c r="EC45">
        <v>5.2401999999999997</v>
      </c>
      <c r="ED45">
        <v>12.039899999999999</v>
      </c>
      <c r="EE45">
        <v>5.0156999999999998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1.8691899999999999</v>
      </c>
      <c r="EN45">
        <v>1.8672299999999999</v>
      </c>
      <c r="EO45">
        <v>1.8633999999999999</v>
      </c>
      <c r="EP45">
        <v>1.8645099999999999</v>
      </c>
      <c r="EQ45">
        <v>1.8701700000000001</v>
      </c>
      <c r="ER45">
        <v>1.8694500000000001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-0.20200000000000001</v>
      </c>
      <c r="FG45">
        <v>0.17860000000000001</v>
      </c>
      <c r="FH45">
        <v>0.3448811944559278</v>
      </c>
      <c r="FI45">
        <v>-6.1462078757559423E-4</v>
      </c>
      <c r="FJ45">
        <v>-1.8861989874597051E-7</v>
      </c>
      <c r="FK45">
        <v>1.1980462299894961E-10</v>
      </c>
      <c r="FL45">
        <v>0.17862261546663211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14.8</v>
      </c>
      <c r="FU45">
        <v>15</v>
      </c>
      <c r="FV45">
        <v>1.78955</v>
      </c>
      <c r="FW45">
        <v>2.5830099999999998</v>
      </c>
      <c r="FX45">
        <v>1.5490699999999999</v>
      </c>
      <c r="FY45">
        <v>2.3290999999999999</v>
      </c>
      <c r="FZ45">
        <v>1.50146</v>
      </c>
      <c r="GA45">
        <v>2.4169900000000002</v>
      </c>
      <c r="GB45">
        <v>33.963900000000002</v>
      </c>
      <c r="GC45">
        <v>23.982399999999998</v>
      </c>
      <c r="GD45">
        <v>19</v>
      </c>
      <c r="GE45">
        <v>281.97199999999998</v>
      </c>
      <c r="GF45">
        <v>596.947</v>
      </c>
      <c r="GG45">
        <v>21.639800000000001</v>
      </c>
      <c r="GH45">
        <v>26.605699999999999</v>
      </c>
      <c r="GI45">
        <v>29.997199999999999</v>
      </c>
      <c r="GJ45">
        <v>26.610299999999999</v>
      </c>
      <c r="GK45">
        <v>26.5747</v>
      </c>
      <c r="GL45">
        <v>35.779499999999999</v>
      </c>
      <c r="GM45">
        <v>30.592300000000002</v>
      </c>
      <c r="GN45">
        <v>99.603399999999993</v>
      </c>
      <c r="GO45">
        <v>21.746400000000001</v>
      </c>
      <c r="GP45">
        <v>800</v>
      </c>
      <c r="GQ45">
        <v>18.560700000000001</v>
      </c>
      <c r="GR45">
        <v>99.711200000000005</v>
      </c>
      <c r="GS45">
        <v>99.558899999999994</v>
      </c>
    </row>
    <row r="46" spans="1:201" x14ac:dyDescent="0.25">
      <c r="A46">
        <v>30</v>
      </c>
      <c r="B46">
        <v>1690229984.5999999</v>
      </c>
      <c r="C46">
        <v>479.5</v>
      </c>
      <c r="D46" t="s">
        <v>393</v>
      </c>
      <c r="E46" t="s">
        <v>394</v>
      </c>
      <c r="F46" t="s">
        <v>330</v>
      </c>
      <c r="H46">
        <v>1690229984.5999999</v>
      </c>
      <c r="I46">
        <f t="shared" si="0"/>
        <v>3.6583137194934502E-4</v>
      </c>
      <c r="J46">
        <f t="shared" si="1"/>
        <v>0.36583137194934501</v>
      </c>
      <c r="K46">
        <f t="shared" si="2"/>
        <v>0.26411985967334944</v>
      </c>
      <c r="L46">
        <f t="shared" si="3"/>
        <v>794.03700000000003</v>
      </c>
      <c r="M46">
        <f t="shared" si="4"/>
        <v>755.88214642707112</v>
      </c>
      <c r="N46">
        <f t="shared" si="5"/>
        <v>74.955543629382319</v>
      </c>
      <c r="O46">
        <f t="shared" si="6"/>
        <v>78.739093492514712</v>
      </c>
      <c r="P46">
        <f t="shared" si="7"/>
        <v>2.308007484829493E-2</v>
      </c>
      <c r="Q46">
        <f t="shared" si="8"/>
        <v>2.1766132337748649</v>
      </c>
      <c r="R46">
        <f t="shared" si="9"/>
        <v>2.294497116189638E-2</v>
      </c>
      <c r="S46">
        <f t="shared" si="10"/>
        <v>1.4352679469745819E-2</v>
      </c>
      <c r="T46">
        <f t="shared" si="11"/>
        <v>276.11401995270046</v>
      </c>
      <c r="U46">
        <f t="shared" si="12"/>
        <v>27.751756712810586</v>
      </c>
      <c r="V46">
        <f t="shared" si="13"/>
        <v>27.751756712810586</v>
      </c>
      <c r="W46">
        <f t="shared" si="14"/>
        <v>3.7402672450713625</v>
      </c>
      <c r="X46">
        <f t="shared" si="15"/>
        <v>66.435451962639874</v>
      </c>
      <c r="Y46">
        <f t="shared" si="16"/>
        <v>2.2066346427830603</v>
      </c>
      <c r="Z46">
        <f t="shared" si="17"/>
        <v>3.3214715601302243</v>
      </c>
      <c r="AA46">
        <f t="shared" si="18"/>
        <v>1.5336326022883022</v>
      </c>
      <c r="AB46">
        <f t="shared" si="19"/>
        <v>-16.133163502966116</v>
      </c>
      <c r="AC46">
        <f t="shared" si="20"/>
        <v>-236.79828606637747</v>
      </c>
      <c r="AD46">
        <f t="shared" si="21"/>
        <v>-23.418528547507705</v>
      </c>
      <c r="AE46">
        <f t="shared" si="22"/>
        <v>-0.23595816415084414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52524.961548323408</v>
      </c>
      <c r="AK46">
        <f t="shared" si="26"/>
        <v>1799.99</v>
      </c>
      <c r="AL46">
        <f t="shared" si="27"/>
        <v>1499.10605838674</v>
      </c>
      <c r="AM46">
        <f t="shared" si="28"/>
        <v>0.83284132599999994</v>
      </c>
      <c r="AN46">
        <f t="shared" si="29"/>
        <v>0.15339752996000003</v>
      </c>
      <c r="AO46">
        <v>31.5</v>
      </c>
      <c r="AP46">
        <v>0.5</v>
      </c>
      <c r="AQ46" t="s">
        <v>331</v>
      </c>
      <c r="AR46">
        <v>2</v>
      </c>
      <c r="AS46">
        <v>1690229984.5999999</v>
      </c>
      <c r="AT46">
        <v>794.03700000000003</v>
      </c>
      <c r="AU46">
        <v>799.85699999999997</v>
      </c>
      <c r="AV46">
        <v>22.252600000000001</v>
      </c>
      <c r="AW46">
        <v>18.498999999999999</v>
      </c>
      <c r="AX46">
        <v>794.23900000000003</v>
      </c>
      <c r="AY46">
        <v>22.074000000000002</v>
      </c>
      <c r="AZ46">
        <v>300.17200000000003</v>
      </c>
      <c r="BA46">
        <v>99.063100000000006</v>
      </c>
      <c r="BB46">
        <v>9.9903099999999995E-2</v>
      </c>
      <c r="BC46">
        <v>25.733799999999999</v>
      </c>
      <c r="BD46">
        <v>27.291</v>
      </c>
      <c r="BE46">
        <v>27.603000000000002</v>
      </c>
      <c r="BF46">
        <v>0</v>
      </c>
      <c r="BG46">
        <v>0</v>
      </c>
      <c r="BH46">
        <v>9984.3799999999992</v>
      </c>
      <c r="BI46">
        <v>1062.08</v>
      </c>
      <c r="BJ46">
        <v>1.4577199999999999</v>
      </c>
      <c r="BK46">
        <v>-5.81989</v>
      </c>
      <c r="BL46">
        <v>812.10799999999995</v>
      </c>
      <c r="BM46">
        <v>814.93200000000002</v>
      </c>
      <c r="BN46">
        <v>3.7536800000000001</v>
      </c>
      <c r="BO46">
        <v>799.85699999999997</v>
      </c>
      <c r="BP46">
        <v>18.498999999999999</v>
      </c>
      <c r="BQ46">
        <v>2.2044100000000002</v>
      </c>
      <c r="BR46">
        <v>1.83256</v>
      </c>
      <c r="BS46">
        <v>18.994399999999999</v>
      </c>
      <c r="BT46">
        <v>16.067299999999999</v>
      </c>
      <c r="BU46">
        <v>1799.99</v>
      </c>
      <c r="BV46">
        <v>0.91000400000000004</v>
      </c>
      <c r="BW46">
        <v>3.3991E-2</v>
      </c>
      <c r="BX46">
        <v>2.2001799999999998E-2</v>
      </c>
      <c r="BY46">
        <v>3.4003600000000002E-2</v>
      </c>
      <c r="BZ46">
        <v>25.916699999999999</v>
      </c>
      <c r="CA46">
        <v>33528.300000000003</v>
      </c>
      <c r="CB46">
        <v>1690229084.0999999</v>
      </c>
      <c r="CC46" t="s">
        <v>332</v>
      </c>
      <c r="CD46">
        <v>1690229084.0999999</v>
      </c>
      <c r="CE46">
        <v>1690229076.5999999</v>
      </c>
      <c r="CF46">
        <v>13</v>
      </c>
      <c r="CG46">
        <v>0.23300000000000001</v>
      </c>
      <c r="CH46">
        <v>-0.13100000000000001</v>
      </c>
      <c r="CI46">
        <v>-0.20599999999999999</v>
      </c>
      <c r="CJ46">
        <v>8.7999999999999995E-2</v>
      </c>
      <c r="CK46">
        <v>799</v>
      </c>
      <c r="CL46">
        <v>16</v>
      </c>
      <c r="CM46">
        <v>0.04</v>
      </c>
      <c r="CN46">
        <v>0.04</v>
      </c>
      <c r="CO46">
        <v>-5.8667524999999996</v>
      </c>
      <c r="CP46">
        <v>0.31151639774859208</v>
      </c>
      <c r="CQ46">
        <v>7.793342013379112E-2</v>
      </c>
      <c r="CR46">
        <v>-1</v>
      </c>
      <c r="CS46">
        <v>4.8781727500000001</v>
      </c>
      <c r="CT46">
        <v>-8.5074005628517853</v>
      </c>
      <c r="CU46">
        <v>0.83533182443561771</v>
      </c>
      <c r="CV46">
        <v>-1</v>
      </c>
      <c r="CW46">
        <v>0</v>
      </c>
      <c r="CX46">
        <v>0</v>
      </c>
      <c r="CY46" t="s">
        <v>333</v>
      </c>
      <c r="CZ46">
        <v>2.3640300000000001</v>
      </c>
      <c r="DA46">
        <v>2.7136800000000001</v>
      </c>
      <c r="DB46">
        <v>0.14590700000000001</v>
      </c>
      <c r="DC46">
        <v>0.14621999999999999</v>
      </c>
      <c r="DD46">
        <v>0.107904</v>
      </c>
      <c r="DE46">
        <v>9.3287700000000001E-2</v>
      </c>
      <c r="DF46">
        <v>31177.5</v>
      </c>
      <c r="DG46">
        <v>27510.3</v>
      </c>
      <c r="DH46">
        <v>31164.2</v>
      </c>
      <c r="DI46">
        <v>28077.599999999999</v>
      </c>
      <c r="DJ46">
        <v>37748.800000000003</v>
      </c>
      <c r="DK46">
        <v>36204.1</v>
      </c>
      <c r="DL46">
        <v>44350.6</v>
      </c>
      <c r="DM46">
        <v>42561.8</v>
      </c>
      <c r="DN46">
        <v>1.4701</v>
      </c>
      <c r="DO46">
        <v>2.0498799999999999</v>
      </c>
      <c r="DP46">
        <v>0.124823</v>
      </c>
      <c r="DQ46">
        <v>0.160862</v>
      </c>
      <c r="DR46">
        <v>25.247299999999999</v>
      </c>
      <c r="DS46">
        <v>24.969200000000001</v>
      </c>
      <c r="DT46">
        <v>56.7</v>
      </c>
      <c r="DU46">
        <v>29.2</v>
      </c>
      <c r="DV46">
        <v>23.289200000000001</v>
      </c>
      <c r="DW46">
        <v>62.049799999999998</v>
      </c>
      <c r="DX46">
        <v>35.256399999999999</v>
      </c>
      <c r="DY46">
        <v>1</v>
      </c>
      <c r="DZ46">
        <v>-5.2726099999999998E-2</v>
      </c>
      <c r="EA46">
        <v>5.6185400000000003</v>
      </c>
      <c r="EB46">
        <v>20.072399999999998</v>
      </c>
      <c r="EC46">
        <v>5.2408000000000001</v>
      </c>
      <c r="ED46">
        <v>12.039899999999999</v>
      </c>
      <c r="EE46">
        <v>5.0170000000000003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1.8691899999999999</v>
      </c>
      <c r="EN46">
        <v>1.8672200000000001</v>
      </c>
      <c r="EO46">
        <v>1.8633999999999999</v>
      </c>
      <c r="EP46">
        <v>1.86449</v>
      </c>
      <c r="EQ46">
        <v>1.8701300000000001</v>
      </c>
      <c r="ER46">
        <v>1.86941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-0.20200000000000001</v>
      </c>
      <c r="FG46">
        <v>0.17860000000000001</v>
      </c>
      <c r="FH46">
        <v>0.3448811944559278</v>
      </c>
      <c r="FI46">
        <v>-6.1462078757559423E-4</v>
      </c>
      <c r="FJ46">
        <v>-1.8861989874597051E-7</v>
      </c>
      <c r="FK46">
        <v>1.1980462299894961E-10</v>
      </c>
      <c r="FL46">
        <v>0.17862261546663211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15</v>
      </c>
      <c r="FU46">
        <v>15.1</v>
      </c>
      <c r="FV46">
        <v>1.79077</v>
      </c>
      <c r="FW46">
        <v>2.5854499999999998</v>
      </c>
      <c r="FX46">
        <v>1.5490699999999999</v>
      </c>
      <c r="FY46">
        <v>2.3290999999999999</v>
      </c>
      <c r="FZ46">
        <v>1.50146</v>
      </c>
      <c r="GA46">
        <v>2.34619</v>
      </c>
      <c r="GB46">
        <v>33.963900000000002</v>
      </c>
      <c r="GC46">
        <v>23.947399999999998</v>
      </c>
      <c r="GD46">
        <v>19</v>
      </c>
      <c r="GE46">
        <v>281.44900000000001</v>
      </c>
      <c r="GF46">
        <v>597.173</v>
      </c>
      <c r="GG46">
        <v>20.890899999999998</v>
      </c>
      <c r="GH46">
        <v>26.6035</v>
      </c>
      <c r="GI46">
        <v>30.003</v>
      </c>
      <c r="GJ46">
        <v>26.617599999999999</v>
      </c>
      <c r="GK46">
        <v>26.579699999999999</v>
      </c>
      <c r="GL46">
        <v>35.788899999999998</v>
      </c>
      <c r="GM46">
        <v>29.358899999999998</v>
      </c>
      <c r="GN46">
        <v>99.603399999999993</v>
      </c>
      <c r="GO46">
        <v>20.668800000000001</v>
      </c>
      <c r="GP46">
        <v>800</v>
      </c>
      <c r="GQ46">
        <v>18.7608</v>
      </c>
      <c r="GR46">
        <v>99.713499999999996</v>
      </c>
      <c r="GS46">
        <v>99.561300000000003</v>
      </c>
    </row>
    <row r="47" spans="1:201" x14ac:dyDescent="0.25">
      <c r="A47">
        <v>31</v>
      </c>
      <c r="B47">
        <v>1690229994.5999999</v>
      </c>
      <c r="C47">
        <v>489.5</v>
      </c>
      <c r="D47" t="s">
        <v>395</v>
      </c>
      <c r="E47" t="s">
        <v>396</v>
      </c>
      <c r="F47" t="s">
        <v>330</v>
      </c>
      <c r="H47">
        <v>1690229994.5999999</v>
      </c>
      <c r="I47">
        <f t="shared" si="0"/>
        <v>2.7392369562097112E-4</v>
      </c>
      <c r="J47">
        <f t="shared" si="1"/>
        <v>0.27392369562097113</v>
      </c>
      <c r="K47">
        <f t="shared" si="2"/>
        <v>0.32143096225235368</v>
      </c>
      <c r="L47">
        <f t="shared" si="3"/>
        <v>794.25800000000004</v>
      </c>
      <c r="M47">
        <f t="shared" si="4"/>
        <v>743.56622313030709</v>
      </c>
      <c r="N47">
        <f t="shared" si="5"/>
        <v>73.736196604980577</v>
      </c>
      <c r="O47">
        <f t="shared" si="6"/>
        <v>78.763077478864005</v>
      </c>
      <c r="P47">
        <f t="shared" si="7"/>
        <v>1.6855225037177908E-2</v>
      </c>
      <c r="Q47">
        <f t="shared" si="8"/>
        <v>2.1768710486139704</v>
      </c>
      <c r="R47">
        <f t="shared" si="9"/>
        <v>1.6783055915058541E-2</v>
      </c>
      <c r="S47">
        <f t="shared" si="10"/>
        <v>1.0495868212070988E-2</v>
      </c>
      <c r="T47">
        <f t="shared" si="11"/>
        <v>276.11385194163381</v>
      </c>
      <c r="U47">
        <f t="shared" si="12"/>
        <v>27.632770522963312</v>
      </c>
      <c r="V47">
        <f t="shared" si="13"/>
        <v>27.632770522963312</v>
      </c>
      <c r="W47">
        <f t="shared" si="14"/>
        <v>3.7143536472469059</v>
      </c>
      <c r="X47">
        <f t="shared" si="15"/>
        <v>65.117466196839629</v>
      </c>
      <c r="Y47">
        <f t="shared" si="16"/>
        <v>2.1436331984536006</v>
      </c>
      <c r="Z47">
        <f t="shared" si="17"/>
        <v>3.2919481110854991</v>
      </c>
      <c r="AA47">
        <f t="shared" si="18"/>
        <v>1.5707204487933053</v>
      </c>
      <c r="AB47">
        <f t="shared" si="19"/>
        <v>-12.080034976884827</v>
      </c>
      <c r="AC47">
        <f t="shared" si="20"/>
        <v>-240.52477839894902</v>
      </c>
      <c r="AD47">
        <f t="shared" si="21"/>
        <v>-23.752196518527573</v>
      </c>
      <c r="AE47">
        <f t="shared" si="22"/>
        <v>-0.2431579527276142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52562.206694830995</v>
      </c>
      <c r="AK47">
        <f t="shared" si="26"/>
        <v>1799.99</v>
      </c>
      <c r="AL47">
        <f t="shared" si="27"/>
        <v>1499.1007682161298</v>
      </c>
      <c r="AM47">
        <f t="shared" si="28"/>
        <v>0.8328383869999999</v>
      </c>
      <c r="AN47">
        <f t="shared" si="29"/>
        <v>0.15339743661999999</v>
      </c>
      <c r="AO47">
        <v>31.5</v>
      </c>
      <c r="AP47">
        <v>0.5</v>
      </c>
      <c r="AQ47" t="s">
        <v>331</v>
      </c>
      <c r="AR47">
        <v>2</v>
      </c>
      <c r="AS47">
        <v>1690229994.5999999</v>
      </c>
      <c r="AT47">
        <v>794.25800000000004</v>
      </c>
      <c r="AU47">
        <v>799.91399999999999</v>
      </c>
      <c r="AV47">
        <v>21.616700000000002</v>
      </c>
      <c r="AW47">
        <v>18.804400000000001</v>
      </c>
      <c r="AX47">
        <v>794.46100000000001</v>
      </c>
      <c r="AY47">
        <v>21.438099999999999</v>
      </c>
      <c r="AZ47">
        <v>300.18400000000003</v>
      </c>
      <c r="BA47">
        <v>99.065600000000003</v>
      </c>
      <c r="BB47">
        <v>0.100008</v>
      </c>
      <c r="BC47">
        <v>25.583300000000001</v>
      </c>
      <c r="BD47">
        <v>27.123699999999999</v>
      </c>
      <c r="BE47">
        <v>27.458500000000001</v>
      </c>
      <c r="BF47">
        <v>0</v>
      </c>
      <c r="BG47">
        <v>0</v>
      </c>
      <c r="BH47">
        <v>9986.25</v>
      </c>
      <c r="BI47">
        <v>1061.6300000000001</v>
      </c>
      <c r="BJ47">
        <v>1.4577199999999999</v>
      </c>
      <c r="BK47">
        <v>-5.6560699999999997</v>
      </c>
      <c r="BL47">
        <v>811.80700000000002</v>
      </c>
      <c r="BM47">
        <v>815.24400000000003</v>
      </c>
      <c r="BN47">
        <v>2.8123300000000002</v>
      </c>
      <c r="BO47">
        <v>799.91399999999999</v>
      </c>
      <c r="BP47">
        <v>18.804400000000001</v>
      </c>
      <c r="BQ47">
        <v>2.14147</v>
      </c>
      <c r="BR47">
        <v>1.86286</v>
      </c>
      <c r="BS47">
        <v>18.530999999999999</v>
      </c>
      <c r="BT47">
        <v>16.3245</v>
      </c>
      <c r="BU47">
        <v>1799.99</v>
      </c>
      <c r="BV47">
        <v>0.90998999999999997</v>
      </c>
      <c r="BW47">
        <v>3.4008499999999997E-2</v>
      </c>
      <c r="BX47">
        <v>2.2000100000000002E-2</v>
      </c>
      <c r="BY47">
        <v>3.4001000000000003E-2</v>
      </c>
      <c r="BZ47">
        <v>25.708300000000001</v>
      </c>
      <c r="CA47">
        <v>33528.1</v>
      </c>
      <c r="CB47">
        <v>1690229084.0999999</v>
      </c>
      <c r="CC47" t="s">
        <v>332</v>
      </c>
      <c r="CD47">
        <v>1690229084.0999999</v>
      </c>
      <c r="CE47">
        <v>1690229076.5999999</v>
      </c>
      <c r="CF47">
        <v>13</v>
      </c>
      <c r="CG47">
        <v>0.23300000000000001</v>
      </c>
      <c r="CH47">
        <v>-0.13100000000000001</v>
      </c>
      <c r="CI47">
        <v>-0.20599999999999999</v>
      </c>
      <c r="CJ47">
        <v>8.7999999999999995E-2</v>
      </c>
      <c r="CK47">
        <v>799</v>
      </c>
      <c r="CL47">
        <v>16</v>
      </c>
      <c r="CM47">
        <v>0.04</v>
      </c>
      <c r="CN47">
        <v>0.04</v>
      </c>
      <c r="CO47">
        <v>-5.8033470731707322</v>
      </c>
      <c r="CP47">
        <v>0.46280278745645259</v>
      </c>
      <c r="CQ47">
        <v>6.7485936068512983E-2</v>
      </c>
      <c r="CR47">
        <v>-1</v>
      </c>
      <c r="CS47">
        <v>3.808741219512195</v>
      </c>
      <c r="CT47">
        <v>-5.4045819512195106</v>
      </c>
      <c r="CU47">
        <v>0.53404651771533773</v>
      </c>
      <c r="CV47">
        <v>-1</v>
      </c>
      <c r="CW47">
        <v>0</v>
      </c>
      <c r="CX47">
        <v>0</v>
      </c>
      <c r="CY47" t="s">
        <v>333</v>
      </c>
      <c r="CZ47">
        <v>2.3640599999999998</v>
      </c>
      <c r="DA47">
        <v>2.7137899999999999</v>
      </c>
      <c r="DB47">
        <v>0.145924</v>
      </c>
      <c r="DC47">
        <v>0.146236</v>
      </c>
      <c r="DD47">
        <v>0.105695</v>
      </c>
      <c r="DE47">
        <v>9.4387700000000005E-2</v>
      </c>
      <c r="DF47">
        <v>31174.9</v>
      </c>
      <c r="DG47">
        <v>27508.2</v>
      </c>
      <c r="DH47">
        <v>31162.400000000001</v>
      </c>
      <c r="DI47">
        <v>28076</v>
      </c>
      <c r="DJ47">
        <v>37841.1</v>
      </c>
      <c r="DK47">
        <v>36158</v>
      </c>
      <c r="DL47">
        <v>44348.2</v>
      </c>
      <c r="DM47">
        <v>42559.3</v>
      </c>
      <c r="DN47">
        <v>1.46967</v>
      </c>
      <c r="DO47">
        <v>2.0501</v>
      </c>
      <c r="DP47">
        <v>0.115789</v>
      </c>
      <c r="DQ47">
        <v>0.153475</v>
      </c>
      <c r="DR47">
        <v>25.227499999999999</v>
      </c>
      <c r="DS47">
        <v>24.9453</v>
      </c>
      <c r="DT47">
        <v>56.7</v>
      </c>
      <c r="DU47">
        <v>29.2</v>
      </c>
      <c r="DV47">
        <v>23.2864</v>
      </c>
      <c r="DW47">
        <v>62.579799999999999</v>
      </c>
      <c r="DX47">
        <v>36.4343</v>
      </c>
      <c r="DY47">
        <v>1</v>
      </c>
      <c r="DZ47">
        <v>-4.8686500000000001E-2</v>
      </c>
      <c r="EA47">
        <v>5.8101000000000003</v>
      </c>
      <c r="EB47">
        <v>20.066099999999999</v>
      </c>
      <c r="EC47">
        <v>5.2406499999999996</v>
      </c>
      <c r="ED47">
        <v>12.039899999999999</v>
      </c>
      <c r="EE47">
        <v>5.0171999999999999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1.8646199999999999</v>
      </c>
      <c r="EM47">
        <v>1.8692</v>
      </c>
      <c r="EN47">
        <v>1.8672299999999999</v>
      </c>
      <c r="EO47">
        <v>1.8633999999999999</v>
      </c>
      <c r="EP47">
        <v>1.86449</v>
      </c>
      <c r="EQ47">
        <v>1.8701700000000001</v>
      </c>
      <c r="ER47">
        <v>1.8694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-0.20300000000000001</v>
      </c>
      <c r="FG47">
        <v>0.17860000000000001</v>
      </c>
      <c r="FH47">
        <v>0.3448811944559278</v>
      </c>
      <c r="FI47">
        <v>-6.1462078757559423E-4</v>
      </c>
      <c r="FJ47">
        <v>-1.8861989874597051E-7</v>
      </c>
      <c r="FK47">
        <v>1.1980462299894961E-10</v>
      </c>
      <c r="FL47">
        <v>0.17862261546663211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15.2</v>
      </c>
      <c r="FU47">
        <v>15.3</v>
      </c>
      <c r="FV47">
        <v>1.79077</v>
      </c>
      <c r="FW47">
        <v>2.5817899999999998</v>
      </c>
      <c r="FX47">
        <v>1.5490699999999999</v>
      </c>
      <c r="FY47">
        <v>2.3290999999999999</v>
      </c>
      <c r="FZ47">
        <v>1.50146</v>
      </c>
      <c r="GA47">
        <v>2.3742700000000001</v>
      </c>
      <c r="GB47">
        <v>33.963900000000002</v>
      </c>
      <c r="GC47">
        <v>23.956199999999999</v>
      </c>
      <c r="GD47">
        <v>19</v>
      </c>
      <c r="GE47">
        <v>281.28300000000002</v>
      </c>
      <c r="GF47">
        <v>597.40800000000002</v>
      </c>
      <c r="GG47">
        <v>19.8748</v>
      </c>
      <c r="GH47">
        <v>26.6035</v>
      </c>
      <c r="GI47">
        <v>30.001300000000001</v>
      </c>
      <c r="GJ47">
        <v>26.620899999999999</v>
      </c>
      <c r="GK47">
        <v>26.583600000000001</v>
      </c>
      <c r="GL47">
        <v>35.796199999999999</v>
      </c>
      <c r="GM47">
        <v>28.158000000000001</v>
      </c>
      <c r="GN47">
        <v>99.603399999999993</v>
      </c>
      <c r="GO47">
        <v>19.8674</v>
      </c>
      <c r="GP47">
        <v>800</v>
      </c>
      <c r="GQ47">
        <v>19.031099999999999</v>
      </c>
      <c r="GR47">
        <v>99.707899999999995</v>
      </c>
      <c r="GS47">
        <v>99.555599999999998</v>
      </c>
    </row>
    <row r="48" spans="1:201" x14ac:dyDescent="0.25">
      <c r="A48">
        <v>32</v>
      </c>
      <c r="B48">
        <v>1690230004.5999999</v>
      </c>
      <c r="C48">
        <v>499.5</v>
      </c>
      <c r="D48" t="s">
        <v>397</v>
      </c>
      <c r="E48" t="s">
        <v>398</v>
      </c>
      <c r="F48" t="s">
        <v>330</v>
      </c>
      <c r="H48">
        <v>1690230004.5999999</v>
      </c>
      <c r="I48">
        <f t="shared" si="0"/>
        <v>2.0093332362341066E-4</v>
      </c>
      <c r="J48">
        <f t="shared" si="1"/>
        <v>0.20093332362341065</v>
      </c>
      <c r="K48">
        <f t="shared" si="2"/>
        <v>0.36068685539026707</v>
      </c>
      <c r="L48">
        <f t="shared" si="3"/>
        <v>794.45299999999997</v>
      </c>
      <c r="M48">
        <f t="shared" si="4"/>
        <v>727.02883668661582</v>
      </c>
      <c r="N48">
        <f t="shared" si="5"/>
        <v>72.096391996330354</v>
      </c>
      <c r="O48">
        <f t="shared" si="6"/>
        <v>78.782562699572594</v>
      </c>
      <c r="P48">
        <f t="shared" si="7"/>
        <v>1.2219049598953664E-2</v>
      </c>
      <c r="Q48">
        <f t="shared" si="8"/>
        <v>2.1832428563195063</v>
      </c>
      <c r="R48">
        <f t="shared" si="9"/>
        <v>1.2181184019662495E-2</v>
      </c>
      <c r="S48">
        <f t="shared" si="10"/>
        <v>7.6166322471423577E-3</v>
      </c>
      <c r="T48">
        <f t="shared" si="11"/>
        <v>276.11505095399997</v>
      </c>
      <c r="U48">
        <f t="shared" si="12"/>
        <v>27.489649109835227</v>
      </c>
      <c r="V48">
        <f t="shared" si="13"/>
        <v>27.489649109835227</v>
      </c>
      <c r="W48">
        <f t="shared" si="14"/>
        <v>3.6833913914334993</v>
      </c>
      <c r="X48">
        <f t="shared" si="15"/>
        <v>64.267266897831902</v>
      </c>
      <c r="Y48">
        <f t="shared" si="16"/>
        <v>2.0952740656517999</v>
      </c>
      <c r="Z48">
        <f t="shared" si="17"/>
        <v>3.2602507727343317</v>
      </c>
      <c r="AA48">
        <f t="shared" si="18"/>
        <v>1.5881173257816994</v>
      </c>
      <c r="AB48">
        <f t="shared" si="19"/>
        <v>-8.8611595717924097</v>
      </c>
      <c r="AC48">
        <f t="shared" si="20"/>
        <v>-243.55680494398038</v>
      </c>
      <c r="AD48">
        <f t="shared" si="21"/>
        <v>-23.944701420905339</v>
      </c>
      <c r="AE48">
        <f t="shared" si="22"/>
        <v>-0.24761498267815796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52856.328264311662</v>
      </c>
      <c r="AK48">
        <f t="shared" si="26"/>
        <v>1800</v>
      </c>
      <c r="AL48">
        <f t="shared" si="27"/>
        <v>1499.1099714000002</v>
      </c>
      <c r="AM48">
        <f t="shared" si="28"/>
        <v>0.83283887300000004</v>
      </c>
      <c r="AN48">
        <f t="shared" si="29"/>
        <v>0.15339725052999997</v>
      </c>
      <c r="AO48">
        <v>31.5</v>
      </c>
      <c r="AP48">
        <v>0.5</v>
      </c>
      <c r="AQ48" t="s">
        <v>331</v>
      </c>
      <c r="AR48">
        <v>2</v>
      </c>
      <c r="AS48">
        <v>1690230004.5999999</v>
      </c>
      <c r="AT48">
        <v>794.45299999999997</v>
      </c>
      <c r="AU48">
        <v>799.91099999999994</v>
      </c>
      <c r="AV48">
        <v>21.129000000000001</v>
      </c>
      <c r="AW48">
        <v>19.065799999999999</v>
      </c>
      <c r="AX48">
        <v>794.65499999999997</v>
      </c>
      <c r="AY48">
        <v>20.950299999999999</v>
      </c>
      <c r="AZ48">
        <v>300.29399999999998</v>
      </c>
      <c r="BA48">
        <v>99.065799999999996</v>
      </c>
      <c r="BB48">
        <v>9.9994200000000005E-2</v>
      </c>
      <c r="BC48">
        <v>25.420400000000001</v>
      </c>
      <c r="BD48">
        <v>26.945699999999999</v>
      </c>
      <c r="BE48">
        <v>27.258500000000002</v>
      </c>
      <c r="BF48">
        <v>0</v>
      </c>
      <c r="BG48">
        <v>0</v>
      </c>
      <c r="BH48">
        <v>10038.799999999999</v>
      </c>
      <c r="BI48">
        <v>1060.8499999999999</v>
      </c>
      <c r="BJ48">
        <v>1.4016500000000001</v>
      </c>
      <c r="BK48">
        <v>-5.4580099999999998</v>
      </c>
      <c r="BL48">
        <v>811.601</v>
      </c>
      <c r="BM48">
        <v>815.45799999999997</v>
      </c>
      <c r="BN48">
        <v>2.0631599999999999</v>
      </c>
      <c r="BO48">
        <v>799.91099999999994</v>
      </c>
      <c r="BP48">
        <v>19.065799999999999</v>
      </c>
      <c r="BQ48">
        <v>2.0931600000000001</v>
      </c>
      <c r="BR48">
        <v>1.8887700000000001</v>
      </c>
      <c r="BS48">
        <v>18.167200000000001</v>
      </c>
      <c r="BT48">
        <v>16.541499999999999</v>
      </c>
      <c r="BU48">
        <v>1800</v>
      </c>
      <c r="BV48">
        <v>0.90999699999999994</v>
      </c>
      <c r="BW48">
        <v>3.4005800000000003E-2</v>
      </c>
      <c r="BX48">
        <v>2.1998400000000001E-2</v>
      </c>
      <c r="BY48">
        <v>3.3998300000000002E-2</v>
      </c>
      <c r="BZ48">
        <v>25.666699999999999</v>
      </c>
      <c r="CA48">
        <v>33528.300000000003</v>
      </c>
      <c r="CB48">
        <v>1690229084.0999999</v>
      </c>
      <c r="CC48" t="s">
        <v>332</v>
      </c>
      <c r="CD48">
        <v>1690229084.0999999</v>
      </c>
      <c r="CE48">
        <v>1690229076.5999999</v>
      </c>
      <c r="CF48">
        <v>13</v>
      </c>
      <c r="CG48">
        <v>0.23300000000000001</v>
      </c>
      <c r="CH48">
        <v>-0.13100000000000001</v>
      </c>
      <c r="CI48">
        <v>-0.20599999999999999</v>
      </c>
      <c r="CJ48">
        <v>8.7999999999999995E-2</v>
      </c>
      <c r="CK48">
        <v>799</v>
      </c>
      <c r="CL48">
        <v>16</v>
      </c>
      <c r="CM48">
        <v>0.04</v>
      </c>
      <c r="CN48">
        <v>0.04</v>
      </c>
      <c r="CO48">
        <v>-5.6273736585365848</v>
      </c>
      <c r="CP48">
        <v>1.5411154703832559</v>
      </c>
      <c r="CQ48">
        <v>0.15620949449230651</v>
      </c>
      <c r="CR48">
        <v>-1</v>
      </c>
      <c r="CS48">
        <v>2.930801463414634</v>
      </c>
      <c r="CT48">
        <v>-5.2857376306620223</v>
      </c>
      <c r="CU48">
        <v>0.52175318983241248</v>
      </c>
      <c r="CV48">
        <v>-1</v>
      </c>
      <c r="CW48">
        <v>0</v>
      </c>
      <c r="CX48">
        <v>0</v>
      </c>
      <c r="CY48" t="s">
        <v>333</v>
      </c>
      <c r="CZ48">
        <v>2.3644099999999999</v>
      </c>
      <c r="DA48">
        <v>2.7138200000000001</v>
      </c>
      <c r="DB48">
        <v>0.14593700000000001</v>
      </c>
      <c r="DC48">
        <v>0.14624000000000001</v>
      </c>
      <c r="DD48">
        <v>0.103982</v>
      </c>
      <c r="DE48">
        <v>9.5321900000000001E-2</v>
      </c>
      <c r="DF48">
        <v>31174.1</v>
      </c>
      <c r="DG48">
        <v>27508.5</v>
      </c>
      <c r="DH48">
        <v>31162</v>
      </c>
      <c r="DI48">
        <v>28076.3</v>
      </c>
      <c r="DJ48">
        <v>37913.699999999997</v>
      </c>
      <c r="DK48">
        <v>36120.9</v>
      </c>
      <c r="DL48">
        <v>44347.5</v>
      </c>
      <c r="DM48">
        <v>42559.7</v>
      </c>
      <c r="DN48">
        <v>1.47</v>
      </c>
      <c r="DO48">
        <v>2.0501200000000002</v>
      </c>
      <c r="DP48">
        <v>0.106599</v>
      </c>
      <c r="DQ48">
        <v>0.143543</v>
      </c>
      <c r="DR48">
        <v>25.1998</v>
      </c>
      <c r="DS48">
        <v>24.907499999999999</v>
      </c>
      <c r="DT48">
        <v>56.7</v>
      </c>
      <c r="DU48">
        <v>29.2</v>
      </c>
      <c r="DV48">
        <v>23.286100000000001</v>
      </c>
      <c r="DW48">
        <v>61.6098</v>
      </c>
      <c r="DX48">
        <v>35.048099999999998</v>
      </c>
      <c r="DY48">
        <v>1</v>
      </c>
      <c r="DZ48">
        <v>-5.1580300000000003E-2</v>
      </c>
      <c r="EA48">
        <v>4.9027099999999999</v>
      </c>
      <c r="EB48">
        <v>20.104199999999999</v>
      </c>
      <c r="EC48">
        <v>5.2401999999999997</v>
      </c>
      <c r="ED48">
        <v>12.039899999999999</v>
      </c>
      <c r="EE48">
        <v>5.0172499999999998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1.8646199999999999</v>
      </c>
      <c r="EM48">
        <v>1.8691899999999999</v>
      </c>
      <c r="EN48">
        <v>1.86724</v>
      </c>
      <c r="EO48">
        <v>1.8633999999999999</v>
      </c>
      <c r="EP48">
        <v>1.86449</v>
      </c>
      <c r="EQ48">
        <v>1.87018</v>
      </c>
      <c r="ER48">
        <v>1.86941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-0.20200000000000001</v>
      </c>
      <c r="FG48">
        <v>0.1787</v>
      </c>
      <c r="FH48">
        <v>0.3448811944559278</v>
      </c>
      <c r="FI48">
        <v>-6.1462078757559423E-4</v>
      </c>
      <c r="FJ48">
        <v>-1.8861989874597051E-7</v>
      </c>
      <c r="FK48">
        <v>1.1980462299894961E-10</v>
      </c>
      <c r="FL48">
        <v>0.17862261546663211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15.3</v>
      </c>
      <c r="FU48">
        <v>15.5</v>
      </c>
      <c r="FV48">
        <v>1.79077</v>
      </c>
      <c r="FW48">
        <v>2.5842299999999998</v>
      </c>
      <c r="FX48">
        <v>1.5490699999999999</v>
      </c>
      <c r="FY48">
        <v>2.3290999999999999</v>
      </c>
      <c r="FZ48">
        <v>1.50146</v>
      </c>
      <c r="GA48">
        <v>2.4035600000000001</v>
      </c>
      <c r="GB48">
        <v>33.986499999999999</v>
      </c>
      <c r="GC48">
        <v>23.9649</v>
      </c>
      <c r="GD48">
        <v>19</v>
      </c>
      <c r="GE48">
        <v>281.43599999999998</v>
      </c>
      <c r="GF48">
        <v>597.46699999999998</v>
      </c>
      <c r="GG48">
        <v>19.3858</v>
      </c>
      <c r="GH48">
        <v>26.605699999999999</v>
      </c>
      <c r="GI48">
        <v>29.999099999999999</v>
      </c>
      <c r="GJ48">
        <v>26.624300000000002</v>
      </c>
      <c r="GK48">
        <v>26.5869</v>
      </c>
      <c r="GL48">
        <v>35.804499999999997</v>
      </c>
      <c r="GM48">
        <v>27.239599999999999</v>
      </c>
      <c r="GN48">
        <v>99.603399999999993</v>
      </c>
      <c r="GO48">
        <v>19.450600000000001</v>
      </c>
      <c r="GP48">
        <v>800</v>
      </c>
      <c r="GQ48">
        <v>19.256399999999999</v>
      </c>
      <c r="GR48">
        <v>99.706500000000005</v>
      </c>
      <c r="GS48">
        <v>99.556700000000006</v>
      </c>
    </row>
    <row r="49" spans="1:201" x14ac:dyDescent="0.25">
      <c r="A49">
        <v>33</v>
      </c>
      <c r="B49">
        <v>1690230014.5999999</v>
      </c>
      <c r="C49">
        <v>509.5</v>
      </c>
      <c r="D49" t="s">
        <v>399</v>
      </c>
      <c r="E49" t="s">
        <v>400</v>
      </c>
      <c r="F49" t="s">
        <v>330</v>
      </c>
      <c r="H49">
        <v>1690230014.5999999</v>
      </c>
      <c r="I49">
        <f t="shared" si="0"/>
        <v>2.1632742347109946E-4</v>
      </c>
      <c r="J49">
        <f t="shared" si="1"/>
        <v>0.21632742347109946</v>
      </c>
      <c r="K49">
        <f t="shared" si="2"/>
        <v>0.39558992080242328</v>
      </c>
      <c r="L49">
        <f t="shared" si="3"/>
        <v>794.12199999999996</v>
      </c>
      <c r="M49">
        <f t="shared" si="4"/>
        <v>727.04244568133572</v>
      </c>
      <c r="N49">
        <f t="shared" si="5"/>
        <v>72.095842217414912</v>
      </c>
      <c r="O49">
        <f t="shared" si="6"/>
        <v>78.747664257379583</v>
      </c>
      <c r="P49">
        <f t="shared" si="7"/>
        <v>1.339933389395449E-2</v>
      </c>
      <c r="Q49">
        <f t="shared" si="8"/>
        <v>2.178282947873099</v>
      </c>
      <c r="R49">
        <f t="shared" si="9"/>
        <v>1.3353711300439174E-2</v>
      </c>
      <c r="S49">
        <f t="shared" si="10"/>
        <v>8.350155559271771E-3</v>
      </c>
      <c r="T49">
        <f t="shared" si="11"/>
        <v>276.11339472617391</v>
      </c>
      <c r="U49">
        <f t="shared" si="12"/>
        <v>27.486066838067913</v>
      </c>
      <c r="V49">
        <f t="shared" si="13"/>
        <v>27.486066838067913</v>
      </c>
      <c r="W49">
        <f t="shared" si="14"/>
        <v>3.6826193167806398</v>
      </c>
      <c r="X49">
        <f t="shared" si="15"/>
        <v>65.134580415966894</v>
      </c>
      <c r="Y49">
        <f t="shared" si="16"/>
        <v>2.1232225507925202</v>
      </c>
      <c r="Z49">
        <f t="shared" si="17"/>
        <v>3.2597470302764706</v>
      </c>
      <c r="AA49">
        <f t="shared" si="18"/>
        <v>1.5593967659881196</v>
      </c>
      <c r="AB49">
        <f t="shared" si="19"/>
        <v>-9.5400393750754855</v>
      </c>
      <c r="AC49">
        <f t="shared" si="20"/>
        <v>-242.88813699691508</v>
      </c>
      <c r="AD49">
        <f t="shared" si="21"/>
        <v>-23.932593464324871</v>
      </c>
      <c r="AE49">
        <f t="shared" si="22"/>
        <v>-0.24737511014151892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52650.048887339697</v>
      </c>
      <c r="AK49">
        <f t="shared" si="26"/>
        <v>1799.99</v>
      </c>
      <c r="AL49">
        <f t="shared" si="27"/>
        <v>1499.1034574011899</v>
      </c>
      <c r="AM49">
        <f t="shared" si="28"/>
        <v>0.83283988099999995</v>
      </c>
      <c r="AN49">
        <f t="shared" si="29"/>
        <v>0.15339718261000002</v>
      </c>
      <c r="AO49">
        <v>31.5</v>
      </c>
      <c r="AP49">
        <v>0.5</v>
      </c>
      <c r="AQ49" t="s">
        <v>331</v>
      </c>
      <c r="AR49">
        <v>2</v>
      </c>
      <c r="AS49">
        <v>1690230014.5999999</v>
      </c>
      <c r="AT49">
        <v>794.12199999999996</v>
      </c>
      <c r="AU49">
        <v>800.07600000000002</v>
      </c>
      <c r="AV49">
        <v>21.4114</v>
      </c>
      <c r="AW49">
        <v>19.189900000000002</v>
      </c>
      <c r="AX49">
        <v>794.32500000000005</v>
      </c>
      <c r="AY49">
        <v>21.232800000000001</v>
      </c>
      <c r="AZ49">
        <v>300.17599999999999</v>
      </c>
      <c r="BA49">
        <v>99.063199999999995</v>
      </c>
      <c r="BB49">
        <v>9.9981799999999996E-2</v>
      </c>
      <c r="BC49">
        <v>25.4178</v>
      </c>
      <c r="BD49">
        <v>26.932300000000001</v>
      </c>
      <c r="BE49">
        <v>27.192799999999998</v>
      </c>
      <c r="BF49">
        <v>0</v>
      </c>
      <c r="BG49">
        <v>0</v>
      </c>
      <c r="BH49">
        <v>9998.1200000000008</v>
      </c>
      <c r="BI49">
        <v>1060.1500000000001</v>
      </c>
      <c r="BJ49">
        <v>1.4577199999999999</v>
      </c>
      <c r="BK49">
        <v>-5.9532499999999997</v>
      </c>
      <c r="BL49">
        <v>811.49800000000005</v>
      </c>
      <c r="BM49">
        <v>815.72900000000004</v>
      </c>
      <c r="BN49">
        <v>2.22153</v>
      </c>
      <c r="BO49">
        <v>800.07600000000002</v>
      </c>
      <c r="BP49">
        <v>19.189900000000002</v>
      </c>
      <c r="BQ49">
        <v>2.1210800000000001</v>
      </c>
      <c r="BR49">
        <v>1.9010100000000001</v>
      </c>
      <c r="BS49">
        <v>18.378399999999999</v>
      </c>
      <c r="BT49">
        <v>16.6431</v>
      </c>
      <c r="BU49">
        <v>1799.99</v>
      </c>
      <c r="BV49">
        <v>0.91000400000000004</v>
      </c>
      <c r="BW49">
        <v>3.4003400000000003E-2</v>
      </c>
      <c r="BX49">
        <v>2.19968E-2</v>
      </c>
      <c r="BY49">
        <v>3.3995900000000003E-2</v>
      </c>
      <c r="BZ49">
        <v>25.666699999999999</v>
      </c>
      <c r="CA49">
        <v>33528.199999999997</v>
      </c>
      <c r="CB49">
        <v>1690229084.0999999</v>
      </c>
      <c r="CC49" t="s">
        <v>332</v>
      </c>
      <c r="CD49">
        <v>1690229084.0999999</v>
      </c>
      <c r="CE49">
        <v>1690229076.5999999</v>
      </c>
      <c r="CF49">
        <v>13</v>
      </c>
      <c r="CG49">
        <v>0.23300000000000001</v>
      </c>
      <c r="CH49">
        <v>-0.13100000000000001</v>
      </c>
      <c r="CI49">
        <v>-0.20599999999999999</v>
      </c>
      <c r="CJ49">
        <v>8.7999999999999995E-2</v>
      </c>
      <c r="CK49">
        <v>799</v>
      </c>
      <c r="CL49">
        <v>16</v>
      </c>
      <c r="CM49">
        <v>0.04</v>
      </c>
      <c r="CN49">
        <v>0.04</v>
      </c>
      <c r="CO49">
        <v>-5.4914585000000002</v>
      </c>
      <c r="CP49">
        <v>0.18348787992496809</v>
      </c>
      <c r="CQ49">
        <v>8.9381352321107749E-2</v>
      </c>
      <c r="CR49">
        <v>-1</v>
      </c>
      <c r="CS49">
        <v>2.2466824999999999</v>
      </c>
      <c r="CT49">
        <v>-3.0439132457786182</v>
      </c>
      <c r="CU49">
        <v>0.31416948163173009</v>
      </c>
      <c r="CV49">
        <v>-1</v>
      </c>
      <c r="CW49">
        <v>0</v>
      </c>
      <c r="CX49">
        <v>0</v>
      </c>
      <c r="CY49" t="s">
        <v>333</v>
      </c>
      <c r="CZ49">
        <v>2.3640099999999999</v>
      </c>
      <c r="DA49">
        <v>2.7137699999999998</v>
      </c>
      <c r="DB49">
        <v>0.145895</v>
      </c>
      <c r="DC49">
        <v>0.146257</v>
      </c>
      <c r="DD49">
        <v>0.10496999999999999</v>
      </c>
      <c r="DE49">
        <v>9.5760100000000001E-2</v>
      </c>
      <c r="DF49">
        <v>31176.1</v>
      </c>
      <c r="DG49">
        <v>27508.6</v>
      </c>
      <c r="DH49">
        <v>31162.5</v>
      </c>
      <c r="DI49">
        <v>28077.1</v>
      </c>
      <c r="DJ49">
        <v>37871.9</v>
      </c>
      <c r="DK49">
        <v>36104.300000000003</v>
      </c>
      <c r="DL49">
        <v>44348</v>
      </c>
      <c r="DM49">
        <v>42560.800000000003</v>
      </c>
      <c r="DN49">
        <v>1.4740500000000001</v>
      </c>
      <c r="DO49">
        <v>2.0500799999999999</v>
      </c>
      <c r="DP49">
        <v>0.108045</v>
      </c>
      <c r="DQ49">
        <v>0.14233999999999999</v>
      </c>
      <c r="DR49">
        <v>25.162600000000001</v>
      </c>
      <c r="DS49">
        <v>24.8613</v>
      </c>
      <c r="DT49">
        <v>56.7</v>
      </c>
      <c r="DU49">
        <v>29.2</v>
      </c>
      <c r="DV49">
        <v>23.286999999999999</v>
      </c>
      <c r="DW49">
        <v>61.989800000000002</v>
      </c>
      <c r="DX49">
        <v>36.193899999999999</v>
      </c>
      <c r="DY49">
        <v>1</v>
      </c>
      <c r="DZ49">
        <v>-6.1219500000000003E-2</v>
      </c>
      <c r="EA49">
        <v>-0.655474</v>
      </c>
      <c r="EB49">
        <v>20.183</v>
      </c>
      <c r="EC49">
        <v>5.2406499999999996</v>
      </c>
      <c r="ED49">
        <v>12.039899999999999</v>
      </c>
      <c r="EE49">
        <v>5.01715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1.8692</v>
      </c>
      <c r="EN49">
        <v>1.8672299999999999</v>
      </c>
      <c r="EO49">
        <v>1.8633999999999999</v>
      </c>
      <c r="EP49">
        <v>1.8645099999999999</v>
      </c>
      <c r="EQ49">
        <v>1.87018</v>
      </c>
      <c r="ER49">
        <v>1.8694500000000001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-0.20300000000000001</v>
      </c>
      <c r="FG49">
        <v>0.17860000000000001</v>
      </c>
      <c r="FH49">
        <v>0.3448811944559278</v>
      </c>
      <c r="FI49">
        <v>-6.1462078757559423E-4</v>
      </c>
      <c r="FJ49">
        <v>-1.8861989874597051E-7</v>
      </c>
      <c r="FK49">
        <v>1.1980462299894961E-10</v>
      </c>
      <c r="FL49">
        <v>0.17862261546663211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15.5</v>
      </c>
      <c r="FU49">
        <v>15.6</v>
      </c>
      <c r="FV49">
        <v>1.79077</v>
      </c>
      <c r="FW49">
        <v>2.5891099999999998</v>
      </c>
      <c r="FX49">
        <v>1.5490699999999999</v>
      </c>
      <c r="FY49">
        <v>2.3290999999999999</v>
      </c>
      <c r="FZ49">
        <v>1.50146</v>
      </c>
      <c r="GA49">
        <v>2.2778299999999998</v>
      </c>
      <c r="GB49">
        <v>33.963900000000002</v>
      </c>
      <c r="GC49">
        <v>23.982399999999998</v>
      </c>
      <c r="GD49">
        <v>19</v>
      </c>
      <c r="GE49">
        <v>283.21499999999997</v>
      </c>
      <c r="GF49">
        <v>597.47</v>
      </c>
      <c r="GG49">
        <v>21.642199999999999</v>
      </c>
      <c r="GH49">
        <v>26.606999999999999</v>
      </c>
      <c r="GI49">
        <v>29.994199999999999</v>
      </c>
      <c r="GJ49">
        <v>26.6358</v>
      </c>
      <c r="GK49">
        <v>26.590800000000002</v>
      </c>
      <c r="GL49">
        <v>35.808199999999999</v>
      </c>
      <c r="GM49">
        <v>28.119900000000001</v>
      </c>
      <c r="GN49">
        <v>99.603399999999993</v>
      </c>
      <c r="GO49">
        <v>21.642800000000001</v>
      </c>
      <c r="GP49">
        <v>800</v>
      </c>
      <c r="GQ49">
        <v>18.875499999999999</v>
      </c>
      <c r="GR49">
        <v>99.707800000000006</v>
      </c>
      <c r="GS49">
        <v>99.559200000000004</v>
      </c>
    </row>
    <row r="50" spans="1:201" x14ac:dyDescent="0.25">
      <c r="A50">
        <v>34</v>
      </c>
      <c r="B50">
        <v>1690230024.5999999</v>
      </c>
      <c r="C50">
        <v>519.5</v>
      </c>
      <c r="D50" t="s">
        <v>401</v>
      </c>
      <c r="E50" t="s">
        <v>402</v>
      </c>
      <c r="F50" t="s">
        <v>330</v>
      </c>
      <c r="H50">
        <v>1690230024.5999999</v>
      </c>
      <c r="I50">
        <f t="shared" si="0"/>
        <v>3.0318817970993506E-4</v>
      </c>
      <c r="J50">
        <f t="shared" si="1"/>
        <v>0.30318817970993506</v>
      </c>
      <c r="K50">
        <f t="shared" si="2"/>
        <v>0.37920897496091821</v>
      </c>
      <c r="L50">
        <f t="shared" si="3"/>
        <v>793.52300000000002</v>
      </c>
      <c r="M50">
        <f t="shared" si="4"/>
        <v>742.3438701243706</v>
      </c>
      <c r="N50">
        <f t="shared" si="5"/>
        <v>73.61295143511218</v>
      </c>
      <c r="O50">
        <f t="shared" si="6"/>
        <v>78.68802102704511</v>
      </c>
      <c r="P50">
        <f t="shared" si="7"/>
        <v>1.9214140953295933E-2</v>
      </c>
      <c r="Q50">
        <f t="shared" si="8"/>
        <v>2.1805565162325289</v>
      </c>
      <c r="R50">
        <f t="shared" si="9"/>
        <v>1.9120576121038405E-2</v>
      </c>
      <c r="S50">
        <f t="shared" si="10"/>
        <v>1.1958728426277133E-2</v>
      </c>
      <c r="T50">
        <f t="shared" si="11"/>
        <v>276.11311709571629</v>
      </c>
      <c r="U50">
        <f t="shared" si="12"/>
        <v>27.5741894844294</v>
      </c>
      <c r="V50">
        <f t="shared" si="13"/>
        <v>27.5741894844294</v>
      </c>
      <c r="W50">
        <f t="shared" si="14"/>
        <v>3.7016531368564092</v>
      </c>
      <c r="X50">
        <f t="shared" si="15"/>
        <v>66.275256656920433</v>
      </c>
      <c r="Y50">
        <f t="shared" si="16"/>
        <v>2.1758615235875101</v>
      </c>
      <c r="Z50">
        <f t="shared" si="17"/>
        <v>3.283067668603751</v>
      </c>
      <c r="AA50">
        <f t="shared" si="18"/>
        <v>1.5257916132688991</v>
      </c>
      <c r="AB50">
        <f t="shared" si="19"/>
        <v>-13.370598725208136</v>
      </c>
      <c r="AC50">
        <f t="shared" si="20"/>
        <v>-239.39420674476841</v>
      </c>
      <c r="AD50">
        <f t="shared" si="21"/>
        <v>-23.588295509024814</v>
      </c>
      <c r="AE50">
        <f t="shared" si="22"/>
        <v>-0.23998388328507758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52723.51967668478</v>
      </c>
      <c r="AK50">
        <f t="shared" si="26"/>
        <v>1799.99</v>
      </c>
      <c r="AL50">
        <f t="shared" si="27"/>
        <v>1499.10459319488</v>
      </c>
      <c r="AM50">
        <f t="shared" si="28"/>
        <v>0.83284051199999998</v>
      </c>
      <c r="AN50">
        <f t="shared" si="29"/>
        <v>0.15339702836999999</v>
      </c>
      <c r="AO50">
        <v>31.5</v>
      </c>
      <c r="AP50">
        <v>0.5</v>
      </c>
      <c r="AQ50" t="s">
        <v>331</v>
      </c>
      <c r="AR50">
        <v>2</v>
      </c>
      <c r="AS50">
        <v>1690230024.5999999</v>
      </c>
      <c r="AT50">
        <v>793.52300000000002</v>
      </c>
      <c r="AU50">
        <v>800.02599999999995</v>
      </c>
      <c r="AV50">
        <v>21.942299999999999</v>
      </c>
      <c r="AW50">
        <v>18.831</v>
      </c>
      <c r="AX50">
        <v>793.72500000000002</v>
      </c>
      <c r="AY50">
        <v>21.7637</v>
      </c>
      <c r="AZ50">
        <v>300.22399999999999</v>
      </c>
      <c r="BA50">
        <v>99.062899999999999</v>
      </c>
      <c r="BB50">
        <v>9.9973699999999999E-2</v>
      </c>
      <c r="BC50">
        <v>25.537800000000001</v>
      </c>
      <c r="BD50">
        <v>27.023499999999999</v>
      </c>
      <c r="BE50">
        <v>27.331499999999998</v>
      </c>
      <c r="BF50">
        <v>0</v>
      </c>
      <c r="BG50">
        <v>0</v>
      </c>
      <c r="BH50">
        <v>10016.9</v>
      </c>
      <c r="BI50">
        <v>1060.04</v>
      </c>
      <c r="BJ50">
        <v>1.42828</v>
      </c>
      <c r="BK50">
        <v>-6.5028699999999997</v>
      </c>
      <c r="BL50">
        <v>811.32500000000005</v>
      </c>
      <c r="BM50">
        <v>815.38</v>
      </c>
      <c r="BN50">
        <v>3.1112700000000002</v>
      </c>
      <c r="BO50">
        <v>800.02599999999995</v>
      </c>
      <c r="BP50">
        <v>18.831</v>
      </c>
      <c r="BQ50">
        <v>2.17367</v>
      </c>
      <c r="BR50">
        <v>1.8654599999999999</v>
      </c>
      <c r="BS50">
        <v>18.769600000000001</v>
      </c>
      <c r="BT50">
        <v>16.346399999999999</v>
      </c>
      <c r="BU50">
        <v>1799.99</v>
      </c>
      <c r="BV50">
        <v>0.91001100000000001</v>
      </c>
      <c r="BW50">
        <v>3.4000799999999998E-2</v>
      </c>
      <c r="BX50">
        <v>2.19951E-2</v>
      </c>
      <c r="BY50">
        <v>3.3993299999999997E-2</v>
      </c>
      <c r="BZ50">
        <v>25.708300000000001</v>
      </c>
      <c r="CA50">
        <v>33528.400000000001</v>
      </c>
      <c r="CB50">
        <v>1690229084.0999999</v>
      </c>
      <c r="CC50" t="s">
        <v>332</v>
      </c>
      <c r="CD50">
        <v>1690229084.0999999</v>
      </c>
      <c r="CE50">
        <v>1690229076.5999999</v>
      </c>
      <c r="CF50">
        <v>13</v>
      </c>
      <c r="CG50">
        <v>0.23300000000000001</v>
      </c>
      <c r="CH50">
        <v>-0.13100000000000001</v>
      </c>
      <c r="CI50">
        <v>-0.20599999999999999</v>
      </c>
      <c r="CJ50">
        <v>8.7999999999999995E-2</v>
      </c>
      <c r="CK50">
        <v>799</v>
      </c>
      <c r="CL50">
        <v>16</v>
      </c>
      <c r="CM50">
        <v>0.04</v>
      </c>
      <c r="CN50">
        <v>0.04</v>
      </c>
      <c r="CO50">
        <v>-5.883869268292683</v>
      </c>
      <c r="CP50">
        <v>-4.0537036933797896</v>
      </c>
      <c r="CQ50">
        <v>0.42328984062062641</v>
      </c>
      <c r="CR50">
        <v>-1</v>
      </c>
      <c r="CS50">
        <v>2.3124502439024388</v>
      </c>
      <c r="CT50">
        <v>3.5271980487804888</v>
      </c>
      <c r="CU50">
        <v>0.38602766847308989</v>
      </c>
      <c r="CV50">
        <v>-1</v>
      </c>
      <c r="CW50">
        <v>0</v>
      </c>
      <c r="CX50">
        <v>0</v>
      </c>
      <c r="CY50" t="s">
        <v>333</v>
      </c>
      <c r="CZ50">
        <v>2.3641999999999999</v>
      </c>
      <c r="DA50">
        <v>2.7137799999999999</v>
      </c>
      <c r="DB50">
        <v>0.14582800000000001</v>
      </c>
      <c r="DC50">
        <v>0.14624400000000001</v>
      </c>
      <c r="DD50">
        <v>0.106821</v>
      </c>
      <c r="DE50">
        <v>9.4479099999999996E-2</v>
      </c>
      <c r="DF50">
        <v>31180.5</v>
      </c>
      <c r="DG50">
        <v>27510.7</v>
      </c>
      <c r="DH50">
        <v>31164.400000000001</v>
      </c>
      <c r="DI50">
        <v>28078.7</v>
      </c>
      <c r="DJ50">
        <v>37795.1</v>
      </c>
      <c r="DK50">
        <v>36157.800000000003</v>
      </c>
      <c r="DL50">
        <v>44350.6</v>
      </c>
      <c r="DM50">
        <v>42563.4</v>
      </c>
      <c r="DN50">
        <v>1.47187</v>
      </c>
      <c r="DO50">
        <v>2.0499499999999999</v>
      </c>
      <c r="DP50">
        <v>0.11606900000000001</v>
      </c>
      <c r="DQ50">
        <v>0.153389</v>
      </c>
      <c r="DR50">
        <v>25.122399999999999</v>
      </c>
      <c r="DS50">
        <v>24.819099999999999</v>
      </c>
      <c r="DT50">
        <v>56.7</v>
      </c>
      <c r="DU50">
        <v>29.2</v>
      </c>
      <c r="DV50">
        <v>23.282800000000002</v>
      </c>
      <c r="DW50">
        <v>61.6798</v>
      </c>
      <c r="DX50">
        <v>35.689100000000003</v>
      </c>
      <c r="DY50">
        <v>1</v>
      </c>
      <c r="DZ50">
        <v>-6.3216499999999995E-2</v>
      </c>
      <c r="EA50">
        <v>1.43468</v>
      </c>
      <c r="EB50">
        <v>20.182400000000001</v>
      </c>
      <c r="EC50">
        <v>5.2403500000000003</v>
      </c>
      <c r="ED50">
        <v>12.039899999999999</v>
      </c>
      <c r="EE50">
        <v>5.0170500000000002</v>
      </c>
      <c r="EF50">
        <v>3.2879499999999999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1.8646400000000001</v>
      </c>
      <c r="EM50">
        <v>1.8692</v>
      </c>
      <c r="EN50">
        <v>1.8672299999999999</v>
      </c>
      <c r="EO50">
        <v>1.8633999999999999</v>
      </c>
      <c r="EP50">
        <v>1.86449</v>
      </c>
      <c r="EQ50">
        <v>1.8701700000000001</v>
      </c>
      <c r="ER50">
        <v>1.8694200000000001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-0.20200000000000001</v>
      </c>
      <c r="FG50">
        <v>0.17860000000000001</v>
      </c>
      <c r="FH50">
        <v>0.3448811944559278</v>
      </c>
      <c r="FI50">
        <v>-6.1462078757559423E-4</v>
      </c>
      <c r="FJ50">
        <v>-1.8861989874597051E-7</v>
      </c>
      <c r="FK50">
        <v>1.1980462299894961E-10</v>
      </c>
      <c r="FL50">
        <v>0.17862261546663211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15.7</v>
      </c>
      <c r="FU50">
        <v>15.8</v>
      </c>
      <c r="FV50">
        <v>1.79077</v>
      </c>
      <c r="FW50">
        <v>2.5830099999999998</v>
      </c>
      <c r="FX50">
        <v>1.5490699999999999</v>
      </c>
      <c r="FY50">
        <v>2.3290999999999999</v>
      </c>
      <c r="FZ50">
        <v>1.50146</v>
      </c>
      <c r="GA50">
        <v>2.4072300000000002</v>
      </c>
      <c r="GB50">
        <v>33.963900000000002</v>
      </c>
      <c r="GC50">
        <v>23.982399999999998</v>
      </c>
      <c r="GD50">
        <v>19</v>
      </c>
      <c r="GE50">
        <v>282.33300000000003</v>
      </c>
      <c r="GF50">
        <v>597.37099999999998</v>
      </c>
      <c r="GG50">
        <v>21.8949</v>
      </c>
      <c r="GH50">
        <v>26.608000000000001</v>
      </c>
      <c r="GI50">
        <v>29.999099999999999</v>
      </c>
      <c r="GJ50">
        <v>26.6465</v>
      </c>
      <c r="GK50">
        <v>26.5914</v>
      </c>
      <c r="GL50">
        <v>35.8001</v>
      </c>
      <c r="GM50">
        <v>29.787199999999999</v>
      </c>
      <c r="GN50">
        <v>99.230800000000002</v>
      </c>
      <c r="GO50">
        <v>21.736699999999999</v>
      </c>
      <c r="GP50">
        <v>800</v>
      </c>
      <c r="GQ50">
        <v>18.615400000000001</v>
      </c>
      <c r="GR50">
        <v>99.713800000000006</v>
      </c>
      <c r="GS50">
        <v>99.565200000000004</v>
      </c>
    </row>
    <row r="51" spans="1:201" x14ac:dyDescent="0.25">
      <c r="A51">
        <v>35</v>
      </c>
      <c r="B51">
        <v>1690230034.5999999</v>
      </c>
      <c r="C51">
        <v>529.5</v>
      </c>
      <c r="D51" t="s">
        <v>403</v>
      </c>
      <c r="E51" t="s">
        <v>404</v>
      </c>
      <c r="F51" t="s">
        <v>330</v>
      </c>
      <c r="H51">
        <v>1690230034.5999999</v>
      </c>
      <c r="I51">
        <f t="shared" si="0"/>
        <v>3.1093333129772151E-4</v>
      </c>
      <c r="J51">
        <f t="shared" si="1"/>
        <v>0.31093333129772149</v>
      </c>
      <c r="K51">
        <f t="shared" si="2"/>
        <v>0.39060306683398294</v>
      </c>
      <c r="L51">
        <f t="shared" si="3"/>
        <v>793.34900000000005</v>
      </c>
      <c r="M51">
        <f t="shared" si="4"/>
        <v>741.54071951086928</v>
      </c>
      <c r="N51">
        <f t="shared" si="5"/>
        <v>73.53245912906111</v>
      </c>
      <c r="O51">
        <f t="shared" si="6"/>
        <v>78.669857747072001</v>
      </c>
      <c r="P51">
        <f t="shared" si="7"/>
        <v>1.9515143842068736E-2</v>
      </c>
      <c r="Q51">
        <f t="shared" si="8"/>
        <v>2.1816681239621913</v>
      </c>
      <c r="R51">
        <f t="shared" si="9"/>
        <v>1.9418681390791722E-2</v>
      </c>
      <c r="S51">
        <f t="shared" si="10"/>
        <v>1.2145302791839674E-2</v>
      </c>
      <c r="T51">
        <f t="shared" si="11"/>
        <v>276.11453205000004</v>
      </c>
      <c r="U51">
        <f t="shared" si="12"/>
        <v>27.605944739612887</v>
      </c>
      <c r="V51">
        <f t="shared" si="13"/>
        <v>27.605944739612887</v>
      </c>
      <c r="W51">
        <f t="shared" si="14"/>
        <v>3.7085330410633954</v>
      </c>
      <c r="X51">
        <f t="shared" si="15"/>
        <v>65.89090625531297</v>
      </c>
      <c r="Y51">
        <f t="shared" si="16"/>
        <v>2.1677943681535998</v>
      </c>
      <c r="Z51">
        <f t="shared" si="17"/>
        <v>3.2899750380634729</v>
      </c>
      <c r="AA51">
        <f t="shared" si="18"/>
        <v>1.5407386729097956</v>
      </c>
      <c r="AB51">
        <f t="shared" si="19"/>
        <v>-13.712159910229518</v>
      </c>
      <c r="AC51">
        <f t="shared" si="20"/>
        <v>-239.08755759109837</v>
      </c>
      <c r="AD51">
        <f t="shared" si="21"/>
        <v>-23.553994791222852</v>
      </c>
      <c r="AE51">
        <f t="shared" si="22"/>
        <v>-0.23918024255073078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52763.547003959851</v>
      </c>
      <c r="AK51">
        <f t="shared" si="26"/>
        <v>1800</v>
      </c>
      <c r="AL51">
        <f t="shared" si="27"/>
        <v>1499.114061</v>
      </c>
      <c r="AM51">
        <f t="shared" si="28"/>
        <v>0.83284114499999995</v>
      </c>
      <c r="AN51">
        <f t="shared" si="29"/>
        <v>0.15339696225000002</v>
      </c>
      <c r="AO51">
        <v>31.5</v>
      </c>
      <c r="AP51">
        <v>0.5</v>
      </c>
      <c r="AQ51" t="s">
        <v>331</v>
      </c>
      <c r="AR51">
        <v>2</v>
      </c>
      <c r="AS51">
        <v>1690230034.5999999</v>
      </c>
      <c r="AT51">
        <v>793.34900000000005</v>
      </c>
      <c r="AU51">
        <v>800.03599999999994</v>
      </c>
      <c r="AV51">
        <v>21.8612</v>
      </c>
      <c r="AW51">
        <v>18.669899999999998</v>
      </c>
      <c r="AX51">
        <v>793.55100000000004</v>
      </c>
      <c r="AY51">
        <v>21.682500000000001</v>
      </c>
      <c r="AZ51">
        <v>300.2</v>
      </c>
      <c r="BA51">
        <v>99.061700000000002</v>
      </c>
      <c r="BB51">
        <v>0.10002800000000001</v>
      </c>
      <c r="BC51">
        <v>25.5732</v>
      </c>
      <c r="BD51">
        <v>27.046099999999999</v>
      </c>
      <c r="BE51">
        <v>27.386900000000001</v>
      </c>
      <c r="BF51">
        <v>0</v>
      </c>
      <c r="BG51">
        <v>0</v>
      </c>
      <c r="BH51">
        <v>10026.200000000001</v>
      </c>
      <c r="BI51">
        <v>1059.9100000000001</v>
      </c>
      <c r="BJ51">
        <v>1.4577199999999999</v>
      </c>
      <c r="BK51">
        <v>-6.6865800000000002</v>
      </c>
      <c r="BL51">
        <v>811.08</v>
      </c>
      <c r="BM51">
        <v>815.25599999999997</v>
      </c>
      <c r="BN51">
        <v>3.1912400000000001</v>
      </c>
      <c r="BO51">
        <v>800.03599999999994</v>
      </c>
      <c r="BP51">
        <v>18.669899999999998</v>
      </c>
      <c r="BQ51">
        <v>2.1656</v>
      </c>
      <c r="BR51">
        <v>1.8494699999999999</v>
      </c>
      <c r="BS51">
        <v>18.710100000000001</v>
      </c>
      <c r="BT51">
        <v>16.211300000000001</v>
      </c>
      <c r="BU51">
        <v>1800</v>
      </c>
      <c r="BV51">
        <v>0.91001600000000005</v>
      </c>
      <c r="BW51">
        <v>3.3999000000000001E-2</v>
      </c>
      <c r="BX51">
        <v>2.1994E-2</v>
      </c>
      <c r="BY51">
        <v>3.3991500000000001E-2</v>
      </c>
      <c r="BZ51">
        <v>25.291699999999999</v>
      </c>
      <c r="CA51">
        <v>33528.5</v>
      </c>
      <c r="CB51">
        <v>1690229084.0999999</v>
      </c>
      <c r="CC51" t="s">
        <v>332</v>
      </c>
      <c r="CD51">
        <v>1690229084.0999999</v>
      </c>
      <c r="CE51">
        <v>1690229076.5999999</v>
      </c>
      <c r="CF51">
        <v>13</v>
      </c>
      <c r="CG51">
        <v>0.23300000000000001</v>
      </c>
      <c r="CH51">
        <v>-0.13100000000000001</v>
      </c>
      <c r="CI51">
        <v>-0.20599999999999999</v>
      </c>
      <c r="CJ51">
        <v>8.7999999999999995E-2</v>
      </c>
      <c r="CK51">
        <v>799</v>
      </c>
      <c r="CL51">
        <v>16</v>
      </c>
      <c r="CM51">
        <v>0.04</v>
      </c>
      <c r="CN51">
        <v>0.04</v>
      </c>
      <c r="CO51">
        <v>-6.4384812195121954</v>
      </c>
      <c r="CP51">
        <v>-2.2346680139372692</v>
      </c>
      <c r="CQ51">
        <v>0.2382688731213391</v>
      </c>
      <c r="CR51">
        <v>-1</v>
      </c>
      <c r="CS51">
        <v>2.9074992682926828</v>
      </c>
      <c r="CT51">
        <v>3.4036873170731741</v>
      </c>
      <c r="CU51">
        <v>0.35911460865334488</v>
      </c>
      <c r="CV51">
        <v>-1</v>
      </c>
      <c r="CW51">
        <v>0</v>
      </c>
      <c r="CX51">
        <v>0</v>
      </c>
      <c r="CY51" t="s">
        <v>333</v>
      </c>
      <c r="CZ51">
        <v>2.3641200000000002</v>
      </c>
      <c r="DA51">
        <v>2.7138399999999998</v>
      </c>
      <c r="DB51">
        <v>0.14580499999999999</v>
      </c>
      <c r="DC51">
        <v>0.14624000000000001</v>
      </c>
      <c r="DD51">
        <v>0.10653899999999999</v>
      </c>
      <c r="DE51">
        <v>9.3899700000000003E-2</v>
      </c>
      <c r="DF51">
        <v>31180.6</v>
      </c>
      <c r="DG51">
        <v>27509.4</v>
      </c>
      <c r="DH51">
        <v>31163.7</v>
      </c>
      <c r="DI51">
        <v>28077.3</v>
      </c>
      <c r="DJ51">
        <v>37806.300000000003</v>
      </c>
      <c r="DK51">
        <v>36179.199999999997</v>
      </c>
      <c r="DL51">
        <v>44349.7</v>
      </c>
      <c r="DM51">
        <v>42561.3</v>
      </c>
      <c r="DN51">
        <v>1.4717</v>
      </c>
      <c r="DO51">
        <v>2.0499299999999998</v>
      </c>
      <c r="DP51">
        <v>0.119418</v>
      </c>
      <c r="DQ51">
        <v>0.15846299999999999</v>
      </c>
      <c r="DR51">
        <v>25.090199999999999</v>
      </c>
      <c r="DS51">
        <v>24.791599999999999</v>
      </c>
      <c r="DT51">
        <v>56.7</v>
      </c>
      <c r="DU51">
        <v>29.2</v>
      </c>
      <c r="DV51">
        <v>23.2867</v>
      </c>
      <c r="DW51">
        <v>61.699800000000003</v>
      </c>
      <c r="DX51">
        <v>35.540900000000001</v>
      </c>
      <c r="DY51">
        <v>1</v>
      </c>
      <c r="DZ51">
        <v>-6.0703800000000002E-2</v>
      </c>
      <c r="EA51">
        <v>2.1708400000000001</v>
      </c>
      <c r="EB51">
        <v>20.172599999999999</v>
      </c>
      <c r="EC51">
        <v>5.2403500000000003</v>
      </c>
      <c r="ED51">
        <v>12.039899999999999</v>
      </c>
      <c r="EE51">
        <v>5.0172499999999998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1.8646199999999999</v>
      </c>
      <c r="EM51">
        <v>1.8692</v>
      </c>
      <c r="EN51">
        <v>1.8672500000000001</v>
      </c>
      <c r="EO51">
        <v>1.8633999999999999</v>
      </c>
      <c r="EP51">
        <v>1.8645</v>
      </c>
      <c r="EQ51">
        <v>1.8702000000000001</v>
      </c>
      <c r="ER51">
        <v>1.8694200000000001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-0.20200000000000001</v>
      </c>
      <c r="FG51">
        <v>0.1787</v>
      </c>
      <c r="FH51">
        <v>0.3448811944559278</v>
      </c>
      <c r="FI51">
        <v>-6.1462078757559423E-4</v>
      </c>
      <c r="FJ51">
        <v>-1.8861989874597051E-7</v>
      </c>
      <c r="FK51">
        <v>1.1980462299894961E-10</v>
      </c>
      <c r="FL51">
        <v>0.17862261546663211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15.8</v>
      </c>
      <c r="FU51">
        <v>16</v>
      </c>
      <c r="FV51">
        <v>1.79077</v>
      </c>
      <c r="FW51">
        <v>2.5891099999999998</v>
      </c>
      <c r="FX51">
        <v>1.5490699999999999</v>
      </c>
      <c r="FY51">
        <v>2.3290999999999999</v>
      </c>
      <c r="FZ51">
        <v>1.50146</v>
      </c>
      <c r="GA51">
        <v>2.3290999999999999</v>
      </c>
      <c r="GB51">
        <v>33.963900000000002</v>
      </c>
      <c r="GC51">
        <v>23.973700000000001</v>
      </c>
      <c r="GD51">
        <v>19</v>
      </c>
      <c r="GE51">
        <v>282.25299999999999</v>
      </c>
      <c r="GF51">
        <v>597.39499999999998</v>
      </c>
      <c r="GG51">
        <v>21.767600000000002</v>
      </c>
      <c r="GH51">
        <v>26.610199999999999</v>
      </c>
      <c r="GI51">
        <v>30.001000000000001</v>
      </c>
      <c r="GJ51">
        <v>26.645199999999999</v>
      </c>
      <c r="GK51">
        <v>26.595300000000002</v>
      </c>
      <c r="GL51">
        <v>35.792400000000001</v>
      </c>
      <c r="GM51">
        <v>29.787199999999999</v>
      </c>
      <c r="GN51">
        <v>99.230800000000002</v>
      </c>
      <c r="GO51">
        <v>21.69</v>
      </c>
      <c r="GP51">
        <v>800</v>
      </c>
      <c r="GQ51">
        <v>18.630199999999999</v>
      </c>
      <c r="GR51">
        <v>99.711699999999993</v>
      </c>
      <c r="GS51">
        <v>99.560299999999998</v>
      </c>
    </row>
    <row r="52" spans="1:201" x14ac:dyDescent="0.25">
      <c r="A52">
        <v>36</v>
      </c>
      <c r="B52">
        <v>1690230044.5999999</v>
      </c>
      <c r="C52">
        <v>539.5</v>
      </c>
      <c r="D52" t="s">
        <v>405</v>
      </c>
      <c r="E52" t="s">
        <v>406</v>
      </c>
      <c r="F52" t="s">
        <v>330</v>
      </c>
      <c r="H52">
        <v>1690230044.5999999</v>
      </c>
      <c r="I52">
        <f t="shared" si="0"/>
        <v>2.9090806465942505E-4</v>
      </c>
      <c r="J52">
        <f t="shared" si="1"/>
        <v>0.29090806465942504</v>
      </c>
      <c r="K52">
        <f t="shared" si="2"/>
        <v>0.41189967673394223</v>
      </c>
      <c r="L52">
        <f t="shared" si="3"/>
        <v>793.22799999999995</v>
      </c>
      <c r="M52">
        <f t="shared" si="4"/>
        <v>736.66235046091788</v>
      </c>
      <c r="N52">
        <f t="shared" si="5"/>
        <v>73.049305521433169</v>
      </c>
      <c r="O52">
        <f t="shared" si="6"/>
        <v>78.658498678397606</v>
      </c>
      <c r="P52">
        <f t="shared" si="7"/>
        <v>1.8015673601834575E-2</v>
      </c>
      <c r="Q52">
        <f t="shared" si="8"/>
        <v>2.1834938303046107</v>
      </c>
      <c r="R52">
        <f t="shared" si="9"/>
        <v>1.7933499988763001E-2</v>
      </c>
      <c r="S52">
        <f t="shared" si="10"/>
        <v>1.1215789129981873E-2</v>
      </c>
      <c r="T52">
        <f t="shared" si="11"/>
        <v>276.11256619077693</v>
      </c>
      <c r="U52">
        <f t="shared" si="12"/>
        <v>27.600536201133867</v>
      </c>
      <c r="V52">
        <f t="shared" si="13"/>
        <v>27.600536201133867</v>
      </c>
      <c r="W52">
        <f t="shared" si="14"/>
        <v>3.7073604715770259</v>
      </c>
      <c r="X52">
        <f t="shared" si="15"/>
        <v>65.278235579252737</v>
      </c>
      <c r="Y52">
        <f t="shared" si="16"/>
        <v>2.1462738902248004</v>
      </c>
      <c r="Z52">
        <f t="shared" si="17"/>
        <v>3.2878858798489747</v>
      </c>
      <c r="AA52">
        <f t="shared" si="18"/>
        <v>1.5610865813522254</v>
      </c>
      <c r="AB52">
        <f t="shared" si="19"/>
        <v>-12.829045651480644</v>
      </c>
      <c r="AC52">
        <f t="shared" si="20"/>
        <v>-239.9105279666573</v>
      </c>
      <c r="AD52">
        <f t="shared" si="21"/>
        <v>-23.613405305946667</v>
      </c>
      <c r="AE52">
        <f t="shared" si="22"/>
        <v>-0.24041273330766444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52841.566546933973</v>
      </c>
      <c r="AK52">
        <f t="shared" si="26"/>
        <v>1799.99</v>
      </c>
      <c r="AL52">
        <f t="shared" si="27"/>
        <v>1499.1052033914898</v>
      </c>
      <c r="AM52">
        <f t="shared" si="28"/>
        <v>0.83284085099999994</v>
      </c>
      <c r="AN52">
        <f t="shared" si="29"/>
        <v>0.15339672231000001</v>
      </c>
      <c r="AO52">
        <v>31.5</v>
      </c>
      <c r="AP52">
        <v>0.5</v>
      </c>
      <c r="AQ52" t="s">
        <v>331</v>
      </c>
      <c r="AR52">
        <v>2</v>
      </c>
      <c r="AS52">
        <v>1690230044.5999999</v>
      </c>
      <c r="AT52">
        <v>793.22799999999995</v>
      </c>
      <c r="AU52">
        <v>799.97199999999998</v>
      </c>
      <c r="AV52">
        <v>21.643999999999998</v>
      </c>
      <c r="AW52">
        <v>18.657299999999999</v>
      </c>
      <c r="AX52">
        <v>793.42899999999997</v>
      </c>
      <c r="AY52">
        <v>21.465299999999999</v>
      </c>
      <c r="AZ52">
        <v>300.173</v>
      </c>
      <c r="BA52">
        <v>99.062600000000003</v>
      </c>
      <c r="BB52">
        <v>9.9934200000000001E-2</v>
      </c>
      <c r="BC52">
        <v>25.5625</v>
      </c>
      <c r="BD52">
        <v>27.084199999999999</v>
      </c>
      <c r="BE52">
        <v>27.382899999999999</v>
      </c>
      <c r="BF52">
        <v>0</v>
      </c>
      <c r="BG52">
        <v>0</v>
      </c>
      <c r="BH52">
        <v>10041.200000000001</v>
      </c>
      <c r="BI52">
        <v>1059.74</v>
      </c>
      <c r="BJ52">
        <v>1.4563200000000001</v>
      </c>
      <c r="BK52">
        <v>-6.7445700000000004</v>
      </c>
      <c r="BL52">
        <v>810.77599999999995</v>
      </c>
      <c r="BM52">
        <v>815.18100000000004</v>
      </c>
      <c r="BN52">
        <v>2.98665</v>
      </c>
      <c r="BO52">
        <v>799.97199999999998</v>
      </c>
      <c r="BP52">
        <v>18.657299999999999</v>
      </c>
      <c r="BQ52">
        <v>2.14411</v>
      </c>
      <c r="BR52">
        <v>1.8482400000000001</v>
      </c>
      <c r="BS52">
        <v>18.550699999999999</v>
      </c>
      <c r="BT52">
        <v>16.200900000000001</v>
      </c>
      <c r="BU52">
        <v>1799.99</v>
      </c>
      <c r="BV52">
        <v>0.91002000000000005</v>
      </c>
      <c r="BW52">
        <v>3.3997199999999998E-2</v>
      </c>
      <c r="BX52">
        <v>2.19928E-2</v>
      </c>
      <c r="BY52">
        <v>3.3989699999999998E-2</v>
      </c>
      <c r="BZ52">
        <v>25.083300000000001</v>
      </c>
      <c r="CA52">
        <v>33528.400000000001</v>
      </c>
      <c r="CB52">
        <v>1690229084.0999999</v>
      </c>
      <c r="CC52" t="s">
        <v>332</v>
      </c>
      <c r="CD52">
        <v>1690229084.0999999</v>
      </c>
      <c r="CE52">
        <v>1690229076.5999999</v>
      </c>
      <c r="CF52">
        <v>13</v>
      </c>
      <c r="CG52">
        <v>0.23300000000000001</v>
      </c>
      <c r="CH52">
        <v>-0.13100000000000001</v>
      </c>
      <c r="CI52">
        <v>-0.20599999999999999</v>
      </c>
      <c r="CJ52">
        <v>8.7999999999999995E-2</v>
      </c>
      <c r="CK52">
        <v>799</v>
      </c>
      <c r="CL52">
        <v>16</v>
      </c>
      <c r="CM52">
        <v>0.04</v>
      </c>
      <c r="CN52">
        <v>0.04</v>
      </c>
      <c r="CO52">
        <v>-6.6670075000000004</v>
      </c>
      <c r="CP52">
        <v>-0.47723887429641781</v>
      </c>
      <c r="CQ52">
        <v>5.6900755344283391E-2</v>
      </c>
      <c r="CR52">
        <v>-1</v>
      </c>
      <c r="CS52">
        <v>3.152431</v>
      </c>
      <c r="CT52">
        <v>-0.6092877298311572</v>
      </c>
      <c r="CU52">
        <v>7.6218692484193121E-2</v>
      </c>
      <c r="CV52">
        <v>-1</v>
      </c>
      <c r="CW52">
        <v>0</v>
      </c>
      <c r="CX52">
        <v>0</v>
      </c>
      <c r="CY52" t="s">
        <v>333</v>
      </c>
      <c r="CZ52">
        <v>2.36402</v>
      </c>
      <c r="DA52">
        <v>2.7137600000000002</v>
      </c>
      <c r="DB52">
        <v>0.145786</v>
      </c>
      <c r="DC52">
        <v>0.146231</v>
      </c>
      <c r="DD52">
        <v>0.105782</v>
      </c>
      <c r="DE52">
        <v>9.3853300000000001E-2</v>
      </c>
      <c r="DF52">
        <v>31180.5</v>
      </c>
      <c r="DG52">
        <v>27508.400000000001</v>
      </c>
      <c r="DH52">
        <v>31162.9</v>
      </c>
      <c r="DI52">
        <v>28076</v>
      </c>
      <c r="DJ52">
        <v>37837.800000000003</v>
      </c>
      <c r="DK52">
        <v>36179.5</v>
      </c>
      <c r="DL52">
        <v>44348.6</v>
      </c>
      <c r="DM52">
        <v>42559.5</v>
      </c>
      <c r="DN52">
        <v>1.4712000000000001</v>
      </c>
      <c r="DO52">
        <v>2.05002</v>
      </c>
      <c r="DP52">
        <v>0.12331499999999999</v>
      </c>
      <c r="DQ52">
        <v>0.15948699999999999</v>
      </c>
      <c r="DR52">
        <v>25.064399999999999</v>
      </c>
      <c r="DS52">
        <v>24.770700000000001</v>
      </c>
      <c r="DT52">
        <v>56.7</v>
      </c>
      <c r="DU52">
        <v>29.2</v>
      </c>
      <c r="DV52">
        <v>23.2896</v>
      </c>
      <c r="DW52">
        <v>61.5398</v>
      </c>
      <c r="DX52">
        <v>36.298099999999998</v>
      </c>
      <c r="DY52">
        <v>1</v>
      </c>
      <c r="DZ52">
        <v>-5.97409E-2</v>
      </c>
      <c r="EA52">
        <v>2.3142100000000001</v>
      </c>
      <c r="EB52">
        <v>20.170000000000002</v>
      </c>
      <c r="EC52">
        <v>5.2406499999999996</v>
      </c>
      <c r="ED52">
        <v>12.039899999999999</v>
      </c>
      <c r="EE52">
        <v>5.0175000000000001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1.8646199999999999</v>
      </c>
      <c r="EM52">
        <v>1.8692</v>
      </c>
      <c r="EN52">
        <v>1.8672299999999999</v>
      </c>
      <c r="EO52">
        <v>1.8633999999999999</v>
      </c>
      <c r="EP52">
        <v>1.86449</v>
      </c>
      <c r="EQ52">
        <v>1.87015</v>
      </c>
      <c r="ER52">
        <v>1.8694200000000001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-0.20100000000000001</v>
      </c>
      <c r="FG52">
        <v>0.1787</v>
      </c>
      <c r="FH52">
        <v>0.3448811944559278</v>
      </c>
      <c r="FI52">
        <v>-6.1462078757559423E-4</v>
      </c>
      <c r="FJ52">
        <v>-1.8861989874597051E-7</v>
      </c>
      <c r="FK52">
        <v>1.1980462299894961E-10</v>
      </c>
      <c r="FL52">
        <v>0.17862261546663211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16</v>
      </c>
      <c r="FU52">
        <v>16.100000000000001</v>
      </c>
      <c r="FV52">
        <v>1.78955</v>
      </c>
      <c r="FW52">
        <v>2.5854499999999998</v>
      </c>
      <c r="FX52">
        <v>1.5490699999999999</v>
      </c>
      <c r="FY52">
        <v>2.3290999999999999</v>
      </c>
      <c r="FZ52">
        <v>1.50024</v>
      </c>
      <c r="GA52">
        <v>2.3938000000000001</v>
      </c>
      <c r="GB52">
        <v>33.986499999999999</v>
      </c>
      <c r="GC52">
        <v>23.982399999999998</v>
      </c>
      <c r="GD52">
        <v>19</v>
      </c>
      <c r="GE52">
        <v>282.03500000000003</v>
      </c>
      <c r="GF52">
        <v>597.51800000000003</v>
      </c>
      <c r="GG52">
        <v>21.584499999999998</v>
      </c>
      <c r="GH52">
        <v>26.610199999999999</v>
      </c>
      <c r="GI52">
        <v>30.000699999999998</v>
      </c>
      <c r="GJ52">
        <v>26.644300000000001</v>
      </c>
      <c r="GK52">
        <v>26.598600000000001</v>
      </c>
      <c r="GL52">
        <v>35.792400000000001</v>
      </c>
      <c r="GM52">
        <v>29.787199999999999</v>
      </c>
      <c r="GN52">
        <v>99.230800000000002</v>
      </c>
      <c r="GO52">
        <v>21.5669</v>
      </c>
      <c r="GP52">
        <v>800</v>
      </c>
      <c r="GQ52">
        <v>18.747199999999999</v>
      </c>
      <c r="GR52">
        <v>99.709199999999996</v>
      </c>
      <c r="GS52">
        <v>99.555800000000005</v>
      </c>
    </row>
    <row r="53" spans="1:201" x14ac:dyDescent="0.25">
      <c r="A53">
        <v>37</v>
      </c>
      <c r="B53">
        <v>1690230054.5999999</v>
      </c>
      <c r="C53">
        <v>549.5</v>
      </c>
      <c r="D53" t="s">
        <v>407</v>
      </c>
      <c r="E53" t="s">
        <v>408</v>
      </c>
      <c r="F53" t="s">
        <v>330</v>
      </c>
      <c r="H53">
        <v>1690230054.5999999</v>
      </c>
      <c r="I53">
        <f t="shared" si="0"/>
        <v>2.707102680693591E-4</v>
      </c>
      <c r="J53">
        <f t="shared" si="1"/>
        <v>0.27071026806935911</v>
      </c>
      <c r="K53">
        <f t="shared" si="2"/>
        <v>0.44723452653487528</v>
      </c>
      <c r="L53">
        <f t="shared" si="3"/>
        <v>793.05600000000004</v>
      </c>
      <c r="M53">
        <f t="shared" si="4"/>
        <v>729.83530337054287</v>
      </c>
      <c r="N53">
        <f t="shared" si="5"/>
        <v>72.369460049833776</v>
      </c>
      <c r="O53">
        <f t="shared" si="6"/>
        <v>78.638336956608001</v>
      </c>
      <c r="P53">
        <f t="shared" si="7"/>
        <v>1.6595461901889479E-2</v>
      </c>
      <c r="Q53">
        <f t="shared" si="8"/>
        <v>2.1759504608315003</v>
      </c>
      <c r="R53">
        <f t="shared" si="9"/>
        <v>1.6525465647246503E-2</v>
      </c>
      <c r="S53">
        <f t="shared" si="10"/>
        <v>1.0334680221135239E-2</v>
      </c>
      <c r="T53">
        <f t="shared" si="11"/>
        <v>276.11246591333401</v>
      </c>
      <c r="U53">
        <f t="shared" si="12"/>
        <v>27.584542168784772</v>
      </c>
      <c r="V53">
        <f t="shared" si="13"/>
        <v>27.584542168784772</v>
      </c>
      <c r="W53">
        <f t="shared" si="14"/>
        <v>3.7038948630184372</v>
      </c>
      <c r="X53">
        <f t="shared" si="15"/>
        <v>64.814173999230746</v>
      </c>
      <c r="Y53">
        <f t="shared" si="16"/>
        <v>2.1272994112629999</v>
      </c>
      <c r="Z53">
        <f t="shared" si="17"/>
        <v>3.282151541865284</v>
      </c>
      <c r="AA53">
        <f t="shared" si="18"/>
        <v>1.5765954517554372</v>
      </c>
      <c r="AB53">
        <f t="shared" si="19"/>
        <v>-11.938322821858737</v>
      </c>
      <c r="AC53">
        <f t="shared" si="20"/>
        <v>-240.6543551421021</v>
      </c>
      <c r="AD53">
        <f t="shared" si="21"/>
        <v>-23.763333320933469</v>
      </c>
      <c r="AE53">
        <f t="shared" si="22"/>
        <v>-0.24354537156031597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52532.629794774264</v>
      </c>
      <c r="AK53">
        <f t="shared" si="26"/>
        <v>1799.99</v>
      </c>
      <c r="AL53">
        <f t="shared" si="27"/>
        <v>1499.10675858285</v>
      </c>
      <c r="AM53">
        <f t="shared" si="28"/>
        <v>0.83284171500000004</v>
      </c>
      <c r="AN53">
        <f t="shared" si="29"/>
        <v>0.15339666660000001</v>
      </c>
      <c r="AO53">
        <v>31.5</v>
      </c>
      <c r="AP53">
        <v>0.5</v>
      </c>
      <c r="AQ53" t="s">
        <v>331</v>
      </c>
      <c r="AR53">
        <v>2</v>
      </c>
      <c r="AS53">
        <v>1690230054.5999999</v>
      </c>
      <c r="AT53">
        <v>793.05600000000004</v>
      </c>
      <c r="AU53">
        <v>800.00199999999995</v>
      </c>
      <c r="AV53">
        <v>21.453499999999998</v>
      </c>
      <c r="AW53">
        <v>18.6737</v>
      </c>
      <c r="AX53">
        <v>793.25699999999995</v>
      </c>
      <c r="AY53">
        <v>21.274899999999999</v>
      </c>
      <c r="AZ53">
        <v>300.18099999999998</v>
      </c>
      <c r="BA53">
        <v>99.058599999999998</v>
      </c>
      <c r="BB53">
        <v>0.100018</v>
      </c>
      <c r="BC53">
        <v>25.533100000000001</v>
      </c>
      <c r="BD53">
        <v>27.066600000000001</v>
      </c>
      <c r="BE53">
        <v>27.367799999999999</v>
      </c>
      <c r="BF53">
        <v>0</v>
      </c>
      <c r="BG53">
        <v>0</v>
      </c>
      <c r="BH53">
        <v>9979.3799999999992</v>
      </c>
      <c r="BI53">
        <v>1059.46</v>
      </c>
      <c r="BJ53">
        <v>1.40025</v>
      </c>
      <c r="BK53">
        <v>-6.94611</v>
      </c>
      <c r="BL53">
        <v>810.44299999999998</v>
      </c>
      <c r="BM53">
        <v>815.22500000000002</v>
      </c>
      <c r="BN53">
        <v>2.7798799999999999</v>
      </c>
      <c r="BO53">
        <v>800.00199999999995</v>
      </c>
      <c r="BP53">
        <v>18.6737</v>
      </c>
      <c r="BQ53">
        <v>2.1251600000000002</v>
      </c>
      <c r="BR53">
        <v>1.84979</v>
      </c>
      <c r="BS53">
        <v>18.408999999999999</v>
      </c>
      <c r="BT53">
        <v>16.213999999999999</v>
      </c>
      <c r="BU53">
        <v>1799.99</v>
      </c>
      <c r="BV53">
        <v>0.910026</v>
      </c>
      <c r="BW53">
        <v>3.39951E-2</v>
      </c>
      <c r="BX53">
        <v>2.1991500000000001E-2</v>
      </c>
      <c r="BY53">
        <v>3.39876E-2</v>
      </c>
      <c r="BZ53">
        <v>25.041699999999999</v>
      </c>
      <c r="CA53">
        <v>33528.5</v>
      </c>
      <c r="CB53">
        <v>1690229084.0999999</v>
      </c>
      <c r="CC53" t="s">
        <v>332</v>
      </c>
      <c r="CD53">
        <v>1690229084.0999999</v>
      </c>
      <c r="CE53">
        <v>1690229076.5999999</v>
      </c>
      <c r="CF53">
        <v>13</v>
      </c>
      <c r="CG53">
        <v>0.23300000000000001</v>
      </c>
      <c r="CH53">
        <v>-0.13100000000000001</v>
      </c>
      <c r="CI53">
        <v>-0.20599999999999999</v>
      </c>
      <c r="CJ53">
        <v>8.7999999999999995E-2</v>
      </c>
      <c r="CK53">
        <v>799</v>
      </c>
      <c r="CL53">
        <v>16</v>
      </c>
      <c r="CM53">
        <v>0.04</v>
      </c>
      <c r="CN53">
        <v>0.04</v>
      </c>
      <c r="CO53">
        <v>-6.7889322500000002</v>
      </c>
      <c r="CP53">
        <v>-0.94790285178234557</v>
      </c>
      <c r="CQ53">
        <v>0.1085109519008912</v>
      </c>
      <c r="CR53">
        <v>-1</v>
      </c>
      <c r="CS53">
        <v>3.0146484999999998</v>
      </c>
      <c r="CT53">
        <v>-1.206461088180121</v>
      </c>
      <c r="CU53">
        <v>0.11608149302429741</v>
      </c>
      <c r="CV53">
        <v>-1</v>
      </c>
      <c r="CW53">
        <v>0</v>
      </c>
      <c r="CX53">
        <v>0</v>
      </c>
      <c r="CY53" t="s">
        <v>333</v>
      </c>
      <c r="CZ53">
        <v>2.3640599999999998</v>
      </c>
      <c r="DA53">
        <v>2.7137899999999999</v>
      </c>
      <c r="DB53">
        <v>0.145755</v>
      </c>
      <c r="DC53">
        <v>0.146228</v>
      </c>
      <c r="DD53">
        <v>0.105111</v>
      </c>
      <c r="DE53">
        <v>9.3908099999999994E-2</v>
      </c>
      <c r="DF53">
        <v>31181.4</v>
      </c>
      <c r="DG53">
        <v>27508.400000000001</v>
      </c>
      <c r="DH53">
        <v>31162.7</v>
      </c>
      <c r="DI53">
        <v>28075.9</v>
      </c>
      <c r="DJ53">
        <v>37866.1</v>
      </c>
      <c r="DK53">
        <v>36177.4</v>
      </c>
      <c r="DL53">
        <v>44348.3</v>
      </c>
      <c r="DM53">
        <v>42559.5</v>
      </c>
      <c r="DN53">
        <v>1.47113</v>
      </c>
      <c r="DO53">
        <v>2.05002</v>
      </c>
      <c r="DP53">
        <v>0.123657</v>
      </c>
      <c r="DQ53">
        <v>0.15967000000000001</v>
      </c>
      <c r="DR53">
        <v>25.0412</v>
      </c>
      <c r="DS53">
        <v>24.752500000000001</v>
      </c>
      <c r="DT53">
        <v>56.7</v>
      </c>
      <c r="DU53">
        <v>29.2</v>
      </c>
      <c r="DV53">
        <v>23.287700000000001</v>
      </c>
      <c r="DW53">
        <v>61.769799999999996</v>
      </c>
      <c r="DX53">
        <v>35.228400000000001</v>
      </c>
      <c r="DY53">
        <v>1</v>
      </c>
      <c r="DZ53">
        <v>-5.9469000000000001E-2</v>
      </c>
      <c r="EA53">
        <v>2.4642599999999999</v>
      </c>
      <c r="EB53">
        <v>20.164999999999999</v>
      </c>
      <c r="EC53">
        <v>5.2409499999999998</v>
      </c>
      <c r="ED53">
        <v>12.039899999999999</v>
      </c>
      <c r="EE53">
        <v>5.0170500000000002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1.8692</v>
      </c>
      <c r="EN53">
        <v>1.8672299999999999</v>
      </c>
      <c r="EO53">
        <v>1.8633999999999999</v>
      </c>
      <c r="EP53">
        <v>1.86449</v>
      </c>
      <c r="EQ53">
        <v>1.87015</v>
      </c>
      <c r="ER53">
        <v>1.8694200000000001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-0.20100000000000001</v>
      </c>
      <c r="FG53">
        <v>0.17860000000000001</v>
      </c>
      <c r="FH53">
        <v>0.3448811944559278</v>
      </c>
      <c r="FI53">
        <v>-6.1462078757559423E-4</v>
      </c>
      <c r="FJ53">
        <v>-1.8861989874597051E-7</v>
      </c>
      <c r="FK53">
        <v>1.1980462299894961E-10</v>
      </c>
      <c r="FL53">
        <v>0.17862261546663211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16.2</v>
      </c>
      <c r="FU53">
        <v>16.3</v>
      </c>
      <c r="FV53">
        <v>1.79077</v>
      </c>
      <c r="FW53">
        <v>2.5903299999999998</v>
      </c>
      <c r="FX53">
        <v>1.5490699999999999</v>
      </c>
      <c r="FY53">
        <v>2.3290999999999999</v>
      </c>
      <c r="FZ53">
        <v>1.50146</v>
      </c>
      <c r="GA53">
        <v>2.34985</v>
      </c>
      <c r="GB53">
        <v>33.986499999999999</v>
      </c>
      <c r="GC53">
        <v>23.973700000000001</v>
      </c>
      <c r="GD53">
        <v>19</v>
      </c>
      <c r="GE53">
        <v>282.01299999999998</v>
      </c>
      <c r="GF53">
        <v>597.55600000000004</v>
      </c>
      <c r="GG53">
        <v>21.401800000000001</v>
      </c>
      <c r="GH53">
        <v>26.608000000000001</v>
      </c>
      <c r="GI53">
        <v>30.0001</v>
      </c>
      <c r="GJ53">
        <v>26.6465</v>
      </c>
      <c r="GK53">
        <v>26.601900000000001</v>
      </c>
      <c r="GL53">
        <v>35.7913</v>
      </c>
      <c r="GM53">
        <v>29.187899999999999</v>
      </c>
      <c r="GN53">
        <v>99.230800000000002</v>
      </c>
      <c r="GO53">
        <v>21.3903</v>
      </c>
      <c r="GP53">
        <v>800</v>
      </c>
      <c r="GQ53">
        <v>18.830200000000001</v>
      </c>
      <c r="GR53">
        <v>99.708500000000001</v>
      </c>
      <c r="GS53">
        <v>99.555800000000005</v>
      </c>
    </row>
    <row r="54" spans="1:201" x14ac:dyDescent="0.25">
      <c r="A54">
        <v>38</v>
      </c>
      <c r="B54">
        <v>1690230064.5999999</v>
      </c>
      <c r="C54">
        <v>559.5</v>
      </c>
      <c r="D54" t="s">
        <v>409</v>
      </c>
      <c r="E54" t="s">
        <v>410</v>
      </c>
      <c r="F54" t="s">
        <v>330</v>
      </c>
      <c r="H54">
        <v>1690230064.5999999</v>
      </c>
      <c r="I54">
        <f t="shared" si="0"/>
        <v>2.4399764579304841E-4</v>
      </c>
      <c r="J54">
        <f t="shared" si="1"/>
        <v>0.24399764579304842</v>
      </c>
      <c r="K54">
        <f t="shared" si="2"/>
        <v>0.49484951840800673</v>
      </c>
      <c r="L54">
        <f t="shared" si="3"/>
        <v>792.71600000000001</v>
      </c>
      <c r="M54">
        <f t="shared" si="4"/>
        <v>719.43246222250434</v>
      </c>
      <c r="N54">
        <f t="shared" si="5"/>
        <v>71.340412682783068</v>
      </c>
      <c r="O54">
        <f t="shared" si="6"/>
        <v>78.607360037021209</v>
      </c>
      <c r="P54">
        <f t="shared" si="7"/>
        <v>1.4879980342665888E-2</v>
      </c>
      <c r="Q54">
        <f t="shared" si="8"/>
        <v>2.179031400038046</v>
      </c>
      <c r="R54">
        <f t="shared" si="9"/>
        <v>1.4823760022974052E-2</v>
      </c>
      <c r="S54">
        <f t="shared" si="10"/>
        <v>9.2698834069191473E-3</v>
      </c>
      <c r="T54">
        <f t="shared" si="11"/>
        <v>276.115356018</v>
      </c>
      <c r="U54">
        <f t="shared" si="12"/>
        <v>27.5552241303523</v>
      </c>
      <c r="V54">
        <f t="shared" si="13"/>
        <v>27.5552241303523</v>
      </c>
      <c r="W54">
        <f t="shared" si="14"/>
        <v>3.6975495309375135</v>
      </c>
      <c r="X54">
        <f t="shared" si="15"/>
        <v>64.52120396176187</v>
      </c>
      <c r="Y54">
        <f t="shared" si="16"/>
        <v>2.1131734752382103</v>
      </c>
      <c r="Z54">
        <f t="shared" si="17"/>
        <v>3.2751612578255216</v>
      </c>
      <c r="AA54">
        <f t="shared" si="18"/>
        <v>1.5843760556993032</v>
      </c>
      <c r="AB54">
        <f t="shared" si="19"/>
        <v>-10.760296179473436</v>
      </c>
      <c r="AC54">
        <f t="shared" si="20"/>
        <v>-241.76832098219498</v>
      </c>
      <c r="AD54">
        <f t="shared" si="21"/>
        <v>-23.831794329320104</v>
      </c>
      <c r="AE54">
        <f t="shared" si="22"/>
        <v>-0.24505547298852548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52667.168117324451</v>
      </c>
      <c r="AK54">
        <f t="shared" si="26"/>
        <v>1800</v>
      </c>
      <c r="AL54">
        <f t="shared" si="27"/>
        <v>1499.1162227999998</v>
      </c>
      <c r="AM54">
        <f t="shared" si="28"/>
        <v>0.83284234599999996</v>
      </c>
      <c r="AN54">
        <f t="shared" si="29"/>
        <v>0.15339742001000001</v>
      </c>
      <c r="AO54">
        <v>31.5</v>
      </c>
      <c r="AP54">
        <v>0.5</v>
      </c>
      <c r="AQ54" t="s">
        <v>331</v>
      </c>
      <c r="AR54">
        <v>2</v>
      </c>
      <c r="AS54">
        <v>1690230064.5999999</v>
      </c>
      <c r="AT54">
        <v>792.71600000000001</v>
      </c>
      <c r="AU54">
        <v>799.93799999999999</v>
      </c>
      <c r="AV54">
        <v>21.310300000000002</v>
      </c>
      <c r="AW54">
        <v>18.804600000000001</v>
      </c>
      <c r="AX54">
        <v>792.91800000000001</v>
      </c>
      <c r="AY54">
        <v>21.131699999999999</v>
      </c>
      <c r="AZ54">
        <v>300.20100000000002</v>
      </c>
      <c r="BA54">
        <v>99.062100000000001</v>
      </c>
      <c r="BB54">
        <v>9.9970699999999996E-2</v>
      </c>
      <c r="BC54">
        <v>25.497199999999999</v>
      </c>
      <c r="BD54">
        <v>26.9956</v>
      </c>
      <c r="BE54">
        <v>27.354299999999999</v>
      </c>
      <c r="BF54">
        <v>0</v>
      </c>
      <c r="BG54">
        <v>0</v>
      </c>
      <c r="BH54">
        <v>10004.4</v>
      </c>
      <c r="BI54">
        <v>1059.0899999999999</v>
      </c>
      <c r="BJ54">
        <v>1.4016500000000001</v>
      </c>
      <c r="BK54">
        <v>-7.2217399999999996</v>
      </c>
      <c r="BL54">
        <v>809.97699999999998</v>
      </c>
      <c r="BM54">
        <v>815.26900000000001</v>
      </c>
      <c r="BN54">
        <v>2.5056500000000002</v>
      </c>
      <c r="BO54">
        <v>799.93799999999999</v>
      </c>
      <c r="BP54">
        <v>18.804600000000001</v>
      </c>
      <c r="BQ54">
        <v>2.11104</v>
      </c>
      <c r="BR54">
        <v>1.86283</v>
      </c>
      <c r="BS54">
        <v>18.302700000000002</v>
      </c>
      <c r="BT54">
        <v>16.324200000000001</v>
      </c>
      <c r="BU54">
        <v>1800</v>
      </c>
      <c r="BV54">
        <v>0.91001699999999996</v>
      </c>
      <c r="BW54">
        <v>3.3992799999999997E-2</v>
      </c>
      <c r="BX54">
        <v>2.2001300000000001E-2</v>
      </c>
      <c r="BY54">
        <v>3.39893E-2</v>
      </c>
      <c r="BZ54">
        <v>25.083300000000001</v>
      </c>
      <c r="CA54">
        <v>33528.400000000001</v>
      </c>
      <c r="CB54">
        <v>1690229084.0999999</v>
      </c>
      <c r="CC54" t="s">
        <v>332</v>
      </c>
      <c r="CD54">
        <v>1690229084.0999999</v>
      </c>
      <c r="CE54">
        <v>1690229076.5999999</v>
      </c>
      <c r="CF54">
        <v>13</v>
      </c>
      <c r="CG54">
        <v>0.23300000000000001</v>
      </c>
      <c r="CH54">
        <v>-0.13100000000000001</v>
      </c>
      <c r="CI54">
        <v>-0.20599999999999999</v>
      </c>
      <c r="CJ54">
        <v>8.7999999999999995E-2</v>
      </c>
      <c r="CK54">
        <v>799</v>
      </c>
      <c r="CL54">
        <v>16</v>
      </c>
      <c r="CM54">
        <v>0.04</v>
      </c>
      <c r="CN54">
        <v>0.04</v>
      </c>
      <c r="CO54">
        <v>-6.9632646341463413</v>
      </c>
      <c r="CP54">
        <v>-1.1269206271777179</v>
      </c>
      <c r="CQ54">
        <v>0.12731978560048679</v>
      </c>
      <c r="CR54">
        <v>-1</v>
      </c>
      <c r="CS54">
        <v>2.7885175609756101</v>
      </c>
      <c r="CT54">
        <v>-1.4261082229965181</v>
      </c>
      <c r="CU54">
        <v>0.14108889689907389</v>
      </c>
      <c r="CV54">
        <v>-1</v>
      </c>
      <c r="CW54">
        <v>0</v>
      </c>
      <c r="CX54">
        <v>0</v>
      </c>
      <c r="CY54" t="s">
        <v>333</v>
      </c>
      <c r="CZ54">
        <v>2.3641100000000002</v>
      </c>
      <c r="DA54">
        <v>2.7137699999999998</v>
      </c>
      <c r="DB54">
        <v>0.14571400000000001</v>
      </c>
      <c r="DC54">
        <v>0.14622599999999999</v>
      </c>
      <c r="DD54">
        <v>0.10460999999999999</v>
      </c>
      <c r="DE54">
        <v>9.4380099999999995E-2</v>
      </c>
      <c r="DF54">
        <v>31182.7</v>
      </c>
      <c r="DG54">
        <v>27508.400000000001</v>
      </c>
      <c r="DH54">
        <v>31162.5</v>
      </c>
      <c r="DI54">
        <v>28075.9</v>
      </c>
      <c r="DJ54">
        <v>37887.1</v>
      </c>
      <c r="DK54">
        <v>36158.1</v>
      </c>
      <c r="DL54">
        <v>44347.8</v>
      </c>
      <c r="DM54">
        <v>42559.1</v>
      </c>
      <c r="DN54">
        <v>1.47105</v>
      </c>
      <c r="DO54">
        <v>2.05002</v>
      </c>
      <c r="DP54">
        <v>0.12046800000000001</v>
      </c>
      <c r="DQ54">
        <v>0.15989300000000001</v>
      </c>
      <c r="DR54">
        <v>25.022200000000002</v>
      </c>
      <c r="DS54">
        <v>24.735299999999999</v>
      </c>
      <c r="DT54">
        <v>56.7</v>
      </c>
      <c r="DU54">
        <v>29.2</v>
      </c>
      <c r="DV54">
        <v>23.286300000000001</v>
      </c>
      <c r="DW54">
        <v>61.879800000000003</v>
      </c>
      <c r="DX54">
        <v>36.374200000000002</v>
      </c>
      <c r="DY54">
        <v>1</v>
      </c>
      <c r="DZ54">
        <v>-5.93623E-2</v>
      </c>
      <c r="EA54">
        <v>2.4236399999999998</v>
      </c>
      <c r="EB54">
        <v>20.1691</v>
      </c>
      <c r="EC54">
        <v>5.2409499999999998</v>
      </c>
      <c r="ED54">
        <v>12.039899999999999</v>
      </c>
      <c r="EE54">
        <v>5.0175000000000001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1.8646199999999999</v>
      </c>
      <c r="EM54">
        <v>1.8692</v>
      </c>
      <c r="EN54">
        <v>1.8672200000000001</v>
      </c>
      <c r="EO54">
        <v>1.8633999999999999</v>
      </c>
      <c r="EP54">
        <v>1.86449</v>
      </c>
      <c r="EQ54">
        <v>1.8701399999999999</v>
      </c>
      <c r="ER54">
        <v>1.8694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-0.20200000000000001</v>
      </c>
      <c r="FG54">
        <v>0.17860000000000001</v>
      </c>
      <c r="FH54">
        <v>0.3448811944559278</v>
      </c>
      <c r="FI54">
        <v>-6.1462078757559423E-4</v>
      </c>
      <c r="FJ54">
        <v>-1.8861989874597051E-7</v>
      </c>
      <c r="FK54">
        <v>1.1980462299894961E-10</v>
      </c>
      <c r="FL54">
        <v>0.17862261546663211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16.3</v>
      </c>
      <c r="FU54">
        <v>16.5</v>
      </c>
      <c r="FV54">
        <v>1.79077</v>
      </c>
      <c r="FW54">
        <v>2.5830099999999998</v>
      </c>
      <c r="FX54">
        <v>1.5490699999999999</v>
      </c>
      <c r="FY54">
        <v>2.3290999999999999</v>
      </c>
      <c r="FZ54">
        <v>1.50146</v>
      </c>
      <c r="GA54">
        <v>2.36694</v>
      </c>
      <c r="GB54">
        <v>33.986499999999999</v>
      </c>
      <c r="GC54">
        <v>23.982399999999998</v>
      </c>
      <c r="GD54">
        <v>19</v>
      </c>
      <c r="GE54">
        <v>281.98700000000002</v>
      </c>
      <c r="GF54">
        <v>597.59500000000003</v>
      </c>
      <c r="GG54">
        <v>21.258800000000001</v>
      </c>
      <c r="GH54">
        <v>26.6067</v>
      </c>
      <c r="GI54">
        <v>30.0002</v>
      </c>
      <c r="GJ54">
        <v>26.6478</v>
      </c>
      <c r="GK54">
        <v>26.6053</v>
      </c>
      <c r="GL54">
        <v>35.796900000000001</v>
      </c>
      <c r="GM54">
        <v>28.615200000000002</v>
      </c>
      <c r="GN54">
        <v>99.230800000000002</v>
      </c>
      <c r="GO54">
        <v>21.257999999999999</v>
      </c>
      <c r="GP54">
        <v>800</v>
      </c>
      <c r="GQ54">
        <v>18.940899999999999</v>
      </c>
      <c r="GR54">
        <v>99.707499999999996</v>
      </c>
      <c r="GS54">
        <v>99.555099999999996</v>
      </c>
    </row>
    <row r="55" spans="1:201" x14ac:dyDescent="0.25">
      <c r="A55">
        <v>39</v>
      </c>
      <c r="B55">
        <v>1690230074.5999999</v>
      </c>
      <c r="C55">
        <v>569.5</v>
      </c>
      <c r="D55" t="s">
        <v>411</v>
      </c>
      <c r="E55" t="s">
        <v>412</v>
      </c>
      <c r="F55" t="s">
        <v>330</v>
      </c>
      <c r="H55">
        <v>1690230074.5999999</v>
      </c>
      <c r="I55">
        <f t="shared" si="0"/>
        <v>2.2616707442814818E-4</v>
      </c>
      <c r="J55">
        <f t="shared" si="1"/>
        <v>0.22616707442814818</v>
      </c>
      <c r="K55">
        <f t="shared" si="2"/>
        <v>0.54284707702513568</v>
      </c>
      <c r="L55">
        <f t="shared" si="3"/>
        <v>792.399</v>
      </c>
      <c r="M55">
        <f t="shared" si="4"/>
        <v>709.3355859953507</v>
      </c>
      <c r="N55">
        <f t="shared" si="5"/>
        <v>70.3371394499991</v>
      </c>
      <c r="O55">
        <f t="shared" si="6"/>
        <v>78.573639985693802</v>
      </c>
      <c r="P55">
        <f t="shared" si="7"/>
        <v>1.3768989004521401E-2</v>
      </c>
      <c r="Q55">
        <f t="shared" si="8"/>
        <v>2.1771728678668838</v>
      </c>
      <c r="R55">
        <f t="shared" si="9"/>
        <v>1.3720794872754139E-2</v>
      </c>
      <c r="S55">
        <f t="shared" si="10"/>
        <v>8.5798127190668105E-3</v>
      </c>
      <c r="T55">
        <f t="shared" si="11"/>
        <v>276.11655870599998</v>
      </c>
      <c r="U55">
        <f t="shared" si="12"/>
        <v>27.531495475390123</v>
      </c>
      <c r="V55">
        <f t="shared" si="13"/>
        <v>27.531495475390123</v>
      </c>
      <c r="W55">
        <f t="shared" si="14"/>
        <v>3.6924208625997954</v>
      </c>
      <c r="X55">
        <f t="shared" si="15"/>
        <v>64.413887145158697</v>
      </c>
      <c r="Y55">
        <f t="shared" si="16"/>
        <v>2.1057147303873402</v>
      </c>
      <c r="Z55">
        <f t="shared" si="17"/>
        <v>3.269038438313848</v>
      </c>
      <c r="AA55">
        <f t="shared" si="18"/>
        <v>1.5867061322124552</v>
      </c>
      <c r="AB55">
        <f t="shared" si="19"/>
        <v>-9.9739679822813354</v>
      </c>
      <c r="AC55">
        <f t="shared" si="20"/>
        <v>-242.47428015776063</v>
      </c>
      <c r="AD55">
        <f t="shared" si="21"/>
        <v>-23.915172541146596</v>
      </c>
      <c r="AE55">
        <f t="shared" si="22"/>
        <v>-0.24686197518857966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52595.331154087267</v>
      </c>
      <c r="AK55">
        <f t="shared" si="26"/>
        <v>1800</v>
      </c>
      <c r="AL55">
        <f t="shared" si="27"/>
        <v>1499.1128855999998</v>
      </c>
      <c r="AM55">
        <f t="shared" si="28"/>
        <v>0.83284049199999988</v>
      </c>
      <c r="AN55">
        <f t="shared" si="29"/>
        <v>0.15339808817</v>
      </c>
      <c r="AO55">
        <v>31.5</v>
      </c>
      <c r="AP55">
        <v>0.5</v>
      </c>
      <c r="AQ55" t="s">
        <v>331</v>
      </c>
      <c r="AR55">
        <v>2</v>
      </c>
      <c r="AS55">
        <v>1690230074.5999999</v>
      </c>
      <c r="AT55">
        <v>792.399</v>
      </c>
      <c r="AU55">
        <v>799.976</v>
      </c>
      <c r="AV55">
        <v>21.235700000000001</v>
      </c>
      <c r="AW55">
        <v>18.912800000000001</v>
      </c>
      <c r="AX55">
        <v>792.6</v>
      </c>
      <c r="AY55">
        <v>21.056999999999999</v>
      </c>
      <c r="AZ55">
        <v>300.18400000000003</v>
      </c>
      <c r="BA55">
        <v>99.059200000000004</v>
      </c>
      <c r="BB55">
        <v>9.9986199999999997E-2</v>
      </c>
      <c r="BC55">
        <v>25.465699999999998</v>
      </c>
      <c r="BD55">
        <v>26.9803</v>
      </c>
      <c r="BE55">
        <v>27.315799999999999</v>
      </c>
      <c r="BF55">
        <v>0</v>
      </c>
      <c r="BG55">
        <v>0</v>
      </c>
      <c r="BH55">
        <v>9989.3799999999992</v>
      </c>
      <c r="BI55">
        <v>1058.8699999999999</v>
      </c>
      <c r="BJ55">
        <v>1.4016500000000001</v>
      </c>
      <c r="BK55">
        <v>-7.5772700000000004</v>
      </c>
      <c r="BL55">
        <v>809.59100000000001</v>
      </c>
      <c r="BM55">
        <v>815.39700000000005</v>
      </c>
      <c r="BN55">
        <v>2.32281</v>
      </c>
      <c r="BO55">
        <v>799.976</v>
      </c>
      <c r="BP55">
        <v>18.912800000000001</v>
      </c>
      <c r="BQ55">
        <v>2.1035900000000001</v>
      </c>
      <c r="BR55">
        <v>1.8734900000000001</v>
      </c>
      <c r="BS55">
        <v>18.246400000000001</v>
      </c>
      <c r="BT55">
        <v>16.413799999999998</v>
      </c>
      <c r="BU55">
        <v>1800</v>
      </c>
      <c r="BV55">
        <v>0.90998699999999999</v>
      </c>
      <c r="BW55">
        <v>3.3990100000000002E-2</v>
      </c>
      <c r="BX55">
        <v>2.20091E-2</v>
      </c>
      <c r="BY55">
        <v>3.40139E-2</v>
      </c>
      <c r="BZ55">
        <v>25.208300000000001</v>
      </c>
      <c r="CA55">
        <v>33528.300000000003</v>
      </c>
      <c r="CB55">
        <v>1690229084.0999999</v>
      </c>
      <c r="CC55" t="s">
        <v>332</v>
      </c>
      <c r="CD55">
        <v>1690229084.0999999</v>
      </c>
      <c r="CE55">
        <v>1690229076.5999999</v>
      </c>
      <c r="CF55">
        <v>13</v>
      </c>
      <c r="CG55">
        <v>0.23300000000000001</v>
      </c>
      <c r="CH55">
        <v>-0.13100000000000001</v>
      </c>
      <c r="CI55">
        <v>-0.20599999999999999</v>
      </c>
      <c r="CJ55">
        <v>8.7999999999999995E-2</v>
      </c>
      <c r="CK55">
        <v>799</v>
      </c>
      <c r="CL55">
        <v>16</v>
      </c>
      <c r="CM55">
        <v>0.04</v>
      </c>
      <c r="CN55">
        <v>0.04</v>
      </c>
      <c r="CO55">
        <v>-7.1852482500000008</v>
      </c>
      <c r="CP55">
        <v>-1.7657366228892999</v>
      </c>
      <c r="CQ55">
        <v>0.17314772380668911</v>
      </c>
      <c r="CR55">
        <v>-1</v>
      </c>
      <c r="CS55">
        <v>2.5542365</v>
      </c>
      <c r="CT55">
        <v>-1.4342562101313321</v>
      </c>
      <c r="CU55">
        <v>0.13871815806789681</v>
      </c>
      <c r="CV55">
        <v>-1</v>
      </c>
      <c r="CW55">
        <v>0</v>
      </c>
      <c r="CX55">
        <v>0</v>
      </c>
      <c r="CY55" t="s">
        <v>333</v>
      </c>
      <c r="CZ55">
        <v>2.3640500000000002</v>
      </c>
      <c r="DA55">
        <v>2.7137699999999998</v>
      </c>
      <c r="DB55">
        <v>0.14566899999999999</v>
      </c>
      <c r="DC55">
        <v>0.146228</v>
      </c>
      <c r="DD55">
        <v>0.10434400000000001</v>
      </c>
      <c r="DE55">
        <v>9.4764299999999996E-2</v>
      </c>
      <c r="DF55">
        <v>31184</v>
      </c>
      <c r="DG55">
        <v>27508.400000000001</v>
      </c>
      <c r="DH55">
        <v>31162.2</v>
      </c>
      <c r="DI55">
        <v>28075.9</v>
      </c>
      <c r="DJ55">
        <v>37898.300000000003</v>
      </c>
      <c r="DK55">
        <v>36142.9</v>
      </c>
      <c r="DL55">
        <v>44347.6</v>
      </c>
      <c r="DM55">
        <v>42559.3</v>
      </c>
      <c r="DN55">
        <v>1.47078</v>
      </c>
      <c r="DO55">
        <v>2.05023</v>
      </c>
      <c r="DP55">
        <v>0.120819</v>
      </c>
      <c r="DQ55">
        <v>0.158552</v>
      </c>
      <c r="DR55">
        <v>25.001200000000001</v>
      </c>
      <c r="DS55">
        <v>24.718599999999999</v>
      </c>
      <c r="DT55">
        <v>56.7</v>
      </c>
      <c r="DU55">
        <v>29.2</v>
      </c>
      <c r="DV55">
        <v>23.288499999999999</v>
      </c>
      <c r="DW55">
        <v>62.049799999999998</v>
      </c>
      <c r="DX55">
        <v>35.144199999999998</v>
      </c>
      <c r="DY55">
        <v>1</v>
      </c>
      <c r="DZ55">
        <v>-5.9883100000000002E-2</v>
      </c>
      <c r="EA55">
        <v>2.09388</v>
      </c>
      <c r="EB55">
        <v>20.1739</v>
      </c>
      <c r="EC55">
        <v>5.2406499999999996</v>
      </c>
      <c r="ED55">
        <v>12.039899999999999</v>
      </c>
      <c r="EE55">
        <v>5.0173500000000004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1.86463</v>
      </c>
      <c r="EM55">
        <v>1.8692</v>
      </c>
      <c r="EN55">
        <v>1.8672299999999999</v>
      </c>
      <c r="EO55">
        <v>1.8633999999999999</v>
      </c>
      <c r="EP55">
        <v>1.86449</v>
      </c>
      <c r="EQ55">
        <v>1.87016</v>
      </c>
      <c r="ER55">
        <v>1.8694200000000001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-0.20100000000000001</v>
      </c>
      <c r="FG55">
        <v>0.1787</v>
      </c>
      <c r="FH55">
        <v>0.3448811944559278</v>
      </c>
      <c r="FI55">
        <v>-6.1462078757559423E-4</v>
      </c>
      <c r="FJ55">
        <v>-1.8861989874597051E-7</v>
      </c>
      <c r="FK55">
        <v>1.1980462299894961E-10</v>
      </c>
      <c r="FL55">
        <v>0.17862261546663211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16.5</v>
      </c>
      <c r="FU55">
        <v>16.600000000000001</v>
      </c>
      <c r="FV55">
        <v>1.79077</v>
      </c>
      <c r="FW55">
        <v>2.5854499999999998</v>
      </c>
      <c r="FX55">
        <v>1.5490699999999999</v>
      </c>
      <c r="FY55">
        <v>2.3290999999999999</v>
      </c>
      <c r="FZ55">
        <v>1.50146</v>
      </c>
      <c r="GA55">
        <v>2.4047900000000002</v>
      </c>
      <c r="GB55">
        <v>33.986499999999999</v>
      </c>
      <c r="GC55">
        <v>23.982399999999998</v>
      </c>
      <c r="GD55">
        <v>19</v>
      </c>
      <c r="GE55">
        <v>281.87900000000002</v>
      </c>
      <c r="GF55">
        <v>597.79600000000005</v>
      </c>
      <c r="GG55">
        <v>21.214099999999998</v>
      </c>
      <c r="GH55">
        <v>26.605499999999999</v>
      </c>
      <c r="GI55">
        <v>29.9998</v>
      </c>
      <c r="GJ55">
        <v>26.650099999999998</v>
      </c>
      <c r="GK55">
        <v>26.6081</v>
      </c>
      <c r="GL55">
        <v>35.802</v>
      </c>
      <c r="GM55">
        <v>28.0396</v>
      </c>
      <c r="GN55">
        <v>99.230800000000002</v>
      </c>
      <c r="GO55">
        <v>21.2379</v>
      </c>
      <c r="GP55">
        <v>800</v>
      </c>
      <c r="GQ55">
        <v>19.02</v>
      </c>
      <c r="GR55">
        <v>99.706900000000005</v>
      </c>
      <c r="GS55">
        <v>99.555499999999995</v>
      </c>
    </row>
    <row r="56" spans="1:201" x14ac:dyDescent="0.25">
      <c r="A56">
        <v>40</v>
      </c>
      <c r="B56">
        <v>1690230084.5999999</v>
      </c>
      <c r="C56">
        <v>579.5</v>
      </c>
      <c r="D56" t="s">
        <v>413</v>
      </c>
      <c r="E56" t="s">
        <v>414</v>
      </c>
      <c r="F56" t="s">
        <v>330</v>
      </c>
      <c r="H56">
        <v>1690230084.5999999</v>
      </c>
      <c r="I56">
        <f t="shared" si="0"/>
        <v>2.2280161785975512E-4</v>
      </c>
      <c r="J56">
        <f t="shared" si="1"/>
        <v>0.22280161785975514</v>
      </c>
      <c r="K56">
        <f t="shared" si="2"/>
        <v>0.5818150220843612</v>
      </c>
      <c r="L56">
        <f t="shared" si="3"/>
        <v>791.976</v>
      </c>
      <c r="M56">
        <f t="shared" si="4"/>
        <v>703.80579332985519</v>
      </c>
      <c r="N56">
        <f t="shared" si="5"/>
        <v>69.789742815154639</v>
      </c>
      <c r="O56">
        <f t="shared" si="6"/>
        <v>78.53274565171202</v>
      </c>
      <c r="P56">
        <f t="shared" si="7"/>
        <v>1.3622209088289903E-2</v>
      </c>
      <c r="Q56">
        <f t="shared" si="8"/>
        <v>2.1799211889085028</v>
      </c>
      <c r="R56">
        <f t="shared" si="9"/>
        <v>1.3575094348032555E-2</v>
      </c>
      <c r="S56">
        <f t="shared" si="10"/>
        <v>8.4886533910929398E-3</v>
      </c>
      <c r="T56">
        <f t="shared" si="11"/>
        <v>276.11660663999999</v>
      </c>
      <c r="U56">
        <f t="shared" si="12"/>
        <v>27.507914732000479</v>
      </c>
      <c r="V56">
        <f t="shared" si="13"/>
        <v>27.507914732000479</v>
      </c>
      <c r="W56">
        <f t="shared" si="14"/>
        <v>3.6873303146932157</v>
      </c>
      <c r="X56">
        <f t="shared" si="15"/>
        <v>64.551563727150963</v>
      </c>
      <c r="Y56">
        <f t="shared" si="16"/>
        <v>2.1074087812800002</v>
      </c>
      <c r="Z56">
        <f t="shared" si="17"/>
        <v>3.2646905196405105</v>
      </c>
      <c r="AA56">
        <f t="shared" si="18"/>
        <v>1.5799215334132155</v>
      </c>
      <c r="AB56">
        <f t="shared" si="19"/>
        <v>-9.8255513476152014</v>
      </c>
      <c r="AC56">
        <f t="shared" si="20"/>
        <v>-242.64159829459925</v>
      </c>
      <c r="AD56">
        <f t="shared" si="21"/>
        <v>-23.895999281890649</v>
      </c>
      <c r="AE56">
        <f t="shared" si="22"/>
        <v>-0.24654228410511791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52713.696328478269</v>
      </c>
      <c r="AK56">
        <f t="shared" si="26"/>
        <v>1800</v>
      </c>
      <c r="AL56">
        <f t="shared" si="27"/>
        <v>1499.1078599999998</v>
      </c>
      <c r="AM56">
        <f t="shared" si="28"/>
        <v>0.8328376999999999</v>
      </c>
      <c r="AN56">
        <f t="shared" si="29"/>
        <v>0.15339811479999999</v>
      </c>
      <c r="AO56">
        <v>31.5</v>
      </c>
      <c r="AP56">
        <v>0.5</v>
      </c>
      <c r="AQ56" t="s">
        <v>331</v>
      </c>
      <c r="AR56">
        <v>2</v>
      </c>
      <c r="AS56">
        <v>1690230084.5999999</v>
      </c>
      <c r="AT56">
        <v>791.976</v>
      </c>
      <c r="AU56">
        <v>799.93399999999997</v>
      </c>
      <c r="AV56">
        <v>21.252500000000001</v>
      </c>
      <c r="AW56">
        <v>18.963899999999999</v>
      </c>
      <c r="AX56">
        <v>792.17700000000002</v>
      </c>
      <c r="AY56">
        <v>21.073899999999998</v>
      </c>
      <c r="AZ56">
        <v>300.14400000000001</v>
      </c>
      <c r="BA56">
        <v>99.060500000000005</v>
      </c>
      <c r="BB56">
        <v>0.100012</v>
      </c>
      <c r="BC56">
        <v>25.443300000000001</v>
      </c>
      <c r="BD56">
        <v>26.9222</v>
      </c>
      <c r="BE56">
        <v>27.2654</v>
      </c>
      <c r="BF56">
        <v>0</v>
      </c>
      <c r="BG56">
        <v>0</v>
      </c>
      <c r="BH56">
        <v>10011.9</v>
      </c>
      <c r="BI56">
        <v>1058.44</v>
      </c>
      <c r="BJ56">
        <v>1.4016500000000001</v>
      </c>
      <c r="BK56">
        <v>-7.9584999999999999</v>
      </c>
      <c r="BL56">
        <v>809.173</v>
      </c>
      <c r="BM56">
        <v>815.39700000000005</v>
      </c>
      <c r="BN56">
        <v>2.2886899999999999</v>
      </c>
      <c r="BO56">
        <v>799.93399999999997</v>
      </c>
      <c r="BP56">
        <v>18.963899999999999</v>
      </c>
      <c r="BQ56">
        <v>2.1052900000000001</v>
      </c>
      <c r="BR56">
        <v>1.8785700000000001</v>
      </c>
      <c r="BS56">
        <v>18.2592</v>
      </c>
      <c r="BT56">
        <v>16.456399999999999</v>
      </c>
      <c r="BU56">
        <v>1800</v>
      </c>
      <c r="BV56">
        <v>0.90997099999999997</v>
      </c>
      <c r="BW56">
        <v>3.4008499999999997E-2</v>
      </c>
      <c r="BX56">
        <v>2.2008E-2</v>
      </c>
      <c r="BY56">
        <v>3.4012199999999999E-2</v>
      </c>
      <c r="BZ56">
        <v>25.041699999999999</v>
      </c>
      <c r="CA56">
        <v>33528.1</v>
      </c>
      <c r="CB56">
        <v>1690229084.0999999</v>
      </c>
      <c r="CC56" t="s">
        <v>332</v>
      </c>
      <c r="CD56">
        <v>1690229084.0999999</v>
      </c>
      <c r="CE56">
        <v>1690229076.5999999</v>
      </c>
      <c r="CF56">
        <v>13</v>
      </c>
      <c r="CG56">
        <v>0.23300000000000001</v>
      </c>
      <c r="CH56">
        <v>-0.13100000000000001</v>
      </c>
      <c r="CI56">
        <v>-0.20599999999999999</v>
      </c>
      <c r="CJ56">
        <v>8.7999999999999995E-2</v>
      </c>
      <c r="CK56">
        <v>799</v>
      </c>
      <c r="CL56">
        <v>16</v>
      </c>
      <c r="CM56">
        <v>0.04</v>
      </c>
      <c r="CN56">
        <v>0.04</v>
      </c>
      <c r="CO56">
        <v>-7.5377727499999994</v>
      </c>
      <c r="CP56">
        <v>-2.406047842401501</v>
      </c>
      <c r="CQ56">
        <v>0.23286921746967229</v>
      </c>
      <c r="CR56">
        <v>-1</v>
      </c>
      <c r="CS56">
        <v>2.3583182499999999</v>
      </c>
      <c r="CT56">
        <v>-0.85369001876172712</v>
      </c>
      <c r="CU56">
        <v>8.4875733012666793E-2</v>
      </c>
      <c r="CV56">
        <v>-1</v>
      </c>
      <c r="CW56">
        <v>0</v>
      </c>
      <c r="CX56">
        <v>0</v>
      </c>
      <c r="CY56" t="s">
        <v>333</v>
      </c>
      <c r="CZ56">
        <v>2.3639299999999999</v>
      </c>
      <c r="DA56">
        <v>2.7138100000000001</v>
      </c>
      <c r="DB56">
        <v>0.145619</v>
      </c>
      <c r="DC56">
        <v>0.14622499999999999</v>
      </c>
      <c r="DD56">
        <v>0.104405</v>
      </c>
      <c r="DE56">
        <v>9.4947799999999999E-2</v>
      </c>
      <c r="DF56">
        <v>31186.2</v>
      </c>
      <c r="DG56">
        <v>27508.7</v>
      </c>
      <c r="DH56">
        <v>31162.5</v>
      </c>
      <c r="DI56">
        <v>28076.1</v>
      </c>
      <c r="DJ56">
        <v>37896</v>
      </c>
      <c r="DK56">
        <v>36135.9</v>
      </c>
      <c r="DL56">
        <v>44348.1</v>
      </c>
      <c r="DM56">
        <v>42559.6</v>
      </c>
      <c r="DN56">
        <v>1.4713700000000001</v>
      </c>
      <c r="DO56">
        <v>2.0501800000000001</v>
      </c>
      <c r="DP56">
        <v>0.118546</v>
      </c>
      <c r="DQ56">
        <v>0.15673400000000001</v>
      </c>
      <c r="DR56">
        <v>24.9801</v>
      </c>
      <c r="DS56">
        <v>24.697900000000001</v>
      </c>
      <c r="DT56">
        <v>56.7</v>
      </c>
      <c r="DU56">
        <v>29.2</v>
      </c>
      <c r="DV56">
        <v>23.290099999999999</v>
      </c>
      <c r="DW56">
        <v>61.769799999999996</v>
      </c>
      <c r="DX56">
        <v>36.041699999999999</v>
      </c>
      <c r="DY56">
        <v>1</v>
      </c>
      <c r="DZ56">
        <v>-6.1598100000000003E-2</v>
      </c>
      <c r="EA56">
        <v>1.3969800000000001</v>
      </c>
      <c r="EB56">
        <v>20.182500000000001</v>
      </c>
      <c r="EC56">
        <v>5.2409499999999998</v>
      </c>
      <c r="ED56">
        <v>12.039899999999999</v>
      </c>
      <c r="EE56">
        <v>5.0172999999999996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1.8646400000000001</v>
      </c>
      <c r="EM56">
        <v>1.8691899999999999</v>
      </c>
      <c r="EN56">
        <v>1.8672299999999999</v>
      </c>
      <c r="EO56">
        <v>1.8633999999999999</v>
      </c>
      <c r="EP56">
        <v>1.8644799999999999</v>
      </c>
      <c r="EQ56">
        <v>1.8701399999999999</v>
      </c>
      <c r="ER56">
        <v>1.86941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-0.20100000000000001</v>
      </c>
      <c r="FG56">
        <v>0.17860000000000001</v>
      </c>
      <c r="FH56">
        <v>0.3448811944559278</v>
      </c>
      <c r="FI56">
        <v>-6.1462078757559423E-4</v>
      </c>
      <c r="FJ56">
        <v>-1.8861989874597051E-7</v>
      </c>
      <c r="FK56">
        <v>1.1980462299894961E-10</v>
      </c>
      <c r="FL56">
        <v>0.17862261546663211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16.7</v>
      </c>
      <c r="FU56">
        <v>16.8</v>
      </c>
      <c r="FV56">
        <v>1.79077</v>
      </c>
      <c r="FW56">
        <v>2.5866699999999998</v>
      </c>
      <c r="FX56">
        <v>1.5490699999999999</v>
      </c>
      <c r="FY56">
        <v>2.3290999999999999</v>
      </c>
      <c r="FZ56">
        <v>1.50146</v>
      </c>
      <c r="GA56">
        <v>2.2741699999999998</v>
      </c>
      <c r="GB56">
        <v>33.986499999999999</v>
      </c>
      <c r="GC56">
        <v>23.982399999999998</v>
      </c>
      <c r="GD56">
        <v>19</v>
      </c>
      <c r="GE56">
        <v>282.14699999999999</v>
      </c>
      <c r="GF56">
        <v>597.78499999999997</v>
      </c>
      <c r="GG56">
        <v>21.4909</v>
      </c>
      <c r="GH56">
        <v>26.602699999999999</v>
      </c>
      <c r="GI56">
        <v>29.999600000000001</v>
      </c>
      <c r="GJ56">
        <v>26.652899999999999</v>
      </c>
      <c r="GK56">
        <v>26.610800000000001</v>
      </c>
      <c r="GL56">
        <v>35.803699999999999</v>
      </c>
      <c r="GM56">
        <v>27.759699999999999</v>
      </c>
      <c r="GN56">
        <v>99.230800000000002</v>
      </c>
      <c r="GO56">
        <v>21.497299999999999</v>
      </c>
      <c r="GP56">
        <v>800</v>
      </c>
      <c r="GQ56">
        <v>19.034400000000002</v>
      </c>
      <c r="GR56">
        <v>99.707899999999995</v>
      </c>
      <c r="GS56">
        <v>99.556200000000004</v>
      </c>
    </row>
    <row r="57" spans="1:201" x14ac:dyDescent="0.25">
      <c r="A57">
        <v>41</v>
      </c>
      <c r="B57">
        <v>1690230094.5999999</v>
      </c>
      <c r="C57">
        <v>589.5</v>
      </c>
      <c r="D57" t="s">
        <v>415</v>
      </c>
      <c r="E57" t="s">
        <v>416</v>
      </c>
      <c r="F57" t="s">
        <v>330</v>
      </c>
      <c r="H57">
        <v>1690230094.5999999</v>
      </c>
      <c r="I57">
        <f t="shared" si="0"/>
        <v>2.2364201180765942E-4</v>
      </c>
      <c r="J57">
        <f t="shared" si="1"/>
        <v>0.22364201180765941</v>
      </c>
      <c r="K57">
        <f t="shared" si="2"/>
        <v>0.6339277392314614</v>
      </c>
      <c r="L57">
        <f t="shared" si="3"/>
        <v>791.53499999999997</v>
      </c>
      <c r="M57">
        <f t="shared" si="4"/>
        <v>697.81007813017322</v>
      </c>
      <c r="N57">
        <f t="shared" si="5"/>
        <v>69.194926199926812</v>
      </c>
      <c r="O57">
        <f t="shared" si="6"/>
        <v>78.488700043454998</v>
      </c>
      <c r="P57">
        <f t="shared" si="7"/>
        <v>1.3705846969815819E-2</v>
      </c>
      <c r="Q57">
        <f t="shared" si="8"/>
        <v>2.179152443430183</v>
      </c>
      <c r="R57">
        <f t="shared" si="9"/>
        <v>1.365813623314735E-2</v>
      </c>
      <c r="S57">
        <f t="shared" si="10"/>
        <v>8.5406078558022559E-3</v>
      </c>
      <c r="T57">
        <f t="shared" si="11"/>
        <v>276.11493166563531</v>
      </c>
      <c r="U57">
        <f t="shared" si="12"/>
        <v>27.51546466087493</v>
      </c>
      <c r="V57">
        <f t="shared" si="13"/>
        <v>27.51546466087493</v>
      </c>
      <c r="W57">
        <f t="shared" si="14"/>
        <v>3.6889595062181124</v>
      </c>
      <c r="X57">
        <f t="shared" si="15"/>
        <v>64.688551266915923</v>
      </c>
      <c r="Y57">
        <f t="shared" si="16"/>
        <v>2.1127846956684002</v>
      </c>
      <c r="Z57">
        <f t="shared" si="17"/>
        <v>3.2660875136168879</v>
      </c>
      <c r="AA57">
        <f t="shared" si="18"/>
        <v>1.5761748105497122</v>
      </c>
      <c r="AB57">
        <f t="shared" si="19"/>
        <v>-9.8626127207177809</v>
      </c>
      <c r="AC57">
        <f t="shared" si="20"/>
        <v>-242.59714165730108</v>
      </c>
      <c r="AD57">
        <f t="shared" si="21"/>
        <v>-23.901815216155871</v>
      </c>
      <c r="AE57">
        <f t="shared" si="22"/>
        <v>-0.24663792853942823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52680.40484904476</v>
      </c>
      <c r="AK57">
        <f t="shared" si="26"/>
        <v>1799.99</v>
      </c>
      <c r="AL57">
        <f t="shared" si="27"/>
        <v>1499.1009302152299</v>
      </c>
      <c r="AM57">
        <f t="shared" si="28"/>
        <v>0.83283847700000002</v>
      </c>
      <c r="AN57">
        <f t="shared" si="29"/>
        <v>0.15339803647</v>
      </c>
      <c r="AO57">
        <v>31.5</v>
      </c>
      <c r="AP57">
        <v>0.5</v>
      </c>
      <c r="AQ57" t="s">
        <v>331</v>
      </c>
      <c r="AR57">
        <v>2</v>
      </c>
      <c r="AS57">
        <v>1690230094.5999999</v>
      </c>
      <c r="AT57">
        <v>791.53499999999997</v>
      </c>
      <c r="AU57">
        <v>800.04399999999998</v>
      </c>
      <c r="AV57">
        <v>21.306799999999999</v>
      </c>
      <c r="AW57">
        <v>19.010200000000001</v>
      </c>
      <c r="AX57">
        <v>791.73599999999999</v>
      </c>
      <c r="AY57">
        <v>21.1282</v>
      </c>
      <c r="AZ57">
        <v>300.20999999999998</v>
      </c>
      <c r="BA57">
        <v>99.060100000000006</v>
      </c>
      <c r="BB57">
        <v>0.100013</v>
      </c>
      <c r="BC57">
        <v>25.450500000000002</v>
      </c>
      <c r="BD57">
        <v>26.930900000000001</v>
      </c>
      <c r="BE57">
        <v>27.286999999999999</v>
      </c>
      <c r="BF57">
        <v>0</v>
      </c>
      <c r="BG57">
        <v>0</v>
      </c>
      <c r="BH57">
        <v>10005.6</v>
      </c>
      <c r="BI57">
        <v>1058.24</v>
      </c>
      <c r="BJ57">
        <v>1.4016500000000001</v>
      </c>
      <c r="BK57">
        <v>-8.5084199999999992</v>
      </c>
      <c r="BL57">
        <v>808.76800000000003</v>
      </c>
      <c r="BM57">
        <v>815.548</v>
      </c>
      <c r="BN57">
        <v>2.2965900000000001</v>
      </c>
      <c r="BO57">
        <v>800.04399999999998</v>
      </c>
      <c r="BP57">
        <v>19.010200000000001</v>
      </c>
      <c r="BQ57">
        <v>2.1106500000000001</v>
      </c>
      <c r="BR57">
        <v>1.8831500000000001</v>
      </c>
      <c r="BS57">
        <v>18.299800000000001</v>
      </c>
      <c r="BT57">
        <v>16.494599999999998</v>
      </c>
      <c r="BU57">
        <v>1799.99</v>
      </c>
      <c r="BV57">
        <v>0.90997700000000004</v>
      </c>
      <c r="BW57">
        <v>3.4006399999999999E-2</v>
      </c>
      <c r="BX57">
        <v>2.2006600000000001E-2</v>
      </c>
      <c r="BY57">
        <v>3.4010100000000001E-2</v>
      </c>
      <c r="BZ57">
        <v>25</v>
      </c>
      <c r="CA57">
        <v>33528.1</v>
      </c>
      <c r="CB57">
        <v>1690229084.0999999</v>
      </c>
      <c r="CC57" t="s">
        <v>332</v>
      </c>
      <c r="CD57">
        <v>1690229084.0999999</v>
      </c>
      <c r="CE57">
        <v>1690229076.5999999</v>
      </c>
      <c r="CF57">
        <v>13</v>
      </c>
      <c r="CG57">
        <v>0.23300000000000001</v>
      </c>
      <c r="CH57">
        <v>-0.13100000000000001</v>
      </c>
      <c r="CI57">
        <v>-0.20599999999999999</v>
      </c>
      <c r="CJ57">
        <v>8.7999999999999995E-2</v>
      </c>
      <c r="CK57">
        <v>799</v>
      </c>
      <c r="CL57">
        <v>16</v>
      </c>
      <c r="CM57">
        <v>0.04</v>
      </c>
      <c r="CN57">
        <v>0.04</v>
      </c>
      <c r="CO57">
        <v>-7.9652904878048778</v>
      </c>
      <c r="CP57">
        <v>-2.643471219512183</v>
      </c>
      <c r="CQ57">
        <v>0.26262727913547651</v>
      </c>
      <c r="CR57">
        <v>-1</v>
      </c>
      <c r="CS57">
        <v>2.2842668292682919</v>
      </c>
      <c r="CT57">
        <v>-4.1852195121950618E-2</v>
      </c>
      <c r="CU57">
        <v>1.7316611148079079E-2</v>
      </c>
      <c r="CV57">
        <v>-1</v>
      </c>
      <c r="CW57">
        <v>0</v>
      </c>
      <c r="CX57">
        <v>0</v>
      </c>
      <c r="CY57" t="s">
        <v>333</v>
      </c>
      <c r="CZ57">
        <v>2.36416</v>
      </c>
      <c r="DA57">
        <v>2.7138100000000001</v>
      </c>
      <c r="DB57">
        <v>0.145563</v>
      </c>
      <c r="DC57">
        <v>0.14623800000000001</v>
      </c>
      <c r="DD57">
        <v>0.10459400000000001</v>
      </c>
      <c r="DE57">
        <v>9.5112000000000002E-2</v>
      </c>
      <c r="DF57">
        <v>31188.2</v>
      </c>
      <c r="DG57">
        <v>27508.5</v>
      </c>
      <c r="DH57">
        <v>31162.5</v>
      </c>
      <c r="DI57">
        <v>28076.3</v>
      </c>
      <c r="DJ57">
        <v>37887.800000000003</v>
      </c>
      <c r="DK57">
        <v>36129.5</v>
      </c>
      <c r="DL57">
        <v>44347.9</v>
      </c>
      <c r="DM57">
        <v>42559.9</v>
      </c>
      <c r="DN57">
        <v>1.4713700000000001</v>
      </c>
      <c r="DO57">
        <v>2.05043</v>
      </c>
      <c r="DP57">
        <v>0.120424</v>
      </c>
      <c r="DQ57">
        <v>0.15920000000000001</v>
      </c>
      <c r="DR57">
        <v>24.958100000000002</v>
      </c>
      <c r="DS57">
        <v>24.679099999999998</v>
      </c>
      <c r="DT57">
        <v>56.7</v>
      </c>
      <c r="DU57">
        <v>29.2</v>
      </c>
      <c r="DV57">
        <v>23.2882</v>
      </c>
      <c r="DW57">
        <v>61.699800000000003</v>
      </c>
      <c r="DX57">
        <v>35.741199999999999</v>
      </c>
      <c r="DY57">
        <v>1</v>
      </c>
      <c r="DZ57">
        <v>-6.1562499999999999E-2</v>
      </c>
      <c r="EA57">
        <v>1.4409700000000001</v>
      </c>
      <c r="EB57">
        <v>20.181999999999999</v>
      </c>
      <c r="EC57">
        <v>5.2406499999999996</v>
      </c>
      <c r="ED57">
        <v>12.039899999999999</v>
      </c>
      <c r="EE57">
        <v>5.01715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1.86463</v>
      </c>
      <c r="EM57">
        <v>1.8691899999999999</v>
      </c>
      <c r="EN57">
        <v>1.8672299999999999</v>
      </c>
      <c r="EO57">
        <v>1.8633999999999999</v>
      </c>
      <c r="EP57">
        <v>1.86449</v>
      </c>
      <c r="EQ57">
        <v>1.87015</v>
      </c>
      <c r="ER57">
        <v>1.8694299999999999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-0.20100000000000001</v>
      </c>
      <c r="FG57">
        <v>0.17860000000000001</v>
      </c>
      <c r="FH57">
        <v>0.3448811944559278</v>
      </c>
      <c r="FI57">
        <v>-6.1462078757559423E-4</v>
      </c>
      <c r="FJ57">
        <v>-1.8861989874597051E-7</v>
      </c>
      <c r="FK57">
        <v>1.1980462299894961E-10</v>
      </c>
      <c r="FL57">
        <v>0.17862261546663211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16.8</v>
      </c>
      <c r="FU57">
        <v>17</v>
      </c>
      <c r="FV57">
        <v>1.79077</v>
      </c>
      <c r="FW57">
        <v>2.5830099999999998</v>
      </c>
      <c r="FX57">
        <v>1.5490699999999999</v>
      </c>
      <c r="FY57">
        <v>2.3290999999999999</v>
      </c>
      <c r="FZ57">
        <v>1.50146</v>
      </c>
      <c r="GA57">
        <v>2.4255399999999998</v>
      </c>
      <c r="GB57">
        <v>33.986499999999999</v>
      </c>
      <c r="GC57">
        <v>23.982399999999998</v>
      </c>
      <c r="GD57">
        <v>19</v>
      </c>
      <c r="GE57">
        <v>282.15899999999999</v>
      </c>
      <c r="GF57">
        <v>598.00199999999995</v>
      </c>
      <c r="GG57">
        <v>21.593299999999999</v>
      </c>
      <c r="GH57">
        <v>26.599399999999999</v>
      </c>
      <c r="GI57">
        <v>29.9999</v>
      </c>
      <c r="GJ57">
        <v>26.6555</v>
      </c>
      <c r="GK57">
        <v>26.6114</v>
      </c>
      <c r="GL57">
        <v>35.803899999999999</v>
      </c>
      <c r="GM57">
        <v>27.759699999999999</v>
      </c>
      <c r="GN57">
        <v>99.230800000000002</v>
      </c>
      <c r="GO57">
        <v>21.593299999999999</v>
      </c>
      <c r="GP57">
        <v>800</v>
      </c>
      <c r="GQ57">
        <v>19.026399999999999</v>
      </c>
      <c r="GR57">
        <v>99.707700000000003</v>
      </c>
      <c r="GS57">
        <v>99.556899999999999</v>
      </c>
    </row>
    <row r="58" spans="1:201" x14ac:dyDescent="0.25">
      <c r="A58">
        <v>42</v>
      </c>
      <c r="B58">
        <v>1690230104.5999999</v>
      </c>
      <c r="C58">
        <v>599.5</v>
      </c>
      <c r="D58" t="s">
        <v>417</v>
      </c>
      <c r="E58" t="s">
        <v>418</v>
      </c>
      <c r="F58" t="s">
        <v>330</v>
      </c>
      <c r="H58">
        <v>1690230104.5999999</v>
      </c>
      <c r="I58">
        <f t="shared" si="0"/>
        <v>2.2646659199755984E-4</v>
      </c>
      <c r="J58">
        <f t="shared" si="1"/>
        <v>0.22646659199755984</v>
      </c>
      <c r="K58">
        <f t="shared" si="2"/>
        <v>0.67152198444679001</v>
      </c>
      <c r="L58">
        <f t="shared" si="3"/>
        <v>790.99199999999996</v>
      </c>
      <c r="M58">
        <f t="shared" si="4"/>
        <v>694.02804093760597</v>
      </c>
      <c r="N58">
        <f t="shared" si="5"/>
        <v>68.820768859288151</v>
      </c>
      <c r="O58">
        <f t="shared" si="6"/>
        <v>78.435847531468795</v>
      </c>
      <c r="P58">
        <f t="shared" si="7"/>
        <v>1.3897528789337144E-2</v>
      </c>
      <c r="Q58">
        <f t="shared" si="8"/>
        <v>2.1772751109062463</v>
      </c>
      <c r="R58">
        <f t="shared" si="9"/>
        <v>1.3848434657763302E-2</v>
      </c>
      <c r="S58">
        <f t="shared" si="10"/>
        <v>8.6596680501266187E-3</v>
      </c>
      <c r="T58">
        <f t="shared" si="11"/>
        <v>276.11457796760033</v>
      </c>
      <c r="U58">
        <f t="shared" si="12"/>
        <v>27.518213384517885</v>
      </c>
      <c r="V58">
        <f t="shared" si="13"/>
        <v>27.518213384517885</v>
      </c>
      <c r="W58">
        <f t="shared" si="14"/>
        <v>3.689552806481633</v>
      </c>
      <c r="X58">
        <f t="shared" si="15"/>
        <v>64.76083340131666</v>
      </c>
      <c r="Y58">
        <f t="shared" si="16"/>
        <v>2.1154094294112</v>
      </c>
      <c r="Z58">
        <f t="shared" si="17"/>
        <v>3.2664950685581995</v>
      </c>
      <c r="AA58">
        <f t="shared" si="18"/>
        <v>1.5741433770704329</v>
      </c>
      <c r="AB58">
        <f t="shared" si="19"/>
        <v>-9.9871767070923898</v>
      </c>
      <c r="AC58">
        <f t="shared" si="20"/>
        <v>-242.4642930289865</v>
      </c>
      <c r="AD58">
        <f t="shared" si="21"/>
        <v>-23.909904972860062</v>
      </c>
      <c r="AE58">
        <f t="shared" si="22"/>
        <v>-0.24679674133864182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52601.939829666699</v>
      </c>
      <c r="AK58">
        <f t="shared" si="26"/>
        <v>1799.99</v>
      </c>
      <c r="AL58">
        <f t="shared" si="27"/>
        <v>1499.1013892126798</v>
      </c>
      <c r="AM58">
        <f t="shared" si="28"/>
        <v>0.83283873199999991</v>
      </c>
      <c r="AN58">
        <f t="shared" si="29"/>
        <v>0.15339783997000001</v>
      </c>
      <c r="AO58">
        <v>31.5</v>
      </c>
      <c r="AP58">
        <v>0.5</v>
      </c>
      <c r="AQ58" t="s">
        <v>331</v>
      </c>
      <c r="AR58">
        <v>2</v>
      </c>
      <c r="AS58">
        <v>1690230104.5999999</v>
      </c>
      <c r="AT58">
        <v>790.99199999999996</v>
      </c>
      <c r="AU58">
        <v>799.91899999999998</v>
      </c>
      <c r="AV58">
        <v>21.332999999999998</v>
      </c>
      <c r="AW58">
        <v>19.007100000000001</v>
      </c>
      <c r="AX58">
        <v>791.19299999999998</v>
      </c>
      <c r="AY58">
        <v>21.154299999999999</v>
      </c>
      <c r="AZ58">
        <v>300.16399999999999</v>
      </c>
      <c r="BA58">
        <v>99.061400000000006</v>
      </c>
      <c r="BB58">
        <v>9.9966399999999997E-2</v>
      </c>
      <c r="BC58">
        <v>25.4526</v>
      </c>
      <c r="BD58">
        <v>26.9603</v>
      </c>
      <c r="BE58">
        <v>27.306699999999999</v>
      </c>
      <c r="BF58">
        <v>0</v>
      </c>
      <c r="BG58">
        <v>0</v>
      </c>
      <c r="BH58">
        <v>9990</v>
      </c>
      <c r="BI58">
        <v>1058.03</v>
      </c>
      <c r="BJ58">
        <v>1.4016500000000001</v>
      </c>
      <c r="BK58">
        <v>-8.9264500000000009</v>
      </c>
      <c r="BL58">
        <v>808.23400000000004</v>
      </c>
      <c r="BM58">
        <v>815.41800000000001</v>
      </c>
      <c r="BN58">
        <v>2.3258399999999999</v>
      </c>
      <c r="BO58">
        <v>799.91899999999998</v>
      </c>
      <c r="BP58">
        <v>19.007100000000001</v>
      </c>
      <c r="BQ58">
        <v>2.11327</v>
      </c>
      <c r="BR58">
        <v>1.88287</v>
      </c>
      <c r="BS58">
        <v>18.319600000000001</v>
      </c>
      <c r="BT58">
        <v>16.4923</v>
      </c>
      <c r="BU58">
        <v>1799.99</v>
      </c>
      <c r="BV58">
        <v>0.90998299999999999</v>
      </c>
      <c r="BW58">
        <v>3.4004E-2</v>
      </c>
      <c r="BX58">
        <v>2.20051E-2</v>
      </c>
      <c r="BY58">
        <v>3.4007700000000002E-2</v>
      </c>
      <c r="BZ58">
        <v>25</v>
      </c>
      <c r="CA58">
        <v>33528.1</v>
      </c>
      <c r="CB58">
        <v>1690229084.0999999</v>
      </c>
      <c r="CC58" t="s">
        <v>332</v>
      </c>
      <c r="CD58">
        <v>1690229084.0999999</v>
      </c>
      <c r="CE58">
        <v>1690229076.5999999</v>
      </c>
      <c r="CF58">
        <v>13</v>
      </c>
      <c r="CG58">
        <v>0.23300000000000001</v>
      </c>
      <c r="CH58">
        <v>-0.13100000000000001</v>
      </c>
      <c r="CI58">
        <v>-0.20599999999999999</v>
      </c>
      <c r="CJ58">
        <v>8.7999999999999995E-2</v>
      </c>
      <c r="CK58">
        <v>799</v>
      </c>
      <c r="CL58">
        <v>16</v>
      </c>
      <c r="CM58">
        <v>0.04</v>
      </c>
      <c r="CN58">
        <v>0.04</v>
      </c>
      <c r="CO58">
        <v>-8.4084387500000002</v>
      </c>
      <c r="CP58">
        <v>-2.9388694559099271</v>
      </c>
      <c r="CQ58">
        <v>0.28468273871265443</v>
      </c>
      <c r="CR58">
        <v>-1</v>
      </c>
      <c r="CS58">
        <v>2.2966329999999999</v>
      </c>
      <c r="CT58">
        <v>0.13680247654783459</v>
      </c>
      <c r="CU58">
        <v>1.446424232374446E-2</v>
      </c>
      <c r="CV58">
        <v>-1</v>
      </c>
      <c r="CW58">
        <v>0</v>
      </c>
      <c r="CX58">
        <v>0</v>
      </c>
      <c r="CY58" t="s">
        <v>333</v>
      </c>
      <c r="CZ58">
        <v>2.3640099999999999</v>
      </c>
      <c r="DA58">
        <v>2.7137500000000001</v>
      </c>
      <c r="DB58">
        <v>0.14549799999999999</v>
      </c>
      <c r="DC58">
        <v>0.14622299999999999</v>
      </c>
      <c r="DD58">
        <v>0.104687</v>
      </c>
      <c r="DE58">
        <v>9.51013E-2</v>
      </c>
      <c r="DF58">
        <v>31190.3</v>
      </c>
      <c r="DG58">
        <v>27508.9</v>
      </c>
      <c r="DH58">
        <v>31162.2</v>
      </c>
      <c r="DI58">
        <v>28076.2</v>
      </c>
      <c r="DJ58">
        <v>37883.699999999997</v>
      </c>
      <c r="DK58">
        <v>36129.699999999997</v>
      </c>
      <c r="DL58">
        <v>44347.7</v>
      </c>
      <c r="DM58">
        <v>42559.6</v>
      </c>
      <c r="DN58">
        <v>1.47123</v>
      </c>
      <c r="DO58">
        <v>2.0504799999999999</v>
      </c>
      <c r="DP58">
        <v>0.123434</v>
      </c>
      <c r="DQ58">
        <v>0.16153999999999999</v>
      </c>
      <c r="DR58">
        <v>24.938199999999998</v>
      </c>
      <c r="DS58">
        <v>24.660499999999999</v>
      </c>
      <c r="DT58">
        <v>56.7</v>
      </c>
      <c r="DU58">
        <v>29.2</v>
      </c>
      <c r="DV58">
        <v>23.288399999999999</v>
      </c>
      <c r="DW58">
        <v>61.839799999999997</v>
      </c>
      <c r="DX58">
        <v>35.404600000000002</v>
      </c>
      <c r="DY58">
        <v>1</v>
      </c>
      <c r="DZ58">
        <v>-6.1664099999999999E-2</v>
      </c>
      <c r="EA58">
        <v>1.4203600000000001</v>
      </c>
      <c r="EB58">
        <v>20.181999999999999</v>
      </c>
      <c r="EC58">
        <v>5.2409499999999998</v>
      </c>
      <c r="ED58">
        <v>12.039899999999999</v>
      </c>
      <c r="EE58">
        <v>5.0174000000000003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1.8689100000000001</v>
      </c>
      <c r="EL58">
        <v>1.86463</v>
      </c>
      <c r="EM58">
        <v>1.8691899999999999</v>
      </c>
      <c r="EN58">
        <v>1.8672299999999999</v>
      </c>
      <c r="EO58">
        <v>1.8633999999999999</v>
      </c>
      <c r="EP58">
        <v>1.8644799999999999</v>
      </c>
      <c r="EQ58">
        <v>1.8701700000000001</v>
      </c>
      <c r="ER58">
        <v>1.86941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-0.20100000000000001</v>
      </c>
      <c r="FG58">
        <v>0.1787</v>
      </c>
      <c r="FH58">
        <v>0.3448811944559278</v>
      </c>
      <c r="FI58">
        <v>-6.1462078757559423E-4</v>
      </c>
      <c r="FJ58">
        <v>-1.8861989874597051E-7</v>
      </c>
      <c r="FK58">
        <v>1.1980462299894961E-10</v>
      </c>
      <c r="FL58">
        <v>0.17862261546663211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17</v>
      </c>
      <c r="FU58">
        <v>17.100000000000001</v>
      </c>
      <c r="FV58">
        <v>1.79077</v>
      </c>
      <c r="FW58">
        <v>2.5915499999999998</v>
      </c>
      <c r="FX58">
        <v>1.5490699999999999</v>
      </c>
      <c r="FY58">
        <v>2.3290999999999999</v>
      </c>
      <c r="FZ58">
        <v>1.50146</v>
      </c>
      <c r="GA58">
        <v>2.32422</v>
      </c>
      <c r="GB58">
        <v>33.986499999999999</v>
      </c>
      <c r="GC58">
        <v>23.973700000000001</v>
      </c>
      <c r="GD58">
        <v>19</v>
      </c>
      <c r="GE58">
        <v>282.09500000000003</v>
      </c>
      <c r="GF58">
        <v>598.07000000000005</v>
      </c>
      <c r="GG58">
        <v>21.683</v>
      </c>
      <c r="GH58">
        <v>26.596</v>
      </c>
      <c r="GI58">
        <v>30.0002</v>
      </c>
      <c r="GJ58">
        <v>26.6555</v>
      </c>
      <c r="GK58">
        <v>26.613600000000002</v>
      </c>
      <c r="GL58">
        <v>35.808199999999999</v>
      </c>
      <c r="GM58">
        <v>27.759699999999999</v>
      </c>
      <c r="GN58">
        <v>99.230800000000002</v>
      </c>
      <c r="GO58">
        <v>21.683299999999999</v>
      </c>
      <c r="GP58">
        <v>800</v>
      </c>
      <c r="GQ58">
        <v>19.0335</v>
      </c>
      <c r="GR58">
        <v>99.706999999999994</v>
      </c>
      <c r="GS58">
        <v>99.556299999999993</v>
      </c>
    </row>
    <row r="59" spans="1:201" x14ac:dyDescent="0.25">
      <c r="A59">
        <v>43</v>
      </c>
      <c r="B59">
        <v>1690230114.5999999</v>
      </c>
      <c r="C59">
        <v>609.5</v>
      </c>
      <c r="D59" t="s">
        <v>419</v>
      </c>
      <c r="E59" t="s">
        <v>420</v>
      </c>
      <c r="F59" t="s">
        <v>330</v>
      </c>
      <c r="H59">
        <v>1690230114.5999999</v>
      </c>
      <c r="I59">
        <f t="shared" si="0"/>
        <v>2.2840045268565648E-4</v>
      </c>
      <c r="J59">
        <f t="shared" si="1"/>
        <v>0.22840045268565648</v>
      </c>
      <c r="K59">
        <f t="shared" si="2"/>
        <v>0.73334041330975785</v>
      </c>
      <c r="L59">
        <f t="shared" si="3"/>
        <v>790.43899999999996</v>
      </c>
      <c r="M59">
        <f t="shared" si="4"/>
        <v>687.30399520848255</v>
      </c>
      <c r="N59">
        <f t="shared" si="5"/>
        <v>68.152182834960087</v>
      </c>
      <c r="O59">
        <f t="shared" si="6"/>
        <v>78.3789176600703</v>
      </c>
      <c r="P59">
        <f t="shared" si="7"/>
        <v>1.4037643613273093E-2</v>
      </c>
      <c r="Q59">
        <f t="shared" si="8"/>
        <v>2.1829998671449182</v>
      </c>
      <c r="R59">
        <f t="shared" si="9"/>
        <v>1.3987687328829225E-2</v>
      </c>
      <c r="S59">
        <f t="shared" si="10"/>
        <v>8.7467780668905402E-3</v>
      </c>
      <c r="T59">
        <f t="shared" si="11"/>
        <v>276.11439949859181</v>
      </c>
      <c r="U59">
        <f t="shared" si="12"/>
        <v>27.513813016750333</v>
      </c>
      <c r="V59">
        <f t="shared" si="13"/>
        <v>27.513813016750333</v>
      </c>
      <c r="W59">
        <f t="shared" si="14"/>
        <v>3.6886030459309702</v>
      </c>
      <c r="X59">
        <f t="shared" si="15"/>
        <v>64.800928266771663</v>
      </c>
      <c r="Y59">
        <f t="shared" si="16"/>
        <v>2.1168700530749103</v>
      </c>
      <c r="Z59">
        <f t="shared" si="17"/>
        <v>3.2667279770441029</v>
      </c>
      <c r="AA59">
        <f t="shared" si="18"/>
        <v>1.5717329928560599</v>
      </c>
      <c r="AB59">
        <f t="shared" si="19"/>
        <v>-10.072459963437451</v>
      </c>
      <c r="AC59">
        <f t="shared" si="20"/>
        <v>-242.44270294518435</v>
      </c>
      <c r="AD59">
        <f t="shared" si="21"/>
        <v>-23.844695798686633</v>
      </c>
      <c r="AE59">
        <f t="shared" si="22"/>
        <v>-0.24545920871662474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52840.121142201671</v>
      </c>
      <c r="AK59">
        <f t="shared" si="26"/>
        <v>1799.99</v>
      </c>
      <c r="AL59">
        <f t="shared" si="27"/>
        <v>1499.1019562095298</v>
      </c>
      <c r="AM59">
        <f t="shared" si="28"/>
        <v>0.83283904699999989</v>
      </c>
      <c r="AN59">
        <f t="shared" si="29"/>
        <v>0.15339774082000002</v>
      </c>
      <c r="AO59">
        <v>31.5</v>
      </c>
      <c r="AP59">
        <v>0.5</v>
      </c>
      <c r="AQ59" t="s">
        <v>331</v>
      </c>
      <c r="AR59">
        <v>2</v>
      </c>
      <c r="AS59">
        <v>1690230114.5999999</v>
      </c>
      <c r="AT59">
        <v>790.43899999999996</v>
      </c>
      <c r="AU59">
        <v>800.03099999999995</v>
      </c>
      <c r="AV59">
        <v>21.348299999999998</v>
      </c>
      <c r="AW59">
        <v>19.002199999999998</v>
      </c>
      <c r="AX59">
        <v>790.63900000000001</v>
      </c>
      <c r="AY59">
        <v>21.169599999999999</v>
      </c>
      <c r="AZ59">
        <v>300.11599999999999</v>
      </c>
      <c r="BA59">
        <v>99.058800000000005</v>
      </c>
      <c r="BB59">
        <v>9.9917699999999998E-2</v>
      </c>
      <c r="BC59">
        <v>25.453800000000001</v>
      </c>
      <c r="BD59">
        <v>26.928699999999999</v>
      </c>
      <c r="BE59">
        <v>27.285399999999999</v>
      </c>
      <c r="BF59">
        <v>0</v>
      </c>
      <c r="BG59">
        <v>0</v>
      </c>
      <c r="BH59">
        <v>10037.5</v>
      </c>
      <c r="BI59">
        <v>1057.77</v>
      </c>
      <c r="BJ59">
        <v>1.4016500000000001</v>
      </c>
      <c r="BK59">
        <v>-9.5922900000000002</v>
      </c>
      <c r="BL59">
        <v>807.68100000000004</v>
      </c>
      <c r="BM59">
        <v>815.52800000000002</v>
      </c>
      <c r="BN59">
        <v>2.3460200000000002</v>
      </c>
      <c r="BO59">
        <v>800.03099999999995</v>
      </c>
      <c r="BP59">
        <v>19.002199999999998</v>
      </c>
      <c r="BQ59">
        <v>2.1147300000000002</v>
      </c>
      <c r="BR59">
        <v>1.8823399999999999</v>
      </c>
      <c r="BS59">
        <v>18.3306</v>
      </c>
      <c r="BT59">
        <v>16.4879</v>
      </c>
      <c r="BU59">
        <v>1799.99</v>
      </c>
      <c r="BV59">
        <v>0.90998699999999999</v>
      </c>
      <c r="BW59">
        <v>3.4002499999999998E-2</v>
      </c>
      <c r="BX59">
        <v>2.2004099999999999E-2</v>
      </c>
      <c r="BY59">
        <v>3.40062E-2</v>
      </c>
      <c r="BZ59">
        <v>25.083300000000001</v>
      </c>
      <c r="CA59">
        <v>33528.199999999997</v>
      </c>
      <c r="CB59">
        <v>1690229084.0999999</v>
      </c>
      <c r="CC59" t="s">
        <v>332</v>
      </c>
      <c r="CD59">
        <v>1690229084.0999999</v>
      </c>
      <c r="CE59">
        <v>1690229076.5999999</v>
      </c>
      <c r="CF59">
        <v>13</v>
      </c>
      <c r="CG59">
        <v>0.23300000000000001</v>
      </c>
      <c r="CH59">
        <v>-0.13100000000000001</v>
      </c>
      <c r="CI59">
        <v>-0.20599999999999999</v>
      </c>
      <c r="CJ59">
        <v>8.7999999999999995E-2</v>
      </c>
      <c r="CK59">
        <v>799</v>
      </c>
      <c r="CL59">
        <v>16</v>
      </c>
      <c r="CM59">
        <v>0.04</v>
      </c>
      <c r="CN59">
        <v>0.04</v>
      </c>
      <c r="CO59">
        <v>-8.9271824390243903</v>
      </c>
      <c r="CP59">
        <v>-3.070178466898954</v>
      </c>
      <c r="CQ59">
        <v>0.30568622311744309</v>
      </c>
      <c r="CR59">
        <v>-1</v>
      </c>
      <c r="CS59">
        <v>2.3223139024390238</v>
      </c>
      <c r="CT59">
        <v>0.15080655052264949</v>
      </c>
      <c r="CU59">
        <v>1.497109098425276E-2</v>
      </c>
      <c r="CV59">
        <v>-1</v>
      </c>
      <c r="CW59">
        <v>0</v>
      </c>
      <c r="CX59">
        <v>0</v>
      </c>
      <c r="CY59" t="s">
        <v>333</v>
      </c>
      <c r="CZ59">
        <v>2.3638599999999999</v>
      </c>
      <c r="DA59">
        <v>2.71374</v>
      </c>
      <c r="DB59">
        <v>0.145429</v>
      </c>
      <c r="DC59">
        <v>0.146235</v>
      </c>
      <c r="DD59">
        <v>0.10474</v>
      </c>
      <c r="DE59">
        <v>9.5083000000000001E-2</v>
      </c>
      <c r="DF59">
        <v>31193.1</v>
      </c>
      <c r="DG59">
        <v>27508.2</v>
      </c>
      <c r="DH59">
        <v>31162.5</v>
      </c>
      <c r="DI59">
        <v>28075.9</v>
      </c>
      <c r="DJ59">
        <v>37881.699999999997</v>
      </c>
      <c r="DK59">
        <v>36130.1</v>
      </c>
      <c r="DL59">
        <v>44348.1</v>
      </c>
      <c r="DM59">
        <v>42559.199999999997</v>
      </c>
      <c r="DN59">
        <v>1.47102</v>
      </c>
      <c r="DO59">
        <v>2.0504799999999999</v>
      </c>
      <c r="DP59">
        <v>0.122517</v>
      </c>
      <c r="DQ59">
        <v>0.16123799999999999</v>
      </c>
      <c r="DR59">
        <v>24.921500000000002</v>
      </c>
      <c r="DS59">
        <v>24.643999999999998</v>
      </c>
      <c r="DT59">
        <v>56.7</v>
      </c>
      <c r="DU59">
        <v>29.2</v>
      </c>
      <c r="DV59">
        <v>23.2851</v>
      </c>
      <c r="DW59">
        <v>61.529800000000002</v>
      </c>
      <c r="DX59">
        <v>36.4223</v>
      </c>
      <c r="DY59">
        <v>1</v>
      </c>
      <c r="DZ59">
        <v>-6.1453199999999999E-2</v>
      </c>
      <c r="EA59">
        <v>1.43421</v>
      </c>
      <c r="EB59">
        <v>20.1816</v>
      </c>
      <c r="EC59">
        <v>5.2406499999999996</v>
      </c>
      <c r="ED59">
        <v>12.039899999999999</v>
      </c>
      <c r="EE59">
        <v>5.01715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1.8691899999999999</v>
      </c>
      <c r="EN59">
        <v>1.8672299999999999</v>
      </c>
      <c r="EO59">
        <v>1.8633999999999999</v>
      </c>
      <c r="EP59">
        <v>1.86449</v>
      </c>
      <c r="EQ59">
        <v>1.8701300000000001</v>
      </c>
      <c r="ER59">
        <v>1.86944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</v>
      </c>
      <c r="FG59">
        <v>0.1787</v>
      </c>
      <c r="FH59">
        <v>0.3448811944559278</v>
      </c>
      <c r="FI59">
        <v>-6.1462078757559423E-4</v>
      </c>
      <c r="FJ59">
        <v>-1.8861989874597051E-7</v>
      </c>
      <c r="FK59">
        <v>1.1980462299894961E-10</v>
      </c>
      <c r="FL59">
        <v>0.17862261546663211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17.2</v>
      </c>
      <c r="FU59">
        <v>17.3</v>
      </c>
      <c r="FV59">
        <v>1.79077</v>
      </c>
      <c r="FW59">
        <v>2.5817899999999998</v>
      </c>
      <c r="FX59">
        <v>1.5490699999999999</v>
      </c>
      <c r="FY59">
        <v>2.3290999999999999</v>
      </c>
      <c r="FZ59">
        <v>1.50146</v>
      </c>
      <c r="GA59">
        <v>2.3913600000000002</v>
      </c>
      <c r="GB59">
        <v>33.986499999999999</v>
      </c>
      <c r="GC59">
        <v>23.982399999999998</v>
      </c>
      <c r="GD59">
        <v>19</v>
      </c>
      <c r="GE59">
        <v>282.01</v>
      </c>
      <c r="GF59">
        <v>598.09500000000003</v>
      </c>
      <c r="GG59">
        <v>21.7484</v>
      </c>
      <c r="GH59">
        <v>26.592099999999999</v>
      </c>
      <c r="GI59">
        <v>30.0002</v>
      </c>
      <c r="GJ59">
        <v>26.6555</v>
      </c>
      <c r="GK59">
        <v>26.6158</v>
      </c>
      <c r="GL59">
        <v>35.806800000000003</v>
      </c>
      <c r="GM59">
        <v>27.759699999999999</v>
      </c>
      <c r="GN59">
        <v>99.230800000000002</v>
      </c>
      <c r="GO59">
        <v>21.744399999999999</v>
      </c>
      <c r="GP59">
        <v>800</v>
      </c>
      <c r="GQ59">
        <v>19.040700000000001</v>
      </c>
      <c r="GR59">
        <v>99.707899999999995</v>
      </c>
      <c r="GS59">
        <v>99.555300000000003</v>
      </c>
    </row>
    <row r="60" spans="1:201" x14ac:dyDescent="0.25">
      <c r="A60">
        <v>44</v>
      </c>
      <c r="B60">
        <v>1690230124.5999999</v>
      </c>
      <c r="C60">
        <v>619.5</v>
      </c>
      <c r="D60" t="s">
        <v>421</v>
      </c>
      <c r="E60" t="s">
        <v>422</v>
      </c>
      <c r="F60" t="s">
        <v>330</v>
      </c>
      <c r="H60">
        <v>1690230124.5999999</v>
      </c>
      <c r="I60">
        <f t="shared" si="0"/>
        <v>2.2971525113243155E-4</v>
      </c>
      <c r="J60">
        <f t="shared" si="1"/>
        <v>0.22971525113243155</v>
      </c>
      <c r="K60">
        <f t="shared" si="2"/>
        <v>0.78536854028781722</v>
      </c>
      <c r="L60">
        <f t="shared" si="3"/>
        <v>789.88499999999999</v>
      </c>
      <c r="M60">
        <f t="shared" si="4"/>
        <v>681.40154616107998</v>
      </c>
      <c r="N60">
        <f t="shared" si="5"/>
        <v>67.565497824740319</v>
      </c>
      <c r="O60">
        <f t="shared" si="6"/>
        <v>78.322354197709501</v>
      </c>
      <c r="P60">
        <f t="shared" si="7"/>
        <v>1.4118927501457107E-2</v>
      </c>
      <c r="Q60">
        <f t="shared" si="8"/>
        <v>2.1820668031415922</v>
      </c>
      <c r="R60">
        <f t="shared" si="9"/>
        <v>1.4068370604607751E-2</v>
      </c>
      <c r="S60">
        <f t="shared" si="10"/>
        <v>8.7972588052410306E-3</v>
      </c>
      <c r="T60">
        <f t="shared" si="11"/>
        <v>276.11563710600007</v>
      </c>
      <c r="U60">
        <f t="shared" si="12"/>
        <v>27.517170649554735</v>
      </c>
      <c r="V60">
        <f t="shared" si="13"/>
        <v>27.517170649554735</v>
      </c>
      <c r="W60">
        <f t="shared" si="14"/>
        <v>3.6893277267892457</v>
      </c>
      <c r="X60">
        <f t="shared" si="15"/>
        <v>64.813523215875691</v>
      </c>
      <c r="Y60">
        <f t="shared" si="16"/>
        <v>2.1176589274314903</v>
      </c>
      <c r="Z60">
        <f t="shared" si="17"/>
        <v>3.267310311735657</v>
      </c>
      <c r="AA60">
        <f t="shared" si="18"/>
        <v>1.5716687993577554</v>
      </c>
      <c r="AB60">
        <f t="shared" si="19"/>
        <v>-10.130442574940231</v>
      </c>
      <c r="AC60">
        <f t="shared" si="20"/>
        <v>-242.38114917137861</v>
      </c>
      <c r="AD60">
        <f t="shared" si="21"/>
        <v>-23.849594923641067</v>
      </c>
      <c r="AE60">
        <f t="shared" si="22"/>
        <v>-0.24554956395982686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52800.634150072379</v>
      </c>
      <c r="AK60">
        <f t="shared" si="26"/>
        <v>1800</v>
      </c>
      <c r="AL60">
        <f t="shared" si="27"/>
        <v>1499.1110046000001</v>
      </c>
      <c r="AM60">
        <f t="shared" si="28"/>
        <v>0.83283944700000001</v>
      </c>
      <c r="AN60">
        <f t="shared" si="29"/>
        <v>0.15339757617000002</v>
      </c>
      <c r="AO60">
        <v>31.5</v>
      </c>
      <c r="AP60">
        <v>0.5</v>
      </c>
      <c r="AQ60" t="s">
        <v>331</v>
      </c>
      <c r="AR60">
        <v>2</v>
      </c>
      <c r="AS60">
        <v>1690230124.5999999</v>
      </c>
      <c r="AT60">
        <v>789.88499999999999</v>
      </c>
      <c r="AU60">
        <v>800.03099999999995</v>
      </c>
      <c r="AV60">
        <v>21.3567</v>
      </c>
      <c r="AW60">
        <v>18.997499999999999</v>
      </c>
      <c r="AX60">
        <v>790.08399999999995</v>
      </c>
      <c r="AY60">
        <v>21.178100000000001</v>
      </c>
      <c r="AZ60">
        <v>300.16500000000002</v>
      </c>
      <c r="BA60">
        <v>99.056700000000006</v>
      </c>
      <c r="BB60">
        <v>9.9954699999999994E-2</v>
      </c>
      <c r="BC60">
        <v>25.456800000000001</v>
      </c>
      <c r="BD60">
        <v>26.967500000000001</v>
      </c>
      <c r="BE60">
        <v>27.299299999999999</v>
      </c>
      <c r="BF60">
        <v>0</v>
      </c>
      <c r="BG60">
        <v>0</v>
      </c>
      <c r="BH60">
        <v>10030</v>
      </c>
      <c r="BI60">
        <v>1057.54</v>
      </c>
      <c r="BJ60">
        <v>1.4016500000000001</v>
      </c>
      <c r="BK60">
        <v>-10.145799999999999</v>
      </c>
      <c r="BL60">
        <v>807.12199999999996</v>
      </c>
      <c r="BM60">
        <v>815.52300000000002</v>
      </c>
      <c r="BN60">
        <v>2.3591899999999999</v>
      </c>
      <c r="BO60">
        <v>800.03099999999995</v>
      </c>
      <c r="BP60">
        <v>18.997499999999999</v>
      </c>
      <c r="BQ60">
        <v>2.1155300000000001</v>
      </c>
      <c r="BR60">
        <v>1.8818299999999999</v>
      </c>
      <c r="BS60">
        <v>18.336600000000001</v>
      </c>
      <c r="BT60">
        <v>16.483599999999999</v>
      </c>
      <c r="BU60">
        <v>1800</v>
      </c>
      <c r="BV60">
        <v>0.90999300000000005</v>
      </c>
      <c r="BW60">
        <v>3.4000200000000001E-2</v>
      </c>
      <c r="BX60">
        <v>2.2002600000000001E-2</v>
      </c>
      <c r="BY60">
        <v>3.4003899999999997E-2</v>
      </c>
      <c r="BZ60">
        <v>25.333300000000001</v>
      </c>
      <c r="CA60">
        <v>33528.400000000001</v>
      </c>
      <c r="CB60">
        <v>1690229084.0999999</v>
      </c>
      <c r="CC60" t="s">
        <v>332</v>
      </c>
      <c r="CD60">
        <v>1690229084.0999999</v>
      </c>
      <c r="CE60">
        <v>1690229076.5999999</v>
      </c>
      <c r="CF60">
        <v>13</v>
      </c>
      <c r="CG60">
        <v>0.23300000000000001</v>
      </c>
      <c r="CH60">
        <v>-0.13100000000000001</v>
      </c>
      <c r="CI60">
        <v>-0.20599999999999999</v>
      </c>
      <c r="CJ60">
        <v>8.7999999999999995E-2</v>
      </c>
      <c r="CK60">
        <v>799</v>
      </c>
      <c r="CL60">
        <v>16</v>
      </c>
      <c r="CM60">
        <v>0.04</v>
      </c>
      <c r="CN60">
        <v>0.04</v>
      </c>
      <c r="CO60">
        <v>-9.4791568292682928</v>
      </c>
      <c r="CP60">
        <v>-3.498063135888509</v>
      </c>
      <c r="CQ60">
        <v>0.34715151564107799</v>
      </c>
      <c r="CR60">
        <v>-1</v>
      </c>
      <c r="CS60">
        <v>2.3428943902439028</v>
      </c>
      <c r="CT60">
        <v>9.8605296167251347E-2</v>
      </c>
      <c r="CU60">
        <v>9.8296249708329266E-3</v>
      </c>
      <c r="CV60">
        <v>-1</v>
      </c>
      <c r="CW60">
        <v>0</v>
      </c>
      <c r="CX60">
        <v>0</v>
      </c>
      <c r="CY60" t="s">
        <v>333</v>
      </c>
      <c r="CZ60">
        <v>2.3640300000000001</v>
      </c>
      <c r="DA60">
        <v>2.7137699999999998</v>
      </c>
      <c r="DB60">
        <v>0.14535899999999999</v>
      </c>
      <c r="DC60">
        <v>0.146233</v>
      </c>
      <c r="DD60">
        <v>0.104768</v>
      </c>
      <c r="DE60">
        <v>9.5064899999999994E-2</v>
      </c>
      <c r="DF60">
        <v>31195.8</v>
      </c>
      <c r="DG60">
        <v>27508.6</v>
      </c>
      <c r="DH60">
        <v>31162.6</v>
      </c>
      <c r="DI60">
        <v>28076.2</v>
      </c>
      <c r="DJ60">
        <v>37880.6</v>
      </c>
      <c r="DK60">
        <v>36131.300000000003</v>
      </c>
      <c r="DL60">
        <v>44348.2</v>
      </c>
      <c r="DM60">
        <v>42559.7</v>
      </c>
      <c r="DN60">
        <v>1.4712000000000001</v>
      </c>
      <c r="DO60">
        <v>2.0506000000000002</v>
      </c>
      <c r="DP60">
        <v>0.125889</v>
      </c>
      <c r="DQ60">
        <v>0.16304099999999999</v>
      </c>
      <c r="DR60">
        <v>24.905100000000001</v>
      </c>
      <c r="DS60">
        <v>24.628399999999999</v>
      </c>
      <c r="DT60">
        <v>56.7</v>
      </c>
      <c r="DU60">
        <v>29.2</v>
      </c>
      <c r="DV60">
        <v>23.287099999999999</v>
      </c>
      <c r="DW60">
        <v>61.7898</v>
      </c>
      <c r="DX60">
        <v>35.116199999999999</v>
      </c>
      <c r="DY60">
        <v>1</v>
      </c>
      <c r="DZ60">
        <v>-6.1907999999999998E-2</v>
      </c>
      <c r="EA60">
        <v>1.2851300000000001</v>
      </c>
      <c r="EB60">
        <v>20.183399999999999</v>
      </c>
      <c r="EC60">
        <v>5.2401999999999997</v>
      </c>
      <c r="ED60">
        <v>12.039899999999999</v>
      </c>
      <c r="EE60">
        <v>5.0172499999999998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1.8692</v>
      </c>
      <c r="EN60">
        <v>1.8672200000000001</v>
      </c>
      <c r="EO60">
        <v>1.8633999999999999</v>
      </c>
      <c r="EP60">
        <v>1.86449</v>
      </c>
      <c r="EQ60">
        <v>1.8701399999999999</v>
      </c>
      <c r="ER60">
        <v>1.86941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-0.19900000000000001</v>
      </c>
      <c r="FG60">
        <v>0.17860000000000001</v>
      </c>
      <c r="FH60">
        <v>0.3448811944559278</v>
      </c>
      <c r="FI60">
        <v>-6.1462078757559423E-4</v>
      </c>
      <c r="FJ60">
        <v>-1.8861989874597051E-7</v>
      </c>
      <c r="FK60">
        <v>1.1980462299894961E-10</v>
      </c>
      <c r="FL60">
        <v>0.17862261546663211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17.3</v>
      </c>
      <c r="FU60">
        <v>17.5</v>
      </c>
      <c r="FV60">
        <v>1.79077</v>
      </c>
      <c r="FW60">
        <v>2.5891099999999998</v>
      </c>
      <c r="FX60">
        <v>1.5490699999999999</v>
      </c>
      <c r="FY60">
        <v>2.3290999999999999</v>
      </c>
      <c r="FZ60">
        <v>1.50146</v>
      </c>
      <c r="GA60">
        <v>2.3706100000000001</v>
      </c>
      <c r="GB60">
        <v>33.986499999999999</v>
      </c>
      <c r="GC60">
        <v>23.982399999999998</v>
      </c>
      <c r="GD60">
        <v>19</v>
      </c>
      <c r="GE60">
        <v>282.084</v>
      </c>
      <c r="GF60">
        <v>598.20100000000002</v>
      </c>
      <c r="GG60">
        <v>21.815799999999999</v>
      </c>
      <c r="GH60">
        <v>26.587499999999999</v>
      </c>
      <c r="GI60">
        <v>30.0001</v>
      </c>
      <c r="GJ60">
        <v>26.6555</v>
      </c>
      <c r="GK60">
        <v>26.6158</v>
      </c>
      <c r="GL60">
        <v>35.8095</v>
      </c>
      <c r="GM60">
        <v>27.759699999999999</v>
      </c>
      <c r="GN60">
        <v>99.230800000000002</v>
      </c>
      <c r="GO60">
        <v>21.828199999999999</v>
      </c>
      <c r="GP60">
        <v>800</v>
      </c>
      <c r="GQ60">
        <v>19.052499999999998</v>
      </c>
      <c r="GR60">
        <v>99.708200000000005</v>
      </c>
      <c r="GS60">
        <v>99.5565</v>
      </c>
    </row>
    <row r="61" spans="1:201" x14ac:dyDescent="0.25">
      <c r="A61">
        <v>45</v>
      </c>
      <c r="B61">
        <v>1690230134.5999999</v>
      </c>
      <c r="C61">
        <v>629.5</v>
      </c>
      <c r="D61" t="s">
        <v>423</v>
      </c>
      <c r="E61" t="s">
        <v>424</v>
      </c>
      <c r="F61" t="s">
        <v>330</v>
      </c>
      <c r="H61">
        <v>1690230134.5999999</v>
      </c>
      <c r="I61">
        <f t="shared" si="0"/>
        <v>2.3127840546430706E-4</v>
      </c>
      <c r="J61">
        <f t="shared" si="1"/>
        <v>0.23127840546430706</v>
      </c>
      <c r="K61">
        <f t="shared" si="2"/>
        <v>0.83753424164475965</v>
      </c>
      <c r="L61">
        <f t="shared" si="3"/>
        <v>789.25199999999995</v>
      </c>
      <c r="M61">
        <f t="shared" si="4"/>
        <v>675.69531612734568</v>
      </c>
      <c r="N61">
        <f t="shared" si="5"/>
        <v>67.001636592203127</v>
      </c>
      <c r="O61">
        <f t="shared" si="6"/>
        <v>78.261865106229592</v>
      </c>
      <c r="P61">
        <f t="shared" si="7"/>
        <v>1.4231683263702111E-2</v>
      </c>
      <c r="Q61">
        <f t="shared" si="8"/>
        <v>2.1811217430537551</v>
      </c>
      <c r="R61">
        <f t="shared" si="9"/>
        <v>1.4180295049405362E-2</v>
      </c>
      <c r="S61">
        <f t="shared" si="10"/>
        <v>8.8672858962273431E-3</v>
      </c>
      <c r="T61">
        <f t="shared" si="11"/>
        <v>276.11542965599995</v>
      </c>
      <c r="U61">
        <f t="shared" si="12"/>
        <v>27.514753296861059</v>
      </c>
      <c r="V61">
        <f t="shared" si="13"/>
        <v>27.514753296861059</v>
      </c>
      <c r="W61">
        <f t="shared" si="14"/>
        <v>3.6888059748951179</v>
      </c>
      <c r="X61">
        <f t="shared" si="15"/>
        <v>64.861625228001287</v>
      </c>
      <c r="Y61">
        <f t="shared" si="16"/>
        <v>2.1188906262163001</v>
      </c>
      <c r="Z61">
        <f t="shared" si="17"/>
        <v>3.2667862064325179</v>
      </c>
      <c r="AA61">
        <f t="shared" si="18"/>
        <v>1.5699153486788178</v>
      </c>
      <c r="AB61">
        <f t="shared" si="19"/>
        <v>-10.199377680975941</v>
      </c>
      <c r="AC61">
        <f t="shared" si="20"/>
        <v>-242.30940923412945</v>
      </c>
      <c r="AD61">
        <f t="shared" si="21"/>
        <v>-23.852255400964204</v>
      </c>
      <c r="AE61">
        <f t="shared" si="22"/>
        <v>-0.24561266006963933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52761.784224650626</v>
      </c>
      <c r="AK61">
        <f t="shared" si="26"/>
        <v>1800</v>
      </c>
      <c r="AL61">
        <f t="shared" si="27"/>
        <v>1499.1114456</v>
      </c>
      <c r="AM61">
        <f t="shared" si="28"/>
        <v>0.83283969199999996</v>
      </c>
      <c r="AN61">
        <f t="shared" si="29"/>
        <v>0.15339746091999998</v>
      </c>
      <c r="AO61">
        <v>31.5</v>
      </c>
      <c r="AP61">
        <v>0.5</v>
      </c>
      <c r="AQ61" t="s">
        <v>331</v>
      </c>
      <c r="AR61">
        <v>2</v>
      </c>
      <c r="AS61">
        <v>1690230134.5999999</v>
      </c>
      <c r="AT61">
        <v>789.25199999999995</v>
      </c>
      <c r="AU61">
        <v>799.95899999999995</v>
      </c>
      <c r="AV61">
        <v>21.368500000000001</v>
      </c>
      <c r="AW61">
        <v>18.992799999999999</v>
      </c>
      <c r="AX61">
        <v>789.45100000000002</v>
      </c>
      <c r="AY61">
        <v>21.189900000000002</v>
      </c>
      <c r="AZ61">
        <v>300.10500000000002</v>
      </c>
      <c r="BA61">
        <v>99.059600000000003</v>
      </c>
      <c r="BB61">
        <v>9.9939799999999995E-2</v>
      </c>
      <c r="BC61">
        <v>25.4541</v>
      </c>
      <c r="BD61">
        <v>26.972100000000001</v>
      </c>
      <c r="BE61">
        <v>27.3109</v>
      </c>
      <c r="BF61">
        <v>0</v>
      </c>
      <c r="BG61">
        <v>0</v>
      </c>
      <c r="BH61">
        <v>10021.9</v>
      </c>
      <c r="BI61">
        <v>1057.33</v>
      </c>
      <c r="BJ61">
        <v>1.4016500000000001</v>
      </c>
      <c r="BK61">
        <v>-10.7067</v>
      </c>
      <c r="BL61">
        <v>806.48599999999999</v>
      </c>
      <c r="BM61">
        <v>815.447</v>
      </c>
      <c r="BN61">
        <v>2.3756599999999999</v>
      </c>
      <c r="BO61">
        <v>799.95899999999995</v>
      </c>
      <c r="BP61">
        <v>18.992799999999999</v>
      </c>
      <c r="BQ61">
        <v>2.1167600000000002</v>
      </c>
      <c r="BR61">
        <v>1.8814200000000001</v>
      </c>
      <c r="BS61">
        <v>18.345800000000001</v>
      </c>
      <c r="BT61">
        <v>16.4802</v>
      </c>
      <c r="BU61">
        <v>1800</v>
      </c>
      <c r="BV61">
        <v>0.90999699999999994</v>
      </c>
      <c r="BW61">
        <v>3.3998599999999997E-2</v>
      </c>
      <c r="BX61">
        <v>2.20016E-2</v>
      </c>
      <c r="BY61">
        <v>3.4002400000000002E-2</v>
      </c>
      <c r="BZ61">
        <v>25.583300000000001</v>
      </c>
      <c r="CA61">
        <v>33528.300000000003</v>
      </c>
      <c r="CB61">
        <v>1690229084.0999999</v>
      </c>
      <c r="CC61" t="s">
        <v>332</v>
      </c>
      <c r="CD61">
        <v>1690229084.0999999</v>
      </c>
      <c r="CE61">
        <v>1690229076.5999999</v>
      </c>
      <c r="CF61">
        <v>13</v>
      </c>
      <c r="CG61">
        <v>0.23300000000000001</v>
      </c>
      <c r="CH61">
        <v>-0.13100000000000001</v>
      </c>
      <c r="CI61">
        <v>-0.20599999999999999</v>
      </c>
      <c r="CJ61">
        <v>8.7999999999999995E-2</v>
      </c>
      <c r="CK61">
        <v>799</v>
      </c>
      <c r="CL61">
        <v>16</v>
      </c>
      <c r="CM61">
        <v>0.04</v>
      </c>
      <c r="CN61">
        <v>0.04</v>
      </c>
      <c r="CO61">
        <v>-10.04237075</v>
      </c>
      <c r="CP61">
        <v>-3.4004016135084458</v>
      </c>
      <c r="CQ61">
        <v>0.32895869272894679</v>
      </c>
      <c r="CR61">
        <v>-1</v>
      </c>
      <c r="CS61">
        <v>2.35825</v>
      </c>
      <c r="CT61">
        <v>9.0100412757970469E-2</v>
      </c>
      <c r="CU61">
        <v>8.7016854689192218E-3</v>
      </c>
      <c r="CV61">
        <v>-1</v>
      </c>
      <c r="CW61">
        <v>0</v>
      </c>
      <c r="CX61">
        <v>0</v>
      </c>
      <c r="CY61" t="s">
        <v>333</v>
      </c>
      <c r="CZ61">
        <v>2.3638300000000001</v>
      </c>
      <c r="DA61">
        <v>2.7137500000000001</v>
      </c>
      <c r="DB61">
        <v>0.14528099999999999</v>
      </c>
      <c r="DC61">
        <v>0.14622399999999999</v>
      </c>
      <c r="DD61">
        <v>0.10481</v>
      </c>
      <c r="DE61">
        <v>9.5047800000000002E-2</v>
      </c>
      <c r="DF61">
        <v>31199</v>
      </c>
      <c r="DG61">
        <v>27509.200000000001</v>
      </c>
      <c r="DH61">
        <v>31162.9</v>
      </c>
      <c r="DI61">
        <v>28076.5</v>
      </c>
      <c r="DJ61">
        <v>37879.1</v>
      </c>
      <c r="DK61">
        <v>36132.400000000001</v>
      </c>
      <c r="DL61">
        <v>44348.6</v>
      </c>
      <c r="DM61">
        <v>42560.2</v>
      </c>
      <c r="DN61">
        <v>1.4714499999999999</v>
      </c>
      <c r="DO61">
        <v>2.05037</v>
      </c>
      <c r="DP61">
        <v>0.12718099999999999</v>
      </c>
      <c r="DQ61">
        <v>0.16447200000000001</v>
      </c>
      <c r="DR61">
        <v>24.888500000000001</v>
      </c>
      <c r="DS61">
        <v>24.616599999999998</v>
      </c>
      <c r="DT61">
        <v>56.7</v>
      </c>
      <c r="DU61">
        <v>29.2</v>
      </c>
      <c r="DV61">
        <v>23.286799999999999</v>
      </c>
      <c r="DW61">
        <v>61.509799999999998</v>
      </c>
      <c r="DX61">
        <v>36.298099999999998</v>
      </c>
      <c r="DY61">
        <v>1</v>
      </c>
      <c r="DZ61">
        <v>-6.1854699999999999E-2</v>
      </c>
      <c r="EA61">
        <v>1.26719</v>
      </c>
      <c r="EB61">
        <v>20.183299999999999</v>
      </c>
      <c r="EC61">
        <v>5.2408000000000001</v>
      </c>
      <c r="ED61">
        <v>12.039899999999999</v>
      </c>
      <c r="EE61">
        <v>5.0174500000000002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1.8646400000000001</v>
      </c>
      <c r="EM61">
        <v>1.8692</v>
      </c>
      <c r="EN61">
        <v>1.8672299999999999</v>
      </c>
      <c r="EO61">
        <v>1.8633999999999999</v>
      </c>
      <c r="EP61">
        <v>1.8644799999999999</v>
      </c>
      <c r="EQ61">
        <v>1.8701700000000001</v>
      </c>
      <c r="ER61">
        <v>1.8694299999999999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-0.19900000000000001</v>
      </c>
      <c r="FG61">
        <v>0.17860000000000001</v>
      </c>
      <c r="FH61">
        <v>0.3448811944559278</v>
      </c>
      <c r="FI61">
        <v>-6.1462078757559423E-4</v>
      </c>
      <c r="FJ61">
        <v>-1.8861989874597051E-7</v>
      </c>
      <c r="FK61">
        <v>1.1980462299894961E-10</v>
      </c>
      <c r="FL61">
        <v>0.17862261546663211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17.5</v>
      </c>
      <c r="FU61">
        <v>17.600000000000001</v>
      </c>
      <c r="FV61">
        <v>1.79077</v>
      </c>
      <c r="FW61">
        <v>2.5854499999999998</v>
      </c>
      <c r="FX61">
        <v>1.5490699999999999</v>
      </c>
      <c r="FY61">
        <v>2.3290999999999999</v>
      </c>
      <c r="FZ61">
        <v>1.50146</v>
      </c>
      <c r="GA61">
        <v>2.3706100000000001</v>
      </c>
      <c r="GB61">
        <v>33.986499999999999</v>
      </c>
      <c r="GC61">
        <v>23.982399999999998</v>
      </c>
      <c r="GD61">
        <v>19</v>
      </c>
      <c r="GE61">
        <v>282.19099999999997</v>
      </c>
      <c r="GF61">
        <v>598.01700000000005</v>
      </c>
      <c r="GG61">
        <v>21.8749</v>
      </c>
      <c r="GH61">
        <v>26.582599999999999</v>
      </c>
      <c r="GI61">
        <v>30.0002</v>
      </c>
      <c r="GJ61">
        <v>26.6555</v>
      </c>
      <c r="GK61">
        <v>26.616299999999999</v>
      </c>
      <c r="GL61">
        <v>35.812800000000003</v>
      </c>
      <c r="GM61">
        <v>27.759699999999999</v>
      </c>
      <c r="GN61">
        <v>99.230800000000002</v>
      </c>
      <c r="GO61">
        <v>21.883800000000001</v>
      </c>
      <c r="GP61">
        <v>800</v>
      </c>
      <c r="GQ61">
        <v>19.058599999999998</v>
      </c>
      <c r="GR61">
        <v>99.709100000000007</v>
      </c>
      <c r="GS61">
        <v>99.557599999999994</v>
      </c>
    </row>
    <row r="62" spans="1:201" x14ac:dyDescent="0.25">
      <c r="A62">
        <v>46</v>
      </c>
      <c r="B62">
        <v>1690230144.5999999</v>
      </c>
      <c r="C62">
        <v>639.5</v>
      </c>
      <c r="D62" t="s">
        <v>425</v>
      </c>
      <c r="E62" t="s">
        <v>426</v>
      </c>
      <c r="F62" t="s">
        <v>330</v>
      </c>
      <c r="H62">
        <v>1690230144.5999999</v>
      </c>
      <c r="I62">
        <f t="shared" si="0"/>
        <v>2.3266585891004146E-4</v>
      </c>
      <c r="J62">
        <f t="shared" si="1"/>
        <v>0.23266585891004146</v>
      </c>
      <c r="K62">
        <f t="shared" si="2"/>
        <v>0.9011629896465837</v>
      </c>
      <c r="L62">
        <f t="shared" si="3"/>
        <v>788.57899999999995</v>
      </c>
      <c r="M62">
        <f t="shared" si="4"/>
        <v>668.6038572662485</v>
      </c>
      <c r="N62">
        <f t="shared" si="5"/>
        <v>66.298464969427869</v>
      </c>
      <c r="O62">
        <f t="shared" si="6"/>
        <v>78.19514745381899</v>
      </c>
      <c r="P62">
        <f t="shared" si="7"/>
        <v>1.4323341566314644E-2</v>
      </c>
      <c r="Q62">
        <f t="shared" si="8"/>
        <v>2.1792178589250284</v>
      </c>
      <c r="R62">
        <f t="shared" si="9"/>
        <v>1.427124530582863E-2</v>
      </c>
      <c r="S62">
        <f t="shared" si="10"/>
        <v>8.9241930935648542E-3</v>
      </c>
      <c r="T62">
        <f t="shared" si="11"/>
        <v>276.11373595027823</v>
      </c>
      <c r="U62">
        <f t="shared" si="12"/>
        <v>27.515806167533295</v>
      </c>
      <c r="V62">
        <f t="shared" si="13"/>
        <v>27.515806167533295</v>
      </c>
      <c r="W62">
        <f t="shared" si="14"/>
        <v>3.6890332144425533</v>
      </c>
      <c r="X62">
        <f t="shared" si="15"/>
        <v>64.889039571768606</v>
      </c>
      <c r="Y62">
        <f t="shared" si="16"/>
        <v>2.1197735993214</v>
      </c>
      <c r="Z62">
        <f t="shared" si="17"/>
        <v>3.2667667965356264</v>
      </c>
      <c r="AA62">
        <f t="shared" si="18"/>
        <v>1.5692596151211533</v>
      </c>
      <c r="AB62">
        <f t="shared" si="19"/>
        <v>-10.260564377932829</v>
      </c>
      <c r="AC62">
        <f t="shared" si="20"/>
        <v>-242.23334539990768</v>
      </c>
      <c r="AD62">
        <f t="shared" si="21"/>
        <v>-23.865714202578953</v>
      </c>
      <c r="AE62">
        <f t="shared" si="22"/>
        <v>-0.24588803014123073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52682.497412748984</v>
      </c>
      <c r="AK62">
        <f t="shared" si="26"/>
        <v>1799.99</v>
      </c>
      <c r="AL62">
        <f t="shared" si="27"/>
        <v>1499.1040999976199</v>
      </c>
      <c r="AM62">
        <f t="shared" si="28"/>
        <v>0.83284023799999995</v>
      </c>
      <c r="AN62">
        <f t="shared" si="29"/>
        <v>0.15339737218000002</v>
      </c>
      <c r="AO62">
        <v>31.5</v>
      </c>
      <c r="AP62">
        <v>0.5</v>
      </c>
      <c r="AQ62" t="s">
        <v>331</v>
      </c>
      <c r="AR62">
        <v>2</v>
      </c>
      <c r="AS62">
        <v>1690230144.5999999</v>
      </c>
      <c r="AT62">
        <v>788.57899999999995</v>
      </c>
      <c r="AU62">
        <v>799.95500000000004</v>
      </c>
      <c r="AV62">
        <v>21.377400000000002</v>
      </c>
      <c r="AW62">
        <v>18.9893</v>
      </c>
      <c r="AX62">
        <v>788.77700000000004</v>
      </c>
      <c r="AY62">
        <v>21.198799999999999</v>
      </c>
      <c r="AZ62">
        <v>300.33499999999998</v>
      </c>
      <c r="BA62">
        <v>99.0595</v>
      </c>
      <c r="BB62">
        <v>0.100061</v>
      </c>
      <c r="BC62">
        <v>25.454000000000001</v>
      </c>
      <c r="BD62">
        <v>26.9725</v>
      </c>
      <c r="BE62">
        <v>27.327200000000001</v>
      </c>
      <c r="BF62">
        <v>0</v>
      </c>
      <c r="BG62">
        <v>0</v>
      </c>
      <c r="BH62">
        <v>10006.200000000001</v>
      </c>
      <c r="BI62">
        <v>1057.08</v>
      </c>
      <c r="BJ62">
        <v>1.4016500000000001</v>
      </c>
      <c r="BK62">
        <v>-11.376300000000001</v>
      </c>
      <c r="BL62">
        <v>805.80499999999995</v>
      </c>
      <c r="BM62">
        <v>815.44</v>
      </c>
      <c r="BN62">
        <v>2.3881100000000002</v>
      </c>
      <c r="BO62">
        <v>799.95500000000004</v>
      </c>
      <c r="BP62">
        <v>18.9893</v>
      </c>
      <c r="BQ62">
        <v>2.1176300000000001</v>
      </c>
      <c r="BR62">
        <v>1.88107</v>
      </c>
      <c r="BS62">
        <v>18.352399999999999</v>
      </c>
      <c r="BT62">
        <v>16.4772</v>
      </c>
      <c r="BU62">
        <v>1799.99</v>
      </c>
      <c r="BV62">
        <v>0.91000199999999998</v>
      </c>
      <c r="BW62">
        <v>3.3996800000000001E-2</v>
      </c>
      <c r="BX62">
        <v>2.20004E-2</v>
      </c>
      <c r="BY62">
        <v>3.4000599999999999E-2</v>
      </c>
      <c r="BZ62">
        <v>25.666699999999999</v>
      </c>
      <c r="CA62">
        <v>33528.300000000003</v>
      </c>
      <c r="CB62">
        <v>1690229084.0999999</v>
      </c>
      <c r="CC62" t="s">
        <v>332</v>
      </c>
      <c r="CD62">
        <v>1690229084.0999999</v>
      </c>
      <c r="CE62">
        <v>1690229076.5999999</v>
      </c>
      <c r="CF62">
        <v>13</v>
      </c>
      <c r="CG62">
        <v>0.23300000000000001</v>
      </c>
      <c r="CH62">
        <v>-0.13100000000000001</v>
      </c>
      <c r="CI62">
        <v>-0.20599999999999999</v>
      </c>
      <c r="CJ62">
        <v>8.7999999999999995E-2</v>
      </c>
      <c r="CK62">
        <v>799</v>
      </c>
      <c r="CL62">
        <v>16</v>
      </c>
      <c r="CM62">
        <v>0.04</v>
      </c>
      <c r="CN62">
        <v>0.04</v>
      </c>
      <c r="CO62">
        <v>-10.66607073170732</v>
      </c>
      <c r="CP62">
        <v>-3.765432752613274</v>
      </c>
      <c r="CQ62">
        <v>0.37297837591402611</v>
      </c>
      <c r="CR62">
        <v>-1</v>
      </c>
      <c r="CS62">
        <v>2.3737695121951221</v>
      </c>
      <c r="CT62">
        <v>9.303595818815652E-2</v>
      </c>
      <c r="CU62">
        <v>9.1914480271183003E-3</v>
      </c>
      <c r="CV62">
        <v>-1</v>
      </c>
      <c r="CW62">
        <v>0</v>
      </c>
      <c r="CX62">
        <v>0</v>
      </c>
      <c r="CY62" t="s">
        <v>333</v>
      </c>
      <c r="CZ62">
        <v>2.3645800000000001</v>
      </c>
      <c r="DA62">
        <v>2.7138599999999999</v>
      </c>
      <c r="DB62">
        <v>0.1452</v>
      </c>
      <c r="DC62">
        <v>0.14622399999999999</v>
      </c>
      <c r="DD62">
        <v>0.104842</v>
      </c>
      <c r="DE62">
        <v>9.5035400000000006E-2</v>
      </c>
      <c r="DF62">
        <v>31202.400000000001</v>
      </c>
      <c r="DG62">
        <v>27510.1</v>
      </c>
      <c r="DH62">
        <v>31163.4</v>
      </c>
      <c r="DI62">
        <v>28077.4</v>
      </c>
      <c r="DJ62">
        <v>37878.400000000001</v>
      </c>
      <c r="DK62">
        <v>36133.800000000003</v>
      </c>
      <c r="DL62">
        <v>44349.4</v>
      </c>
      <c r="DM62">
        <v>42561.3</v>
      </c>
      <c r="DN62">
        <v>1.4717499999999999</v>
      </c>
      <c r="DO62">
        <v>2.0506500000000001</v>
      </c>
      <c r="DP62">
        <v>0.12806799999999999</v>
      </c>
      <c r="DQ62">
        <v>0.166126</v>
      </c>
      <c r="DR62">
        <v>24.874400000000001</v>
      </c>
      <c r="DS62">
        <v>24.605699999999999</v>
      </c>
      <c r="DT62">
        <v>56.7</v>
      </c>
      <c r="DU62">
        <v>29.2</v>
      </c>
      <c r="DV62">
        <v>23.287800000000001</v>
      </c>
      <c r="DW62">
        <v>61.739800000000002</v>
      </c>
      <c r="DX62">
        <v>35.444699999999997</v>
      </c>
      <c r="DY62">
        <v>1</v>
      </c>
      <c r="DZ62">
        <v>-6.3000500000000001E-2</v>
      </c>
      <c r="EA62">
        <v>1.2719800000000001</v>
      </c>
      <c r="EB62">
        <v>20.183299999999999</v>
      </c>
      <c r="EC62">
        <v>5.2406499999999996</v>
      </c>
      <c r="ED62">
        <v>12.039899999999999</v>
      </c>
      <c r="EE62">
        <v>5.0171000000000001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1.8646400000000001</v>
      </c>
      <c r="EM62">
        <v>1.8692</v>
      </c>
      <c r="EN62">
        <v>1.8672299999999999</v>
      </c>
      <c r="EO62">
        <v>1.8633999999999999</v>
      </c>
      <c r="EP62">
        <v>1.86452</v>
      </c>
      <c r="EQ62">
        <v>1.87016</v>
      </c>
      <c r="ER62">
        <v>1.86944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-0.19800000000000001</v>
      </c>
      <c r="FG62">
        <v>0.17860000000000001</v>
      </c>
      <c r="FH62">
        <v>0.3448811944559278</v>
      </c>
      <c r="FI62">
        <v>-6.1462078757559423E-4</v>
      </c>
      <c r="FJ62">
        <v>-1.8861989874597051E-7</v>
      </c>
      <c r="FK62">
        <v>1.1980462299894961E-10</v>
      </c>
      <c r="FL62">
        <v>0.17862261546663211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17.7</v>
      </c>
      <c r="FU62">
        <v>17.8</v>
      </c>
      <c r="FV62">
        <v>1.79077</v>
      </c>
      <c r="FW62">
        <v>2.5805699999999998</v>
      </c>
      <c r="FX62">
        <v>1.5490699999999999</v>
      </c>
      <c r="FY62">
        <v>2.3290999999999999</v>
      </c>
      <c r="FZ62">
        <v>1.50146</v>
      </c>
      <c r="GA62">
        <v>2.3999000000000001</v>
      </c>
      <c r="GB62">
        <v>33.986499999999999</v>
      </c>
      <c r="GC62">
        <v>23.982399999999998</v>
      </c>
      <c r="GD62">
        <v>19</v>
      </c>
      <c r="GE62">
        <v>282.30900000000003</v>
      </c>
      <c r="GF62">
        <v>598.27</v>
      </c>
      <c r="GG62">
        <v>21.9359</v>
      </c>
      <c r="GH62">
        <v>26.577000000000002</v>
      </c>
      <c r="GI62">
        <v>29.999600000000001</v>
      </c>
      <c r="GJ62">
        <v>26.653300000000002</v>
      </c>
      <c r="GK62">
        <v>26.617999999999999</v>
      </c>
      <c r="GL62">
        <v>35.814900000000002</v>
      </c>
      <c r="GM62">
        <v>27.474499999999999</v>
      </c>
      <c r="GN62">
        <v>99.230800000000002</v>
      </c>
      <c r="GO62">
        <v>21.934999999999999</v>
      </c>
      <c r="GP62">
        <v>800</v>
      </c>
      <c r="GQ62">
        <v>19.066199999999998</v>
      </c>
      <c r="GR62">
        <v>99.710800000000006</v>
      </c>
      <c r="GS62">
        <v>99.560400000000001</v>
      </c>
    </row>
    <row r="63" spans="1:201" x14ac:dyDescent="0.25">
      <c r="A63">
        <v>47</v>
      </c>
      <c r="B63">
        <v>1690230154.5999999</v>
      </c>
      <c r="C63">
        <v>649.5</v>
      </c>
      <c r="D63" t="s">
        <v>427</v>
      </c>
      <c r="E63" t="s">
        <v>428</v>
      </c>
      <c r="F63" t="s">
        <v>330</v>
      </c>
      <c r="H63">
        <v>1690230154.5999999</v>
      </c>
      <c r="I63">
        <f t="shared" si="0"/>
        <v>2.2722621748376054E-4</v>
      </c>
      <c r="J63">
        <f t="shared" si="1"/>
        <v>0.22722621748376054</v>
      </c>
      <c r="K63">
        <f t="shared" si="2"/>
        <v>0.9807474151914185</v>
      </c>
      <c r="L63">
        <f t="shared" si="3"/>
        <v>787.81</v>
      </c>
      <c r="M63">
        <f t="shared" si="4"/>
        <v>656.29968865524154</v>
      </c>
      <c r="N63">
        <f t="shared" si="5"/>
        <v>65.07577910451856</v>
      </c>
      <c r="O63">
        <f t="shared" si="6"/>
        <v>78.115760867383003</v>
      </c>
      <c r="P63">
        <f t="shared" si="7"/>
        <v>1.3970813144692177E-2</v>
      </c>
      <c r="Q63">
        <f t="shared" si="8"/>
        <v>2.1738602830292515</v>
      </c>
      <c r="R63">
        <f t="shared" si="9"/>
        <v>1.3921123245401713E-2</v>
      </c>
      <c r="S63">
        <f t="shared" si="10"/>
        <v>8.7051516689260547E-3</v>
      </c>
      <c r="T63">
        <f t="shared" si="11"/>
        <v>276.11366465267429</v>
      </c>
      <c r="U63">
        <f t="shared" si="12"/>
        <v>27.531282504869285</v>
      </c>
      <c r="V63">
        <f t="shared" si="13"/>
        <v>27.531282504869285</v>
      </c>
      <c r="W63">
        <f t="shared" si="14"/>
        <v>3.6923748596619563</v>
      </c>
      <c r="X63">
        <f t="shared" si="15"/>
        <v>64.903018871441162</v>
      </c>
      <c r="Y63">
        <f t="shared" si="16"/>
        <v>2.12136431718949</v>
      </c>
      <c r="Z63">
        <f t="shared" si="17"/>
        <v>3.2685140908336692</v>
      </c>
      <c r="AA63">
        <f t="shared" si="18"/>
        <v>1.5710105424724663</v>
      </c>
      <c r="AB63">
        <f t="shared" si="19"/>
        <v>-10.020676191033839</v>
      </c>
      <c r="AC63">
        <f t="shared" si="20"/>
        <v>-242.39682650381303</v>
      </c>
      <c r="AD63">
        <f t="shared" si="21"/>
        <v>-23.94361559573327</v>
      </c>
      <c r="AE63">
        <f t="shared" si="22"/>
        <v>-0.24745363790583497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52458.067737345125</v>
      </c>
      <c r="AK63">
        <f t="shared" si="26"/>
        <v>1799.99</v>
      </c>
      <c r="AL63">
        <f t="shared" si="27"/>
        <v>1499.1057811882799</v>
      </c>
      <c r="AM63">
        <f t="shared" si="28"/>
        <v>0.83284117199999996</v>
      </c>
      <c r="AN63">
        <f t="shared" si="29"/>
        <v>0.15339733256999999</v>
      </c>
      <c r="AO63">
        <v>31.5</v>
      </c>
      <c r="AP63">
        <v>0.5</v>
      </c>
      <c r="AQ63" t="s">
        <v>331</v>
      </c>
      <c r="AR63">
        <v>2</v>
      </c>
      <c r="AS63">
        <v>1690230154.5999999</v>
      </c>
      <c r="AT63">
        <v>787.81</v>
      </c>
      <c r="AU63">
        <v>799.98</v>
      </c>
      <c r="AV63">
        <v>21.394300000000001</v>
      </c>
      <c r="AW63">
        <v>19.0609</v>
      </c>
      <c r="AX63">
        <v>788.00699999999995</v>
      </c>
      <c r="AY63">
        <v>21.215599999999998</v>
      </c>
      <c r="AZ63">
        <v>300.18400000000003</v>
      </c>
      <c r="BA63">
        <v>99.055599999999998</v>
      </c>
      <c r="BB63">
        <v>9.9984299999999998E-2</v>
      </c>
      <c r="BC63">
        <v>25.463000000000001</v>
      </c>
      <c r="BD63">
        <v>26.952200000000001</v>
      </c>
      <c r="BE63">
        <v>27.319400000000002</v>
      </c>
      <c r="BF63">
        <v>0</v>
      </c>
      <c r="BG63">
        <v>0</v>
      </c>
      <c r="BH63">
        <v>9962.5</v>
      </c>
      <c r="BI63">
        <v>1056.99</v>
      </c>
      <c r="BJ63">
        <v>1.4016500000000001</v>
      </c>
      <c r="BK63">
        <v>-12.170299999999999</v>
      </c>
      <c r="BL63">
        <v>805.03300000000002</v>
      </c>
      <c r="BM63">
        <v>815.524</v>
      </c>
      <c r="BN63">
        <v>2.3333300000000001</v>
      </c>
      <c r="BO63">
        <v>799.98</v>
      </c>
      <c r="BP63">
        <v>19.0609</v>
      </c>
      <c r="BQ63">
        <v>2.1192199999999999</v>
      </c>
      <c r="BR63">
        <v>1.88809</v>
      </c>
      <c r="BS63">
        <v>18.3644</v>
      </c>
      <c r="BT63">
        <v>16.535799999999998</v>
      </c>
      <c r="BU63">
        <v>1799.99</v>
      </c>
      <c r="BV63">
        <v>0.91000800000000004</v>
      </c>
      <c r="BW63">
        <v>3.3994799999999999E-2</v>
      </c>
      <c r="BX63">
        <v>2.1999100000000001E-2</v>
      </c>
      <c r="BY63">
        <v>3.3998500000000001E-2</v>
      </c>
      <c r="BZ63">
        <v>25.666699999999999</v>
      </c>
      <c r="CA63">
        <v>33528.300000000003</v>
      </c>
      <c r="CB63">
        <v>1690229084.0999999</v>
      </c>
      <c r="CC63" t="s">
        <v>332</v>
      </c>
      <c r="CD63">
        <v>1690229084.0999999</v>
      </c>
      <c r="CE63">
        <v>1690229076.5999999</v>
      </c>
      <c r="CF63">
        <v>13</v>
      </c>
      <c r="CG63">
        <v>0.23300000000000001</v>
      </c>
      <c r="CH63">
        <v>-0.13100000000000001</v>
      </c>
      <c r="CI63">
        <v>-0.20599999999999999</v>
      </c>
      <c r="CJ63">
        <v>8.7999999999999995E-2</v>
      </c>
      <c r="CK63">
        <v>799</v>
      </c>
      <c r="CL63">
        <v>16</v>
      </c>
      <c r="CM63">
        <v>0.04</v>
      </c>
      <c r="CN63">
        <v>0.04</v>
      </c>
      <c r="CO63">
        <v>-11.3447756097561</v>
      </c>
      <c r="CP63">
        <v>-4.3194940766550491</v>
      </c>
      <c r="CQ63">
        <v>0.42866588773490599</v>
      </c>
      <c r="CR63">
        <v>-1</v>
      </c>
      <c r="CS63">
        <v>2.3644236585365861</v>
      </c>
      <c r="CT63">
        <v>-0.19123484320557249</v>
      </c>
      <c r="CU63">
        <v>2.4117206362111499E-2</v>
      </c>
      <c r="CV63">
        <v>-1</v>
      </c>
      <c r="CW63">
        <v>0</v>
      </c>
      <c r="CX63">
        <v>0</v>
      </c>
      <c r="CY63" t="s">
        <v>333</v>
      </c>
      <c r="CZ63">
        <v>2.36409</v>
      </c>
      <c r="DA63">
        <v>2.71374</v>
      </c>
      <c r="DB63">
        <v>0.14510200000000001</v>
      </c>
      <c r="DC63">
        <v>0.14622499999999999</v>
      </c>
      <c r="DD63">
        <v>0.10489900000000001</v>
      </c>
      <c r="DE63">
        <v>9.5288800000000007E-2</v>
      </c>
      <c r="DF63">
        <v>31205.7</v>
      </c>
      <c r="DG63">
        <v>27510</v>
      </c>
      <c r="DH63">
        <v>31163</v>
      </c>
      <c r="DI63">
        <v>28077.3</v>
      </c>
      <c r="DJ63">
        <v>37875.699999999997</v>
      </c>
      <c r="DK63">
        <v>36123.5</v>
      </c>
      <c r="DL63">
        <v>44349</v>
      </c>
      <c r="DM63">
        <v>42561.2</v>
      </c>
      <c r="DN63">
        <v>1.4714</v>
      </c>
      <c r="DO63">
        <v>2.05078</v>
      </c>
      <c r="DP63">
        <v>0.127688</v>
      </c>
      <c r="DQ63">
        <v>0.16628200000000001</v>
      </c>
      <c r="DR63">
        <v>24.860199999999999</v>
      </c>
      <c r="DS63">
        <v>24.595400000000001</v>
      </c>
      <c r="DT63">
        <v>56.7</v>
      </c>
      <c r="DU63">
        <v>29.2</v>
      </c>
      <c r="DV63">
        <v>23.290099999999999</v>
      </c>
      <c r="DW63">
        <v>61.939799999999998</v>
      </c>
      <c r="DX63">
        <v>35.508800000000001</v>
      </c>
      <c r="DY63">
        <v>1</v>
      </c>
      <c r="DZ63">
        <v>-6.3381599999999996E-2</v>
      </c>
      <c r="EA63">
        <v>1.3160499999999999</v>
      </c>
      <c r="EB63">
        <v>20.1829</v>
      </c>
      <c r="EC63">
        <v>5.2406499999999996</v>
      </c>
      <c r="ED63">
        <v>12.039899999999999</v>
      </c>
      <c r="EE63">
        <v>5.0171000000000001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1.86463</v>
      </c>
      <c r="EM63">
        <v>1.8691899999999999</v>
      </c>
      <c r="EN63">
        <v>1.8672200000000001</v>
      </c>
      <c r="EO63">
        <v>1.8633999999999999</v>
      </c>
      <c r="EP63">
        <v>1.86449</v>
      </c>
      <c r="EQ63">
        <v>1.87016</v>
      </c>
      <c r="ER63">
        <v>1.8694299999999999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-0.19700000000000001</v>
      </c>
      <c r="FG63">
        <v>0.1787</v>
      </c>
      <c r="FH63">
        <v>0.3448811944559278</v>
      </c>
      <c r="FI63">
        <v>-6.1462078757559423E-4</v>
      </c>
      <c r="FJ63">
        <v>-1.8861989874597051E-7</v>
      </c>
      <c r="FK63">
        <v>1.1980462299894961E-10</v>
      </c>
      <c r="FL63">
        <v>0.17862261546663211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17.8</v>
      </c>
      <c r="FU63">
        <v>18</v>
      </c>
      <c r="FV63">
        <v>1.79077</v>
      </c>
      <c r="FW63">
        <v>2.5927699999999998</v>
      </c>
      <c r="FX63">
        <v>1.5490699999999999</v>
      </c>
      <c r="FY63">
        <v>2.3290999999999999</v>
      </c>
      <c r="FZ63">
        <v>1.50146</v>
      </c>
      <c r="GA63">
        <v>2.2790499999999998</v>
      </c>
      <c r="GB63">
        <v>33.986499999999999</v>
      </c>
      <c r="GC63">
        <v>23.9649</v>
      </c>
      <c r="GD63">
        <v>19</v>
      </c>
      <c r="GE63">
        <v>282.15899999999999</v>
      </c>
      <c r="GF63">
        <v>598.375</v>
      </c>
      <c r="GG63">
        <v>21.965499999999999</v>
      </c>
      <c r="GH63">
        <v>26.571300000000001</v>
      </c>
      <c r="GI63">
        <v>29.9999</v>
      </c>
      <c r="GJ63">
        <v>26.653300000000002</v>
      </c>
      <c r="GK63">
        <v>26.617999999999999</v>
      </c>
      <c r="GL63">
        <v>35.815800000000003</v>
      </c>
      <c r="GM63">
        <v>27.474499999999999</v>
      </c>
      <c r="GN63">
        <v>99.230800000000002</v>
      </c>
      <c r="GO63">
        <v>21.959499999999998</v>
      </c>
      <c r="GP63">
        <v>800</v>
      </c>
      <c r="GQ63">
        <v>19.060300000000002</v>
      </c>
      <c r="GR63">
        <v>99.709800000000001</v>
      </c>
      <c r="GS63">
        <v>99.560100000000006</v>
      </c>
    </row>
    <row r="64" spans="1:201" x14ac:dyDescent="0.25">
      <c r="A64">
        <v>48</v>
      </c>
      <c r="B64">
        <v>1690230164.5999999</v>
      </c>
      <c r="C64">
        <v>659.5</v>
      </c>
      <c r="D64" t="s">
        <v>429</v>
      </c>
      <c r="E64" t="s">
        <v>430</v>
      </c>
      <c r="F64" t="s">
        <v>330</v>
      </c>
      <c r="H64">
        <v>1690230164.5999999</v>
      </c>
      <c r="I64">
        <f t="shared" si="0"/>
        <v>2.2951805261950452E-4</v>
      </c>
      <c r="J64">
        <f t="shared" si="1"/>
        <v>0.22951805261950453</v>
      </c>
      <c r="K64">
        <f t="shared" si="2"/>
        <v>1.0564238760977733</v>
      </c>
      <c r="L64">
        <f t="shared" si="3"/>
        <v>787.00300000000004</v>
      </c>
      <c r="M64">
        <f t="shared" si="4"/>
        <v>648.35872994126544</v>
      </c>
      <c r="N64">
        <f t="shared" si="5"/>
        <v>64.289652808347853</v>
      </c>
      <c r="O64">
        <f t="shared" si="6"/>
        <v>78.037276730602002</v>
      </c>
      <c r="P64">
        <f t="shared" si="7"/>
        <v>1.4135982279184762E-2</v>
      </c>
      <c r="Q64">
        <f t="shared" si="8"/>
        <v>2.1741123982664257</v>
      </c>
      <c r="R64">
        <f t="shared" si="9"/>
        <v>1.4085118708044719E-2</v>
      </c>
      <c r="S64">
        <f t="shared" si="10"/>
        <v>8.8077537579504331E-3</v>
      </c>
      <c r="T64">
        <f t="shared" si="11"/>
        <v>276.11320378323467</v>
      </c>
      <c r="U64">
        <f t="shared" si="12"/>
        <v>27.528977330211617</v>
      </c>
      <c r="V64">
        <f t="shared" si="13"/>
        <v>27.528977330211617</v>
      </c>
      <c r="W64">
        <f t="shared" si="14"/>
        <v>3.6918769598117422</v>
      </c>
      <c r="X64">
        <f t="shared" si="15"/>
        <v>64.972717832496613</v>
      </c>
      <c r="Y64">
        <f t="shared" si="16"/>
        <v>2.1234784221167997</v>
      </c>
      <c r="Z64">
        <f t="shared" si="17"/>
        <v>3.2682616534392928</v>
      </c>
      <c r="AA64">
        <f t="shared" si="18"/>
        <v>1.5683985376949425</v>
      </c>
      <c r="AB64">
        <f t="shared" si="19"/>
        <v>-10.121746120520148</v>
      </c>
      <c r="AC64">
        <f t="shared" si="20"/>
        <v>-242.30712140234681</v>
      </c>
      <c r="AD64">
        <f t="shared" si="21"/>
        <v>-23.931546731351997</v>
      </c>
      <c r="AE64">
        <f t="shared" si="22"/>
        <v>-0.24721047098429949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52468.805989078915</v>
      </c>
      <c r="AK64">
        <f t="shared" si="26"/>
        <v>1799.99</v>
      </c>
      <c r="AL64">
        <f t="shared" si="27"/>
        <v>1499.10512599192</v>
      </c>
      <c r="AM64">
        <f t="shared" si="28"/>
        <v>0.83284080800000004</v>
      </c>
      <c r="AN64">
        <f t="shared" si="29"/>
        <v>0.15339707652999998</v>
      </c>
      <c r="AO64">
        <v>31.5</v>
      </c>
      <c r="AP64">
        <v>0.5</v>
      </c>
      <c r="AQ64" t="s">
        <v>331</v>
      </c>
      <c r="AR64">
        <v>2</v>
      </c>
      <c r="AS64">
        <v>1690230164.5999999</v>
      </c>
      <c r="AT64">
        <v>787.00300000000004</v>
      </c>
      <c r="AU64">
        <v>799.98199999999997</v>
      </c>
      <c r="AV64">
        <v>21.415199999999999</v>
      </c>
      <c r="AW64">
        <v>19.058700000000002</v>
      </c>
      <c r="AX64">
        <v>787.20100000000002</v>
      </c>
      <c r="AY64">
        <v>21.236599999999999</v>
      </c>
      <c r="AZ64">
        <v>300.233</v>
      </c>
      <c r="BA64">
        <v>99.057500000000005</v>
      </c>
      <c r="BB64">
        <v>0.100034</v>
      </c>
      <c r="BC64">
        <v>25.4617</v>
      </c>
      <c r="BD64">
        <v>27.022400000000001</v>
      </c>
      <c r="BE64">
        <v>27.317900000000002</v>
      </c>
      <c r="BF64">
        <v>0</v>
      </c>
      <c r="BG64">
        <v>0</v>
      </c>
      <c r="BH64">
        <v>9964.3799999999992</v>
      </c>
      <c r="BI64">
        <v>1056.92</v>
      </c>
      <c r="BJ64">
        <v>1.4016500000000001</v>
      </c>
      <c r="BK64">
        <v>-12.979100000000001</v>
      </c>
      <c r="BL64">
        <v>804.226</v>
      </c>
      <c r="BM64">
        <v>815.52499999999998</v>
      </c>
      <c r="BN64">
        <v>2.3565800000000001</v>
      </c>
      <c r="BO64">
        <v>799.98199999999997</v>
      </c>
      <c r="BP64">
        <v>19.058700000000002</v>
      </c>
      <c r="BQ64">
        <v>2.12134</v>
      </c>
      <c r="BR64">
        <v>1.8878999999999999</v>
      </c>
      <c r="BS64">
        <v>18.380299999999998</v>
      </c>
      <c r="BT64">
        <v>16.534300000000002</v>
      </c>
      <c r="BU64">
        <v>1799.99</v>
      </c>
      <c r="BV64">
        <v>0.91001200000000004</v>
      </c>
      <c r="BW64">
        <v>3.39929E-2</v>
      </c>
      <c r="BX64">
        <v>2.1997900000000001E-2</v>
      </c>
      <c r="BY64">
        <v>3.3996699999999998E-2</v>
      </c>
      <c r="BZ64">
        <v>25.666699999999999</v>
      </c>
      <c r="CA64">
        <v>33528.400000000001</v>
      </c>
      <c r="CB64">
        <v>1690229084.0999999</v>
      </c>
      <c r="CC64" t="s">
        <v>332</v>
      </c>
      <c r="CD64">
        <v>1690229084.0999999</v>
      </c>
      <c r="CE64">
        <v>1690229076.5999999</v>
      </c>
      <c r="CF64">
        <v>13</v>
      </c>
      <c r="CG64">
        <v>0.23300000000000001</v>
      </c>
      <c r="CH64">
        <v>-0.13100000000000001</v>
      </c>
      <c r="CI64">
        <v>-0.20599999999999999</v>
      </c>
      <c r="CJ64">
        <v>8.7999999999999995E-2</v>
      </c>
      <c r="CK64">
        <v>799</v>
      </c>
      <c r="CL64">
        <v>16</v>
      </c>
      <c r="CM64">
        <v>0.04</v>
      </c>
      <c r="CN64">
        <v>0.04</v>
      </c>
      <c r="CO64">
        <v>-12.0664275</v>
      </c>
      <c r="CP64">
        <v>-4.7032018761725878</v>
      </c>
      <c r="CQ64">
        <v>0.45337951541037902</v>
      </c>
      <c r="CR64">
        <v>-1</v>
      </c>
      <c r="CS64">
        <v>2.3453759999999999</v>
      </c>
      <c r="CT64">
        <v>-8.0571332082556443E-2</v>
      </c>
      <c r="CU64">
        <v>1.8745480095212302E-2</v>
      </c>
      <c r="CV64">
        <v>-1</v>
      </c>
      <c r="CW64">
        <v>0</v>
      </c>
      <c r="CX64">
        <v>0</v>
      </c>
      <c r="CY64" t="s">
        <v>333</v>
      </c>
      <c r="CZ64">
        <v>2.3642500000000002</v>
      </c>
      <c r="DA64">
        <v>2.7137899999999999</v>
      </c>
      <c r="DB64">
        <v>0.145005</v>
      </c>
      <c r="DC64">
        <v>0.14622599999999999</v>
      </c>
      <c r="DD64">
        <v>0.104974</v>
      </c>
      <c r="DE64">
        <v>9.5281500000000005E-2</v>
      </c>
      <c r="DF64">
        <v>31209.200000000001</v>
      </c>
      <c r="DG64">
        <v>27510.1</v>
      </c>
      <c r="DH64">
        <v>31163</v>
      </c>
      <c r="DI64">
        <v>28077.4</v>
      </c>
      <c r="DJ64">
        <v>37872.400000000001</v>
      </c>
      <c r="DK64">
        <v>36124</v>
      </c>
      <c r="DL64">
        <v>44349</v>
      </c>
      <c r="DM64">
        <v>42561.4</v>
      </c>
      <c r="DN64">
        <v>1.4715199999999999</v>
      </c>
      <c r="DO64">
        <v>2.0508500000000001</v>
      </c>
      <c r="DP64">
        <v>0.13287399999999999</v>
      </c>
      <c r="DQ64">
        <v>0.16681799999999999</v>
      </c>
      <c r="DR64">
        <v>24.845600000000001</v>
      </c>
      <c r="DS64">
        <v>24.585000000000001</v>
      </c>
      <c r="DT64">
        <v>56.7</v>
      </c>
      <c r="DU64">
        <v>29.2</v>
      </c>
      <c r="DV64">
        <v>23.287400000000002</v>
      </c>
      <c r="DW64">
        <v>61.719799999999999</v>
      </c>
      <c r="DX64">
        <v>36.201900000000002</v>
      </c>
      <c r="DY64">
        <v>1</v>
      </c>
      <c r="DZ64">
        <v>-6.3389200000000007E-2</v>
      </c>
      <c r="EA64">
        <v>1.1462699999999999</v>
      </c>
      <c r="EB64">
        <v>20.1846</v>
      </c>
      <c r="EC64">
        <v>5.2408000000000001</v>
      </c>
      <c r="ED64">
        <v>12.039899999999999</v>
      </c>
      <c r="EE64">
        <v>5.0163000000000002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1.8689100000000001</v>
      </c>
      <c r="EL64">
        <v>1.8646400000000001</v>
      </c>
      <c r="EM64">
        <v>1.8692</v>
      </c>
      <c r="EN64">
        <v>1.86724</v>
      </c>
      <c r="EO64">
        <v>1.8633999999999999</v>
      </c>
      <c r="EP64">
        <v>1.8645</v>
      </c>
      <c r="EQ64">
        <v>1.8701700000000001</v>
      </c>
      <c r="ER64">
        <v>1.86948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-0.19800000000000001</v>
      </c>
      <c r="FG64">
        <v>0.17860000000000001</v>
      </c>
      <c r="FH64">
        <v>0.3448811944559278</v>
      </c>
      <c r="FI64">
        <v>-6.1462078757559423E-4</v>
      </c>
      <c r="FJ64">
        <v>-1.8861989874597051E-7</v>
      </c>
      <c r="FK64">
        <v>1.1980462299894961E-10</v>
      </c>
      <c r="FL64">
        <v>0.17862261546663211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18</v>
      </c>
      <c r="FU64">
        <v>18.100000000000001</v>
      </c>
      <c r="FV64">
        <v>1.79199</v>
      </c>
      <c r="FW64">
        <v>2.5830099999999998</v>
      </c>
      <c r="FX64">
        <v>1.5490699999999999</v>
      </c>
      <c r="FY64">
        <v>2.3290999999999999</v>
      </c>
      <c r="FZ64">
        <v>1.50024</v>
      </c>
      <c r="GA64">
        <v>2.4145500000000002</v>
      </c>
      <c r="GB64">
        <v>33.986499999999999</v>
      </c>
      <c r="GC64">
        <v>23.991199999999999</v>
      </c>
      <c r="GD64">
        <v>19</v>
      </c>
      <c r="GE64">
        <v>282.20400000000001</v>
      </c>
      <c r="GF64">
        <v>598.43799999999999</v>
      </c>
      <c r="GG64">
        <v>22.0059</v>
      </c>
      <c r="GH64">
        <v>26.5656</v>
      </c>
      <c r="GI64">
        <v>29.9999</v>
      </c>
      <c r="GJ64">
        <v>26.651</v>
      </c>
      <c r="GK64">
        <v>26.617999999999999</v>
      </c>
      <c r="GL64">
        <v>35.817100000000003</v>
      </c>
      <c r="GM64">
        <v>27.474499999999999</v>
      </c>
      <c r="GN64">
        <v>99.230800000000002</v>
      </c>
      <c r="GO64">
        <v>22.021799999999999</v>
      </c>
      <c r="GP64">
        <v>800</v>
      </c>
      <c r="GQ64">
        <v>19.052299999999999</v>
      </c>
      <c r="GR64">
        <v>99.709699999999998</v>
      </c>
      <c r="GS64">
        <v>99.560500000000005</v>
      </c>
    </row>
    <row r="65" spans="1:201" x14ac:dyDescent="0.25">
      <c r="A65">
        <v>49</v>
      </c>
      <c r="B65">
        <v>1690230174.5999999</v>
      </c>
      <c r="C65">
        <v>669.5</v>
      </c>
      <c r="D65" t="s">
        <v>431</v>
      </c>
      <c r="E65" t="s">
        <v>432</v>
      </c>
      <c r="F65" t="s">
        <v>330</v>
      </c>
      <c r="H65">
        <v>1690230174.5999999</v>
      </c>
      <c r="I65">
        <f t="shared" si="0"/>
        <v>2.3193651103791527E-4</v>
      </c>
      <c r="J65">
        <f t="shared" si="1"/>
        <v>0.23193651103791527</v>
      </c>
      <c r="K65">
        <f t="shared" si="2"/>
        <v>1.1465001323555981</v>
      </c>
      <c r="L65">
        <f t="shared" si="3"/>
        <v>786.10900000000004</v>
      </c>
      <c r="M65">
        <f t="shared" si="4"/>
        <v>639.04206483413486</v>
      </c>
      <c r="N65">
        <f t="shared" si="5"/>
        <v>63.36636682641047</v>
      </c>
      <c r="O65">
        <f t="shared" si="6"/>
        <v>77.949283780672204</v>
      </c>
      <c r="P65">
        <f t="shared" si="7"/>
        <v>1.4315897127497807E-2</v>
      </c>
      <c r="Q65">
        <f t="shared" si="8"/>
        <v>2.1785250911226539</v>
      </c>
      <c r="R65">
        <f t="shared" si="9"/>
        <v>1.4263838415551979E-2</v>
      </c>
      <c r="S65">
        <f t="shared" si="10"/>
        <v>8.9195604281543852E-3</v>
      </c>
      <c r="T65">
        <f t="shared" si="11"/>
        <v>276.11314744354769</v>
      </c>
      <c r="U65">
        <f t="shared" si="12"/>
        <v>27.523935053646195</v>
      </c>
      <c r="V65">
        <f t="shared" si="13"/>
        <v>27.523935053646195</v>
      </c>
      <c r="W65">
        <f t="shared" si="14"/>
        <v>3.6907880714170171</v>
      </c>
      <c r="X65">
        <f t="shared" si="15"/>
        <v>65.042769721559949</v>
      </c>
      <c r="Y65">
        <f t="shared" si="16"/>
        <v>2.1257173826740803</v>
      </c>
      <c r="Z65">
        <f t="shared" si="17"/>
        <v>3.2681839838217428</v>
      </c>
      <c r="AA65">
        <f t="shared" si="18"/>
        <v>1.5650706887429369</v>
      </c>
      <c r="AB65">
        <f t="shared" si="19"/>
        <v>-10.228400136772063</v>
      </c>
      <c r="AC65">
        <f t="shared" si="20"/>
        <v>-242.25369158745573</v>
      </c>
      <c r="AD65">
        <f t="shared" si="21"/>
        <v>-23.87715395851119</v>
      </c>
      <c r="AE65">
        <f t="shared" si="22"/>
        <v>-0.24609823919129781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52652.348131598977</v>
      </c>
      <c r="AK65">
        <f t="shared" si="26"/>
        <v>1799.99</v>
      </c>
      <c r="AL65">
        <f t="shared" si="27"/>
        <v>1499.1045769949701</v>
      </c>
      <c r="AM65">
        <f t="shared" si="28"/>
        <v>0.83284050300000001</v>
      </c>
      <c r="AN65">
        <f t="shared" si="29"/>
        <v>0.15339704523</v>
      </c>
      <c r="AO65">
        <v>31.5</v>
      </c>
      <c r="AP65">
        <v>0.5</v>
      </c>
      <c r="AQ65" t="s">
        <v>331</v>
      </c>
      <c r="AR65">
        <v>2</v>
      </c>
      <c r="AS65">
        <v>1690230174.5999999</v>
      </c>
      <c r="AT65">
        <v>786.10900000000004</v>
      </c>
      <c r="AU65">
        <v>800.05100000000004</v>
      </c>
      <c r="AV65">
        <v>21.4376</v>
      </c>
      <c r="AW65">
        <v>19.0563</v>
      </c>
      <c r="AX65">
        <v>786.30600000000004</v>
      </c>
      <c r="AY65">
        <v>21.258900000000001</v>
      </c>
      <c r="AZ65">
        <v>300.23</v>
      </c>
      <c r="BA65">
        <v>99.058400000000006</v>
      </c>
      <c r="BB65">
        <v>9.9965799999999994E-2</v>
      </c>
      <c r="BC65">
        <v>25.461300000000001</v>
      </c>
      <c r="BD65">
        <v>26.992899999999999</v>
      </c>
      <c r="BE65">
        <v>27.3292</v>
      </c>
      <c r="BF65">
        <v>0</v>
      </c>
      <c r="BG65">
        <v>0</v>
      </c>
      <c r="BH65">
        <v>10000.6</v>
      </c>
      <c r="BI65">
        <v>1056.5999999999999</v>
      </c>
      <c r="BJ65">
        <v>1.4016500000000001</v>
      </c>
      <c r="BK65">
        <v>-13.941800000000001</v>
      </c>
      <c r="BL65">
        <v>803.33</v>
      </c>
      <c r="BM65">
        <v>815.59299999999996</v>
      </c>
      <c r="BN65">
        <v>2.3813</v>
      </c>
      <c r="BO65">
        <v>800.05100000000004</v>
      </c>
      <c r="BP65">
        <v>19.0563</v>
      </c>
      <c r="BQ65">
        <v>2.12357</v>
      </c>
      <c r="BR65">
        <v>1.88768</v>
      </c>
      <c r="BS65">
        <v>18.397099999999998</v>
      </c>
      <c r="BT65">
        <v>16.532399999999999</v>
      </c>
      <c r="BU65">
        <v>1799.99</v>
      </c>
      <c r="BV65">
        <v>0.91001100000000001</v>
      </c>
      <c r="BW65">
        <v>3.3998100000000003E-2</v>
      </c>
      <c r="BX65">
        <v>2.1996399999999999E-2</v>
      </c>
      <c r="BY65">
        <v>3.3994299999999998E-2</v>
      </c>
      <c r="BZ65">
        <v>25.666699999999999</v>
      </c>
      <c r="CA65">
        <v>33528.400000000001</v>
      </c>
      <c r="CB65">
        <v>1690229084.0999999</v>
      </c>
      <c r="CC65" t="s">
        <v>332</v>
      </c>
      <c r="CD65">
        <v>1690229084.0999999</v>
      </c>
      <c r="CE65">
        <v>1690229076.5999999</v>
      </c>
      <c r="CF65">
        <v>13</v>
      </c>
      <c r="CG65">
        <v>0.23300000000000001</v>
      </c>
      <c r="CH65">
        <v>-0.13100000000000001</v>
      </c>
      <c r="CI65">
        <v>-0.20599999999999999</v>
      </c>
      <c r="CJ65">
        <v>8.7999999999999995E-2</v>
      </c>
      <c r="CK65">
        <v>799</v>
      </c>
      <c r="CL65">
        <v>16</v>
      </c>
      <c r="CM65">
        <v>0.04</v>
      </c>
      <c r="CN65">
        <v>0.04</v>
      </c>
      <c r="CO65">
        <v>-12.8760575</v>
      </c>
      <c r="CP65">
        <v>-5.0605699812382641</v>
      </c>
      <c r="CQ65">
        <v>0.48741284292040338</v>
      </c>
      <c r="CR65">
        <v>-1</v>
      </c>
      <c r="CS65">
        <v>2.3534527500000002</v>
      </c>
      <c r="CT65">
        <v>0.1471225891181972</v>
      </c>
      <c r="CU65">
        <v>1.417744317348864E-2</v>
      </c>
      <c r="CV65">
        <v>-1</v>
      </c>
      <c r="CW65">
        <v>0</v>
      </c>
      <c r="CX65">
        <v>0</v>
      </c>
      <c r="CY65" t="s">
        <v>333</v>
      </c>
      <c r="CZ65">
        <v>2.3642500000000002</v>
      </c>
      <c r="DA65">
        <v>2.7137600000000002</v>
      </c>
      <c r="DB65">
        <v>0.144897</v>
      </c>
      <c r="DC65">
        <v>0.146236</v>
      </c>
      <c r="DD65">
        <v>0.10505299999999999</v>
      </c>
      <c r="DE65">
        <v>9.5273899999999995E-2</v>
      </c>
      <c r="DF65">
        <v>31213.4</v>
      </c>
      <c r="DG65">
        <v>27509.7</v>
      </c>
      <c r="DH65">
        <v>31163.200000000001</v>
      </c>
      <c r="DI65">
        <v>28077.3</v>
      </c>
      <c r="DJ65">
        <v>37869.1</v>
      </c>
      <c r="DK65">
        <v>36124.300000000003</v>
      </c>
      <c r="DL65">
        <v>44349.1</v>
      </c>
      <c r="DM65">
        <v>42561.4</v>
      </c>
      <c r="DN65">
        <v>1.4717199999999999</v>
      </c>
      <c r="DO65">
        <v>2.0510000000000002</v>
      </c>
      <c r="DP65">
        <v>0.13186800000000001</v>
      </c>
      <c r="DQ65">
        <v>0.16807800000000001</v>
      </c>
      <c r="DR65">
        <v>24.8325</v>
      </c>
      <c r="DS65">
        <v>24.575700000000001</v>
      </c>
      <c r="DT65">
        <v>56.7</v>
      </c>
      <c r="DU65">
        <v>29.2</v>
      </c>
      <c r="DV65">
        <v>23.285399999999999</v>
      </c>
      <c r="DW65">
        <v>61.889800000000001</v>
      </c>
      <c r="DX65">
        <v>35.220399999999998</v>
      </c>
      <c r="DY65">
        <v>1</v>
      </c>
      <c r="DZ65">
        <v>-6.3907500000000006E-2</v>
      </c>
      <c r="EA65">
        <v>1.22706</v>
      </c>
      <c r="EB65">
        <v>20.183800000000002</v>
      </c>
      <c r="EC65">
        <v>5.2403500000000003</v>
      </c>
      <c r="ED65">
        <v>12.039899999999999</v>
      </c>
      <c r="EE65">
        <v>5.0156499999999999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1.86463</v>
      </c>
      <c r="EM65">
        <v>1.8691899999999999</v>
      </c>
      <c r="EN65">
        <v>1.8672200000000001</v>
      </c>
      <c r="EO65">
        <v>1.8633999999999999</v>
      </c>
      <c r="EP65">
        <v>1.8645</v>
      </c>
      <c r="EQ65">
        <v>1.8701700000000001</v>
      </c>
      <c r="ER65">
        <v>1.8694599999999999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-0.19700000000000001</v>
      </c>
      <c r="FG65">
        <v>0.1787</v>
      </c>
      <c r="FH65">
        <v>0.3448811944559278</v>
      </c>
      <c r="FI65">
        <v>-6.1462078757559423E-4</v>
      </c>
      <c r="FJ65">
        <v>-1.8861989874597051E-7</v>
      </c>
      <c r="FK65">
        <v>1.1980462299894961E-10</v>
      </c>
      <c r="FL65">
        <v>0.17862261546663211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18.2</v>
      </c>
      <c r="FU65">
        <v>18.3</v>
      </c>
      <c r="FV65">
        <v>1.79199</v>
      </c>
      <c r="FW65">
        <v>2.5915499999999998</v>
      </c>
      <c r="FX65">
        <v>1.5490699999999999</v>
      </c>
      <c r="FY65">
        <v>2.3290999999999999</v>
      </c>
      <c r="FZ65">
        <v>1.50146</v>
      </c>
      <c r="GA65">
        <v>2.32056</v>
      </c>
      <c r="GB65">
        <v>33.986499999999999</v>
      </c>
      <c r="GC65">
        <v>23.982399999999998</v>
      </c>
      <c r="GD65">
        <v>19</v>
      </c>
      <c r="GE65">
        <v>282.28800000000001</v>
      </c>
      <c r="GF65">
        <v>598.56500000000005</v>
      </c>
      <c r="GG65">
        <v>22.037099999999999</v>
      </c>
      <c r="GH65">
        <v>26.5596</v>
      </c>
      <c r="GI65">
        <v>30</v>
      </c>
      <c r="GJ65">
        <v>26.6509</v>
      </c>
      <c r="GK65">
        <v>26.617999999999999</v>
      </c>
      <c r="GL65">
        <v>35.817599999999999</v>
      </c>
      <c r="GM65">
        <v>27.474499999999999</v>
      </c>
      <c r="GN65">
        <v>99.230800000000002</v>
      </c>
      <c r="GO65">
        <v>22.036899999999999</v>
      </c>
      <c r="GP65">
        <v>800</v>
      </c>
      <c r="GQ65">
        <v>19.040099999999999</v>
      </c>
      <c r="GR65">
        <v>99.710099999999997</v>
      </c>
      <c r="GS65">
        <v>99.560400000000001</v>
      </c>
    </row>
    <row r="66" spans="1:201" x14ac:dyDescent="0.25">
      <c r="A66">
        <v>50</v>
      </c>
      <c r="B66">
        <v>1690230184.5999999</v>
      </c>
      <c r="C66">
        <v>679.5</v>
      </c>
      <c r="D66" t="s">
        <v>433</v>
      </c>
      <c r="E66" t="s">
        <v>434</v>
      </c>
      <c r="F66" t="s">
        <v>330</v>
      </c>
      <c r="H66">
        <v>1690230184.5999999</v>
      </c>
      <c r="I66">
        <f t="shared" si="0"/>
        <v>2.3470913572476613E-4</v>
      </c>
      <c r="J66">
        <f t="shared" si="1"/>
        <v>0.23470913572476612</v>
      </c>
      <c r="K66">
        <f t="shared" si="2"/>
        <v>1.2245579968978457</v>
      </c>
      <c r="L66">
        <f t="shared" si="3"/>
        <v>785.16899999999998</v>
      </c>
      <c r="M66">
        <f t="shared" si="4"/>
        <v>631.36163804121884</v>
      </c>
      <c r="N66">
        <f t="shared" si="5"/>
        <v>62.603621626943607</v>
      </c>
      <c r="O66">
        <f t="shared" si="6"/>
        <v>77.854624081541999</v>
      </c>
      <c r="P66">
        <f t="shared" si="7"/>
        <v>1.451374287199216E-2</v>
      </c>
      <c r="Q66">
        <f t="shared" si="8"/>
        <v>2.1788051137513014</v>
      </c>
      <c r="R66">
        <f t="shared" si="9"/>
        <v>1.4460245066084688E-2</v>
      </c>
      <c r="S66">
        <f t="shared" si="10"/>
        <v>9.042443222982522E-3</v>
      </c>
      <c r="T66">
        <f t="shared" si="11"/>
        <v>276.11472288599998</v>
      </c>
      <c r="U66">
        <f t="shared" si="12"/>
        <v>27.521359881939482</v>
      </c>
      <c r="V66">
        <f t="shared" si="13"/>
        <v>27.521359881939482</v>
      </c>
      <c r="W66">
        <f t="shared" si="14"/>
        <v>3.6902320667352417</v>
      </c>
      <c r="X66">
        <f t="shared" si="15"/>
        <v>65.11827273532586</v>
      </c>
      <c r="Y66">
        <f t="shared" si="16"/>
        <v>2.1280079484498002</v>
      </c>
      <c r="Z66">
        <f t="shared" si="17"/>
        <v>3.267912152859334</v>
      </c>
      <c r="AA66">
        <f t="shared" si="18"/>
        <v>1.5622241182854415</v>
      </c>
      <c r="AB66">
        <f t="shared" si="19"/>
        <v>-10.350672885462187</v>
      </c>
      <c r="AC66">
        <f t="shared" si="20"/>
        <v>-242.14679025713076</v>
      </c>
      <c r="AD66">
        <f t="shared" si="21"/>
        <v>-23.863074691697687</v>
      </c>
      <c r="AE66">
        <f t="shared" si="22"/>
        <v>-0.24581494829064354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52664.208686596641</v>
      </c>
      <c r="AK66">
        <f t="shared" si="26"/>
        <v>1800</v>
      </c>
      <c r="AL66">
        <f t="shared" si="27"/>
        <v>1499.1108156</v>
      </c>
      <c r="AM66">
        <f t="shared" si="28"/>
        <v>0.83283934199999998</v>
      </c>
      <c r="AN66">
        <f t="shared" si="29"/>
        <v>0.15339706826999999</v>
      </c>
      <c r="AO66">
        <v>31.5</v>
      </c>
      <c r="AP66">
        <v>0.5</v>
      </c>
      <c r="AQ66" t="s">
        <v>331</v>
      </c>
      <c r="AR66">
        <v>2</v>
      </c>
      <c r="AS66">
        <v>1690230184.5999999</v>
      </c>
      <c r="AT66">
        <v>785.16899999999998</v>
      </c>
      <c r="AU66">
        <v>799.95600000000002</v>
      </c>
      <c r="AV66">
        <v>21.461099999999998</v>
      </c>
      <c r="AW66">
        <v>19.0505</v>
      </c>
      <c r="AX66">
        <v>785.36599999999999</v>
      </c>
      <c r="AY66">
        <v>21.282499999999999</v>
      </c>
      <c r="AZ66">
        <v>300.11900000000003</v>
      </c>
      <c r="BA66">
        <v>99.0565</v>
      </c>
      <c r="BB66">
        <v>0.100018</v>
      </c>
      <c r="BC66">
        <v>25.459900000000001</v>
      </c>
      <c r="BD66">
        <v>26.967500000000001</v>
      </c>
      <c r="BE66">
        <v>27.296600000000002</v>
      </c>
      <c r="BF66">
        <v>0</v>
      </c>
      <c r="BG66">
        <v>0</v>
      </c>
      <c r="BH66">
        <v>10003.1</v>
      </c>
      <c r="BI66">
        <v>1056.52</v>
      </c>
      <c r="BJ66">
        <v>1.4016500000000001</v>
      </c>
      <c r="BK66">
        <v>-14.7864</v>
      </c>
      <c r="BL66">
        <v>802.39</v>
      </c>
      <c r="BM66">
        <v>815.49099999999999</v>
      </c>
      <c r="BN66">
        <v>2.4106100000000001</v>
      </c>
      <c r="BO66">
        <v>799.95600000000002</v>
      </c>
      <c r="BP66">
        <v>19.0505</v>
      </c>
      <c r="BQ66">
        <v>2.1258599999999999</v>
      </c>
      <c r="BR66">
        <v>1.88707</v>
      </c>
      <c r="BS66">
        <v>18.414300000000001</v>
      </c>
      <c r="BT66">
        <v>16.5273</v>
      </c>
      <c r="BU66">
        <v>1800</v>
      </c>
      <c r="BV66">
        <v>0.91000400000000004</v>
      </c>
      <c r="BW66">
        <v>3.40086E-2</v>
      </c>
      <c r="BX66">
        <v>2.19951E-2</v>
      </c>
      <c r="BY66">
        <v>3.3992300000000003E-2</v>
      </c>
      <c r="BZ66">
        <v>25.666699999999999</v>
      </c>
      <c r="CA66">
        <v>33528.300000000003</v>
      </c>
      <c r="CB66">
        <v>1690229084.0999999</v>
      </c>
      <c r="CC66" t="s">
        <v>332</v>
      </c>
      <c r="CD66">
        <v>1690229084.0999999</v>
      </c>
      <c r="CE66">
        <v>1690229076.5999999</v>
      </c>
      <c r="CF66">
        <v>13</v>
      </c>
      <c r="CG66">
        <v>0.23300000000000001</v>
      </c>
      <c r="CH66">
        <v>-0.13100000000000001</v>
      </c>
      <c r="CI66">
        <v>-0.20599999999999999</v>
      </c>
      <c r="CJ66">
        <v>8.7999999999999995E-2</v>
      </c>
      <c r="CK66">
        <v>799</v>
      </c>
      <c r="CL66">
        <v>16</v>
      </c>
      <c r="CM66">
        <v>0.04</v>
      </c>
      <c r="CN66">
        <v>0.04</v>
      </c>
      <c r="CO66">
        <v>-13.794424390243901</v>
      </c>
      <c r="CP66">
        <v>-5.5040236933798008</v>
      </c>
      <c r="CQ66">
        <v>0.54373916800222333</v>
      </c>
      <c r="CR66">
        <v>-1</v>
      </c>
      <c r="CS66">
        <v>2.3800665853658538</v>
      </c>
      <c r="CT66">
        <v>0.16382027874565</v>
      </c>
      <c r="CU66">
        <v>1.6169154103967069E-2</v>
      </c>
      <c r="CV66">
        <v>-1</v>
      </c>
      <c r="CW66">
        <v>0</v>
      </c>
      <c r="CX66">
        <v>0</v>
      </c>
      <c r="CY66" t="s">
        <v>333</v>
      </c>
      <c r="CZ66">
        <v>2.3639000000000001</v>
      </c>
      <c r="DA66">
        <v>2.7138100000000001</v>
      </c>
      <c r="DB66">
        <v>0.14477899999999999</v>
      </c>
      <c r="DC66">
        <v>0.14622199999999999</v>
      </c>
      <c r="DD66">
        <v>0.10513400000000001</v>
      </c>
      <c r="DE66">
        <v>9.5251500000000003E-2</v>
      </c>
      <c r="DF66">
        <v>31218.3</v>
      </c>
      <c r="DG66">
        <v>27510.3</v>
      </c>
      <c r="DH66">
        <v>31163.7</v>
      </c>
      <c r="DI66">
        <v>28077.5</v>
      </c>
      <c r="DJ66">
        <v>37866.400000000001</v>
      </c>
      <c r="DK66">
        <v>36125.4</v>
      </c>
      <c r="DL66">
        <v>44350</v>
      </c>
      <c r="DM66">
        <v>42561.599999999999</v>
      </c>
      <c r="DN66">
        <v>1.47113</v>
      </c>
      <c r="DO66">
        <v>2.05145</v>
      </c>
      <c r="DP66">
        <v>0.131078</v>
      </c>
      <c r="DQ66">
        <v>0.16658800000000001</v>
      </c>
      <c r="DR66">
        <v>24.82</v>
      </c>
      <c r="DS66">
        <v>24.567399999999999</v>
      </c>
      <c r="DT66">
        <v>56.7</v>
      </c>
      <c r="DU66">
        <v>29.2</v>
      </c>
      <c r="DV66">
        <v>23.288799999999998</v>
      </c>
      <c r="DW66">
        <v>61.879800000000003</v>
      </c>
      <c r="DX66">
        <v>36.446300000000001</v>
      </c>
      <c r="DY66">
        <v>1</v>
      </c>
      <c r="DZ66">
        <v>-6.4049800000000004E-2</v>
      </c>
      <c r="EA66">
        <v>1.1272</v>
      </c>
      <c r="EB66">
        <v>20.1843</v>
      </c>
      <c r="EC66">
        <v>5.2403500000000003</v>
      </c>
      <c r="ED66">
        <v>12.039899999999999</v>
      </c>
      <c r="EE66">
        <v>5.016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1.8646199999999999</v>
      </c>
      <c r="EM66">
        <v>1.8692</v>
      </c>
      <c r="EN66">
        <v>1.86724</v>
      </c>
      <c r="EO66">
        <v>1.8633999999999999</v>
      </c>
      <c r="EP66">
        <v>1.86449</v>
      </c>
      <c r="EQ66">
        <v>1.8701700000000001</v>
      </c>
      <c r="ER66">
        <v>1.86947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-0.19700000000000001</v>
      </c>
      <c r="FG66">
        <v>0.17860000000000001</v>
      </c>
      <c r="FH66">
        <v>0.3448811944559278</v>
      </c>
      <c r="FI66">
        <v>-6.1462078757559423E-4</v>
      </c>
      <c r="FJ66">
        <v>-1.8861989874597051E-7</v>
      </c>
      <c r="FK66">
        <v>1.1980462299894961E-10</v>
      </c>
      <c r="FL66">
        <v>0.17862261546663211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18.3</v>
      </c>
      <c r="FU66">
        <v>18.5</v>
      </c>
      <c r="FV66">
        <v>1.79077</v>
      </c>
      <c r="FW66">
        <v>2.5842299999999998</v>
      </c>
      <c r="FX66">
        <v>1.5490699999999999</v>
      </c>
      <c r="FY66">
        <v>2.3290999999999999</v>
      </c>
      <c r="FZ66">
        <v>1.50146</v>
      </c>
      <c r="GA66">
        <v>2.36206</v>
      </c>
      <c r="GB66">
        <v>33.986499999999999</v>
      </c>
      <c r="GC66">
        <v>23.982399999999998</v>
      </c>
      <c r="GD66">
        <v>19</v>
      </c>
      <c r="GE66">
        <v>282.02300000000002</v>
      </c>
      <c r="GF66">
        <v>598.94500000000005</v>
      </c>
      <c r="GG66">
        <v>22.0792</v>
      </c>
      <c r="GH66">
        <v>26.5534</v>
      </c>
      <c r="GI66">
        <v>29.9999</v>
      </c>
      <c r="GJ66">
        <v>26.648800000000001</v>
      </c>
      <c r="GK66">
        <v>26.617999999999999</v>
      </c>
      <c r="GL66">
        <v>35.817599999999999</v>
      </c>
      <c r="GM66">
        <v>27.474499999999999</v>
      </c>
      <c r="GN66">
        <v>99.230800000000002</v>
      </c>
      <c r="GO66">
        <v>22.088200000000001</v>
      </c>
      <c r="GP66">
        <v>800</v>
      </c>
      <c r="GQ66">
        <v>19.037800000000001</v>
      </c>
      <c r="GR66">
        <v>99.712100000000007</v>
      </c>
      <c r="GS66">
        <v>99.561000000000007</v>
      </c>
    </row>
    <row r="67" spans="1:201" x14ac:dyDescent="0.25">
      <c r="A67">
        <v>51</v>
      </c>
      <c r="B67">
        <v>1690230194.5999999</v>
      </c>
      <c r="C67">
        <v>689.5</v>
      </c>
      <c r="D67" t="s">
        <v>435</v>
      </c>
      <c r="E67" t="s">
        <v>436</v>
      </c>
      <c r="F67" t="s">
        <v>330</v>
      </c>
      <c r="H67">
        <v>1690230194.5999999</v>
      </c>
      <c r="I67">
        <f t="shared" si="0"/>
        <v>2.378701278032015E-4</v>
      </c>
      <c r="J67">
        <f t="shared" si="1"/>
        <v>0.23787012780320149</v>
      </c>
      <c r="K67">
        <f t="shared" si="2"/>
        <v>1.324919413222484</v>
      </c>
      <c r="L67">
        <f t="shared" si="3"/>
        <v>784.14</v>
      </c>
      <c r="M67">
        <f t="shared" si="4"/>
        <v>621.52541074124451</v>
      </c>
      <c r="N67">
        <f t="shared" si="5"/>
        <v>61.62594770322999</v>
      </c>
      <c r="O67">
        <f t="shared" si="6"/>
        <v>77.749629857256011</v>
      </c>
      <c r="P67">
        <f t="shared" si="7"/>
        <v>1.4728348493077243E-2</v>
      </c>
      <c r="Q67">
        <f t="shared" si="8"/>
        <v>2.1771697790577598</v>
      </c>
      <c r="R67">
        <f t="shared" si="9"/>
        <v>1.467321894366653E-2</v>
      </c>
      <c r="S67">
        <f t="shared" si="10"/>
        <v>9.1756977370523844E-3</v>
      </c>
      <c r="T67">
        <f t="shared" si="11"/>
        <v>276.11312722965999</v>
      </c>
      <c r="U67">
        <f t="shared" si="12"/>
        <v>27.524670667660068</v>
      </c>
      <c r="V67">
        <f t="shared" si="13"/>
        <v>27.524670667660068</v>
      </c>
      <c r="W67">
        <f t="shared" si="14"/>
        <v>3.6909469110792998</v>
      </c>
      <c r="X67">
        <f t="shared" si="15"/>
        <v>65.190644132732018</v>
      </c>
      <c r="Y67">
        <f t="shared" si="16"/>
        <v>2.1307527300998399</v>
      </c>
      <c r="Z67">
        <f t="shared" si="17"/>
        <v>3.2684946719678067</v>
      </c>
      <c r="AA67">
        <f t="shared" si="18"/>
        <v>1.5601941809794599</v>
      </c>
      <c r="AB67">
        <f t="shared" si="19"/>
        <v>-10.490072636121186</v>
      </c>
      <c r="AC67">
        <f t="shared" si="20"/>
        <v>-242.00152202334087</v>
      </c>
      <c r="AD67">
        <f t="shared" si="21"/>
        <v>-23.86742674452185</v>
      </c>
      <c r="AE67">
        <f t="shared" si="22"/>
        <v>-0.24589417432392224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52595.558057123664</v>
      </c>
      <c r="AK67">
        <f t="shared" si="26"/>
        <v>1799.99</v>
      </c>
      <c r="AL67">
        <f t="shared" si="27"/>
        <v>1499.1038875987999</v>
      </c>
      <c r="AM67">
        <f t="shared" si="28"/>
        <v>0.83284011999999996</v>
      </c>
      <c r="AN67">
        <f t="shared" si="29"/>
        <v>0.15339703399999999</v>
      </c>
      <c r="AO67">
        <v>31.5</v>
      </c>
      <c r="AP67">
        <v>0.5</v>
      </c>
      <c r="AQ67" t="s">
        <v>331</v>
      </c>
      <c r="AR67">
        <v>2</v>
      </c>
      <c r="AS67">
        <v>1690230194.5999999</v>
      </c>
      <c r="AT67">
        <v>784.14</v>
      </c>
      <c r="AU67">
        <v>800</v>
      </c>
      <c r="AV67">
        <v>21.489599999999999</v>
      </c>
      <c r="AW67">
        <v>19.0472</v>
      </c>
      <c r="AX67">
        <v>784.33500000000004</v>
      </c>
      <c r="AY67">
        <v>21.3109</v>
      </c>
      <c r="AZ67">
        <v>300.19200000000001</v>
      </c>
      <c r="BA67">
        <v>99.052800000000005</v>
      </c>
      <c r="BB67">
        <v>9.9940399999999999E-2</v>
      </c>
      <c r="BC67">
        <v>25.462900000000001</v>
      </c>
      <c r="BD67">
        <v>26.9453</v>
      </c>
      <c r="BE67">
        <v>27.323899999999998</v>
      </c>
      <c r="BF67">
        <v>0</v>
      </c>
      <c r="BG67">
        <v>0</v>
      </c>
      <c r="BH67">
        <v>9990</v>
      </c>
      <c r="BI67">
        <v>1056.48</v>
      </c>
      <c r="BJ67">
        <v>1.4016500000000001</v>
      </c>
      <c r="BK67">
        <v>-15.86</v>
      </c>
      <c r="BL67">
        <v>801.36099999999999</v>
      </c>
      <c r="BM67">
        <v>815.53399999999999</v>
      </c>
      <c r="BN67">
        <v>2.4424100000000002</v>
      </c>
      <c r="BO67">
        <v>800</v>
      </c>
      <c r="BP67">
        <v>19.0472</v>
      </c>
      <c r="BQ67">
        <v>2.1286</v>
      </c>
      <c r="BR67">
        <v>1.8866700000000001</v>
      </c>
      <c r="BS67">
        <v>18.434799999999999</v>
      </c>
      <c r="BT67">
        <v>16.524000000000001</v>
      </c>
      <c r="BU67">
        <v>1799.99</v>
      </c>
      <c r="BV67">
        <v>0.91000899999999996</v>
      </c>
      <c r="BW67">
        <v>3.40069E-2</v>
      </c>
      <c r="BX67">
        <v>2.1994E-2</v>
      </c>
      <c r="BY67">
        <v>3.3990600000000003E-2</v>
      </c>
      <c r="BZ67">
        <v>25.666699999999999</v>
      </c>
      <c r="CA67">
        <v>33528.300000000003</v>
      </c>
      <c r="CB67">
        <v>1690229084.0999999</v>
      </c>
      <c r="CC67" t="s">
        <v>332</v>
      </c>
      <c r="CD67">
        <v>1690229084.0999999</v>
      </c>
      <c r="CE67">
        <v>1690229076.5999999</v>
      </c>
      <c r="CF67">
        <v>13</v>
      </c>
      <c r="CG67">
        <v>0.23300000000000001</v>
      </c>
      <c r="CH67">
        <v>-0.13100000000000001</v>
      </c>
      <c r="CI67">
        <v>-0.20599999999999999</v>
      </c>
      <c r="CJ67">
        <v>8.7999999999999995E-2</v>
      </c>
      <c r="CK67">
        <v>799</v>
      </c>
      <c r="CL67">
        <v>16</v>
      </c>
      <c r="CM67">
        <v>0.04</v>
      </c>
      <c r="CN67">
        <v>0.04</v>
      </c>
      <c r="CO67">
        <v>-14.72734</v>
      </c>
      <c r="CP67">
        <v>-5.8030153846153478</v>
      </c>
      <c r="CQ67">
        <v>0.56043201764353201</v>
      </c>
      <c r="CR67">
        <v>-1</v>
      </c>
      <c r="CS67">
        <v>2.4072855</v>
      </c>
      <c r="CT67">
        <v>0.17354724202626701</v>
      </c>
      <c r="CU67">
        <v>1.6712579386498051E-2</v>
      </c>
      <c r="CV67">
        <v>-1</v>
      </c>
      <c r="CW67">
        <v>0</v>
      </c>
      <c r="CX67">
        <v>0</v>
      </c>
      <c r="CY67" t="s">
        <v>333</v>
      </c>
      <c r="CZ67">
        <v>2.36415</v>
      </c>
      <c r="DA67">
        <v>2.7137199999999999</v>
      </c>
      <c r="DB67">
        <v>0.144648</v>
      </c>
      <c r="DC67">
        <v>0.14622199999999999</v>
      </c>
      <c r="DD67">
        <v>0.10523100000000001</v>
      </c>
      <c r="DE67">
        <v>9.5236100000000004E-2</v>
      </c>
      <c r="DF67">
        <v>31222.799999999999</v>
      </c>
      <c r="DG67">
        <v>27510.400000000001</v>
      </c>
      <c r="DH67">
        <v>31163.5</v>
      </c>
      <c r="DI67">
        <v>28077.5</v>
      </c>
      <c r="DJ67">
        <v>37862.1</v>
      </c>
      <c r="DK67">
        <v>36126.1</v>
      </c>
      <c r="DL67">
        <v>44349.9</v>
      </c>
      <c r="DM67">
        <v>42561.8</v>
      </c>
      <c r="DN67">
        <v>1.47142</v>
      </c>
      <c r="DO67">
        <v>2.0512000000000001</v>
      </c>
      <c r="DP67">
        <v>0.13048199999999999</v>
      </c>
      <c r="DQ67">
        <v>0.168793</v>
      </c>
      <c r="DR67">
        <v>24.807400000000001</v>
      </c>
      <c r="DS67">
        <v>24.558700000000002</v>
      </c>
      <c r="DT67">
        <v>56.7</v>
      </c>
      <c r="DU67">
        <v>29.2</v>
      </c>
      <c r="DV67">
        <v>23.288699999999999</v>
      </c>
      <c r="DW67">
        <v>61.479799999999997</v>
      </c>
      <c r="DX67">
        <v>35.080100000000002</v>
      </c>
      <c r="DY67">
        <v>1</v>
      </c>
      <c r="DZ67">
        <v>-6.4730700000000002E-2</v>
      </c>
      <c r="EA67">
        <v>0.98931899999999995</v>
      </c>
      <c r="EB67">
        <v>20.185600000000001</v>
      </c>
      <c r="EC67">
        <v>5.2398999999999996</v>
      </c>
      <c r="ED67">
        <v>12.039899999999999</v>
      </c>
      <c r="EE67">
        <v>5.0157999999999996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1.8646400000000001</v>
      </c>
      <c r="EM67">
        <v>1.8692</v>
      </c>
      <c r="EN67">
        <v>1.8672299999999999</v>
      </c>
      <c r="EO67">
        <v>1.8633999999999999</v>
      </c>
      <c r="EP67">
        <v>1.86449</v>
      </c>
      <c r="EQ67">
        <v>1.8701700000000001</v>
      </c>
      <c r="ER67">
        <v>1.8694299999999999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-0.19500000000000001</v>
      </c>
      <c r="FG67">
        <v>0.1787</v>
      </c>
      <c r="FH67">
        <v>0.3448811944559278</v>
      </c>
      <c r="FI67">
        <v>-6.1462078757559423E-4</v>
      </c>
      <c r="FJ67">
        <v>-1.8861989874597051E-7</v>
      </c>
      <c r="FK67">
        <v>1.1980462299894961E-10</v>
      </c>
      <c r="FL67">
        <v>0.17862261546663211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18.5</v>
      </c>
      <c r="FU67">
        <v>18.600000000000001</v>
      </c>
      <c r="FV67">
        <v>1.79199</v>
      </c>
      <c r="FW67">
        <v>2.5854499999999998</v>
      </c>
      <c r="FX67">
        <v>1.5490699999999999</v>
      </c>
      <c r="FY67">
        <v>2.3290999999999999</v>
      </c>
      <c r="FZ67">
        <v>1.50146</v>
      </c>
      <c r="GA67">
        <v>2.36084</v>
      </c>
      <c r="GB67">
        <v>33.986499999999999</v>
      </c>
      <c r="GC67">
        <v>23.982399999999998</v>
      </c>
      <c r="GD67">
        <v>19</v>
      </c>
      <c r="GE67">
        <v>282.14100000000002</v>
      </c>
      <c r="GF67">
        <v>598.73299999999995</v>
      </c>
      <c r="GG67">
        <v>22.1539</v>
      </c>
      <c r="GH67">
        <v>26.547799999999999</v>
      </c>
      <c r="GI67">
        <v>29.9998</v>
      </c>
      <c r="GJ67">
        <v>26.6465</v>
      </c>
      <c r="GK67">
        <v>26.617999999999999</v>
      </c>
      <c r="GL67">
        <v>35.816099999999999</v>
      </c>
      <c r="GM67">
        <v>27.474499999999999</v>
      </c>
      <c r="GN67">
        <v>99.230800000000002</v>
      </c>
      <c r="GO67">
        <v>22.167200000000001</v>
      </c>
      <c r="GP67">
        <v>800</v>
      </c>
      <c r="GQ67">
        <v>19.037800000000001</v>
      </c>
      <c r="GR67">
        <v>99.711600000000004</v>
      </c>
      <c r="GS67">
        <v>99.561199999999999</v>
      </c>
    </row>
    <row r="68" spans="1:201" x14ac:dyDescent="0.25">
      <c r="A68">
        <v>52</v>
      </c>
      <c r="B68">
        <v>1690230204.5999999</v>
      </c>
      <c r="C68">
        <v>699.5</v>
      </c>
      <c r="D68" t="s">
        <v>437</v>
      </c>
      <c r="E68" t="s">
        <v>438</v>
      </c>
      <c r="F68" t="s">
        <v>330</v>
      </c>
      <c r="H68">
        <v>1690230204.5999999</v>
      </c>
      <c r="I68">
        <f t="shared" si="0"/>
        <v>2.4194242517045164E-4</v>
      </c>
      <c r="J68">
        <f t="shared" si="1"/>
        <v>0.24194242517045164</v>
      </c>
      <c r="K68">
        <f t="shared" si="2"/>
        <v>1.4232797423291648</v>
      </c>
      <c r="L68">
        <f t="shared" si="3"/>
        <v>783.04300000000001</v>
      </c>
      <c r="M68">
        <f t="shared" si="4"/>
        <v>612.81198938851537</v>
      </c>
      <c r="N68">
        <f t="shared" si="5"/>
        <v>60.764228844886212</v>
      </c>
      <c r="O68">
        <f t="shared" si="6"/>
        <v>77.643722497766689</v>
      </c>
      <c r="P68">
        <f t="shared" si="7"/>
        <v>1.5013539123801137E-2</v>
      </c>
      <c r="Q68">
        <f t="shared" si="8"/>
        <v>2.1785005923213685</v>
      </c>
      <c r="R68">
        <f t="shared" si="9"/>
        <v>1.4956293244958334E-2</v>
      </c>
      <c r="S68">
        <f t="shared" si="10"/>
        <v>9.3528083236393469E-3</v>
      </c>
      <c r="T68">
        <f t="shared" si="11"/>
        <v>276.11422930800001</v>
      </c>
      <c r="U68">
        <f t="shared" si="12"/>
        <v>27.525931473950237</v>
      </c>
      <c r="V68">
        <f t="shared" si="13"/>
        <v>27.525931473950237</v>
      </c>
      <c r="W68">
        <f t="shared" si="14"/>
        <v>3.6912191683337188</v>
      </c>
      <c r="X68">
        <f t="shared" si="15"/>
        <v>65.285093908470344</v>
      </c>
      <c r="Y68">
        <f t="shared" si="16"/>
        <v>2.1343216119931196</v>
      </c>
      <c r="Z68">
        <f t="shared" si="17"/>
        <v>3.2692326597330736</v>
      </c>
      <c r="AA68">
        <f t="shared" si="18"/>
        <v>1.5568975563405991</v>
      </c>
      <c r="AB68">
        <f t="shared" si="19"/>
        <v>-10.669660950016917</v>
      </c>
      <c r="AC68">
        <f t="shared" si="20"/>
        <v>-241.85122597453548</v>
      </c>
      <c r="AD68">
        <f t="shared" si="21"/>
        <v>-23.838636106050149</v>
      </c>
      <c r="AE68">
        <f t="shared" si="22"/>
        <v>-0.245293722602554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52650.332483066224</v>
      </c>
      <c r="AK68">
        <f t="shared" si="26"/>
        <v>1800</v>
      </c>
      <c r="AL68">
        <f t="shared" si="27"/>
        <v>1499.1116867999999</v>
      </c>
      <c r="AM68">
        <f t="shared" si="28"/>
        <v>0.83283982599999995</v>
      </c>
      <c r="AN68">
        <f t="shared" si="29"/>
        <v>0.15339679406000001</v>
      </c>
      <c r="AO68">
        <v>31.5</v>
      </c>
      <c r="AP68">
        <v>0.5</v>
      </c>
      <c r="AQ68" t="s">
        <v>331</v>
      </c>
      <c r="AR68">
        <v>2</v>
      </c>
      <c r="AS68">
        <v>1690230204.5999999</v>
      </c>
      <c r="AT68">
        <v>783.04300000000001</v>
      </c>
      <c r="AU68">
        <v>799.96500000000003</v>
      </c>
      <c r="AV68">
        <v>21.524799999999999</v>
      </c>
      <c r="AW68">
        <v>19.040800000000001</v>
      </c>
      <c r="AX68">
        <v>783.23800000000006</v>
      </c>
      <c r="AY68">
        <v>21.3462</v>
      </c>
      <c r="AZ68">
        <v>300.20699999999999</v>
      </c>
      <c r="BA68">
        <v>99.056399999999996</v>
      </c>
      <c r="BB68">
        <v>9.99969E-2</v>
      </c>
      <c r="BC68">
        <v>25.466699999999999</v>
      </c>
      <c r="BD68">
        <v>26.984400000000001</v>
      </c>
      <c r="BE68">
        <v>27.318300000000001</v>
      </c>
      <c r="BF68">
        <v>0</v>
      </c>
      <c r="BG68">
        <v>0</v>
      </c>
      <c r="BH68">
        <v>10000.6</v>
      </c>
      <c r="BI68">
        <v>1056.48</v>
      </c>
      <c r="BJ68">
        <v>1.4016500000000001</v>
      </c>
      <c r="BK68">
        <v>-16.921500000000002</v>
      </c>
      <c r="BL68">
        <v>800.26900000000001</v>
      </c>
      <c r="BM68">
        <v>815.49199999999996</v>
      </c>
      <c r="BN68">
        <v>2.4839699999999998</v>
      </c>
      <c r="BO68">
        <v>799.96500000000003</v>
      </c>
      <c r="BP68">
        <v>19.040800000000001</v>
      </c>
      <c r="BQ68">
        <v>2.1321699999999999</v>
      </c>
      <c r="BR68">
        <v>1.88612</v>
      </c>
      <c r="BS68">
        <v>18.461600000000001</v>
      </c>
      <c r="BT68">
        <v>16.519400000000001</v>
      </c>
      <c r="BU68">
        <v>1800</v>
      </c>
      <c r="BV68">
        <v>0.91001299999999996</v>
      </c>
      <c r="BW68">
        <v>3.4005100000000003E-2</v>
      </c>
      <c r="BX68">
        <v>2.19928E-2</v>
      </c>
      <c r="BY68">
        <v>3.39888E-2</v>
      </c>
      <c r="BZ68">
        <v>25.666699999999999</v>
      </c>
      <c r="CA68">
        <v>33528.400000000001</v>
      </c>
      <c r="CB68">
        <v>1690229084.0999999</v>
      </c>
      <c r="CC68" t="s">
        <v>332</v>
      </c>
      <c r="CD68">
        <v>1690229084.0999999</v>
      </c>
      <c r="CE68">
        <v>1690229076.5999999</v>
      </c>
      <c r="CF68">
        <v>13</v>
      </c>
      <c r="CG68">
        <v>0.23300000000000001</v>
      </c>
      <c r="CH68">
        <v>-0.13100000000000001</v>
      </c>
      <c r="CI68">
        <v>-0.20599999999999999</v>
      </c>
      <c r="CJ68">
        <v>8.7999999999999995E-2</v>
      </c>
      <c r="CK68">
        <v>799</v>
      </c>
      <c r="CL68">
        <v>16</v>
      </c>
      <c r="CM68">
        <v>0.04</v>
      </c>
      <c r="CN68">
        <v>0.04</v>
      </c>
      <c r="CO68">
        <v>-15.77240487804878</v>
      </c>
      <c r="CP68">
        <v>-6.5001512195122233</v>
      </c>
      <c r="CQ68">
        <v>0.64136652545654771</v>
      </c>
      <c r="CR68">
        <v>-1</v>
      </c>
      <c r="CS68">
        <v>2.440458536585365</v>
      </c>
      <c r="CT68">
        <v>0.21576606271776941</v>
      </c>
      <c r="CU68">
        <v>2.1332471248445041E-2</v>
      </c>
      <c r="CV68">
        <v>-1</v>
      </c>
      <c r="CW68">
        <v>0</v>
      </c>
      <c r="CX68">
        <v>0</v>
      </c>
      <c r="CY68" t="s">
        <v>333</v>
      </c>
      <c r="CZ68">
        <v>2.3641800000000002</v>
      </c>
      <c r="DA68">
        <v>2.7137899999999999</v>
      </c>
      <c r="DB68">
        <v>0.14451900000000001</v>
      </c>
      <c r="DC68">
        <v>0.14622299999999999</v>
      </c>
      <c r="DD68">
        <v>0.10535899999999999</v>
      </c>
      <c r="DE68">
        <v>9.5217300000000005E-2</v>
      </c>
      <c r="DF68">
        <v>31228.3</v>
      </c>
      <c r="DG68">
        <v>27511</v>
      </c>
      <c r="DH68">
        <v>31164.2</v>
      </c>
      <c r="DI68">
        <v>28078.1</v>
      </c>
      <c r="DJ68">
        <v>37857.300000000003</v>
      </c>
      <c r="DK68">
        <v>36127.599999999999</v>
      </c>
      <c r="DL68">
        <v>44350.6</v>
      </c>
      <c r="DM68">
        <v>42562.6</v>
      </c>
      <c r="DN68">
        <v>1.4717499999999999</v>
      </c>
      <c r="DO68">
        <v>2.05105</v>
      </c>
      <c r="DP68">
        <v>0.13364100000000001</v>
      </c>
      <c r="DQ68">
        <v>0.169016</v>
      </c>
      <c r="DR68">
        <v>24.794899999999998</v>
      </c>
      <c r="DS68">
        <v>24.549299999999999</v>
      </c>
      <c r="DT68">
        <v>56.7</v>
      </c>
      <c r="DU68">
        <v>29.2</v>
      </c>
      <c r="DV68">
        <v>23.286100000000001</v>
      </c>
      <c r="DW68">
        <v>61.649799999999999</v>
      </c>
      <c r="DX68">
        <v>36.081699999999998</v>
      </c>
      <c r="DY68">
        <v>1</v>
      </c>
      <c r="DZ68">
        <v>-6.5297300000000003E-2</v>
      </c>
      <c r="EA68">
        <v>1.01793</v>
      </c>
      <c r="EB68">
        <v>20.185500000000001</v>
      </c>
      <c r="EC68">
        <v>5.2391500000000004</v>
      </c>
      <c r="ED68">
        <v>12.039899999999999</v>
      </c>
      <c r="EE68">
        <v>5.0156999999999998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1.8646400000000001</v>
      </c>
      <c r="EM68">
        <v>1.8692</v>
      </c>
      <c r="EN68">
        <v>1.8672299999999999</v>
      </c>
      <c r="EO68">
        <v>1.8633999999999999</v>
      </c>
      <c r="EP68">
        <v>1.86449</v>
      </c>
      <c r="EQ68">
        <v>1.8701700000000001</v>
      </c>
      <c r="ER68">
        <v>1.8694500000000001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-0.19500000000000001</v>
      </c>
      <c r="FG68">
        <v>0.17860000000000001</v>
      </c>
      <c r="FH68">
        <v>0.3448811944559278</v>
      </c>
      <c r="FI68">
        <v>-6.1462078757559423E-4</v>
      </c>
      <c r="FJ68">
        <v>-1.8861989874597051E-7</v>
      </c>
      <c r="FK68">
        <v>1.1980462299894961E-10</v>
      </c>
      <c r="FL68">
        <v>0.17862261546663211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18.7</v>
      </c>
      <c r="FU68">
        <v>18.8</v>
      </c>
      <c r="FV68">
        <v>1.79077</v>
      </c>
      <c r="FW68">
        <v>2.5878899999999998</v>
      </c>
      <c r="FX68">
        <v>1.5490699999999999</v>
      </c>
      <c r="FY68">
        <v>2.3290999999999999</v>
      </c>
      <c r="FZ68">
        <v>1.50146</v>
      </c>
      <c r="GA68">
        <v>2.3120099999999999</v>
      </c>
      <c r="GB68">
        <v>33.986499999999999</v>
      </c>
      <c r="GC68">
        <v>23.982399999999998</v>
      </c>
      <c r="GD68">
        <v>19</v>
      </c>
      <c r="GE68">
        <v>282.27</v>
      </c>
      <c r="GF68">
        <v>598.59500000000003</v>
      </c>
      <c r="GG68">
        <v>22.230899999999998</v>
      </c>
      <c r="GH68">
        <v>26.5411</v>
      </c>
      <c r="GI68">
        <v>29.9998</v>
      </c>
      <c r="GJ68">
        <v>26.644300000000001</v>
      </c>
      <c r="GK68">
        <v>26.616900000000001</v>
      </c>
      <c r="GL68">
        <v>35.818399999999997</v>
      </c>
      <c r="GM68">
        <v>27.474499999999999</v>
      </c>
      <c r="GN68">
        <v>98.860699999999994</v>
      </c>
      <c r="GO68">
        <v>22.226700000000001</v>
      </c>
      <c r="GP68">
        <v>800</v>
      </c>
      <c r="GQ68">
        <v>19.018599999999999</v>
      </c>
      <c r="GR68">
        <v>99.713499999999996</v>
      </c>
      <c r="GS68">
        <v>99.563199999999995</v>
      </c>
    </row>
    <row r="69" spans="1:201" x14ac:dyDescent="0.25">
      <c r="A69">
        <v>53</v>
      </c>
      <c r="B69">
        <v>1690230214.5999999</v>
      </c>
      <c r="C69">
        <v>709.5</v>
      </c>
      <c r="D69" t="s">
        <v>439</v>
      </c>
      <c r="E69" t="s">
        <v>440</v>
      </c>
      <c r="F69" t="s">
        <v>330</v>
      </c>
      <c r="H69">
        <v>1690230214.5999999</v>
      </c>
      <c r="I69">
        <f t="shared" si="0"/>
        <v>2.4531183362822755E-4</v>
      </c>
      <c r="J69">
        <f t="shared" si="1"/>
        <v>0.24531183362822753</v>
      </c>
      <c r="K69">
        <f t="shared" si="2"/>
        <v>1.5386589378034443</v>
      </c>
      <c r="L69">
        <f t="shared" si="3"/>
        <v>781.86500000000001</v>
      </c>
      <c r="M69">
        <f t="shared" si="4"/>
        <v>601.9311136311012</v>
      </c>
      <c r="N69">
        <f t="shared" si="5"/>
        <v>59.684555415412156</v>
      </c>
      <c r="O69">
        <f t="shared" si="6"/>
        <v>77.525922589989989</v>
      </c>
      <c r="P69">
        <f t="shared" si="7"/>
        <v>1.5241789208908696E-2</v>
      </c>
      <c r="Q69">
        <f t="shared" si="8"/>
        <v>2.1794792285900679</v>
      </c>
      <c r="R69">
        <f t="shared" si="9"/>
        <v>1.5182819558266907E-2</v>
      </c>
      <c r="S69">
        <f t="shared" si="10"/>
        <v>9.4945413189272739E-3</v>
      </c>
      <c r="T69">
        <f t="shared" si="11"/>
        <v>276.11402248800005</v>
      </c>
      <c r="U69">
        <f t="shared" si="12"/>
        <v>27.530223556662666</v>
      </c>
      <c r="V69">
        <f t="shared" si="13"/>
        <v>27.530223556662666</v>
      </c>
      <c r="W69">
        <f t="shared" si="14"/>
        <v>3.6921461277851004</v>
      </c>
      <c r="X69">
        <f t="shared" si="15"/>
        <v>65.347750798577209</v>
      </c>
      <c r="Y69">
        <f t="shared" si="16"/>
        <v>2.1371697547788</v>
      </c>
      <c r="Z69">
        <f t="shared" si="17"/>
        <v>3.2704564865074617</v>
      </c>
      <c r="AA69">
        <f t="shared" si="18"/>
        <v>1.5549763730063004</v>
      </c>
      <c r="AB69">
        <f t="shared" si="19"/>
        <v>-10.818251863004836</v>
      </c>
      <c r="AC69">
        <f t="shared" si="20"/>
        <v>-241.72394106796563</v>
      </c>
      <c r="AD69">
        <f t="shared" si="21"/>
        <v>-23.816654365105013</v>
      </c>
      <c r="AE69">
        <f t="shared" si="22"/>
        <v>-0.24482480807543539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52689.929393186721</v>
      </c>
      <c r="AK69">
        <f t="shared" si="26"/>
        <v>1800</v>
      </c>
      <c r="AL69">
        <f t="shared" si="27"/>
        <v>1499.1121188</v>
      </c>
      <c r="AM69">
        <f t="shared" si="28"/>
        <v>0.83284006599999993</v>
      </c>
      <c r="AN69">
        <f t="shared" si="29"/>
        <v>0.15339667916000002</v>
      </c>
      <c r="AO69">
        <v>31.5</v>
      </c>
      <c r="AP69">
        <v>0.5</v>
      </c>
      <c r="AQ69" t="s">
        <v>331</v>
      </c>
      <c r="AR69">
        <v>2</v>
      </c>
      <c r="AS69">
        <v>1690230214.5999999</v>
      </c>
      <c r="AT69">
        <v>781.86500000000001</v>
      </c>
      <c r="AU69">
        <v>800.02</v>
      </c>
      <c r="AV69">
        <v>21.553799999999999</v>
      </c>
      <c r="AW69">
        <v>19.035599999999999</v>
      </c>
      <c r="AX69">
        <v>782.05899999999997</v>
      </c>
      <c r="AY69">
        <v>21.3752</v>
      </c>
      <c r="AZ69">
        <v>300.245</v>
      </c>
      <c r="BA69">
        <v>99.055099999999996</v>
      </c>
      <c r="BB69">
        <v>0.100026</v>
      </c>
      <c r="BC69">
        <v>25.472999999999999</v>
      </c>
      <c r="BD69">
        <v>26.9682</v>
      </c>
      <c r="BE69">
        <v>27.333500000000001</v>
      </c>
      <c r="BF69">
        <v>0</v>
      </c>
      <c r="BG69">
        <v>0</v>
      </c>
      <c r="BH69">
        <v>10008.799999999999</v>
      </c>
      <c r="BI69">
        <v>1056.3699999999999</v>
      </c>
      <c r="BJ69">
        <v>1.4016500000000001</v>
      </c>
      <c r="BK69">
        <v>-18.1541</v>
      </c>
      <c r="BL69">
        <v>799.08900000000006</v>
      </c>
      <c r="BM69">
        <v>815.54399999999998</v>
      </c>
      <c r="BN69">
        <v>2.51816</v>
      </c>
      <c r="BO69">
        <v>800.02</v>
      </c>
      <c r="BP69">
        <v>19.035599999999999</v>
      </c>
      <c r="BQ69">
        <v>2.1350099999999999</v>
      </c>
      <c r="BR69">
        <v>1.88558</v>
      </c>
      <c r="BS69">
        <v>18.482800000000001</v>
      </c>
      <c r="BT69">
        <v>16.514900000000001</v>
      </c>
      <c r="BU69">
        <v>1800</v>
      </c>
      <c r="BV69">
        <v>0.91001699999999996</v>
      </c>
      <c r="BW69">
        <v>3.4003600000000002E-2</v>
      </c>
      <c r="BX69">
        <v>2.1991799999999999E-2</v>
      </c>
      <c r="BY69">
        <v>3.3987200000000002E-2</v>
      </c>
      <c r="BZ69">
        <v>25.666699999999999</v>
      </c>
      <c r="CA69">
        <v>33528.5</v>
      </c>
      <c r="CB69">
        <v>1690229084.0999999</v>
      </c>
      <c r="CC69" t="s">
        <v>332</v>
      </c>
      <c r="CD69">
        <v>1690229084.0999999</v>
      </c>
      <c r="CE69">
        <v>1690229076.5999999</v>
      </c>
      <c r="CF69">
        <v>13</v>
      </c>
      <c r="CG69">
        <v>0.23300000000000001</v>
      </c>
      <c r="CH69">
        <v>-0.13100000000000001</v>
      </c>
      <c r="CI69">
        <v>-0.20599999999999999</v>
      </c>
      <c r="CJ69">
        <v>8.7999999999999995E-2</v>
      </c>
      <c r="CK69">
        <v>799</v>
      </c>
      <c r="CL69">
        <v>16</v>
      </c>
      <c r="CM69">
        <v>0.04</v>
      </c>
      <c r="CN69">
        <v>0.04</v>
      </c>
      <c r="CO69">
        <v>-16.879356097560979</v>
      </c>
      <c r="CP69">
        <v>-6.8139428571428891</v>
      </c>
      <c r="CQ69">
        <v>0.67279448608888015</v>
      </c>
      <c r="CR69">
        <v>-1</v>
      </c>
      <c r="CS69">
        <v>2.47857243902439</v>
      </c>
      <c r="CT69">
        <v>0.23733512195122239</v>
      </c>
      <c r="CU69">
        <v>2.3438760453832339E-2</v>
      </c>
      <c r="CV69">
        <v>-1</v>
      </c>
      <c r="CW69">
        <v>0</v>
      </c>
      <c r="CX69">
        <v>0</v>
      </c>
      <c r="CY69" t="s">
        <v>333</v>
      </c>
      <c r="CZ69">
        <v>2.3643399999999999</v>
      </c>
      <c r="DA69">
        <v>2.7138300000000002</v>
      </c>
      <c r="DB69">
        <v>0.144372</v>
      </c>
      <c r="DC69">
        <v>0.146228</v>
      </c>
      <c r="DD69">
        <v>0.105459</v>
      </c>
      <c r="DE69">
        <v>9.5197799999999999E-2</v>
      </c>
      <c r="DF69">
        <v>31233.7</v>
      </c>
      <c r="DG69">
        <v>27510.6</v>
      </c>
      <c r="DH69">
        <v>31164.2</v>
      </c>
      <c r="DI69">
        <v>28077.9</v>
      </c>
      <c r="DJ69">
        <v>37853.1</v>
      </c>
      <c r="DK69">
        <v>36128.1</v>
      </c>
      <c r="DL69">
        <v>44350.8</v>
      </c>
      <c r="DM69">
        <v>42562.3</v>
      </c>
      <c r="DN69">
        <v>1.4713499999999999</v>
      </c>
      <c r="DO69">
        <v>2.0512999999999999</v>
      </c>
      <c r="DP69">
        <v>0.13328300000000001</v>
      </c>
      <c r="DQ69">
        <v>0.17045399999999999</v>
      </c>
      <c r="DR69">
        <v>24.784500000000001</v>
      </c>
      <c r="DS69">
        <v>24.5411</v>
      </c>
      <c r="DT69">
        <v>56.7</v>
      </c>
      <c r="DU69">
        <v>29.2</v>
      </c>
      <c r="DV69">
        <v>23.289400000000001</v>
      </c>
      <c r="DW69">
        <v>61.459800000000001</v>
      </c>
      <c r="DX69">
        <v>35.673099999999998</v>
      </c>
      <c r="DY69">
        <v>1</v>
      </c>
      <c r="DZ69">
        <v>-6.5815499999999999E-2</v>
      </c>
      <c r="EA69">
        <v>1.06568</v>
      </c>
      <c r="EB69">
        <v>20.184999999999999</v>
      </c>
      <c r="EC69">
        <v>5.2397499999999999</v>
      </c>
      <c r="ED69">
        <v>12.039899999999999</v>
      </c>
      <c r="EE69">
        <v>5.0159500000000001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1.8689100000000001</v>
      </c>
      <c r="EL69">
        <v>1.8646199999999999</v>
      </c>
      <c r="EM69">
        <v>1.8691800000000001</v>
      </c>
      <c r="EN69">
        <v>1.8672200000000001</v>
      </c>
      <c r="EO69">
        <v>1.8633999999999999</v>
      </c>
      <c r="EP69">
        <v>1.86449</v>
      </c>
      <c r="EQ69">
        <v>1.8702000000000001</v>
      </c>
      <c r="ER69">
        <v>1.86944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-0.19400000000000001</v>
      </c>
      <c r="FG69">
        <v>0.17860000000000001</v>
      </c>
      <c r="FH69">
        <v>0.3448811944559278</v>
      </c>
      <c r="FI69">
        <v>-6.1462078757559423E-4</v>
      </c>
      <c r="FJ69">
        <v>-1.8861989874597051E-7</v>
      </c>
      <c r="FK69">
        <v>1.1980462299894961E-10</v>
      </c>
      <c r="FL69">
        <v>0.17862261546663211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18.8</v>
      </c>
      <c r="FU69">
        <v>19</v>
      </c>
      <c r="FV69">
        <v>1.79077</v>
      </c>
      <c r="FW69">
        <v>2.5830099999999998</v>
      </c>
      <c r="FX69">
        <v>1.5490699999999999</v>
      </c>
      <c r="FY69">
        <v>2.3290999999999999</v>
      </c>
      <c r="FZ69">
        <v>1.50146</v>
      </c>
      <c r="GA69">
        <v>2.4194300000000002</v>
      </c>
      <c r="GB69">
        <v>33.986499999999999</v>
      </c>
      <c r="GC69">
        <v>23.991199999999999</v>
      </c>
      <c r="GD69">
        <v>19</v>
      </c>
      <c r="GE69">
        <v>282.08999999999997</v>
      </c>
      <c r="GF69">
        <v>598.79200000000003</v>
      </c>
      <c r="GG69">
        <v>22.253499999999999</v>
      </c>
      <c r="GH69">
        <v>26.5349</v>
      </c>
      <c r="GI69">
        <v>29.9998</v>
      </c>
      <c r="GJ69">
        <v>26.642099999999999</v>
      </c>
      <c r="GK69">
        <v>26.6158</v>
      </c>
      <c r="GL69">
        <v>35.815600000000003</v>
      </c>
      <c r="GM69">
        <v>27.474499999999999</v>
      </c>
      <c r="GN69">
        <v>98.860699999999994</v>
      </c>
      <c r="GO69">
        <v>22.2516</v>
      </c>
      <c r="GP69">
        <v>800</v>
      </c>
      <c r="GQ69">
        <v>18.991700000000002</v>
      </c>
      <c r="GR69">
        <v>99.713800000000006</v>
      </c>
      <c r="GS69">
        <v>99.562399999999997</v>
      </c>
    </row>
    <row r="70" spans="1:201" x14ac:dyDescent="0.25">
      <c r="A70">
        <v>54</v>
      </c>
      <c r="B70">
        <v>1690230224.5999999</v>
      </c>
      <c r="C70">
        <v>719.5</v>
      </c>
      <c r="D70" t="s">
        <v>441</v>
      </c>
      <c r="E70" t="s">
        <v>442</v>
      </c>
      <c r="F70" t="s">
        <v>330</v>
      </c>
      <c r="H70">
        <v>1690230224.5999999</v>
      </c>
      <c r="I70">
        <f t="shared" si="0"/>
        <v>2.4819028597139589E-4</v>
      </c>
      <c r="J70">
        <f t="shared" si="1"/>
        <v>0.24819028597139586</v>
      </c>
      <c r="K70">
        <f t="shared" si="2"/>
        <v>1.6481242500818258</v>
      </c>
      <c r="L70">
        <f t="shared" si="3"/>
        <v>780.65</v>
      </c>
      <c r="M70">
        <f t="shared" si="4"/>
        <v>591.7176548743322</v>
      </c>
      <c r="N70">
        <f t="shared" si="5"/>
        <v>58.671007262183828</v>
      </c>
      <c r="O70">
        <f t="shared" si="6"/>
        <v>77.404352298649997</v>
      </c>
      <c r="P70">
        <f t="shared" si="7"/>
        <v>1.5451493107995875E-2</v>
      </c>
      <c r="Q70">
        <f t="shared" si="8"/>
        <v>2.1812783055382914</v>
      </c>
      <c r="R70">
        <f t="shared" si="9"/>
        <v>1.5390942881445822E-2</v>
      </c>
      <c r="S70">
        <f t="shared" si="10"/>
        <v>9.6247596420447751E-3</v>
      </c>
      <c r="T70">
        <f t="shared" si="11"/>
        <v>276.11394883200001</v>
      </c>
      <c r="U70">
        <f t="shared" si="12"/>
        <v>27.527593447483113</v>
      </c>
      <c r="V70">
        <f t="shared" si="13"/>
        <v>27.527593447483113</v>
      </c>
      <c r="W70">
        <f t="shared" si="14"/>
        <v>3.6915780800201232</v>
      </c>
      <c r="X70">
        <f t="shared" si="15"/>
        <v>65.424524426460152</v>
      </c>
      <c r="Y70">
        <f t="shared" si="16"/>
        <v>2.1396678915753</v>
      </c>
      <c r="Z70">
        <f t="shared" si="17"/>
        <v>3.2704370575599286</v>
      </c>
      <c r="AA70">
        <f t="shared" si="18"/>
        <v>1.5519101884448232</v>
      </c>
      <c r="AB70">
        <f t="shared" si="19"/>
        <v>-10.945191611338558</v>
      </c>
      <c r="AC70">
        <f t="shared" si="20"/>
        <v>-241.6259415171819</v>
      </c>
      <c r="AD70">
        <f t="shared" si="21"/>
        <v>-23.787037136644834</v>
      </c>
      <c r="AE70">
        <f t="shared" si="22"/>
        <v>-0.24422143316530764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52764.852615792319</v>
      </c>
      <c r="AK70">
        <f t="shared" si="26"/>
        <v>1800</v>
      </c>
      <c r="AL70">
        <f t="shared" si="27"/>
        <v>1499.1126102000001</v>
      </c>
      <c r="AM70">
        <f t="shared" si="28"/>
        <v>0.83284033899999999</v>
      </c>
      <c r="AN70">
        <f t="shared" si="29"/>
        <v>0.15339663823999999</v>
      </c>
      <c r="AO70">
        <v>31.5</v>
      </c>
      <c r="AP70">
        <v>0.5</v>
      </c>
      <c r="AQ70" t="s">
        <v>331</v>
      </c>
      <c r="AR70">
        <v>2</v>
      </c>
      <c r="AS70">
        <v>1690230224.5999999</v>
      </c>
      <c r="AT70">
        <v>780.65</v>
      </c>
      <c r="AU70">
        <v>799.971</v>
      </c>
      <c r="AV70">
        <v>21.5793</v>
      </c>
      <c r="AW70">
        <v>19.032</v>
      </c>
      <c r="AX70">
        <v>780.84299999999996</v>
      </c>
      <c r="AY70">
        <v>21.400700000000001</v>
      </c>
      <c r="AZ70">
        <v>300.29000000000002</v>
      </c>
      <c r="BA70">
        <v>99.053600000000003</v>
      </c>
      <c r="BB70">
        <v>0.100121</v>
      </c>
      <c r="BC70">
        <v>25.472899999999999</v>
      </c>
      <c r="BD70">
        <v>26.950399999999998</v>
      </c>
      <c r="BE70">
        <v>27.3338</v>
      </c>
      <c r="BF70">
        <v>0</v>
      </c>
      <c r="BG70">
        <v>0</v>
      </c>
      <c r="BH70">
        <v>10023.799999999999</v>
      </c>
      <c r="BI70">
        <v>1056.4100000000001</v>
      </c>
      <c r="BJ70">
        <v>1.4016500000000001</v>
      </c>
      <c r="BK70">
        <v>-19.321300000000001</v>
      </c>
      <c r="BL70">
        <v>797.86699999999996</v>
      </c>
      <c r="BM70">
        <v>815.49199999999996</v>
      </c>
      <c r="BN70">
        <v>2.54731</v>
      </c>
      <c r="BO70">
        <v>799.971</v>
      </c>
      <c r="BP70">
        <v>19.032</v>
      </c>
      <c r="BQ70">
        <v>2.1375099999999998</v>
      </c>
      <c r="BR70">
        <v>1.8851899999999999</v>
      </c>
      <c r="BS70">
        <v>18.5015</v>
      </c>
      <c r="BT70">
        <v>16.511600000000001</v>
      </c>
      <c r="BU70">
        <v>1800</v>
      </c>
      <c r="BV70">
        <v>0.91001799999999999</v>
      </c>
      <c r="BW70">
        <v>3.4001799999999999E-2</v>
      </c>
      <c r="BX70">
        <v>2.1990699999999998E-2</v>
      </c>
      <c r="BY70">
        <v>3.3989400000000003E-2</v>
      </c>
      <c r="BZ70">
        <v>25.666699999999999</v>
      </c>
      <c r="CA70">
        <v>33528.6</v>
      </c>
      <c r="CB70">
        <v>1690229084.0999999</v>
      </c>
      <c r="CC70" t="s">
        <v>332</v>
      </c>
      <c r="CD70">
        <v>1690229084.0999999</v>
      </c>
      <c r="CE70">
        <v>1690229076.5999999</v>
      </c>
      <c r="CF70">
        <v>13</v>
      </c>
      <c r="CG70">
        <v>0.23300000000000001</v>
      </c>
      <c r="CH70">
        <v>-0.13100000000000001</v>
      </c>
      <c r="CI70">
        <v>-0.20599999999999999</v>
      </c>
      <c r="CJ70">
        <v>8.7999999999999995E-2</v>
      </c>
      <c r="CK70">
        <v>799</v>
      </c>
      <c r="CL70">
        <v>16</v>
      </c>
      <c r="CM70">
        <v>0.04</v>
      </c>
      <c r="CN70">
        <v>0.04</v>
      </c>
      <c r="CO70">
        <v>-18.040107317073169</v>
      </c>
      <c r="CP70">
        <v>-7.1308160278746051</v>
      </c>
      <c r="CQ70">
        <v>0.70469566840474562</v>
      </c>
      <c r="CR70">
        <v>-1</v>
      </c>
      <c r="CS70">
        <v>2.5140536585365849</v>
      </c>
      <c r="CT70">
        <v>0.18679505226480969</v>
      </c>
      <c r="CU70">
        <v>1.8454617342260331E-2</v>
      </c>
      <c r="CV70">
        <v>-1</v>
      </c>
      <c r="CW70">
        <v>0</v>
      </c>
      <c r="CX70">
        <v>0</v>
      </c>
      <c r="CY70" t="s">
        <v>333</v>
      </c>
      <c r="CZ70">
        <v>2.36449</v>
      </c>
      <c r="DA70">
        <v>2.71394</v>
      </c>
      <c r="DB70">
        <v>0.14422099999999999</v>
      </c>
      <c r="DC70">
        <v>0.14621999999999999</v>
      </c>
      <c r="DD70">
        <v>0.105547</v>
      </c>
      <c r="DE70">
        <v>9.5183299999999998E-2</v>
      </c>
      <c r="DF70">
        <v>31239.200000000001</v>
      </c>
      <c r="DG70">
        <v>27511.1</v>
      </c>
      <c r="DH70">
        <v>31164.2</v>
      </c>
      <c r="DI70">
        <v>28078.2</v>
      </c>
      <c r="DJ70">
        <v>37849.4</v>
      </c>
      <c r="DK70">
        <v>36129.1</v>
      </c>
      <c r="DL70">
        <v>44350.9</v>
      </c>
      <c r="DM70">
        <v>42562.7</v>
      </c>
      <c r="DN70">
        <v>1.4718500000000001</v>
      </c>
      <c r="DO70">
        <v>2.0512800000000002</v>
      </c>
      <c r="DP70">
        <v>0.132799</v>
      </c>
      <c r="DQ70">
        <v>0.17100599999999999</v>
      </c>
      <c r="DR70">
        <v>24.7746</v>
      </c>
      <c r="DS70">
        <v>24.532299999999999</v>
      </c>
      <c r="DT70">
        <v>56.7</v>
      </c>
      <c r="DU70">
        <v>29.2</v>
      </c>
      <c r="DV70">
        <v>23.288799999999998</v>
      </c>
      <c r="DW70">
        <v>61.569800000000001</v>
      </c>
      <c r="DX70">
        <v>35.416699999999999</v>
      </c>
      <c r="DY70">
        <v>1</v>
      </c>
      <c r="DZ70">
        <v>-6.5917199999999995E-2</v>
      </c>
      <c r="EA70">
        <v>1.0396300000000001</v>
      </c>
      <c r="EB70">
        <v>20.185300000000002</v>
      </c>
      <c r="EC70">
        <v>5.2396000000000003</v>
      </c>
      <c r="ED70">
        <v>12.039899999999999</v>
      </c>
      <c r="EE70">
        <v>5.0159000000000002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1.8646199999999999</v>
      </c>
      <c r="EM70">
        <v>1.8691899999999999</v>
      </c>
      <c r="EN70">
        <v>1.8672200000000001</v>
      </c>
      <c r="EO70">
        <v>1.8633999999999999</v>
      </c>
      <c r="EP70">
        <v>1.8644799999999999</v>
      </c>
      <c r="EQ70">
        <v>1.8701700000000001</v>
      </c>
      <c r="ER70">
        <v>1.8694299999999999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-0.193</v>
      </c>
      <c r="FG70">
        <v>0.17860000000000001</v>
      </c>
      <c r="FH70">
        <v>0.3448811944559278</v>
      </c>
      <c r="FI70">
        <v>-6.1462078757559423E-4</v>
      </c>
      <c r="FJ70">
        <v>-1.8861989874597051E-7</v>
      </c>
      <c r="FK70">
        <v>1.1980462299894961E-10</v>
      </c>
      <c r="FL70">
        <v>0.17862261546663211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19</v>
      </c>
      <c r="FU70">
        <v>19.100000000000001</v>
      </c>
      <c r="FV70">
        <v>1.79077</v>
      </c>
      <c r="FW70">
        <v>2.5927699999999998</v>
      </c>
      <c r="FX70">
        <v>1.5490699999999999</v>
      </c>
      <c r="FY70">
        <v>2.3290999999999999</v>
      </c>
      <c r="FZ70">
        <v>1.50146</v>
      </c>
      <c r="GA70">
        <v>2.2949199999999998</v>
      </c>
      <c r="GB70">
        <v>33.986499999999999</v>
      </c>
      <c r="GC70">
        <v>23.973700000000001</v>
      </c>
      <c r="GD70">
        <v>19</v>
      </c>
      <c r="GE70">
        <v>282.29300000000001</v>
      </c>
      <c r="GF70">
        <v>598.77099999999996</v>
      </c>
      <c r="GG70">
        <v>22.276299999999999</v>
      </c>
      <c r="GH70">
        <v>26.5288</v>
      </c>
      <c r="GI70">
        <v>29.9999</v>
      </c>
      <c r="GJ70">
        <v>26.639800000000001</v>
      </c>
      <c r="GK70">
        <v>26.6158</v>
      </c>
      <c r="GL70">
        <v>35.817100000000003</v>
      </c>
      <c r="GM70">
        <v>27.474499999999999</v>
      </c>
      <c r="GN70">
        <v>98.860699999999994</v>
      </c>
      <c r="GO70">
        <v>22.279499999999999</v>
      </c>
      <c r="GP70">
        <v>800</v>
      </c>
      <c r="GQ70">
        <v>18.962599999999998</v>
      </c>
      <c r="GR70">
        <v>99.713999999999999</v>
      </c>
      <c r="GS70">
        <v>99.563400000000001</v>
      </c>
    </row>
    <row r="71" spans="1:201" x14ac:dyDescent="0.25">
      <c r="A71">
        <v>55</v>
      </c>
      <c r="B71">
        <v>1690230234.5999999</v>
      </c>
      <c r="C71">
        <v>729.5</v>
      </c>
      <c r="D71" t="s">
        <v>443</v>
      </c>
      <c r="E71" t="s">
        <v>444</v>
      </c>
      <c r="F71" t="s">
        <v>330</v>
      </c>
      <c r="H71">
        <v>1690230234.5999999</v>
      </c>
      <c r="I71">
        <f t="shared" si="0"/>
        <v>2.5299803174715438E-4</v>
      </c>
      <c r="J71">
        <f t="shared" si="1"/>
        <v>0.25299803174715435</v>
      </c>
      <c r="K71">
        <f t="shared" si="2"/>
        <v>1.7775372445386746</v>
      </c>
      <c r="L71">
        <f t="shared" si="3"/>
        <v>779.25800000000004</v>
      </c>
      <c r="M71">
        <f t="shared" si="4"/>
        <v>580.58001512828412</v>
      </c>
      <c r="N71">
        <f t="shared" si="5"/>
        <v>57.566917326452135</v>
      </c>
      <c r="O71">
        <f t="shared" si="6"/>
        <v>77.266663841441996</v>
      </c>
      <c r="P71">
        <f t="shared" si="7"/>
        <v>1.5754471519359926E-2</v>
      </c>
      <c r="Q71">
        <f t="shared" si="8"/>
        <v>2.1683528141157957</v>
      </c>
      <c r="R71">
        <f t="shared" si="9"/>
        <v>1.5691155079320673E-2</v>
      </c>
      <c r="S71">
        <f t="shared" si="10"/>
        <v>9.8126393644403336E-3</v>
      </c>
      <c r="T71">
        <f t="shared" si="11"/>
        <v>276.11512237800008</v>
      </c>
      <c r="U71">
        <f t="shared" si="12"/>
        <v>27.539101731548278</v>
      </c>
      <c r="V71">
        <f t="shared" si="13"/>
        <v>27.539101731548278</v>
      </c>
      <c r="W71">
        <f t="shared" si="14"/>
        <v>3.6940641885150236</v>
      </c>
      <c r="X71">
        <f t="shared" si="15"/>
        <v>65.500096206109447</v>
      </c>
      <c r="Y71">
        <f t="shared" si="16"/>
        <v>2.1423939511982999</v>
      </c>
      <c r="Z71">
        <f t="shared" si="17"/>
        <v>3.2708256556705186</v>
      </c>
      <c r="AA71">
        <f t="shared" si="18"/>
        <v>1.5516702373167237</v>
      </c>
      <c r="AB71">
        <f t="shared" si="19"/>
        <v>-11.157213200049508</v>
      </c>
      <c r="AC71">
        <f t="shared" si="20"/>
        <v>-241.30567145754338</v>
      </c>
      <c r="AD71">
        <f t="shared" si="21"/>
        <v>-23.898733222645564</v>
      </c>
      <c r="AE71">
        <f t="shared" si="22"/>
        <v>-0.24649550223838901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52227.565341420115</v>
      </c>
      <c r="AK71">
        <f t="shared" si="26"/>
        <v>1800</v>
      </c>
      <c r="AL71">
        <f t="shared" si="27"/>
        <v>1499.1103727999998</v>
      </c>
      <c r="AM71">
        <f t="shared" si="28"/>
        <v>0.83283909599999995</v>
      </c>
      <c r="AN71">
        <f t="shared" si="29"/>
        <v>0.15339729021000004</v>
      </c>
      <c r="AO71">
        <v>31.5</v>
      </c>
      <c r="AP71">
        <v>0.5</v>
      </c>
      <c r="AQ71" t="s">
        <v>331</v>
      </c>
      <c r="AR71">
        <v>2</v>
      </c>
      <c r="AS71">
        <v>1690230234.5999999</v>
      </c>
      <c r="AT71">
        <v>779.25800000000004</v>
      </c>
      <c r="AU71">
        <v>799.98199999999997</v>
      </c>
      <c r="AV71">
        <v>21.6067</v>
      </c>
      <c r="AW71">
        <v>19.008900000000001</v>
      </c>
      <c r="AX71">
        <v>779.45</v>
      </c>
      <c r="AY71">
        <v>21.428100000000001</v>
      </c>
      <c r="AZ71">
        <v>300.14800000000002</v>
      </c>
      <c r="BA71">
        <v>99.054100000000005</v>
      </c>
      <c r="BB71">
        <v>0.100049</v>
      </c>
      <c r="BC71">
        <v>25.474900000000002</v>
      </c>
      <c r="BD71">
        <v>26.968699999999998</v>
      </c>
      <c r="BE71">
        <v>27.3537</v>
      </c>
      <c r="BF71">
        <v>0</v>
      </c>
      <c r="BG71">
        <v>0</v>
      </c>
      <c r="BH71">
        <v>9917.5</v>
      </c>
      <c r="BI71">
        <v>1056.42</v>
      </c>
      <c r="BJ71">
        <v>1.4016500000000001</v>
      </c>
      <c r="BK71">
        <v>-20.724799999999998</v>
      </c>
      <c r="BL71">
        <v>796.46699999999998</v>
      </c>
      <c r="BM71">
        <v>815.48400000000004</v>
      </c>
      <c r="BN71">
        <v>2.5978599999999998</v>
      </c>
      <c r="BO71">
        <v>799.98199999999997</v>
      </c>
      <c r="BP71">
        <v>19.008900000000001</v>
      </c>
      <c r="BQ71">
        <v>2.1402299999999999</v>
      </c>
      <c r="BR71">
        <v>1.8829</v>
      </c>
      <c r="BS71">
        <v>18.521799999999999</v>
      </c>
      <c r="BT71">
        <v>16.492599999999999</v>
      </c>
      <c r="BU71">
        <v>1800</v>
      </c>
      <c r="BV71">
        <v>0.90999399999999997</v>
      </c>
      <c r="BW71">
        <v>3.4000200000000001E-2</v>
      </c>
      <c r="BX71">
        <v>2.1998299999999998E-2</v>
      </c>
      <c r="BY71">
        <v>3.4007299999999997E-2</v>
      </c>
      <c r="BZ71">
        <v>25.666699999999999</v>
      </c>
      <c r="CA71">
        <v>33528.300000000003</v>
      </c>
      <c r="CB71">
        <v>1690229084.0999999</v>
      </c>
      <c r="CC71" t="s">
        <v>332</v>
      </c>
      <c r="CD71">
        <v>1690229084.0999999</v>
      </c>
      <c r="CE71">
        <v>1690229076.5999999</v>
      </c>
      <c r="CF71">
        <v>13</v>
      </c>
      <c r="CG71">
        <v>0.23300000000000001</v>
      </c>
      <c r="CH71">
        <v>-0.13100000000000001</v>
      </c>
      <c r="CI71">
        <v>-0.20599999999999999</v>
      </c>
      <c r="CJ71">
        <v>8.7999999999999995E-2</v>
      </c>
      <c r="CK71">
        <v>799</v>
      </c>
      <c r="CL71">
        <v>16</v>
      </c>
      <c r="CM71">
        <v>0.04</v>
      </c>
      <c r="CN71">
        <v>0.04</v>
      </c>
      <c r="CO71">
        <v>-19.242442499999999</v>
      </c>
      <c r="CP71">
        <v>-7.8065617260787912</v>
      </c>
      <c r="CQ71">
        <v>0.75215162629868049</v>
      </c>
      <c r="CR71">
        <v>-1</v>
      </c>
      <c r="CS71">
        <v>2.544052999999999</v>
      </c>
      <c r="CT71">
        <v>0.18448255159473831</v>
      </c>
      <c r="CU71">
        <v>1.7759945974016939E-2</v>
      </c>
      <c r="CV71">
        <v>-1</v>
      </c>
      <c r="CW71">
        <v>0</v>
      </c>
      <c r="CX71">
        <v>0</v>
      </c>
      <c r="CY71" t="s">
        <v>333</v>
      </c>
      <c r="CZ71">
        <v>2.3640400000000001</v>
      </c>
      <c r="DA71">
        <v>2.7137699999999998</v>
      </c>
      <c r="DB71">
        <v>0.14405000000000001</v>
      </c>
      <c r="DC71">
        <v>0.14622199999999999</v>
      </c>
      <c r="DD71">
        <v>0.105644</v>
      </c>
      <c r="DE71">
        <v>9.5101699999999997E-2</v>
      </c>
      <c r="DF71">
        <v>31245.5</v>
      </c>
      <c r="DG71">
        <v>27511.9</v>
      </c>
      <c r="DH71">
        <v>31164.2</v>
      </c>
      <c r="DI71">
        <v>28078.9</v>
      </c>
      <c r="DJ71">
        <v>37845.199999999997</v>
      </c>
      <c r="DK71">
        <v>36133.300000000003</v>
      </c>
      <c r="DL71">
        <v>44350.8</v>
      </c>
      <c r="DM71">
        <v>42563.8</v>
      </c>
      <c r="DN71">
        <v>1.4716499999999999</v>
      </c>
      <c r="DO71">
        <v>2.0516299999999998</v>
      </c>
      <c r="DP71">
        <v>0.13458700000000001</v>
      </c>
      <c r="DQ71">
        <v>0.17269000000000001</v>
      </c>
      <c r="DR71">
        <v>24.7636</v>
      </c>
      <c r="DS71">
        <v>24.5246</v>
      </c>
      <c r="DT71">
        <v>56.7</v>
      </c>
      <c r="DU71">
        <v>29.2</v>
      </c>
      <c r="DV71">
        <v>23.290600000000001</v>
      </c>
      <c r="DW71">
        <v>62.129800000000003</v>
      </c>
      <c r="DX71">
        <v>36.129800000000003</v>
      </c>
      <c r="DY71">
        <v>1</v>
      </c>
      <c r="DZ71">
        <v>-6.6476099999999996E-2</v>
      </c>
      <c r="EA71">
        <v>0.90779100000000001</v>
      </c>
      <c r="EB71">
        <v>20.186199999999999</v>
      </c>
      <c r="EC71">
        <v>5.2400500000000001</v>
      </c>
      <c r="ED71">
        <v>12.039899999999999</v>
      </c>
      <c r="EE71">
        <v>5.0160999999999998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1.86466</v>
      </c>
      <c r="EM71">
        <v>1.8691899999999999</v>
      </c>
      <c r="EN71">
        <v>1.86724</v>
      </c>
      <c r="EO71">
        <v>1.8633999999999999</v>
      </c>
      <c r="EP71">
        <v>1.86449</v>
      </c>
      <c r="EQ71">
        <v>1.87018</v>
      </c>
      <c r="ER71">
        <v>1.8694299999999999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-0.192</v>
      </c>
      <c r="FG71">
        <v>0.17860000000000001</v>
      </c>
      <c r="FH71">
        <v>0.3448811944559278</v>
      </c>
      <c r="FI71">
        <v>-6.1462078757559423E-4</v>
      </c>
      <c r="FJ71">
        <v>-1.8861989874597051E-7</v>
      </c>
      <c r="FK71">
        <v>1.1980462299894961E-10</v>
      </c>
      <c r="FL71">
        <v>0.17862261546663211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19.2</v>
      </c>
      <c r="FU71">
        <v>19.3</v>
      </c>
      <c r="FV71">
        <v>1.79077</v>
      </c>
      <c r="FW71">
        <v>2.5830099999999998</v>
      </c>
      <c r="FX71">
        <v>1.5490699999999999</v>
      </c>
      <c r="FY71">
        <v>2.3290999999999999</v>
      </c>
      <c r="FZ71">
        <v>1.50146</v>
      </c>
      <c r="GA71">
        <v>2.4133300000000002</v>
      </c>
      <c r="GB71">
        <v>33.963900000000002</v>
      </c>
      <c r="GC71">
        <v>23.982399999999998</v>
      </c>
      <c r="GD71">
        <v>19</v>
      </c>
      <c r="GE71">
        <v>282.197</v>
      </c>
      <c r="GF71">
        <v>599.04100000000005</v>
      </c>
      <c r="GG71">
        <v>22.325099999999999</v>
      </c>
      <c r="GH71">
        <v>26.521999999999998</v>
      </c>
      <c r="GI71">
        <v>29.9999</v>
      </c>
      <c r="GJ71">
        <v>26.637499999999999</v>
      </c>
      <c r="GK71">
        <v>26.613600000000002</v>
      </c>
      <c r="GL71">
        <v>35.8155</v>
      </c>
      <c r="GM71">
        <v>27.765499999999999</v>
      </c>
      <c r="GN71">
        <v>98.860699999999994</v>
      </c>
      <c r="GO71">
        <v>22.3383</v>
      </c>
      <c r="GP71">
        <v>800</v>
      </c>
      <c r="GQ71">
        <v>18.926100000000002</v>
      </c>
      <c r="GR71">
        <v>99.713800000000006</v>
      </c>
      <c r="GS71">
        <v>99.566100000000006</v>
      </c>
    </row>
    <row r="72" spans="1:201" x14ac:dyDescent="0.25">
      <c r="A72">
        <v>56</v>
      </c>
      <c r="B72">
        <v>1690230244.5999999</v>
      </c>
      <c r="C72">
        <v>739.5</v>
      </c>
      <c r="D72" t="s">
        <v>445</v>
      </c>
      <c r="E72" t="s">
        <v>446</v>
      </c>
      <c r="F72" t="s">
        <v>330</v>
      </c>
      <c r="H72">
        <v>1690230244.5999999</v>
      </c>
      <c r="I72">
        <f t="shared" si="0"/>
        <v>2.6131560513747575E-4</v>
      </c>
      <c r="J72">
        <f t="shared" si="1"/>
        <v>0.26131560513747576</v>
      </c>
      <c r="K72">
        <f t="shared" si="2"/>
        <v>1.9028816188460085</v>
      </c>
      <c r="L72">
        <f t="shared" si="3"/>
        <v>777.87599999999998</v>
      </c>
      <c r="M72">
        <f t="shared" si="4"/>
        <v>573.18131874781591</v>
      </c>
      <c r="N72">
        <f t="shared" si="5"/>
        <v>56.833439434384701</v>
      </c>
      <c r="O72">
        <f t="shared" si="6"/>
        <v>77.129814052631986</v>
      </c>
      <c r="P72">
        <f t="shared" si="7"/>
        <v>1.6311592242766935E-2</v>
      </c>
      <c r="Q72">
        <f t="shared" si="8"/>
        <v>2.1790813926047039</v>
      </c>
      <c r="R72">
        <f t="shared" si="9"/>
        <v>1.6244061582507484E-2</v>
      </c>
      <c r="S72">
        <f t="shared" si="10"/>
        <v>1.015858246309867E-2</v>
      </c>
      <c r="T72">
        <f t="shared" si="11"/>
        <v>276.11413092208392</v>
      </c>
      <c r="U72">
        <f t="shared" si="12"/>
        <v>27.538069037901789</v>
      </c>
      <c r="V72">
        <f t="shared" si="13"/>
        <v>27.538069037901789</v>
      </c>
      <c r="W72">
        <f t="shared" si="14"/>
        <v>3.6938410383928257</v>
      </c>
      <c r="X72">
        <f t="shared" si="15"/>
        <v>65.558864854101657</v>
      </c>
      <c r="Y72">
        <f t="shared" si="16"/>
        <v>2.1457305727946001</v>
      </c>
      <c r="Z72">
        <f t="shared" si="17"/>
        <v>3.2729831084931513</v>
      </c>
      <c r="AA72">
        <f t="shared" si="18"/>
        <v>1.5481104655982256</v>
      </c>
      <c r="AB72">
        <f t="shared" si="19"/>
        <v>-11.52401818656268</v>
      </c>
      <c r="AC72">
        <f t="shared" si="20"/>
        <v>-241.07427162872804</v>
      </c>
      <c r="AD72">
        <f t="shared" si="21"/>
        <v>-23.759458970457178</v>
      </c>
      <c r="AE72">
        <f t="shared" si="22"/>
        <v>-0.24361786366398519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52671.055293989157</v>
      </c>
      <c r="AK72">
        <f t="shared" si="26"/>
        <v>1799.99</v>
      </c>
      <c r="AL72">
        <f t="shared" si="27"/>
        <v>1499.10168441104</v>
      </c>
      <c r="AM72">
        <f t="shared" si="28"/>
        <v>0.83283889599999994</v>
      </c>
      <c r="AN72">
        <f t="shared" si="29"/>
        <v>0.15339759160999999</v>
      </c>
      <c r="AO72">
        <v>31.5</v>
      </c>
      <c r="AP72">
        <v>0.5</v>
      </c>
      <c r="AQ72" t="s">
        <v>331</v>
      </c>
      <c r="AR72">
        <v>2</v>
      </c>
      <c r="AS72">
        <v>1690230244.5999999</v>
      </c>
      <c r="AT72">
        <v>777.87599999999998</v>
      </c>
      <c r="AU72">
        <v>799.97299999999996</v>
      </c>
      <c r="AV72">
        <v>21.6403</v>
      </c>
      <c r="AW72">
        <v>18.957999999999998</v>
      </c>
      <c r="AX72">
        <v>778.06700000000001</v>
      </c>
      <c r="AY72">
        <v>21.4617</v>
      </c>
      <c r="AZ72">
        <v>300.23899999999998</v>
      </c>
      <c r="BA72">
        <v>99.054299999999998</v>
      </c>
      <c r="BB72">
        <v>0.100082</v>
      </c>
      <c r="BC72">
        <v>25.486000000000001</v>
      </c>
      <c r="BD72">
        <v>26.9315</v>
      </c>
      <c r="BE72">
        <v>27.3307</v>
      </c>
      <c r="BF72">
        <v>0</v>
      </c>
      <c r="BG72">
        <v>0</v>
      </c>
      <c r="BH72">
        <v>10005.6</v>
      </c>
      <c r="BI72">
        <v>1056.4100000000001</v>
      </c>
      <c r="BJ72">
        <v>1.4016500000000001</v>
      </c>
      <c r="BK72">
        <v>-22.096699999999998</v>
      </c>
      <c r="BL72">
        <v>795.08199999999999</v>
      </c>
      <c r="BM72">
        <v>815.43200000000002</v>
      </c>
      <c r="BN72">
        <v>2.6822499999999998</v>
      </c>
      <c r="BO72">
        <v>799.97299999999996</v>
      </c>
      <c r="BP72">
        <v>18.957999999999998</v>
      </c>
      <c r="BQ72">
        <v>2.1435599999999999</v>
      </c>
      <c r="BR72">
        <v>1.8778699999999999</v>
      </c>
      <c r="BS72">
        <v>18.546600000000002</v>
      </c>
      <c r="BT72">
        <v>16.450500000000002</v>
      </c>
      <c r="BU72">
        <v>1799.99</v>
      </c>
      <c r="BV72">
        <v>0.90998699999999999</v>
      </c>
      <c r="BW72">
        <v>3.3999700000000001E-2</v>
      </c>
      <c r="BX72">
        <v>2.2002299999999999E-2</v>
      </c>
      <c r="BY72">
        <v>3.4010699999999998E-2</v>
      </c>
      <c r="BZ72">
        <v>25.666699999999999</v>
      </c>
      <c r="CA72">
        <v>33528.199999999997</v>
      </c>
      <c r="CB72">
        <v>1690229084.0999999</v>
      </c>
      <c r="CC72" t="s">
        <v>332</v>
      </c>
      <c r="CD72">
        <v>1690229084.0999999</v>
      </c>
      <c r="CE72">
        <v>1690229076.5999999</v>
      </c>
      <c r="CF72">
        <v>13</v>
      </c>
      <c r="CG72">
        <v>0.23300000000000001</v>
      </c>
      <c r="CH72">
        <v>-0.13100000000000001</v>
      </c>
      <c r="CI72">
        <v>-0.20599999999999999</v>
      </c>
      <c r="CJ72">
        <v>8.7999999999999995E-2</v>
      </c>
      <c r="CK72">
        <v>799</v>
      </c>
      <c r="CL72">
        <v>16</v>
      </c>
      <c r="CM72">
        <v>0.04</v>
      </c>
      <c r="CN72">
        <v>0.04</v>
      </c>
      <c r="CO72">
        <v>-20.706802499999998</v>
      </c>
      <c r="CP72">
        <v>-8.2937819887428859</v>
      </c>
      <c r="CQ72">
        <v>0.79822125425457713</v>
      </c>
      <c r="CR72">
        <v>-1</v>
      </c>
      <c r="CS72">
        <v>2.6080557500000001</v>
      </c>
      <c r="CT72">
        <v>0.48836949343339409</v>
      </c>
      <c r="CU72">
        <v>4.8353284629252431E-2</v>
      </c>
      <c r="CV72">
        <v>-1</v>
      </c>
      <c r="CW72">
        <v>0</v>
      </c>
      <c r="CX72">
        <v>0</v>
      </c>
      <c r="CY72" t="s">
        <v>333</v>
      </c>
      <c r="CZ72">
        <v>2.3643200000000002</v>
      </c>
      <c r="DA72">
        <v>2.7138800000000001</v>
      </c>
      <c r="DB72">
        <v>0.14388000000000001</v>
      </c>
      <c r="DC72">
        <v>0.14621999999999999</v>
      </c>
      <c r="DD72">
        <v>0.105763</v>
      </c>
      <c r="DE72">
        <v>9.4920599999999994E-2</v>
      </c>
      <c r="DF72">
        <v>31251.5</v>
      </c>
      <c r="DG72">
        <v>27512</v>
      </c>
      <c r="DH72">
        <v>31164</v>
      </c>
      <c r="DI72">
        <v>28079</v>
      </c>
      <c r="DJ72">
        <v>37839.9</v>
      </c>
      <c r="DK72">
        <v>36140.699999999997</v>
      </c>
      <c r="DL72">
        <v>44350.7</v>
      </c>
      <c r="DM72">
        <v>42564</v>
      </c>
      <c r="DN72">
        <v>1.4724200000000001</v>
      </c>
      <c r="DO72">
        <v>2.05145</v>
      </c>
      <c r="DP72">
        <v>0.13300799999999999</v>
      </c>
      <c r="DQ72">
        <v>0.171818</v>
      </c>
      <c r="DR72">
        <v>24.752199999999998</v>
      </c>
      <c r="DS72">
        <v>24.515799999999999</v>
      </c>
      <c r="DT72">
        <v>56.7</v>
      </c>
      <c r="DU72">
        <v>29.2</v>
      </c>
      <c r="DV72">
        <v>23.291399999999999</v>
      </c>
      <c r="DW72">
        <v>61.579799999999999</v>
      </c>
      <c r="DX72">
        <v>35.104199999999999</v>
      </c>
      <c r="DY72">
        <v>1</v>
      </c>
      <c r="DZ72">
        <v>-6.6448199999999999E-2</v>
      </c>
      <c r="EA72">
        <v>0.88224100000000005</v>
      </c>
      <c r="EB72">
        <v>20.186599999999999</v>
      </c>
      <c r="EC72">
        <v>5.2397499999999999</v>
      </c>
      <c r="ED72">
        <v>12.039899999999999</v>
      </c>
      <c r="EE72">
        <v>5.0164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1.8646400000000001</v>
      </c>
      <c r="EM72">
        <v>1.8692</v>
      </c>
      <c r="EN72">
        <v>1.8672500000000001</v>
      </c>
      <c r="EO72">
        <v>1.8633999999999999</v>
      </c>
      <c r="EP72">
        <v>1.86449</v>
      </c>
      <c r="EQ72">
        <v>1.8702099999999999</v>
      </c>
      <c r="ER72">
        <v>1.86941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-0.191</v>
      </c>
      <c r="FG72">
        <v>0.17860000000000001</v>
      </c>
      <c r="FH72">
        <v>0.3448811944559278</v>
      </c>
      <c r="FI72">
        <v>-6.1462078757559423E-4</v>
      </c>
      <c r="FJ72">
        <v>-1.8861989874597051E-7</v>
      </c>
      <c r="FK72">
        <v>1.1980462299894961E-10</v>
      </c>
      <c r="FL72">
        <v>0.17862261546663211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19.3</v>
      </c>
      <c r="FU72">
        <v>19.5</v>
      </c>
      <c r="FV72">
        <v>1.79199</v>
      </c>
      <c r="FW72">
        <v>2.5866699999999998</v>
      </c>
      <c r="FX72">
        <v>1.5490699999999999</v>
      </c>
      <c r="FY72">
        <v>2.3290999999999999</v>
      </c>
      <c r="FZ72">
        <v>1.50146</v>
      </c>
      <c r="GA72">
        <v>2.34863</v>
      </c>
      <c r="GB72">
        <v>33.986499999999999</v>
      </c>
      <c r="GC72">
        <v>23.973700000000001</v>
      </c>
      <c r="GD72">
        <v>19</v>
      </c>
      <c r="GE72">
        <v>282.51900000000001</v>
      </c>
      <c r="GF72">
        <v>598.88699999999994</v>
      </c>
      <c r="GG72">
        <v>22.389800000000001</v>
      </c>
      <c r="GH72">
        <v>26.516300000000001</v>
      </c>
      <c r="GI72">
        <v>29.9999</v>
      </c>
      <c r="GJ72">
        <v>26.635300000000001</v>
      </c>
      <c r="GK72">
        <v>26.613</v>
      </c>
      <c r="GL72">
        <v>35.814</v>
      </c>
      <c r="GM72">
        <v>27.765499999999999</v>
      </c>
      <c r="GN72">
        <v>98.860699999999994</v>
      </c>
      <c r="GO72">
        <v>22.393699999999999</v>
      </c>
      <c r="GP72">
        <v>800</v>
      </c>
      <c r="GQ72">
        <v>18.876999999999999</v>
      </c>
      <c r="GR72">
        <v>99.713300000000004</v>
      </c>
      <c r="GS72">
        <v>99.566500000000005</v>
      </c>
    </row>
    <row r="73" spans="1:201" x14ac:dyDescent="0.25">
      <c r="A73">
        <v>57</v>
      </c>
      <c r="B73">
        <v>1690230254.5999999</v>
      </c>
      <c r="C73">
        <v>749.5</v>
      </c>
      <c r="D73" t="s">
        <v>447</v>
      </c>
      <c r="E73" t="s">
        <v>448</v>
      </c>
      <c r="F73" t="s">
        <v>330</v>
      </c>
      <c r="H73">
        <v>1690230254.5999999</v>
      </c>
      <c r="I73">
        <f t="shared" si="0"/>
        <v>2.6936581538037843E-4</v>
      </c>
      <c r="J73">
        <f t="shared" si="1"/>
        <v>0.2693658153803784</v>
      </c>
      <c r="K73">
        <f t="shared" si="2"/>
        <v>2.0446758792213555</v>
      </c>
      <c r="L73">
        <f t="shared" si="3"/>
        <v>776.36099999999999</v>
      </c>
      <c r="M73">
        <f t="shared" si="4"/>
        <v>563.99390431103598</v>
      </c>
      <c r="N73">
        <f t="shared" si="5"/>
        <v>55.921581958093867</v>
      </c>
      <c r="O73">
        <f t="shared" si="6"/>
        <v>76.9783768205847</v>
      </c>
      <c r="P73">
        <f t="shared" si="7"/>
        <v>1.682657739054982E-2</v>
      </c>
      <c r="Q73">
        <f t="shared" si="8"/>
        <v>2.1758806559826187</v>
      </c>
      <c r="R73">
        <f t="shared" si="9"/>
        <v>1.675462022985412E-2</v>
      </c>
      <c r="S73">
        <f t="shared" si="10"/>
        <v>1.0478076972573145E-2</v>
      </c>
      <c r="T73">
        <f t="shared" si="11"/>
        <v>276.11528089969511</v>
      </c>
      <c r="U73">
        <f t="shared" si="12"/>
        <v>27.548351971124543</v>
      </c>
      <c r="V73">
        <f t="shared" si="13"/>
        <v>27.548351971124543</v>
      </c>
      <c r="W73">
        <f t="shared" si="14"/>
        <v>3.6960635558507962</v>
      </c>
      <c r="X73">
        <f t="shared" si="15"/>
        <v>65.617337641100065</v>
      </c>
      <c r="Y73">
        <f t="shared" si="16"/>
        <v>2.1489587402096397</v>
      </c>
      <c r="Z73">
        <f t="shared" si="17"/>
        <v>3.2749861811882144</v>
      </c>
      <c r="AA73">
        <f t="shared" si="18"/>
        <v>1.5471048156411564</v>
      </c>
      <c r="AB73">
        <f t="shared" si="19"/>
        <v>-11.879032458274688</v>
      </c>
      <c r="AC73">
        <f t="shared" si="20"/>
        <v>-240.71816843157262</v>
      </c>
      <c r="AD73">
        <f t="shared" si="21"/>
        <v>-23.761710586781952</v>
      </c>
      <c r="AE73">
        <f t="shared" si="22"/>
        <v>-0.24363057693415158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52536.083070201312</v>
      </c>
      <c r="AK73">
        <f t="shared" si="26"/>
        <v>1799.99</v>
      </c>
      <c r="AL73">
        <f t="shared" si="27"/>
        <v>1499.1032558023101</v>
      </c>
      <c r="AM73">
        <f t="shared" si="28"/>
        <v>0.83283976900000001</v>
      </c>
      <c r="AN73">
        <f t="shared" si="29"/>
        <v>0.15339823049000001</v>
      </c>
      <c r="AO73">
        <v>31.5</v>
      </c>
      <c r="AP73">
        <v>0.5</v>
      </c>
      <c r="AQ73" t="s">
        <v>331</v>
      </c>
      <c r="AR73">
        <v>2</v>
      </c>
      <c r="AS73">
        <v>1690230254.5999999</v>
      </c>
      <c r="AT73">
        <v>776.36099999999999</v>
      </c>
      <c r="AU73">
        <v>800.01700000000005</v>
      </c>
      <c r="AV73">
        <v>21.673200000000001</v>
      </c>
      <c r="AW73">
        <v>18.9072</v>
      </c>
      <c r="AX73">
        <v>776.55100000000004</v>
      </c>
      <c r="AY73">
        <v>21.494599999999998</v>
      </c>
      <c r="AZ73">
        <v>300.113</v>
      </c>
      <c r="BA73">
        <v>99.052899999999994</v>
      </c>
      <c r="BB73">
        <v>9.9912699999999993E-2</v>
      </c>
      <c r="BC73">
        <v>25.496300000000002</v>
      </c>
      <c r="BD73">
        <v>26.975899999999999</v>
      </c>
      <c r="BE73">
        <v>27.350300000000001</v>
      </c>
      <c r="BF73">
        <v>0</v>
      </c>
      <c r="BG73">
        <v>0</v>
      </c>
      <c r="BH73">
        <v>9979.3799999999992</v>
      </c>
      <c r="BI73">
        <v>1056.43</v>
      </c>
      <c r="BJ73">
        <v>1.4016500000000001</v>
      </c>
      <c r="BK73">
        <v>-23.6556</v>
      </c>
      <c r="BL73">
        <v>793.56</v>
      </c>
      <c r="BM73">
        <v>815.43399999999997</v>
      </c>
      <c r="BN73">
        <v>2.7660200000000001</v>
      </c>
      <c r="BO73">
        <v>800.01700000000005</v>
      </c>
      <c r="BP73">
        <v>18.9072</v>
      </c>
      <c r="BQ73">
        <v>2.1467999999999998</v>
      </c>
      <c r="BR73">
        <v>1.8728100000000001</v>
      </c>
      <c r="BS73">
        <v>18.570699999999999</v>
      </c>
      <c r="BT73">
        <v>16.408100000000001</v>
      </c>
      <c r="BU73">
        <v>1799.99</v>
      </c>
      <c r="BV73">
        <v>0.90998000000000001</v>
      </c>
      <c r="BW73">
        <v>3.3998199999999999E-2</v>
      </c>
      <c r="BX73">
        <v>2.20092E-2</v>
      </c>
      <c r="BY73">
        <v>3.4013099999999998E-2</v>
      </c>
      <c r="BZ73">
        <v>25.666699999999999</v>
      </c>
      <c r="CA73">
        <v>33528.1</v>
      </c>
      <c r="CB73">
        <v>1690229084.0999999</v>
      </c>
      <c r="CC73" t="s">
        <v>332</v>
      </c>
      <c r="CD73">
        <v>1690229084.0999999</v>
      </c>
      <c r="CE73">
        <v>1690229076.5999999</v>
      </c>
      <c r="CF73">
        <v>13</v>
      </c>
      <c r="CG73">
        <v>0.23300000000000001</v>
      </c>
      <c r="CH73">
        <v>-0.13100000000000001</v>
      </c>
      <c r="CI73">
        <v>-0.20599999999999999</v>
      </c>
      <c r="CJ73">
        <v>8.7999999999999995E-2</v>
      </c>
      <c r="CK73">
        <v>799</v>
      </c>
      <c r="CL73">
        <v>16</v>
      </c>
      <c r="CM73">
        <v>0.04</v>
      </c>
      <c r="CN73">
        <v>0.04</v>
      </c>
      <c r="CO73">
        <v>-22.116955000000001</v>
      </c>
      <c r="CP73">
        <v>-8.7927624765478161</v>
      </c>
      <c r="CQ73">
        <v>0.84659742025061724</v>
      </c>
      <c r="CR73">
        <v>-1</v>
      </c>
      <c r="CS73">
        <v>2.6811625000000001</v>
      </c>
      <c r="CT73">
        <v>0.37399879924953022</v>
      </c>
      <c r="CU73">
        <v>3.7146951742370468E-2</v>
      </c>
      <c r="CV73">
        <v>-1</v>
      </c>
      <c r="CW73">
        <v>0</v>
      </c>
      <c r="CX73">
        <v>0</v>
      </c>
      <c r="CY73" t="s">
        <v>333</v>
      </c>
      <c r="CZ73">
        <v>2.3639199999999998</v>
      </c>
      <c r="DA73">
        <v>2.7136800000000001</v>
      </c>
      <c r="DB73">
        <v>0.14369199999999999</v>
      </c>
      <c r="DC73">
        <v>0.14622299999999999</v>
      </c>
      <c r="DD73">
        <v>0.105877</v>
      </c>
      <c r="DE73">
        <v>9.47379E-2</v>
      </c>
      <c r="DF73">
        <v>31258.799999999999</v>
      </c>
      <c r="DG73">
        <v>27512.1</v>
      </c>
      <c r="DH73">
        <v>31164.400000000001</v>
      </c>
      <c r="DI73">
        <v>28079.1</v>
      </c>
      <c r="DJ73">
        <v>37835.5</v>
      </c>
      <c r="DK73">
        <v>36148.1</v>
      </c>
      <c r="DL73">
        <v>44351.199999999997</v>
      </c>
      <c r="DM73">
        <v>42564.2</v>
      </c>
      <c r="DN73">
        <v>1.4718500000000001</v>
      </c>
      <c r="DO73">
        <v>2.0515300000000001</v>
      </c>
      <c r="DP73">
        <v>0.13623399999999999</v>
      </c>
      <c r="DQ73">
        <v>0.173457</v>
      </c>
      <c r="DR73">
        <v>24.7438</v>
      </c>
      <c r="DS73">
        <v>24.508600000000001</v>
      </c>
      <c r="DT73">
        <v>56.7</v>
      </c>
      <c r="DU73">
        <v>29.2</v>
      </c>
      <c r="DV73">
        <v>23.289899999999999</v>
      </c>
      <c r="DW73">
        <v>61.7498</v>
      </c>
      <c r="DX73">
        <v>36.490400000000001</v>
      </c>
      <c r="DY73">
        <v>1</v>
      </c>
      <c r="DZ73">
        <v>-6.6958799999999999E-2</v>
      </c>
      <c r="EA73">
        <v>0.84628499999999995</v>
      </c>
      <c r="EB73">
        <v>20.186800000000002</v>
      </c>
      <c r="EC73">
        <v>5.2401999999999997</v>
      </c>
      <c r="ED73">
        <v>12.039899999999999</v>
      </c>
      <c r="EE73">
        <v>5.0161499999999997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1.8646400000000001</v>
      </c>
      <c r="EM73">
        <v>1.8692</v>
      </c>
      <c r="EN73">
        <v>1.8672500000000001</v>
      </c>
      <c r="EO73">
        <v>1.86341</v>
      </c>
      <c r="EP73">
        <v>1.8644799999999999</v>
      </c>
      <c r="EQ73">
        <v>1.87018</v>
      </c>
      <c r="ER73">
        <v>1.8694299999999999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-0.19</v>
      </c>
      <c r="FG73">
        <v>0.17860000000000001</v>
      </c>
      <c r="FH73">
        <v>0.3448811944559278</v>
      </c>
      <c r="FI73">
        <v>-6.1462078757559423E-4</v>
      </c>
      <c r="FJ73">
        <v>-1.8861989874597051E-7</v>
      </c>
      <c r="FK73">
        <v>1.1980462299894961E-10</v>
      </c>
      <c r="FL73">
        <v>0.17862261546663211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19.5</v>
      </c>
      <c r="FU73">
        <v>19.600000000000001</v>
      </c>
      <c r="FV73">
        <v>1.79077</v>
      </c>
      <c r="FW73">
        <v>2.5817899999999998</v>
      </c>
      <c r="FX73">
        <v>1.5490699999999999</v>
      </c>
      <c r="FY73">
        <v>2.3290999999999999</v>
      </c>
      <c r="FZ73">
        <v>1.50146</v>
      </c>
      <c r="GA73">
        <v>2.3889200000000002</v>
      </c>
      <c r="GB73">
        <v>33.986499999999999</v>
      </c>
      <c r="GC73">
        <v>23.991199999999999</v>
      </c>
      <c r="GD73">
        <v>19</v>
      </c>
      <c r="GE73">
        <v>282.26</v>
      </c>
      <c r="GF73">
        <v>598.93100000000004</v>
      </c>
      <c r="GG73">
        <v>22.454999999999998</v>
      </c>
      <c r="GH73">
        <v>26.509699999999999</v>
      </c>
      <c r="GI73">
        <v>30</v>
      </c>
      <c r="GJ73">
        <v>26.632400000000001</v>
      </c>
      <c r="GK73">
        <v>26.6113</v>
      </c>
      <c r="GL73">
        <v>35.81</v>
      </c>
      <c r="GM73">
        <v>28.052499999999998</v>
      </c>
      <c r="GN73">
        <v>98.860699999999994</v>
      </c>
      <c r="GO73">
        <v>22.4557</v>
      </c>
      <c r="GP73">
        <v>800</v>
      </c>
      <c r="GQ73">
        <v>18.828499999999998</v>
      </c>
      <c r="GR73">
        <v>99.714600000000004</v>
      </c>
      <c r="GS73">
        <v>99.566900000000004</v>
      </c>
    </row>
    <row r="74" spans="1:201" x14ac:dyDescent="0.25">
      <c r="A74">
        <v>58</v>
      </c>
      <c r="B74">
        <v>1690230264.5999999</v>
      </c>
      <c r="C74">
        <v>759.5</v>
      </c>
      <c r="D74" t="s">
        <v>449</v>
      </c>
      <c r="E74" t="s">
        <v>450</v>
      </c>
      <c r="F74" t="s">
        <v>330</v>
      </c>
      <c r="H74">
        <v>1690230264.5999999</v>
      </c>
      <c r="I74">
        <f t="shared" si="0"/>
        <v>2.7522514875488556E-4</v>
      </c>
      <c r="J74">
        <f t="shared" si="1"/>
        <v>0.27522514875488557</v>
      </c>
      <c r="K74">
        <f t="shared" si="2"/>
        <v>2.1949930221048262</v>
      </c>
      <c r="L74">
        <f t="shared" si="3"/>
        <v>774.78</v>
      </c>
      <c r="M74">
        <f t="shared" si="4"/>
        <v>552.88058776450873</v>
      </c>
      <c r="N74">
        <f t="shared" si="5"/>
        <v>54.819128461741464</v>
      </c>
      <c r="O74">
        <f t="shared" si="6"/>
        <v>76.820863834847998</v>
      </c>
      <c r="P74">
        <f t="shared" si="7"/>
        <v>1.7208811886474367E-2</v>
      </c>
      <c r="Q74">
        <f t="shared" si="8"/>
        <v>2.1753358809237975</v>
      </c>
      <c r="R74">
        <f t="shared" si="9"/>
        <v>1.7133537554091492E-2</v>
      </c>
      <c r="S74">
        <f t="shared" si="10"/>
        <v>1.0715196536722836E-2</v>
      </c>
      <c r="T74">
        <f t="shared" si="11"/>
        <v>276.11649064800008</v>
      </c>
      <c r="U74">
        <f t="shared" si="12"/>
        <v>27.555007315502355</v>
      </c>
      <c r="V74">
        <f t="shared" si="13"/>
        <v>27.555007315502355</v>
      </c>
      <c r="W74">
        <f t="shared" si="14"/>
        <v>3.6975026408435268</v>
      </c>
      <c r="X74">
        <f t="shared" si="15"/>
        <v>65.670685221559523</v>
      </c>
      <c r="Y74">
        <f t="shared" si="16"/>
        <v>2.1517536056665598</v>
      </c>
      <c r="Z74">
        <f t="shared" si="17"/>
        <v>3.2765816260436162</v>
      </c>
      <c r="AA74">
        <f t="shared" si="18"/>
        <v>1.5457490351769669</v>
      </c>
      <c r="AB74">
        <f t="shared" si="19"/>
        <v>-12.137429060090453</v>
      </c>
      <c r="AC74">
        <f t="shared" si="20"/>
        <v>-240.47674771738554</v>
      </c>
      <c r="AD74">
        <f t="shared" si="21"/>
        <v>-23.745590302687219</v>
      </c>
      <c r="AE74">
        <f t="shared" si="22"/>
        <v>-0.24327643216312822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52511.981580571162</v>
      </c>
      <c r="AK74">
        <f t="shared" si="26"/>
        <v>1800</v>
      </c>
      <c r="AL74">
        <f t="shared" si="27"/>
        <v>1499.1111917999999</v>
      </c>
      <c r="AM74">
        <f t="shared" si="28"/>
        <v>0.83283955099999996</v>
      </c>
      <c r="AN74">
        <f t="shared" si="29"/>
        <v>0.15339805036000004</v>
      </c>
      <c r="AO74">
        <v>31.5</v>
      </c>
      <c r="AP74">
        <v>0.5</v>
      </c>
      <c r="AQ74" t="s">
        <v>331</v>
      </c>
      <c r="AR74">
        <v>2</v>
      </c>
      <c r="AS74">
        <v>1690230264.5999999</v>
      </c>
      <c r="AT74">
        <v>774.78</v>
      </c>
      <c r="AU74">
        <v>800.04899999999998</v>
      </c>
      <c r="AV74">
        <v>21.701599999999999</v>
      </c>
      <c r="AW74">
        <v>18.8764</v>
      </c>
      <c r="AX74">
        <v>774.96900000000005</v>
      </c>
      <c r="AY74">
        <v>21.523</v>
      </c>
      <c r="AZ74">
        <v>300.20699999999999</v>
      </c>
      <c r="BA74">
        <v>99.051900000000003</v>
      </c>
      <c r="BB74">
        <v>9.9941600000000005E-2</v>
      </c>
      <c r="BC74">
        <v>25.5045</v>
      </c>
      <c r="BD74">
        <v>26.9815</v>
      </c>
      <c r="BE74">
        <v>27.348400000000002</v>
      </c>
      <c r="BF74">
        <v>0</v>
      </c>
      <c r="BG74">
        <v>0</v>
      </c>
      <c r="BH74">
        <v>9975</v>
      </c>
      <c r="BI74">
        <v>1056.3599999999999</v>
      </c>
      <c r="BJ74">
        <v>1.13534</v>
      </c>
      <c r="BK74">
        <v>-25.269200000000001</v>
      </c>
      <c r="BL74">
        <v>791.96699999999998</v>
      </c>
      <c r="BM74">
        <v>815.44200000000001</v>
      </c>
      <c r="BN74">
        <v>2.8252299999999999</v>
      </c>
      <c r="BO74">
        <v>800.04899999999998</v>
      </c>
      <c r="BP74">
        <v>18.8764</v>
      </c>
      <c r="BQ74">
        <v>2.1495899999999999</v>
      </c>
      <c r="BR74">
        <v>1.86974</v>
      </c>
      <c r="BS74">
        <v>18.5915</v>
      </c>
      <c r="BT74">
        <v>16.382400000000001</v>
      </c>
      <c r="BU74">
        <v>1800</v>
      </c>
      <c r="BV74">
        <v>0.90998299999999999</v>
      </c>
      <c r="BW74">
        <v>3.3996800000000001E-2</v>
      </c>
      <c r="BX74">
        <v>2.2008300000000001E-2</v>
      </c>
      <c r="BY74">
        <v>3.4011800000000002E-2</v>
      </c>
      <c r="BZ74">
        <v>25.666699999999999</v>
      </c>
      <c r="CA74">
        <v>33528.199999999997</v>
      </c>
      <c r="CB74">
        <v>1690229084.0999999</v>
      </c>
      <c r="CC74" t="s">
        <v>332</v>
      </c>
      <c r="CD74">
        <v>1690229084.0999999</v>
      </c>
      <c r="CE74">
        <v>1690229076.5999999</v>
      </c>
      <c r="CF74">
        <v>13</v>
      </c>
      <c r="CG74">
        <v>0.23300000000000001</v>
      </c>
      <c r="CH74">
        <v>-0.13100000000000001</v>
      </c>
      <c r="CI74">
        <v>-0.20599999999999999</v>
      </c>
      <c r="CJ74">
        <v>8.7999999999999995E-2</v>
      </c>
      <c r="CK74">
        <v>799</v>
      </c>
      <c r="CL74">
        <v>16</v>
      </c>
      <c r="CM74">
        <v>0.04</v>
      </c>
      <c r="CN74">
        <v>0.04</v>
      </c>
      <c r="CO74">
        <v>-23.4727</v>
      </c>
      <c r="CP74">
        <v>-9.4102491557222798</v>
      </c>
      <c r="CQ74">
        <v>0.90557514238190062</v>
      </c>
      <c r="CR74">
        <v>-1</v>
      </c>
      <c r="CS74">
        <v>2.7433032499999999</v>
      </c>
      <c r="CT74">
        <v>0.45832941838649471</v>
      </c>
      <c r="CU74">
        <v>4.4783225117643127E-2</v>
      </c>
      <c r="CV74">
        <v>-1</v>
      </c>
      <c r="CW74">
        <v>0</v>
      </c>
      <c r="CX74">
        <v>0</v>
      </c>
      <c r="CY74" t="s">
        <v>333</v>
      </c>
      <c r="CZ74">
        <v>2.3642400000000001</v>
      </c>
      <c r="DA74">
        <v>2.7137099999999998</v>
      </c>
      <c r="DB74">
        <v>0.14349500000000001</v>
      </c>
      <c r="DC74">
        <v>0.14622599999999999</v>
      </c>
      <c r="DD74">
        <v>0.105976</v>
      </c>
      <c r="DE74">
        <v>9.4627299999999998E-2</v>
      </c>
      <c r="DF74">
        <v>31266.6</v>
      </c>
      <c r="DG74">
        <v>27512.1</v>
      </c>
      <c r="DH74">
        <v>31165</v>
      </c>
      <c r="DI74">
        <v>28079.200000000001</v>
      </c>
      <c r="DJ74">
        <v>37832.1</v>
      </c>
      <c r="DK74">
        <v>36152.699999999997</v>
      </c>
      <c r="DL74">
        <v>44352.2</v>
      </c>
      <c r="DM74">
        <v>42564.4</v>
      </c>
      <c r="DN74">
        <v>1.4717499999999999</v>
      </c>
      <c r="DO74">
        <v>2.05165</v>
      </c>
      <c r="DP74">
        <v>0.13689000000000001</v>
      </c>
      <c r="DQ74">
        <v>0.17353099999999999</v>
      </c>
      <c r="DR74">
        <v>24.738600000000002</v>
      </c>
      <c r="DS74">
        <v>24.505500000000001</v>
      </c>
      <c r="DT74">
        <v>56.7</v>
      </c>
      <c r="DU74">
        <v>29.2</v>
      </c>
      <c r="DV74">
        <v>23.2864</v>
      </c>
      <c r="DW74">
        <v>61.799799999999998</v>
      </c>
      <c r="DX74">
        <v>35.0321</v>
      </c>
      <c r="DY74">
        <v>1</v>
      </c>
      <c r="DZ74">
        <v>-6.7436499999999996E-2</v>
      </c>
      <c r="EA74">
        <v>0.83097200000000004</v>
      </c>
      <c r="EB74">
        <v>20.186900000000001</v>
      </c>
      <c r="EC74">
        <v>5.2404999999999999</v>
      </c>
      <c r="ED74">
        <v>12.039899999999999</v>
      </c>
      <c r="EE74">
        <v>5.0164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1.86893</v>
      </c>
      <c r="EL74">
        <v>1.8646400000000001</v>
      </c>
      <c r="EM74">
        <v>1.8692</v>
      </c>
      <c r="EN74">
        <v>1.8672299999999999</v>
      </c>
      <c r="EO74">
        <v>1.8633999999999999</v>
      </c>
      <c r="EP74">
        <v>1.8644799999999999</v>
      </c>
      <c r="EQ74">
        <v>1.8701399999999999</v>
      </c>
      <c r="ER74">
        <v>1.8694299999999999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-0.189</v>
      </c>
      <c r="FG74">
        <v>0.17860000000000001</v>
      </c>
      <c r="FH74">
        <v>0.3448811944559278</v>
      </c>
      <c r="FI74">
        <v>-6.1462078757559423E-4</v>
      </c>
      <c r="FJ74">
        <v>-1.8861989874597051E-7</v>
      </c>
      <c r="FK74">
        <v>1.1980462299894961E-10</v>
      </c>
      <c r="FL74">
        <v>0.17862261546663211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19.7</v>
      </c>
      <c r="FU74">
        <v>19.8</v>
      </c>
      <c r="FV74">
        <v>1.79077</v>
      </c>
      <c r="FW74">
        <v>2.5903299999999998</v>
      </c>
      <c r="FX74">
        <v>1.5490699999999999</v>
      </c>
      <c r="FY74">
        <v>2.3290999999999999</v>
      </c>
      <c r="FZ74">
        <v>1.50146</v>
      </c>
      <c r="GA74">
        <v>2.36084</v>
      </c>
      <c r="GB74">
        <v>33.986499999999999</v>
      </c>
      <c r="GC74">
        <v>23.982399999999998</v>
      </c>
      <c r="GD74">
        <v>19</v>
      </c>
      <c r="GE74">
        <v>282.20100000000002</v>
      </c>
      <c r="GF74">
        <v>599.01</v>
      </c>
      <c r="GG74">
        <v>22.505299999999998</v>
      </c>
      <c r="GH74">
        <v>26.503499999999999</v>
      </c>
      <c r="GI74">
        <v>29.9998</v>
      </c>
      <c r="GJ74">
        <v>26.628599999999999</v>
      </c>
      <c r="GK74">
        <v>26.609100000000002</v>
      </c>
      <c r="GL74">
        <v>35.8065</v>
      </c>
      <c r="GM74">
        <v>28.341999999999999</v>
      </c>
      <c r="GN74">
        <v>98.860699999999994</v>
      </c>
      <c r="GO74">
        <v>22.5063</v>
      </c>
      <c r="GP74">
        <v>800</v>
      </c>
      <c r="GQ74">
        <v>18.771799999999999</v>
      </c>
      <c r="GR74">
        <v>99.716700000000003</v>
      </c>
      <c r="GS74">
        <v>99.567300000000003</v>
      </c>
    </row>
    <row r="75" spans="1:201" x14ac:dyDescent="0.25">
      <c r="A75">
        <v>59</v>
      </c>
      <c r="B75">
        <v>1690230274.5999999</v>
      </c>
      <c r="C75">
        <v>769.5</v>
      </c>
      <c r="D75" t="s">
        <v>451</v>
      </c>
      <c r="E75" t="s">
        <v>452</v>
      </c>
      <c r="F75" t="s">
        <v>330</v>
      </c>
      <c r="H75">
        <v>1690230274.5999999</v>
      </c>
      <c r="I75">
        <f t="shared" si="0"/>
        <v>2.8435941580381454E-4</v>
      </c>
      <c r="J75">
        <f t="shared" si="1"/>
        <v>0.28435941580381452</v>
      </c>
      <c r="K75">
        <f t="shared" si="2"/>
        <v>2.3537040427456541</v>
      </c>
      <c r="L75">
        <f t="shared" si="3"/>
        <v>773.02300000000002</v>
      </c>
      <c r="M75">
        <f t="shared" si="4"/>
        <v>543.95544861708288</v>
      </c>
      <c r="N75">
        <f t="shared" si="5"/>
        <v>53.936765764923813</v>
      </c>
      <c r="O75">
        <f t="shared" si="6"/>
        <v>76.650322352501007</v>
      </c>
      <c r="P75">
        <f t="shared" si="7"/>
        <v>1.7817169141470846E-2</v>
      </c>
      <c r="Q75">
        <f t="shared" si="8"/>
        <v>2.1784290161648734</v>
      </c>
      <c r="R75">
        <f t="shared" si="9"/>
        <v>1.7736606076651711E-2</v>
      </c>
      <c r="S75">
        <f t="shared" si="10"/>
        <v>1.1092586612739385E-2</v>
      </c>
      <c r="T75">
        <f t="shared" si="11"/>
        <v>276.11492396167813</v>
      </c>
      <c r="U75">
        <f t="shared" si="12"/>
        <v>27.553609558291967</v>
      </c>
      <c r="V75">
        <f t="shared" si="13"/>
        <v>27.553609558291967</v>
      </c>
      <c r="W75">
        <f t="shared" si="14"/>
        <v>3.6972003632716608</v>
      </c>
      <c r="X75">
        <f t="shared" si="15"/>
        <v>65.734119094939132</v>
      </c>
      <c r="Y75">
        <f t="shared" si="16"/>
        <v>2.1543949970664</v>
      </c>
      <c r="Z75">
        <f t="shared" si="17"/>
        <v>3.2774379983016568</v>
      </c>
      <c r="AA75">
        <f t="shared" si="18"/>
        <v>1.5428053662052608</v>
      </c>
      <c r="AB75">
        <f t="shared" si="19"/>
        <v>-12.540250236948221</v>
      </c>
      <c r="AC75">
        <f t="shared" si="20"/>
        <v>-240.13777568873127</v>
      </c>
      <c r="AD75">
        <f t="shared" si="21"/>
        <v>-23.678804683632436</v>
      </c>
      <c r="AE75">
        <f t="shared" si="22"/>
        <v>-0.24190664763381164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52639.913209678765</v>
      </c>
      <c r="AK75">
        <f t="shared" si="26"/>
        <v>1799.99</v>
      </c>
      <c r="AL75">
        <f t="shared" si="27"/>
        <v>1499.1043897960099</v>
      </c>
      <c r="AM75">
        <f t="shared" si="28"/>
        <v>0.83284039899999995</v>
      </c>
      <c r="AN75">
        <f t="shared" si="29"/>
        <v>0.15339803219000001</v>
      </c>
      <c r="AO75">
        <v>31.5</v>
      </c>
      <c r="AP75">
        <v>0.5</v>
      </c>
      <c r="AQ75" t="s">
        <v>331</v>
      </c>
      <c r="AR75">
        <v>2</v>
      </c>
      <c r="AS75">
        <v>1690230274.5999999</v>
      </c>
      <c r="AT75">
        <v>773.02300000000002</v>
      </c>
      <c r="AU75">
        <v>800.03200000000004</v>
      </c>
      <c r="AV75">
        <v>21.7272</v>
      </c>
      <c r="AW75">
        <v>18.807700000000001</v>
      </c>
      <c r="AX75">
        <v>773.21100000000001</v>
      </c>
      <c r="AY75">
        <v>21.5486</v>
      </c>
      <c r="AZ75">
        <v>300.14400000000001</v>
      </c>
      <c r="BA75">
        <v>99.0565</v>
      </c>
      <c r="BB75">
        <v>0.100087</v>
      </c>
      <c r="BC75">
        <v>25.508900000000001</v>
      </c>
      <c r="BD75">
        <v>26.9618</v>
      </c>
      <c r="BE75">
        <v>27.3645</v>
      </c>
      <c r="BF75">
        <v>0</v>
      </c>
      <c r="BG75">
        <v>0</v>
      </c>
      <c r="BH75">
        <v>10000</v>
      </c>
      <c r="BI75">
        <v>1056.32</v>
      </c>
      <c r="BJ75">
        <v>1.31755</v>
      </c>
      <c r="BK75">
        <v>-27.008900000000001</v>
      </c>
      <c r="BL75">
        <v>790.19200000000001</v>
      </c>
      <c r="BM75">
        <v>815.36699999999996</v>
      </c>
      <c r="BN75">
        <v>2.9195099999999998</v>
      </c>
      <c r="BO75">
        <v>800.03200000000004</v>
      </c>
      <c r="BP75">
        <v>18.807700000000001</v>
      </c>
      <c r="BQ75">
        <v>2.1522199999999998</v>
      </c>
      <c r="BR75">
        <v>1.86303</v>
      </c>
      <c r="BS75">
        <v>18.611000000000001</v>
      </c>
      <c r="BT75">
        <v>16.325900000000001</v>
      </c>
      <c r="BU75">
        <v>1799.99</v>
      </c>
      <c r="BV75">
        <v>0.90998800000000002</v>
      </c>
      <c r="BW75">
        <v>3.3995200000000003E-2</v>
      </c>
      <c r="BX75">
        <v>2.2007200000000001E-2</v>
      </c>
      <c r="BY75">
        <v>3.4010100000000001E-2</v>
      </c>
      <c r="BZ75">
        <v>25.75</v>
      </c>
      <c r="CA75">
        <v>33528.1</v>
      </c>
      <c r="CB75">
        <v>1690229084.0999999</v>
      </c>
      <c r="CC75" t="s">
        <v>332</v>
      </c>
      <c r="CD75">
        <v>1690229084.0999999</v>
      </c>
      <c r="CE75">
        <v>1690229076.5999999</v>
      </c>
      <c r="CF75">
        <v>13</v>
      </c>
      <c r="CG75">
        <v>0.23300000000000001</v>
      </c>
      <c r="CH75">
        <v>-0.13100000000000001</v>
      </c>
      <c r="CI75">
        <v>-0.20599999999999999</v>
      </c>
      <c r="CJ75">
        <v>8.7999999999999995E-2</v>
      </c>
      <c r="CK75">
        <v>799</v>
      </c>
      <c r="CL75">
        <v>16</v>
      </c>
      <c r="CM75">
        <v>0.04</v>
      </c>
      <c r="CN75">
        <v>0.04</v>
      </c>
      <c r="CO75">
        <v>-25.109643902439021</v>
      </c>
      <c r="CP75">
        <v>-9.775298257839701</v>
      </c>
      <c r="CQ75">
        <v>0.96416426038274483</v>
      </c>
      <c r="CR75">
        <v>-1</v>
      </c>
      <c r="CS75">
        <v>2.8237660975609749</v>
      </c>
      <c r="CT75">
        <v>0.45408376306620241</v>
      </c>
      <c r="CU75">
        <v>4.5633121255319292E-2</v>
      </c>
      <c r="CV75">
        <v>-1</v>
      </c>
      <c r="CW75">
        <v>0</v>
      </c>
      <c r="CX75">
        <v>0</v>
      </c>
      <c r="CY75" t="s">
        <v>333</v>
      </c>
      <c r="CZ75">
        <v>2.3640400000000001</v>
      </c>
      <c r="DA75">
        <v>2.7138800000000001</v>
      </c>
      <c r="DB75">
        <v>0.14328399999999999</v>
      </c>
      <c r="DC75">
        <v>0.14623</v>
      </c>
      <c r="DD75">
        <v>0.106071</v>
      </c>
      <c r="DE75">
        <v>9.4386100000000001E-2</v>
      </c>
      <c r="DF75">
        <v>31274.6</v>
      </c>
      <c r="DG75">
        <v>27512.3</v>
      </c>
      <c r="DH75">
        <v>31165.3</v>
      </c>
      <c r="DI75">
        <v>28079.5</v>
      </c>
      <c r="DJ75">
        <v>37828.400000000001</v>
      </c>
      <c r="DK75">
        <v>36162.699999999997</v>
      </c>
      <c r="DL75">
        <v>44352.7</v>
      </c>
      <c r="DM75">
        <v>42564.800000000003</v>
      </c>
      <c r="DN75">
        <v>1.47218</v>
      </c>
      <c r="DO75">
        <v>2.0514999999999999</v>
      </c>
      <c r="DP75">
        <v>0.13613</v>
      </c>
      <c r="DQ75">
        <v>0.174701</v>
      </c>
      <c r="DR75">
        <v>24.731300000000001</v>
      </c>
      <c r="DS75">
        <v>24.502400000000002</v>
      </c>
      <c r="DT75">
        <v>56.7</v>
      </c>
      <c r="DU75">
        <v>29.2</v>
      </c>
      <c r="DV75">
        <v>23.287500000000001</v>
      </c>
      <c r="DW75">
        <v>61.639800000000001</v>
      </c>
      <c r="DX75">
        <v>36.306100000000001</v>
      </c>
      <c r="DY75">
        <v>1</v>
      </c>
      <c r="DZ75">
        <v>-6.7774399999999999E-2</v>
      </c>
      <c r="EA75">
        <v>0.87199599999999999</v>
      </c>
      <c r="EB75">
        <v>20.186599999999999</v>
      </c>
      <c r="EC75">
        <v>5.2403500000000003</v>
      </c>
      <c r="ED75">
        <v>12.039899999999999</v>
      </c>
      <c r="EE75">
        <v>5.0162000000000004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1.86463</v>
      </c>
      <c r="EM75">
        <v>1.8692</v>
      </c>
      <c r="EN75">
        <v>1.8672299999999999</v>
      </c>
      <c r="EO75">
        <v>1.8633999999999999</v>
      </c>
      <c r="EP75">
        <v>1.8644799999999999</v>
      </c>
      <c r="EQ75">
        <v>1.8701700000000001</v>
      </c>
      <c r="ER75">
        <v>1.8694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-0.188</v>
      </c>
      <c r="FG75">
        <v>0.17860000000000001</v>
      </c>
      <c r="FH75">
        <v>0.3448811944559278</v>
      </c>
      <c r="FI75">
        <v>-6.1462078757559423E-4</v>
      </c>
      <c r="FJ75">
        <v>-1.8861989874597051E-7</v>
      </c>
      <c r="FK75">
        <v>1.1980462299894961E-10</v>
      </c>
      <c r="FL75">
        <v>0.17862261546663211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19.8</v>
      </c>
      <c r="FU75">
        <v>20</v>
      </c>
      <c r="FV75">
        <v>1.79077</v>
      </c>
      <c r="FW75">
        <v>2.5769000000000002</v>
      </c>
      <c r="FX75">
        <v>1.5490699999999999</v>
      </c>
      <c r="FY75">
        <v>2.3290999999999999</v>
      </c>
      <c r="FZ75">
        <v>1.50146</v>
      </c>
      <c r="GA75">
        <v>2.3730500000000001</v>
      </c>
      <c r="GB75">
        <v>33.986499999999999</v>
      </c>
      <c r="GC75">
        <v>23.991199999999999</v>
      </c>
      <c r="GD75">
        <v>19</v>
      </c>
      <c r="GE75">
        <v>282.37299999999999</v>
      </c>
      <c r="GF75">
        <v>598.85799999999995</v>
      </c>
      <c r="GG75">
        <v>22.538599999999999</v>
      </c>
      <c r="GH75">
        <v>26.4968</v>
      </c>
      <c r="GI75">
        <v>29.9999</v>
      </c>
      <c r="GJ75">
        <v>26.626300000000001</v>
      </c>
      <c r="GK75">
        <v>26.6069</v>
      </c>
      <c r="GL75">
        <v>35.806100000000001</v>
      </c>
      <c r="GM75">
        <v>28.627199999999998</v>
      </c>
      <c r="GN75">
        <v>98.860699999999994</v>
      </c>
      <c r="GO75">
        <v>22.535499999999999</v>
      </c>
      <c r="GP75">
        <v>800</v>
      </c>
      <c r="GQ75">
        <v>18.7181</v>
      </c>
      <c r="GR75">
        <v>99.717600000000004</v>
      </c>
      <c r="GS75">
        <v>99.568299999999994</v>
      </c>
    </row>
    <row r="76" spans="1:201" x14ac:dyDescent="0.25">
      <c r="A76">
        <v>60</v>
      </c>
      <c r="B76">
        <v>1690230284.5999999</v>
      </c>
      <c r="C76">
        <v>779.5</v>
      </c>
      <c r="D76" t="s">
        <v>453</v>
      </c>
      <c r="E76" t="s">
        <v>454</v>
      </c>
      <c r="F76" t="s">
        <v>330</v>
      </c>
      <c r="H76">
        <v>1690230284.5999999</v>
      </c>
      <c r="I76">
        <f t="shared" si="0"/>
        <v>2.9059953265044328E-4</v>
      </c>
      <c r="J76">
        <f t="shared" si="1"/>
        <v>0.2905995326504433</v>
      </c>
      <c r="K76">
        <f t="shared" si="2"/>
        <v>2.5154215762325247</v>
      </c>
      <c r="L76">
        <f t="shared" si="3"/>
        <v>771.28800000000001</v>
      </c>
      <c r="M76">
        <f t="shared" si="4"/>
        <v>532.65748257852249</v>
      </c>
      <c r="N76">
        <f t="shared" si="5"/>
        <v>52.814635522344666</v>
      </c>
      <c r="O76">
        <f t="shared" si="6"/>
        <v>76.475588788435203</v>
      </c>
      <c r="P76">
        <f t="shared" si="7"/>
        <v>1.8208123978707282E-2</v>
      </c>
      <c r="Q76">
        <f t="shared" si="8"/>
        <v>2.1788483742850686</v>
      </c>
      <c r="R76">
        <f t="shared" si="9"/>
        <v>1.8124011721570375E-2</v>
      </c>
      <c r="S76">
        <f t="shared" si="10"/>
        <v>1.1335031995822019E-2</v>
      </c>
      <c r="T76">
        <f t="shared" si="11"/>
        <v>276.11616157200001</v>
      </c>
      <c r="U76">
        <f t="shared" si="12"/>
        <v>27.562106096156928</v>
      </c>
      <c r="V76">
        <f t="shared" si="13"/>
        <v>27.562106096156928</v>
      </c>
      <c r="W76">
        <f t="shared" si="14"/>
        <v>3.6990381489509603</v>
      </c>
      <c r="X76">
        <f t="shared" si="15"/>
        <v>65.745108059973035</v>
      </c>
      <c r="Y76">
        <f t="shared" si="16"/>
        <v>2.1561632732203195</v>
      </c>
      <c r="Z76">
        <f t="shared" si="17"/>
        <v>3.2795797844813883</v>
      </c>
      <c r="AA76">
        <f t="shared" si="18"/>
        <v>1.5428748757306407</v>
      </c>
      <c r="AB76">
        <f t="shared" si="19"/>
        <v>-12.815439389884549</v>
      </c>
      <c r="AC76">
        <f t="shared" si="20"/>
        <v>-239.88993150452941</v>
      </c>
      <c r="AD76">
        <f t="shared" si="21"/>
        <v>-23.652121722708255</v>
      </c>
      <c r="AE76">
        <f t="shared" si="22"/>
        <v>-0.24133104512219461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52655.349925809343</v>
      </c>
      <c r="AK76">
        <f t="shared" si="26"/>
        <v>1800</v>
      </c>
      <c r="AL76">
        <f t="shared" si="27"/>
        <v>1499.1134382</v>
      </c>
      <c r="AM76">
        <f t="shared" si="28"/>
        <v>0.83284079899999996</v>
      </c>
      <c r="AN76">
        <f t="shared" si="29"/>
        <v>0.15339786754000001</v>
      </c>
      <c r="AO76">
        <v>31.5</v>
      </c>
      <c r="AP76">
        <v>0.5</v>
      </c>
      <c r="AQ76" t="s">
        <v>331</v>
      </c>
      <c r="AR76">
        <v>2</v>
      </c>
      <c r="AS76">
        <v>1690230284.5999999</v>
      </c>
      <c r="AT76">
        <v>771.28800000000001</v>
      </c>
      <c r="AU76">
        <v>800.02499999999998</v>
      </c>
      <c r="AV76">
        <v>21.745799999999999</v>
      </c>
      <c r="AW76">
        <v>18.7638</v>
      </c>
      <c r="AX76">
        <v>771.47500000000002</v>
      </c>
      <c r="AY76">
        <v>21.5671</v>
      </c>
      <c r="AZ76">
        <v>300.29599999999999</v>
      </c>
      <c r="BA76">
        <v>99.053100000000001</v>
      </c>
      <c r="BB76">
        <v>9.9990399999999993E-2</v>
      </c>
      <c r="BC76">
        <v>25.5199</v>
      </c>
      <c r="BD76">
        <v>26.978100000000001</v>
      </c>
      <c r="BE76">
        <v>27.392299999999999</v>
      </c>
      <c r="BF76">
        <v>0</v>
      </c>
      <c r="BG76">
        <v>0</v>
      </c>
      <c r="BH76">
        <v>10003.799999999999</v>
      </c>
      <c r="BI76">
        <v>1056.29</v>
      </c>
      <c r="BJ76">
        <v>1.4016500000000001</v>
      </c>
      <c r="BK76">
        <v>-28.737200000000001</v>
      </c>
      <c r="BL76">
        <v>788.43299999999999</v>
      </c>
      <c r="BM76">
        <v>815.32399999999996</v>
      </c>
      <c r="BN76">
        <v>2.9820000000000002</v>
      </c>
      <c r="BO76">
        <v>800.02499999999998</v>
      </c>
      <c r="BP76">
        <v>18.7638</v>
      </c>
      <c r="BQ76">
        <v>2.1539799999999998</v>
      </c>
      <c r="BR76">
        <v>1.8586100000000001</v>
      </c>
      <c r="BS76">
        <v>18.624099999999999</v>
      </c>
      <c r="BT76">
        <v>16.288599999999999</v>
      </c>
      <c r="BU76">
        <v>1800</v>
      </c>
      <c r="BV76">
        <v>0.90999399999999997</v>
      </c>
      <c r="BW76">
        <v>3.39929E-2</v>
      </c>
      <c r="BX76">
        <v>2.20057E-2</v>
      </c>
      <c r="BY76">
        <v>3.4007799999999998E-2</v>
      </c>
      <c r="BZ76">
        <v>25.916699999999999</v>
      </c>
      <c r="CA76">
        <v>33528.199999999997</v>
      </c>
      <c r="CB76">
        <v>1690229084.0999999</v>
      </c>
      <c r="CC76" t="s">
        <v>332</v>
      </c>
      <c r="CD76">
        <v>1690229084.0999999</v>
      </c>
      <c r="CE76">
        <v>1690229076.5999999</v>
      </c>
      <c r="CF76">
        <v>13</v>
      </c>
      <c r="CG76">
        <v>0.23300000000000001</v>
      </c>
      <c r="CH76">
        <v>-0.13100000000000001</v>
      </c>
      <c r="CI76">
        <v>-0.20599999999999999</v>
      </c>
      <c r="CJ76">
        <v>8.7999999999999995E-2</v>
      </c>
      <c r="CK76">
        <v>799</v>
      </c>
      <c r="CL76">
        <v>16</v>
      </c>
      <c r="CM76">
        <v>0.04</v>
      </c>
      <c r="CN76">
        <v>0.04</v>
      </c>
      <c r="CO76">
        <v>-26.763032500000001</v>
      </c>
      <c r="CP76">
        <v>-10.45897373358344</v>
      </c>
      <c r="CQ76">
        <v>1.006535959463819</v>
      </c>
      <c r="CR76">
        <v>-1</v>
      </c>
      <c r="CS76">
        <v>2.8995959999999998</v>
      </c>
      <c r="CT76">
        <v>0.50079219512194195</v>
      </c>
      <c r="CU76">
        <v>4.8701777062033359E-2</v>
      </c>
      <c r="CV76">
        <v>-1</v>
      </c>
      <c r="CW76">
        <v>0</v>
      </c>
      <c r="CX76">
        <v>0</v>
      </c>
      <c r="CY76" t="s">
        <v>333</v>
      </c>
      <c r="CZ76">
        <v>2.3645499999999999</v>
      </c>
      <c r="DA76">
        <v>2.7137899999999999</v>
      </c>
      <c r="DB76">
        <v>0.143065</v>
      </c>
      <c r="DC76">
        <v>0.14622399999999999</v>
      </c>
      <c r="DD76">
        <v>0.10613300000000001</v>
      </c>
      <c r="DE76">
        <v>9.4225699999999996E-2</v>
      </c>
      <c r="DF76">
        <v>31283.3</v>
      </c>
      <c r="DG76">
        <v>27512.7</v>
      </c>
      <c r="DH76">
        <v>31165.9</v>
      </c>
      <c r="DI76">
        <v>28079.8</v>
      </c>
      <c r="DJ76">
        <v>37826.400000000001</v>
      </c>
      <c r="DK76">
        <v>36169.5</v>
      </c>
      <c r="DL76">
        <v>44353.5</v>
      </c>
      <c r="DM76">
        <v>42565.2</v>
      </c>
      <c r="DN76">
        <v>1.47248</v>
      </c>
      <c r="DO76">
        <v>2.0516999999999999</v>
      </c>
      <c r="DP76">
        <v>0.13750799999999999</v>
      </c>
      <c r="DQ76">
        <v>0.176594</v>
      </c>
      <c r="DR76">
        <v>24.725100000000001</v>
      </c>
      <c r="DS76">
        <v>24.499300000000002</v>
      </c>
      <c r="DT76">
        <v>56.7</v>
      </c>
      <c r="DU76">
        <v>29.2</v>
      </c>
      <c r="DV76">
        <v>23.291399999999999</v>
      </c>
      <c r="DW76">
        <v>61.569800000000001</v>
      </c>
      <c r="DX76">
        <v>35.108199999999997</v>
      </c>
      <c r="DY76">
        <v>1</v>
      </c>
      <c r="DZ76">
        <v>-6.8282499999999996E-2</v>
      </c>
      <c r="EA76">
        <v>0.87490699999999999</v>
      </c>
      <c r="EB76">
        <v>20.186699999999998</v>
      </c>
      <c r="EC76">
        <v>5.2413999999999996</v>
      </c>
      <c r="ED76">
        <v>12.039899999999999</v>
      </c>
      <c r="EE76">
        <v>5.0164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1.8646199999999999</v>
      </c>
      <c r="EM76">
        <v>1.8691899999999999</v>
      </c>
      <c r="EN76">
        <v>1.8672299999999999</v>
      </c>
      <c r="EO76">
        <v>1.8633999999999999</v>
      </c>
      <c r="EP76">
        <v>1.8644799999999999</v>
      </c>
      <c r="EQ76">
        <v>1.87016</v>
      </c>
      <c r="ER76">
        <v>1.8693599999999999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-0.187</v>
      </c>
      <c r="FG76">
        <v>0.1787</v>
      </c>
      <c r="FH76">
        <v>0.3448811944559278</v>
      </c>
      <c r="FI76">
        <v>-6.1462078757559423E-4</v>
      </c>
      <c r="FJ76">
        <v>-1.8861989874597051E-7</v>
      </c>
      <c r="FK76">
        <v>1.1980462299894961E-10</v>
      </c>
      <c r="FL76">
        <v>0.17862261546663211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20</v>
      </c>
      <c r="FU76">
        <v>20.100000000000001</v>
      </c>
      <c r="FV76">
        <v>1.79077</v>
      </c>
      <c r="FW76">
        <v>2.5854499999999998</v>
      </c>
      <c r="FX76">
        <v>1.5490699999999999</v>
      </c>
      <c r="FY76">
        <v>2.3290999999999999</v>
      </c>
      <c r="FZ76">
        <v>1.50146</v>
      </c>
      <c r="GA76">
        <v>2.3840300000000001</v>
      </c>
      <c r="GB76">
        <v>33.963900000000002</v>
      </c>
      <c r="GC76">
        <v>23.982399999999998</v>
      </c>
      <c r="GD76">
        <v>19</v>
      </c>
      <c r="GE76">
        <v>282.48099999999999</v>
      </c>
      <c r="GF76">
        <v>599.00099999999998</v>
      </c>
      <c r="GG76">
        <v>22.561399999999999</v>
      </c>
      <c r="GH76">
        <v>26.4907</v>
      </c>
      <c r="GI76">
        <v>29.9999</v>
      </c>
      <c r="GJ76">
        <v>26.6219</v>
      </c>
      <c r="GK76">
        <v>26.604700000000001</v>
      </c>
      <c r="GL76">
        <v>35.804499999999997</v>
      </c>
      <c r="GM76">
        <v>29.196899999999999</v>
      </c>
      <c r="GN76">
        <v>98.489400000000003</v>
      </c>
      <c r="GO76">
        <v>22.559699999999999</v>
      </c>
      <c r="GP76">
        <v>800</v>
      </c>
      <c r="GQ76">
        <v>18.664400000000001</v>
      </c>
      <c r="GR76">
        <v>99.7196</v>
      </c>
      <c r="GS76">
        <v>99.569299999999998</v>
      </c>
    </row>
    <row r="77" spans="1:201" x14ac:dyDescent="0.25">
      <c r="A77">
        <v>61</v>
      </c>
      <c r="B77">
        <v>1690230294.5999999</v>
      </c>
      <c r="C77">
        <v>789.5</v>
      </c>
      <c r="D77" t="s">
        <v>455</v>
      </c>
      <c r="E77" t="s">
        <v>456</v>
      </c>
      <c r="F77" t="s">
        <v>330</v>
      </c>
      <c r="H77">
        <v>1690230294.5999999</v>
      </c>
      <c r="I77">
        <f t="shared" si="0"/>
        <v>3.0086170863935393E-4</v>
      </c>
      <c r="J77">
        <f t="shared" si="1"/>
        <v>0.30086170863935391</v>
      </c>
      <c r="K77">
        <f t="shared" si="2"/>
        <v>2.6868167350701992</v>
      </c>
      <c r="L77">
        <f t="shared" si="3"/>
        <v>769.36199999999997</v>
      </c>
      <c r="M77">
        <f t="shared" si="4"/>
        <v>524.04023764721433</v>
      </c>
      <c r="N77">
        <f t="shared" si="5"/>
        <v>51.959944101927569</v>
      </c>
      <c r="O77">
        <f t="shared" si="6"/>
        <v>76.284230946897608</v>
      </c>
      <c r="P77">
        <f t="shared" si="7"/>
        <v>1.8870030003644241E-2</v>
      </c>
      <c r="Q77">
        <f t="shared" si="8"/>
        <v>2.1757238097929341</v>
      </c>
      <c r="R77">
        <f t="shared" si="9"/>
        <v>1.8779578587939237E-2</v>
      </c>
      <c r="S77">
        <f t="shared" si="10"/>
        <v>1.1745327079930512E-2</v>
      </c>
      <c r="T77">
        <f t="shared" si="11"/>
        <v>276.11433558094683</v>
      </c>
      <c r="U77">
        <f t="shared" si="12"/>
        <v>27.561847790901243</v>
      </c>
      <c r="V77">
        <f t="shared" si="13"/>
        <v>27.561847790901243</v>
      </c>
      <c r="W77">
        <f t="shared" si="14"/>
        <v>3.6989822662470653</v>
      </c>
      <c r="X77">
        <f t="shared" si="15"/>
        <v>65.780522867407797</v>
      </c>
      <c r="Y77">
        <f t="shared" si="16"/>
        <v>2.1574016011123205</v>
      </c>
      <c r="Z77">
        <f t="shared" si="17"/>
        <v>3.2796966443409739</v>
      </c>
      <c r="AA77">
        <f t="shared" si="18"/>
        <v>1.5415806651347448</v>
      </c>
      <c r="AB77">
        <f t="shared" si="19"/>
        <v>-13.268001350995508</v>
      </c>
      <c r="AC77">
        <f t="shared" si="20"/>
        <v>-239.44524161617008</v>
      </c>
      <c r="AD77">
        <f t="shared" si="21"/>
        <v>-23.642221352104325</v>
      </c>
      <c r="AE77">
        <f t="shared" si="22"/>
        <v>-0.24112873832308424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52525.300068118529</v>
      </c>
      <c r="AK77">
        <f t="shared" si="26"/>
        <v>1799.99</v>
      </c>
      <c r="AL77">
        <f t="shared" si="27"/>
        <v>1499.1041683972401</v>
      </c>
      <c r="AM77">
        <f t="shared" si="28"/>
        <v>0.83284027599999999</v>
      </c>
      <c r="AN77">
        <f t="shared" si="29"/>
        <v>0.15339770530999997</v>
      </c>
      <c r="AO77">
        <v>31.5</v>
      </c>
      <c r="AP77">
        <v>0.5</v>
      </c>
      <c r="AQ77" t="s">
        <v>331</v>
      </c>
      <c r="AR77">
        <v>2</v>
      </c>
      <c r="AS77">
        <v>1690230294.5999999</v>
      </c>
      <c r="AT77">
        <v>769.36199999999997</v>
      </c>
      <c r="AU77">
        <v>799.99300000000005</v>
      </c>
      <c r="AV77">
        <v>21.758400000000002</v>
      </c>
      <c r="AW77">
        <v>18.6692</v>
      </c>
      <c r="AX77">
        <v>769.54700000000003</v>
      </c>
      <c r="AY77">
        <v>21.579799999999999</v>
      </c>
      <c r="AZ77">
        <v>300.108</v>
      </c>
      <c r="BA77">
        <v>99.052599999999998</v>
      </c>
      <c r="BB77">
        <v>9.9984799999999999E-2</v>
      </c>
      <c r="BC77">
        <v>25.520499999999998</v>
      </c>
      <c r="BD77">
        <v>26.983599999999999</v>
      </c>
      <c r="BE77">
        <v>27.400200000000002</v>
      </c>
      <c r="BF77">
        <v>0</v>
      </c>
      <c r="BG77">
        <v>0</v>
      </c>
      <c r="BH77">
        <v>9978.1200000000008</v>
      </c>
      <c r="BI77">
        <v>1056.42</v>
      </c>
      <c r="BJ77">
        <v>1.4016500000000001</v>
      </c>
      <c r="BK77">
        <v>-30.6312</v>
      </c>
      <c r="BL77">
        <v>786.47400000000005</v>
      </c>
      <c r="BM77">
        <v>815.21199999999999</v>
      </c>
      <c r="BN77">
        <v>3.0891600000000001</v>
      </c>
      <c r="BO77">
        <v>799.99300000000005</v>
      </c>
      <c r="BP77">
        <v>18.6692</v>
      </c>
      <c r="BQ77">
        <v>2.1552199999999999</v>
      </c>
      <c r="BR77">
        <v>1.8492299999999999</v>
      </c>
      <c r="BS77">
        <v>18.633299999999998</v>
      </c>
      <c r="BT77">
        <v>16.209299999999999</v>
      </c>
      <c r="BU77">
        <v>1799.99</v>
      </c>
      <c r="BV77">
        <v>0.909995</v>
      </c>
      <c r="BW77">
        <v>3.39922E-2</v>
      </c>
      <c r="BX77">
        <v>2.2005299999999998E-2</v>
      </c>
      <c r="BY77">
        <v>3.4007099999999998E-2</v>
      </c>
      <c r="BZ77">
        <v>25.75</v>
      </c>
      <c r="CA77">
        <v>33528.199999999997</v>
      </c>
      <c r="CB77">
        <v>1690229084.0999999</v>
      </c>
      <c r="CC77" t="s">
        <v>332</v>
      </c>
      <c r="CD77">
        <v>1690229084.0999999</v>
      </c>
      <c r="CE77">
        <v>1690229076.5999999</v>
      </c>
      <c r="CF77">
        <v>13</v>
      </c>
      <c r="CG77">
        <v>0.23300000000000001</v>
      </c>
      <c r="CH77">
        <v>-0.13100000000000001</v>
      </c>
      <c r="CI77">
        <v>-0.20599999999999999</v>
      </c>
      <c r="CJ77">
        <v>8.7999999999999995E-2</v>
      </c>
      <c r="CK77">
        <v>799</v>
      </c>
      <c r="CL77">
        <v>16</v>
      </c>
      <c r="CM77">
        <v>0.04</v>
      </c>
      <c r="CN77">
        <v>0.04</v>
      </c>
      <c r="CO77">
        <v>-28.602558536585359</v>
      </c>
      <c r="CP77">
        <v>-10.9100425087109</v>
      </c>
      <c r="CQ77">
        <v>1.0766783712465171</v>
      </c>
      <c r="CR77">
        <v>-1</v>
      </c>
      <c r="CS77">
        <v>2.9888834146341461</v>
      </c>
      <c r="CT77">
        <v>0.56613031358885257</v>
      </c>
      <c r="CU77">
        <v>5.7070728202893682E-2</v>
      </c>
      <c r="CV77">
        <v>-1</v>
      </c>
      <c r="CW77">
        <v>0</v>
      </c>
      <c r="CX77">
        <v>0</v>
      </c>
      <c r="CY77" t="s">
        <v>333</v>
      </c>
      <c r="CZ77">
        <v>2.36395</v>
      </c>
      <c r="DA77">
        <v>2.7137600000000002</v>
      </c>
      <c r="DB77">
        <v>0.14282500000000001</v>
      </c>
      <c r="DC77">
        <v>0.14621799999999999</v>
      </c>
      <c r="DD77">
        <v>0.10617699999999999</v>
      </c>
      <c r="DE77">
        <v>9.3886300000000006E-2</v>
      </c>
      <c r="DF77">
        <v>31292.5</v>
      </c>
      <c r="DG77">
        <v>27513</v>
      </c>
      <c r="DH77">
        <v>31166.400000000001</v>
      </c>
      <c r="DI77">
        <v>28079.8</v>
      </c>
      <c r="DJ77">
        <v>37825.1</v>
      </c>
      <c r="DK77">
        <v>36183.1</v>
      </c>
      <c r="DL77">
        <v>44354.2</v>
      </c>
      <c r="DM77">
        <v>42565.3</v>
      </c>
      <c r="DN77">
        <v>1.47197</v>
      </c>
      <c r="DO77">
        <v>2.0516800000000002</v>
      </c>
      <c r="DP77">
        <v>0.13822300000000001</v>
      </c>
      <c r="DQ77">
        <v>0.177264</v>
      </c>
      <c r="DR77">
        <v>24.718800000000002</v>
      </c>
      <c r="DS77">
        <v>24.496200000000002</v>
      </c>
      <c r="DT77">
        <v>56.7</v>
      </c>
      <c r="DU77">
        <v>29.2</v>
      </c>
      <c r="DV77">
        <v>23.287500000000001</v>
      </c>
      <c r="DW77">
        <v>61.349800000000002</v>
      </c>
      <c r="DX77">
        <v>36.161900000000003</v>
      </c>
      <c r="DY77">
        <v>1</v>
      </c>
      <c r="DZ77">
        <v>-6.8879599999999999E-2</v>
      </c>
      <c r="EA77">
        <v>0.85049799999999998</v>
      </c>
      <c r="EB77">
        <v>20.186699999999998</v>
      </c>
      <c r="EC77">
        <v>5.2408000000000001</v>
      </c>
      <c r="ED77">
        <v>12.039899999999999</v>
      </c>
      <c r="EE77">
        <v>5.0164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1.86466</v>
      </c>
      <c r="EM77">
        <v>1.8692</v>
      </c>
      <c r="EN77">
        <v>1.8672299999999999</v>
      </c>
      <c r="EO77">
        <v>1.8633999999999999</v>
      </c>
      <c r="EP77">
        <v>1.8644700000000001</v>
      </c>
      <c r="EQ77">
        <v>1.8701399999999999</v>
      </c>
      <c r="ER77">
        <v>1.86941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-0.185</v>
      </c>
      <c r="FG77">
        <v>0.17860000000000001</v>
      </c>
      <c r="FH77">
        <v>0.3448811944559278</v>
      </c>
      <c r="FI77">
        <v>-6.1462078757559423E-4</v>
      </c>
      <c r="FJ77">
        <v>-1.8861989874597051E-7</v>
      </c>
      <c r="FK77">
        <v>1.1980462299894961E-10</v>
      </c>
      <c r="FL77">
        <v>0.17862261546663211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20.2</v>
      </c>
      <c r="FU77">
        <v>20.3</v>
      </c>
      <c r="FV77">
        <v>1.79077</v>
      </c>
      <c r="FW77">
        <v>2.5878899999999998</v>
      </c>
      <c r="FX77">
        <v>1.5490699999999999</v>
      </c>
      <c r="FY77">
        <v>2.3290999999999999</v>
      </c>
      <c r="FZ77">
        <v>1.50146</v>
      </c>
      <c r="GA77">
        <v>2.34375</v>
      </c>
      <c r="GB77">
        <v>33.986499999999999</v>
      </c>
      <c r="GC77">
        <v>23.982399999999998</v>
      </c>
      <c r="GD77">
        <v>19</v>
      </c>
      <c r="GE77">
        <v>282.255</v>
      </c>
      <c r="GF77">
        <v>598.95399999999995</v>
      </c>
      <c r="GG77">
        <v>22.583400000000001</v>
      </c>
      <c r="GH77">
        <v>26.484500000000001</v>
      </c>
      <c r="GI77">
        <v>29.9999</v>
      </c>
      <c r="GJ77">
        <v>26.619</v>
      </c>
      <c r="GK77">
        <v>26.602399999999999</v>
      </c>
      <c r="GL77">
        <v>35.801299999999998</v>
      </c>
      <c r="GM77">
        <v>29.196899999999999</v>
      </c>
      <c r="GN77">
        <v>98.489400000000003</v>
      </c>
      <c r="GO77">
        <v>22.584900000000001</v>
      </c>
      <c r="GP77">
        <v>800</v>
      </c>
      <c r="GQ77">
        <v>18.610800000000001</v>
      </c>
      <c r="GR77">
        <v>99.721100000000007</v>
      </c>
      <c r="GS77">
        <v>99.569400000000002</v>
      </c>
    </row>
    <row r="78" spans="1:201" x14ac:dyDescent="0.25">
      <c r="A78">
        <v>62</v>
      </c>
      <c r="B78">
        <v>1690230304.5999999</v>
      </c>
      <c r="C78">
        <v>799.5</v>
      </c>
      <c r="D78" t="s">
        <v>457</v>
      </c>
      <c r="E78" t="s">
        <v>458</v>
      </c>
      <c r="F78" t="s">
        <v>330</v>
      </c>
      <c r="H78">
        <v>1690230304.5999999</v>
      </c>
      <c r="I78">
        <f t="shared" si="0"/>
        <v>3.0385324908780581E-4</v>
      </c>
      <c r="J78">
        <f t="shared" si="1"/>
        <v>0.30385324908780581</v>
      </c>
      <c r="K78">
        <f t="shared" si="2"/>
        <v>2.8798052992088543</v>
      </c>
      <c r="L78">
        <f t="shared" si="3"/>
        <v>767.35599999999999</v>
      </c>
      <c r="M78">
        <f t="shared" si="4"/>
        <v>508.75009602193222</v>
      </c>
      <c r="N78">
        <f t="shared" si="5"/>
        <v>50.444699969601203</v>
      </c>
      <c r="O78">
        <f t="shared" si="6"/>
        <v>76.086557019941182</v>
      </c>
      <c r="P78">
        <f t="shared" si="7"/>
        <v>1.9096174411911263E-2</v>
      </c>
      <c r="Q78">
        <f t="shared" si="8"/>
        <v>2.1789346260938567</v>
      </c>
      <c r="R78">
        <f t="shared" si="9"/>
        <v>1.9003683530596151E-2</v>
      </c>
      <c r="S78">
        <f t="shared" si="10"/>
        <v>1.1885574705201008E-2</v>
      </c>
      <c r="T78">
        <f t="shared" si="11"/>
        <v>276.11421026564307</v>
      </c>
      <c r="U78">
        <f t="shared" si="12"/>
        <v>27.555886989064298</v>
      </c>
      <c r="V78">
        <f t="shared" si="13"/>
        <v>27.555886989064298</v>
      </c>
      <c r="W78">
        <f t="shared" si="14"/>
        <v>3.697692889222715</v>
      </c>
      <c r="X78">
        <f t="shared" si="15"/>
        <v>65.841580319208759</v>
      </c>
      <c r="Y78">
        <f t="shared" si="16"/>
        <v>2.15912198996558</v>
      </c>
      <c r="Z78">
        <f t="shared" si="17"/>
        <v>3.2792681759730988</v>
      </c>
      <c r="AA78">
        <f t="shared" si="18"/>
        <v>1.538570899257135</v>
      </c>
      <c r="AB78">
        <f t="shared" si="19"/>
        <v>-13.399928284772237</v>
      </c>
      <c r="AC78">
        <f t="shared" si="20"/>
        <v>-239.35681792584305</v>
      </c>
      <c r="AD78">
        <f t="shared" si="21"/>
        <v>-23.597699594163885</v>
      </c>
      <c r="AE78">
        <f t="shared" si="22"/>
        <v>-0.2402355391361084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52659.245671559984</v>
      </c>
      <c r="AK78">
        <f t="shared" si="26"/>
        <v>1799.99</v>
      </c>
      <c r="AL78">
        <f t="shared" si="27"/>
        <v>1499.1043177964098</v>
      </c>
      <c r="AM78">
        <f t="shared" si="28"/>
        <v>0.83284035899999986</v>
      </c>
      <c r="AN78">
        <f t="shared" si="29"/>
        <v>0.15339763568999998</v>
      </c>
      <c r="AO78">
        <v>31.5</v>
      </c>
      <c r="AP78">
        <v>0.5</v>
      </c>
      <c r="AQ78" t="s">
        <v>331</v>
      </c>
      <c r="AR78">
        <v>2</v>
      </c>
      <c r="AS78">
        <v>1690230304.5999999</v>
      </c>
      <c r="AT78">
        <v>767.35599999999999</v>
      </c>
      <c r="AU78">
        <v>800.01300000000003</v>
      </c>
      <c r="AV78">
        <v>21.775400000000001</v>
      </c>
      <c r="AW78">
        <v>18.6572</v>
      </c>
      <c r="AX78">
        <v>767.54</v>
      </c>
      <c r="AY78">
        <v>21.596800000000002</v>
      </c>
      <c r="AZ78">
        <v>300.26799999999997</v>
      </c>
      <c r="BA78">
        <v>99.054199999999994</v>
      </c>
      <c r="BB78">
        <v>9.9982699999999994E-2</v>
      </c>
      <c r="BC78">
        <v>25.5183</v>
      </c>
      <c r="BD78">
        <v>26.979900000000001</v>
      </c>
      <c r="BE78">
        <v>27.387799999999999</v>
      </c>
      <c r="BF78">
        <v>0</v>
      </c>
      <c r="BG78">
        <v>0</v>
      </c>
      <c r="BH78">
        <v>10004.4</v>
      </c>
      <c r="BI78">
        <v>1056.52</v>
      </c>
      <c r="BJ78">
        <v>1.4016500000000001</v>
      </c>
      <c r="BK78">
        <v>-32.657299999999999</v>
      </c>
      <c r="BL78">
        <v>784.43700000000001</v>
      </c>
      <c r="BM78">
        <v>815.22299999999996</v>
      </c>
      <c r="BN78">
        <v>3.1182300000000001</v>
      </c>
      <c r="BO78">
        <v>800.01300000000003</v>
      </c>
      <c r="BP78">
        <v>18.6572</v>
      </c>
      <c r="BQ78">
        <v>2.1569500000000001</v>
      </c>
      <c r="BR78">
        <v>1.8480700000000001</v>
      </c>
      <c r="BS78">
        <v>18.646100000000001</v>
      </c>
      <c r="BT78">
        <v>16.199400000000001</v>
      </c>
      <c r="BU78">
        <v>1799.99</v>
      </c>
      <c r="BV78">
        <v>0.90999699999999994</v>
      </c>
      <c r="BW78">
        <v>3.3993000000000002E-2</v>
      </c>
      <c r="BX78">
        <v>2.2004200000000002E-2</v>
      </c>
      <c r="BY78">
        <v>3.4005500000000001E-2</v>
      </c>
      <c r="BZ78">
        <v>25.75</v>
      </c>
      <c r="CA78">
        <v>33528.199999999997</v>
      </c>
      <c r="CB78">
        <v>1690229084.0999999</v>
      </c>
      <c r="CC78" t="s">
        <v>332</v>
      </c>
      <c r="CD78">
        <v>1690229084.0999999</v>
      </c>
      <c r="CE78">
        <v>1690229076.5999999</v>
      </c>
      <c r="CF78">
        <v>13</v>
      </c>
      <c r="CG78">
        <v>0.23300000000000001</v>
      </c>
      <c r="CH78">
        <v>-0.13100000000000001</v>
      </c>
      <c r="CI78">
        <v>-0.20599999999999999</v>
      </c>
      <c r="CJ78">
        <v>8.7999999999999995E-2</v>
      </c>
      <c r="CK78">
        <v>799</v>
      </c>
      <c r="CL78">
        <v>16</v>
      </c>
      <c r="CM78">
        <v>0.04</v>
      </c>
      <c r="CN78">
        <v>0.04</v>
      </c>
      <c r="CO78">
        <v>-30.473260975609762</v>
      </c>
      <c r="CP78">
        <v>-11.468550522647959</v>
      </c>
      <c r="CQ78">
        <v>1.131611010015938</v>
      </c>
      <c r="CR78">
        <v>-1</v>
      </c>
      <c r="CS78">
        <v>3.0663519512195121</v>
      </c>
      <c r="CT78">
        <v>0.40949331010452639</v>
      </c>
      <c r="CU78">
        <v>4.4064663416919482E-2</v>
      </c>
      <c r="CV78">
        <v>-1</v>
      </c>
      <c r="CW78">
        <v>0</v>
      </c>
      <c r="CX78">
        <v>0</v>
      </c>
      <c r="CY78" t="s">
        <v>333</v>
      </c>
      <c r="CZ78">
        <v>2.3644799999999999</v>
      </c>
      <c r="DA78">
        <v>2.7137799999999999</v>
      </c>
      <c r="DB78">
        <v>0.14257800000000001</v>
      </c>
      <c r="DC78">
        <v>0.14622299999999999</v>
      </c>
      <c r="DD78">
        <v>0.106239</v>
      </c>
      <c r="DE78">
        <v>9.3844999999999998E-2</v>
      </c>
      <c r="DF78">
        <v>31301.7</v>
      </c>
      <c r="DG78">
        <v>27513.200000000001</v>
      </c>
      <c r="DH78">
        <v>31166.6</v>
      </c>
      <c r="DI78">
        <v>28080.2</v>
      </c>
      <c r="DJ78">
        <v>37822.699999999997</v>
      </c>
      <c r="DK78">
        <v>36185.4</v>
      </c>
      <c r="DL78">
        <v>44354.5</v>
      </c>
      <c r="DM78">
        <v>42565.9</v>
      </c>
      <c r="DN78">
        <v>1.4722200000000001</v>
      </c>
      <c r="DO78">
        <v>2.0518000000000001</v>
      </c>
      <c r="DP78">
        <v>0.13831299999999999</v>
      </c>
      <c r="DQ78">
        <v>0.176758</v>
      </c>
      <c r="DR78">
        <v>24.7136</v>
      </c>
      <c r="DS78">
        <v>24.492100000000001</v>
      </c>
      <c r="DT78">
        <v>56.7</v>
      </c>
      <c r="DU78">
        <v>29.2</v>
      </c>
      <c r="DV78">
        <v>23.289899999999999</v>
      </c>
      <c r="DW78">
        <v>62.1798</v>
      </c>
      <c r="DX78">
        <v>35.4407</v>
      </c>
      <c r="DY78">
        <v>1</v>
      </c>
      <c r="DZ78">
        <v>-6.9275900000000001E-2</v>
      </c>
      <c r="EA78">
        <v>0.84608399999999995</v>
      </c>
      <c r="EB78">
        <v>20.186800000000002</v>
      </c>
      <c r="EC78">
        <v>5.2408000000000001</v>
      </c>
      <c r="ED78">
        <v>12.039899999999999</v>
      </c>
      <c r="EE78">
        <v>5.0164499999999999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1.8689100000000001</v>
      </c>
      <c r="EL78">
        <v>1.86463</v>
      </c>
      <c r="EM78">
        <v>1.8692</v>
      </c>
      <c r="EN78">
        <v>1.8672200000000001</v>
      </c>
      <c r="EO78">
        <v>1.8633999999999999</v>
      </c>
      <c r="EP78">
        <v>1.8644700000000001</v>
      </c>
      <c r="EQ78">
        <v>1.87015</v>
      </c>
      <c r="ER78">
        <v>1.8693900000000001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-0.184</v>
      </c>
      <c r="FG78">
        <v>0.17860000000000001</v>
      </c>
      <c r="FH78">
        <v>0.3448811944559278</v>
      </c>
      <c r="FI78">
        <v>-6.1462078757559423E-4</v>
      </c>
      <c r="FJ78">
        <v>-1.8861989874597051E-7</v>
      </c>
      <c r="FK78">
        <v>1.1980462299894961E-10</v>
      </c>
      <c r="FL78">
        <v>0.17862261546663211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20.3</v>
      </c>
      <c r="FU78">
        <v>20.5</v>
      </c>
      <c r="FV78">
        <v>1.79077</v>
      </c>
      <c r="FW78">
        <v>2.5854499999999998</v>
      </c>
      <c r="FX78">
        <v>1.5490699999999999</v>
      </c>
      <c r="FY78">
        <v>2.3290999999999999</v>
      </c>
      <c r="FZ78">
        <v>1.50146</v>
      </c>
      <c r="GA78">
        <v>2.3974600000000001</v>
      </c>
      <c r="GB78">
        <v>33.986499999999999</v>
      </c>
      <c r="GC78">
        <v>23.991199999999999</v>
      </c>
      <c r="GD78">
        <v>19</v>
      </c>
      <c r="GE78">
        <v>282.34500000000003</v>
      </c>
      <c r="GF78">
        <v>599.03499999999997</v>
      </c>
      <c r="GG78">
        <v>22.608000000000001</v>
      </c>
      <c r="GH78">
        <v>26.478400000000001</v>
      </c>
      <c r="GI78">
        <v>29.9998</v>
      </c>
      <c r="GJ78">
        <v>26.615200000000002</v>
      </c>
      <c r="GK78">
        <v>26.600200000000001</v>
      </c>
      <c r="GL78">
        <v>35.797199999999997</v>
      </c>
      <c r="GM78">
        <v>29.470800000000001</v>
      </c>
      <c r="GN78">
        <v>98.489400000000003</v>
      </c>
      <c r="GO78">
        <v>22.606999999999999</v>
      </c>
      <c r="GP78">
        <v>800</v>
      </c>
      <c r="GQ78">
        <v>18.5488</v>
      </c>
      <c r="GR78">
        <v>99.721800000000002</v>
      </c>
      <c r="GS78">
        <v>99.570999999999998</v>
      </c>
    </row>
    <row r="79" spans="1:201" x14ac:dyDescent="0.25">
      <c r="A79">
        <v>63</v>
      </c>
      <c r="B79">
        <v>1690230314.5999999</v>
      </c>
      <c r="C79">
        <v>809.5</v>
      </c>
      <c r="D79" t="s">
        <v>459</v>
      </c>
      <c r="E79" t="s">
        <v>460</v>
      </c>
      <c r="F79" t="s">
        <v>330</v>
      </c>
      <c r="H79">
        <v>1690230314.5999999</v>
      </c>
      <c r="I79">
        <f t="shared" si="0"/>
        <v>3.1685777339259826E-4</v>
      </c>
      <c r="J79">
        <f t="shared" si="1"/>
        <v>0.31685777339259824</v>
      </c>
      <c r="K79">
        <f t="shared" si="2"/>
        <v>3.064463253415902</v>
      </c>
      <c r="L79">
        <f t="shared" si="3"/>
        <v>765.35599999999999</v>
      </c>
      <c r="M79">
        <f t="shared" si="4"/>
        <v>502.22290491038888</v>
      </c>
      <c r="N79">
        <f t="shared" si="5"/>
        <v>49.795691306704093</v>
      </c>
      <c r="O79">
        <f t="shared" si="6"/>
        <v>75.885489775768008</v>
      </c>
      <c r="P79">
        <f t="shared" si="7"/>
        <v>1.9941194117449251E-2</v>
      </c>
      <c r="Q79">
        <f t="shared" si="8"/>
        <v>2.1792652482040844</v>
      </c>
      <c r="R79">
        <f t="shared" si="9"/>
        <v>1.9840375090950952E-2</v>
      </c>
      <c r="S79">
        <f t="shared" si="10"/>
        <v>1.2409250029946101E-2</v>
      </c>
      <c r="T79">
        <f t="shared" si="11"/>
        <v>276.11589077999997</v>
      </c>
      <c r="U79">
        <f t="shared" si="12"/>
        <v>27.557559357438159</v>
      </c>
      <c r="V79">
        <f t="shared" si="13"/>
        <v>27.557559357438159</v>
      </c>
      <c r="W79">
        <f t="shared" si="14"/>
        <v>3.6980545985079676</v>
      </c>
      <c r="X79">
        <f t="shared" si="15"/>
        <v>65.885194533441862</v>
      </c>
      <c r="Y79">
        <f t="shared" si="16"/>
        <v>2.1613735347642002</v>
      </c>
      <c r="Z79">
        <f t="shared" si="17"/>
        <v>3.2805147652210924</v>
      </c>
      <c r="AA79">
        <f t="shared" si="18"/>
        <v>1.5366810637437673</v>
      </c>
      <c r="AB79">
        <f t="shared" si="19"/>
        <v>-13.973427806613584</v>
      </c>
      <c r="AC79">
        <f t="shared" si="20"/>
        <v>-238.83769431798984</v>
      </c>
      <c r="AD79">
        <f t="shared" si="21"/>
        <v>-23.543898401733252</v>
      </c>
      <c r="AE79">
        <f t="shared" si="22"/>
        <v>-0.23912974633671524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52671.796671435935</v>
      </c>
      <c r="AK79">
        <f t="shared" si="26"/>
        <v>1800</v>
      </c>
      <c r="AL79">
        <f t="shared" si="27"/>
        <v>1499.1113249999999</v>
      </c>
      <c r="AM79">
        <f t="shared" si="28"/>
        <v>0.83283962499999997</v>
      </c>
      <c r="AN79">
        <f t="shared" si="29"/>
        <v>0.1533977171</v>
      </c>
      <c r="AO79">
        <v>31.5</v>
      </c>
      <c r="AP79">
        <v>0.5</v>
      </c>
      <c r="AQ79" t="s">
        <v>331</v>
      </c>
      <c r="AR79">
        <v>2</v>
      </c>
      <c r="AS79">
        <v>1690230314.5999999</v>
      </c>
      <c r="AT79">
        <v>765.35599999999999</v>
      </c>
      <c r="AU79">
        <v>800.05700000000002</v>
      </c>
      <c r="AV79">
        <v>21.7989</v>
      </c>
      <c r="AW79">
        <v>18.546500000000002</v>
      </c>
      <c r="AX79">
        <v>765.53800000000001</v>
      </c>
      <c r="AY79">
        <v>21.6203</v>
      </c>
      <c r="AZ79">
        <v>300.19200000000001</v>
      </c>
      <c r="BA79">
        <v>99.0505</v>
      </c>
      <c r="BB79">
        <v>0.100078</v>
      </c>
      <c r="BC79">
        <v>25.524699999999999</v>
      </c>
      <c r="BD79">
        <v>26.9648</v>
      </c>
      <c r="BE79">
        <v>27.416799999999999</v>
      </c>
      <c r="BF79">
        <v>0</v>
      </c>
      <c r="BG79">
        <v>0</v>
      </c>
      <c r="BH79">
        <v>10007.5</v>
      </c>
      <c r="BI79">
        <v>1056.69</v>
      </c>
      <c r="BJ79">
        <v>1.4016500000000001</v>
      </c>
      <c r="BK79">
        <v>-34.701500000000003</v>
      </c>
      <c r="BL79">
        <v>782.41099999999994</v>
      </c>
      <c r="BM79">
        <v>815.17600000000004</v>
      </c>
      <c r="BN79">
        <v>3.2524600000000001</v>
      </c>
      <c r="BO79">
        <v>800.05700000000002</v>
      </c>
      <c r="BP79">
        <v>18.546500000000002</v>
      </c>
      <c r="BQ79">
        <v>2.1591999999999998</v>
      </c>
      <c r="BR79">
        <v>1.83704</v>
      </c>
      <c r="BS79">
        <v>18.662700000000001</v>
      </c>
      <c r="BT79">
        <v>16.105599999999999</v>
      </c>
      <c r="BU79">
        <v>1800</v>
      </c>
      <c r="BV79">
        <v>0.90999099999999999</v>
      </c>
      <c r="BW79">
        <v>3.4001200000000002E-2</v>
      </c>
      <c r="BX79">
        <v>2.2003499999999999E-2</v>
      </c>
      <c r="BY79">
        <v>3.4004399999999997E-2</v>
      </c>
      <c r="BZ79">
        <v>25.666699999999999</v>
      </c>
      <c r="CA79">
        <v>33528.400000000001</v>
      </c>
      <c r="CB79">
        <v>1690229084.0999999</v>
      </c>
      <c r="CC79" t="s">
        <v>332</v>
      </c>
      <c r="CD79">
        <v>1690229084.0999999</v>
      </c>
      <c r="CE79">
        <v>1690229076.5999999</v>
      </c>
      <c r="CF79">
        <v>13</v>
      </c>
      <c r="CG79">
        <v>0.23300000000000001</v>
      </c>
      <c r="CH79">
        <v>-0.13100000000000001</v>
      </c>
      <c r="CI79">
        <v>-0.20599999999999999</v>
      </c>
      <c r="CJ79">
        <v>8.7999999999999995E-2</v>
      </c>
      <c r="CK79">
        <v>799</v>
      </c>
      <c r="CL79">
        <v>16</v>
      </c>
      <c r="CM79">
        <v>0.04</v>
      </c>
      <c r="CN79">
        <v>0.04</v>
      </c>
      <c r="CO79">
        <v>-32.409742500000007</v>
      </c>
      <c r="CP79">
        <v>-12.269906566604179</v>
      </c>
      <c r="CQ79">
        <v>1.1809436580310471</v>
      </c>
      <c r="CR79">
        <v>-1</v>
      </c>
      <c r="CS79">
        <v>3.1265434999999999</v>
      </c>
      <c r="CT79">
        <v>0.34231699812382238</v>
      </c>
      <c r="CU79">
        <v>3.4637560649531891E-2</v>
      </c>
      <c r="CV79">
        <v>-1</v>
      </c>
      <c r="CW79">
        <v>0</v>
      </c>
      <c r="CX79">
        <v>0</v>
      </c>
      <c r="CY79" t="s">
        <v>333</v>
      </c>
      <c r="CZ79">
        <v>2.3642300000000001</v>
      </c>
      <c r="DA79">
        <v>2.7138800000000001</v>
      </c>
      <c r="DB79">
        <v>0.14232400000000001</v>
      </c>
      <c r="DC79">
        <v>0.14622199999999999</v>
      </c>
      <c r="DD79">
        <v>0.106318</v>
      </c>
      <c r="DE79">
        <v>9.3443399999999996E-2</v>
      </c>
      <c r="DF79">
        <v>31311.1</v>
      </c>
      <c r="DG79">
        <v>27514</v>
      </c>
      <c r="DH79">
        <v>31166.6</v>
      </c>
      <c r="DI79">
        <v>28080.9</v>
      </c>
      <c r="DJ79">
        <v>37819.300000000003</v>
      </c>
      <c r="DK79">
        <v>36202.1</v>
      </c>
      <c r="DL79">
        <v>44354.6</v>
      </c>
      <c r="DM79">
        <v>42566.7</v>
      </c>
      <c r="DN79">
        <v>1.47255</v>
      </c>
      <c r="DO79">
        <v>2.0517699999999999</v>
      </c>
      <c r="DP79">
        <v>0.137739</v>
      </c>
      <c r="DQ79">
        <v>0.178784</v>
      </c>
      <c r="DR79">
        <v>24.707899999999999</v>
      </c>
      <c r="DS79">
        <v>24.4879</v>
      </c>
      <c r="DT79">
        <v>56.7</v>
      </c>
      <c r="DU79">
        <v>29.2</v>
      </c>
      <c r="DV79">
        <v>23.290900000000001</v>
      </c>
      <c r="DW79">
        <v>61.659799999999997</v>
      </c>
      <c r="DX79">
        <v>35.665100000000002</v>
      </c>
      <c r="DY79">
        <v>1</v>
      </c>
      <c r="DZ79">
        <v>-6.9865300000000005E-2</v>
      </c>
      <c r="EA79">
        <v>0.781555</v>
      </c>
      <c r="EB79">
        <v>20.187100000000001</v>
      </c>
      <c r="EC79">
        <v>5.2409499999999998</v>
      </c>
      <c r="ED79">
        <v>12.039899999999999</v>
      </c>
      <c r="EE79">
        <v>5.0167999999999999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1.8646400000000001</v>
      </c>
      <c r="EM79">
        <v>1.8692</v>
      </c>
      <c r="EN79">
        <v>1.8672299999999999</v>
      </c>
      <c r="EO79">
        <v>1.8633999999999999</v>
      </c>
      <c r="EP79">
        <v>1.8644700000000001</v>
      </c>
      <c r="EQ79">
        <v>1.87016</v>
      </c>
      <c r="ER79">
        <v>1.8693900000000001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-0.182</v>
      </c>
      <c r="FG79">
        <v>0.17860000000000001</v>
      </c>
      <c r="FH79">
        <v>0.3448811944559278</v>
      </c>
      <c r="FI79">
        <v>-6.1462078757559423E-4</v>
      </c>
      <c r="FJ79">
        <v>-1.8861989874597051E-7</v>
      </c>
      <c r="FK79">
        <v>1.1980462299894961E-10</v>
      </c>
      <c r="FL79">
        <v>0.17862261546663211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20.5</v>
      </c>
      <c r="FU79">
        <v>20.6</v>
      </c>
      <c r="FV79">
        <v>1.79077</v>
      </c>
      <c r="FW79">
        <v>2.5891099999999998</v>
      </c>
      <c r="FX79">
        <v>1.5490699999999999</v>
      </c>
      <c r="FY79">
        <v>2.3290999999999999</v>
      </c>
      <c r="FZ79">
        <v>1.50146</v>
      </c>
      <c r="GA79">
        <v>2.2802699999999998</v>
      </c>
      <c r="GB79">
        <v>33.963900000000002</v>
      </c>
      <c r="GC79">
        <v>23.982399999999998</v>
      </c>
      <c r="GD79">
        <v>19</v>
      </c>
      <c r="GE79">
        <v>282.471</v>
      </c>
      <c r="GF79">
        <v>598.98699999999997</v>
      </c>
      <c r="GG79">
        <v>22.6356</v>
      </c>
      <c r="GH79">
        <v>26.472200000000001</v>
      </c>
      <c r="GI79">
        <v>29.999700000000001</v>
      </c>
      <c r="GJ79">
        <v>26.612300000000001</v>
      </c>
      <c r="GK79">
        <v>26.597999999999999</v>
      </c>
      <c r="GL79">
        <v>35.796300000000002</v>
      </c>
      <c r="GM79">
        <v>29.741700000000002</v>
      </c>
      <c r="GN79">
        <v>98.489400000000003</v>
      </c>
      <c r="GO79">
        <v>22.641999999999999</v>
      </c>
      <c r="GP79">
        <v>800</v>
      </c>
      <c r="GQ79">
        <v>18.481100000000001</v>
      </c>
      <c r="GR79">
        <v>99.721999999999994</v>
      </c>
      <c r="GS79">
        <v>99.573099999999997</v>
      </c>
    </row>
    <row r="80" spans="1:201" x14ac:dyDescent="0.25">
      <c r="A80">
        <v>64</v>
      </c>
      <c r="B80">
        <v>1690230324.5999999</v>
      </c>
      <c r="C80">
        <v>819.5</v>
      </c>
      <c r="D80" t="s">
        <v>461</v>
      </c>
      <c r="E80" t="s">
        <v>462</v>
      </c>
      <c r="F80" t="s">
        <v>330</v>
      </c>
      <c r="H80">
        <v>1690230324.5999999</v>
      </c>
      <c r="I80">
        <f t="shared" si="0"/>
        <v>3.2228884265050352E-4</v>
      </c>
      <c r="J80">
        <f t="shared" si="1"/>
        <v>0.3222888426505035</v>
      </c>
      <c r="K80">
        <f t="shared" si="2"/>
        <v>3.2735295666232789</v>
      </c>
      <c r="L80">
        <f t="shared" si="3"/>
        <v>763.149</v>
      </c>
      <c r="M80">
        <f t="shared" si="4"/>
        <v>487.97206455242002</v>
      </c>
      <c r="N80">
        <f t="shared" si="5"/>
        <v>48.384197147218188</v>
      </c>
      <c r="O80">
        <f t="shared" si="6"/>
        <v>75.668986712529005</v>
      </c>
      <c r="P80">
        <f t="shared" si="7"/>
        <v>2.0295573101823318E-2</v>
      </c>
      <c r="Q80">
        <f t="shared" si="8"/>
        <v>2.1771042797698201</v>
      </c>
      <c r="R80">
        <f t="shared" si="9"/>
        <v>2.0191045938009803E-2</v>
      </c>
      <c r="S80">
        <f t="shared" si="10"/>
        <v>1.2628750083745338E-2</v>
      </c>
      <c r="T80">
        <f t="shared" si="11"/>
        <v>276.11436891676175</v>
      </c>
      <c r="U80">
        <f t="shared" si="12"/>
        <v>27.563316217923095</v>
      </c>
      <c r="V80">
        <f t="shared" si="13"/>
        <v>27.563316217923095</v>
      </c>
      <c r="W80">
        <f t="shared" si="14"/>
        <v>3.699299960931326</v>
      </c>
      <c r="X80">
        <f t="shared" si="15"/>
        <v>65.924352364608694</v>
      </c>
      <c r="Y80">
        <f t="shared" si="16"/>
        <v>2.1634031105127001</v>
      </c>
      <c r="Z80">
        <f t="shared" si="17"/>
        <v>3.2816448443020536</v>
      </c>
      <c r="AA80">
        <f t="shared" si="18"/>
        <v>1.5358968504186259</v>
      </c>
      <c r="AB80">
        <f t="shared" si="19"/>
        <v>-14.212937960887205</v>
      </c>
      <c r="AC80">
        <f t="shared" si="20"/>
        <v>-238.59579849925069</v>
      </c>
      <c r="AD80">
        <f t="shared" si="21"/>
        <v>-23.544761301537871</v>
      </c>
      <c r="AE80">
        <f t="shared" si="22"/>
        <v>-0.23912884491403474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52580.941974607558</v>
      </c>
      <c r="AK80">
        <f t="shared" si="26"/>
        <v>1799.99</v>
      </c>
      <c r="AL80">
        <f t="shared" si="27"/>
        <v>1499.1010940143201</v>
      </c>
      <c r="AM80">
        <f t="shared" si="28"/>
        <v>0.832838568</v>
      </c>
      <c r="AN80">
        <f t="shared" si="29"/>
        <v>0.15339772383000003</v>
      </c>
      <c r="AO80">
        <v>31.5</v>
      </c>
      <c r="AP80">
        <v>0.5</v>
      </c>
      <c r="AQ80" t="s">
        <v>331</v>
      </c>
      <c r="AR80">
        <v>2</v>
      </c>
      <c r="AS80">
        <v>1690230324.5999999</v>
      </c>
      <c r="AT80">
        <v>763.149</v>
      </c>
      <c r="AU80">
        <v>800.06899999999996</v>
      </c>
      <c r="AV80">
        <v>21.8187</v>
      </c>
      <c r="AW80">
        <v>18.511600000000001</v>
      </c>
      <c r="AX80">
        <v>763.33</v>
      </c>
      <c r="AY80">
        <v>21.6401</v>
      </c>
      <c r="AZ80">
        <v>300.28100000000001</v>
      </c>
      <c r="BA80">
        <v>99.053600000000003</v>
      </c>
      <c r="BB80">
        <v>0.100021</v>
      </c>
      <c r="BC80">
        <v>25.5305</v>
      </c>
      <c r="BD80">
        <v>26.962499999999999</v>
      </c>
      <c r="BE80">
        <v>27.398299999999999</v>
      </c>
      <c r="BF80">
        <v>0</v>
      </c>
      <c r="BG80">
        <v>0</v>
      </c>
      <c r="BH80">
        <v>9989.3799999999992</v>
      </c>
      <c r="BI80">
        <v>1056.74</v>
      </c>
      <c r="BJ80">
        <v>1.4016500000000001</v>
      </c>
      <c r="BK80">
        <v>-36.919800000000002</v>
      </c>
      <c r="BL80">
        <v>780.17100000000005</v>
      </c>
      <c r="BM80">
        <v>815.15899999999999</v>
      </c>
      <c r="BN80">
        <v>3.30708</v>
      </c>
      <c r="BO80">
        <v>800.06899999999996</v>
      </c>
      <c r="BP80">
        <v>18.511600000000001</v>
      </c>
      <c r="BQ80">
        <v>2.1612200000000001</v>
      </c>
      <c r="BR80">
        <v>1.8336399999999999</v>
      </c>
      <c r="BS80">
        <v>18.677700000000002</v>
      </c>
      <c r="BT80">
        <v>16.076599999999999</v>
      </c>
      <c r="BU80">
        <v>1799.99</v>
      </c>
      <c r="BV80">
        <v>0.90998500000000004</v>
      </c>
      <c r="BW80">
        <v>3.40086E-2</v>
      </c>
      <c r="BX80">
        <v>2.2002899999999999E-2</v>
      </c>
      <c r="BY80">
        <v>3.4003499999999999E-2</v>
      </c>
      <c r="BZ80">
        <v>25.666699999999999</v>
      </c>
      <c r="CA80">
        <v>33528.1</v>
      </c>
      <c r="CB80">
        <v>1690229084.0999999</v>
      </c>
      <c r="CC80" t="s">
        <v>332</v>
      </c>
      <c r="CD80">
        <v>1690229084.0999999</v>
      </c>
      <c r="CE80">
        <v>1690229076.5999999</v>
      </c>
      <c r="CF80">
        <v>13</v>
      </c>
      <c r="CG80">
        <v>0.23300000000000001</v>
      </c>
      <c r="CH80">
        <v>-0.13100000000000001</v>
      </c>
      <c r="CI80">
        <v>-0.20599999999999999</v>
      </c>
      <c r="CJ80">
        <v>8.7999999999999995E-2</v>
      </c>
      <c r="CK80">
        <v>799</v>
      </c>
      <c r="CL80">
        <v>16</v>
      </c>
      <c r="CM80">
        <v>0.04</v>
      </c>
      <c r="CN80">
        <v>0.04</v>
      </c>
      <c r="CO80">
        <v>-34.479242499999998</v>
      </c>
      <c r="CP80">
        <v>-12.51541801125701</v>
      </c>
      <c r="CQ80">
        <v>1.204218440086245</v>
      </c>
      <c r="CR80">
        <v>-1</v>
      </c>
      <c r="CS80">
        <v>3.2179604999999998</v>
      </c>
      <c r="CT80">
        <v>0.68996938086303039</v>
      </c>
      <c r="CU80">
        <v>6.7881885984038465E-2</v>
      </c>
      <c r="CV80">
        <v>-1</v>
      </c>
      <c r="CW80">
        <v>0</v>
      </c>
      <c r="CX80">
        <v>0</v>
      </c>
      <c r="CY80" t="s">
        <v>333</v>
      </c>
      <c r="CZ80">
        <v>2.3645100000000001</v>
      </c>
      <c r="DA80">
        <v>2.7138</v>
      </c>
      <c r="DB80">
        <v>0.14205400000000001</v>
      </c>
      <c r="DC80">
        <v>0.146228</v>
      </c>
      <c r="DD80">
        <v>0.106391</v>
      </c>
      <c r="DE80">
        <v>9.3321500000000002E-2</v>
      </c>
      <c r="DF80">
        <v>31321.599999999999</v>
      </c>
      <c r="DG80">
        <v>27513.5</v>
      </c>
      <c r="DH80">
        <v>31167.200000000001</v>
      </c>
      <c r="DI80">
        <v>28080.7</v>
      </c>
      <c r="DJ80">
        <v>37816.800000000003</v>
      </c>
      <c r="DK80">
        <v>36206.9</v>
      </c>
      <c r="DL80">
        <v>44355.4</v>
      </c>
      <c r="DM80">
        <v>42566.6</v>
      </c>
      <c r="DN80">
        <v>1.4732700000000001</v>
      </c>
      <c r="DO80">
        <v>2.0518000000000001</v>
      </c>
      <c r="DP80">
        <v>0.138074</v>
      </c>
      <c r="DQ80">
        <v>0.17793500000000001</v>
      </c>
      <c r="DR80">
        <v>24.700099999999999</v>
      </c>
      <c r="DS80">
        <v>24.4833</v>
      </c>
      <c r="DT80">
        <v>56.7</v>
      </c>
      <c r="DU80">
        <v>29.2</v>
      </c>
      <c r="DV80">
        <v>23.292100000000001</v>
      </c>
      <c r="DW80">
        <v>61.8598</v>
      </c>
      <c r="DX80">
        <v>35.977600000000002</v>
      </c>
      <c r="DY80">
        <v>1</v>
      </c>
      <c r="DZ80">
        <v>-7.10036E-2</v>
      </c>
      <c r="EA80">
        <v>0.67030500000000004</v>
      </c>
      <c r="EB80">
        <v>20.187899999999999</v>
      </c>
      <c r="EC80">
        <v>5.2408000000000001</v>
      </c>
      <c r="ED80">
        <v>12.039899999999999</v>
      </c>
      <c r="EE80">
        <v>5.0170500000000002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1.8646400000000001</v>
      </c>
      <c r="EM80">
        <v>1.8692</v>
      </c>
      <c r="EN80">
        <v>1.86724</v>
      </c>
      <c r="EO80">
        <v>1.8633999999999999</v>
      </c>
      <c r="EP80">
        <v>1.8644799999999999</v>
      </c>
      <c r="EQ80">
        <v>1.87015</v>
      </c>
      <c r="ER80">
        <v>1.8693900000000001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-0.18099999999999999</v>
      </c>
      <c r="FG80">
        <v>0.17860000000000001</v>
      </c>
      <c r="FH80">
        <v>0.3448811944559278</v>
      </c>
      <c r="FI80">
        <v>-6.1462078757559423E-4</v>
      </c>
      <c r="FJ80">
        <v>-1.8861989874597051E-7</v>
      </c>
      <c r="FK80">
        <v>1.1980462299894961E-10</v>
      </c>
      <c r="FL80">
        <v>0.17862261546663211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20.7</v>
      </c>
      <c r="FU80">
        <v>20.8</v>
      </c>
      <c r="FV80">
        <v>1.79077</v>
      </c>
      <c r="FW80">
        <v>2.5830099999999998</v>
      </c>
      <c r="FX80">
        <v>1.5490699999999999</v>
      </c>
      <c r="FY80">
        <v>2.3290999999999999</v>
      </c>
      <c r="FZ80">
        <v>1.50146</v>
      </c>
      <c r="GA80">
        <v>2.4047900000000002</v>
      </c>
      <c r="GB80">
        <v>33.986499999999999</v>
      </c>
      <c r="GC80">
        <v>23.991199999999999</v>
      </c>
      <c r="GD80">
        <v>19</v>
      </c>
      <c r="GE80">
        <v>282.76400000000001</v>
      </c>
      <c r="GF80">
        <v>598.971</v>
      </c>
      <c r="GG80">
        <v>22.6995</v>
      </c>
      <c r="GH80">
        <v>26.466100000000001</v>
      </c>
      <c r="GI80">
        <v>29.999500000000001</v>
      </c>
      <c r="GJ80">
        <v>26.608499999999999</v>
      </c>
      <c r="GK80">
        <v>26.5946</v>
      </c>
      <c r="GL80">
        <v>35.792200000000001</v>
      </c>
      <c r="GM80">
        <v>30.0228</v>
      </c>
      <c r="GN80">
        <v>98.489400000000003</v>
      </c>
      <c r="GO80">
        <v>22.7072</v>
      </c>
      <c r="GP80">
        <v>800</v>
      </c>
      <c r="GQ80">
        <v>18.4114</v>
      </c>
      <c r="GR80">
        <v>99.723799999999997</v>
      </c>
      <c r="GS80">
        <v>99.572400000000002</v>
      </c>
    </row>
    <row r="81" spans="1:201" x14ac:dyDescent="0.25">
      <c r="A81">
        <v>65</v>
      </c>
      <c r="B81">
        <v>1690230334.5999999</v>
      </c>
      <c r="C81">
        <v>829.5</v>
      </c>
      <c r="D81" t="s">
        <v>463</v>
      </c>
      <c r="E81" t="s">
        <v>464</v>
      </c>
      <c r="F81" t="s">
        <v>330</v>
      </c>
      <c r="H81">
        <v>1690230334.5999999</v>
      </c>
      <c r="I81">
        <f t="shared" ref="I81:I144" si="30">(J81)/1000</f>
        <v>3.3263132404132801E-4</v>
      </c>
      <c r="J81">
        <f t="shared" ref="J81:J144" si="31">1000*AZ81*AH81*(AV81-AW81)/(100*AO81*(1000-AH81*AV81))</f>
        <v>0.332631324041328</v>
      </c>
      <c r="K81">
        <f t="shared" ref="K81:K144" si="32">AZ81*AH81*(AU81-AT81*(1000-AH81*AW81)/(1000-AH81*AV81))/(100*AO81)</f>
        <v>3.4839825349348796</v>
      </c>
      <c r="L81">
        <f t="shared" ref="L81:L144" si="33">AT81 - IF(AH81&gt;1, K81*AO81*100/(AJ81*BH81), 0)</f>
        <v>760.86500000000001</v>
      </c>
      <c r="M81">
        <f t="shared" ref="M81:M144" si="34">((S81-I81/2)*L81-K81)/(S81+I81/2)</f>
        <v>477.93168500630674</v>
      </c>
      <c r="N81">
        <f t="shared" ref="N81:N144" si="35">M81*(BA81+BB81)/1000</f>
        <v>47.387746699146781</v>
      </c>
      <c r="O81">
        <f t="shared" ref="O81:O144" si="36">(AT81 - IF(AH81&gt;1, K81*AO81*100/(AJ81*BH81), 0))*(BA81+BB81)/1000</f>
        <v>75.441070394340002</v>
      </c>
      <c r="P81">
        <f t="shared" ref="P81:P144" si="37">2/((1/R81-1/Q81)+SIGN(R81)*SQRT((1/R81-1/Q81)*(1/R81-1/Q81) + 4*AP81/((AP81+1)*(AP81+1))*(2*1/R81*1/Q81-1/Q81*1/Q81)))</f>
        <v>2.0962673967595429E-2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2.1783702177306941</v>
      </c>
      <c r="R81">
        <f t="shared" ref="R81:R144" si="39">I81*(1000-(1000*0.61365*EXP(17.502*V81/(240.97+V81))/(BA81+BB81)+AV81)/2)/(1000*0.61365*EXP(17.502*V81/(240.97+V81))/(BA81+BB81)-AV81)</f>
        <v>2.0851247201120689E-2</v>
      </c>
      <c r="S81">
        <f t="shared" ref="S81:S144" si="40">1/((AP81+1)/(P81/1.6)+1/(Q81/1.37)) + AP81/((AP81+1)/(P81/1.6) + AP81/(Q81/1.37))</f>
        <v>1.3041991275551841E-2</v>
      </c>
      <c r="T81">
        <f t="shared" ref="T81:T144" si="41">(AK81*AN81)</f>
        <v>276.11436780076787</v>
      </c>
      <c r="U81">
        <f t="shared" ref="U81:U144" si="42">(BC81+(T81+2*0.95*0.0000000567*(((BC81+$B$7)+273)^4-(BC81+273)^4)-44100*I81)/(1.84*29.3*Q81+8*0.95*0.0000000567*(BC81+273)^3))</f>
        <v>27.572376800157556</v>
      </c>
      <c r="V81">
        <f t="shared" ref="V81:V144" si="43">($C$7*BD81+$D$7*BE81+$E$7*U81)</f>
        <v>27.572376800157556</v>
      </c>
      <c r="W81">
        <f t="shared" ref="W81:W144" si="44">0.61365*EXP(17.502*V81/(240.97+V81))</f>
        <v>3.7012607477547368</v>
      </c>
      <c r="X81">
        <f t="shared" ref="X81:X144" si="45">(Y81/Z81*100)</f>
        <v>65.960048128142006</v>
      </c>
      <c r="Y81">
        <f t="shared" ref="Y81:Y144" si="46">AV81*(BA81+BB81)/1000</f>
        <v>2.1663360973692001</v>
      </c>
      <c r="Z81">
        <f t="shared" ref="Z81:Z144" si="47">0.61365*EXP(17.502*BC81/(240.97+BC81))</f>
        <v>3.2843155195408777</v>
      </c>
      <c r="AA81">
        <f t="shared" ref="AA81:AA144" si="48">(W81-AV81*(BA81+BB81)/1000)</f>
        <v>1.5349246503855367</v>
      </c>
      <c r="AB81">
        <f t="shared" ref="AB81:AB144" si="49">(-I81*44100)</f>
        <v>-14.669041390222565</v>
      </c>
      <c r="AC81">
        <f t="shared" ref="AC81:AC144" si="50">2*29.3*Q81*0.92*(BC81-V81)</f>
        <v>-238.18968208427771</v>
      </c>
      <c r="AD81">
        <f t="shared" ref="AD81:AD144" si="51">2*0.95*0.0000000567*(((BC81+$B$7)+273)^4-(V81+273)^4)</f>
        <v>-23.493702243051171</v>
      </c>
      <c r="AE81">
        <f t="shared" ref="AE81:AE144" si="52">T81+AD81+AB81+AC81</f>
        <v>-0.23805791678356059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52631.138561889413</v>
      </c>
      <c r="AK81">
        <f t="shared" ref="AK81:AK144" si="56">$B$11*BI81+$C$11*BJ81+$D$11*BU81</f>
        <v>1799.99</v>
      </c>
      <c r="AL81">
        <f t="shared" ref="AL81:AL144" si="57">AK81*AM81</f>
        <v>1499.1020804088398</v>
      </c>
      <c r="AM81">
        <f t="shared" ref="AM81:AM144" si="58">($B$11*$D$9+$C$11*$D$9+$D$11*(BV81*$E$9+BW81*$F$9+BX81*$G$9+BY81*$H$9))/($B$11+$C$11+$D$11)</f>
        <v>0.83283911599999993</v>
      </c>
      <c r="AN81">
        <f t="shared" ref="AN81:AN144" si="59">($B$11*$K$9+$C$11*$K$9+$D$11*(BV81*$L$9+BW81*$M$9+BX81*$N$9+BY81*$O$9))/($B$11+$C$11+$D$11)</f>
        <v>0.15339772320999998</v>
      </c>
      <c r="AO81">
        <v>31.5</v>
      </c>
      <c r="AP81">
        <v>0.5</v>
      </c>
      <c r="AQ81" t="s">
        <v>331</v>
      </c>
      <c r="AR81">
        <v>2</v>
      </c>
      <c r="AS81">
        <v>1690230334.5999999</v>
      </c>
      <c r="AT81">
        <v>760.86500000000001</v>
      </c>
      <c r="AU81">
        <v>800.07299999999998</v>
      </c>
      <c r="AV81">
        <v>21.848700000000001</v>
      </c>
      <c r="AW81">
        <v>18.435099999999998</v>
      </c>
      <c r="AX81">
        <v>761.04399999999998</v>
      </c>
      <c r="AY81">
        <v>21.670100000000001</v>
      </c>
      <c r="AZ81">
        <v>300.23899999999998</v>
      </c>
      <c r="BA81">
        <v>99.051699999999997</v>
      </c>
      <c r="BB81">
        <v>0.10001599999999999</v>
      </c>
      <c r="BC81">
        <v>25.5442</v>
      </c>
      <c r="BD81">
        <v>26.981100000000001</v>
      </c>
      <c r="BE81">
        <v>27.403600000000001</v>
      </c>
      <c r="BF81">
        <v>0</v>
      </c>
      <c r="BG81">
        <v>0</v>
      </c>
      <c r="BH81">
        <v>10000</v>
      </c>
      <c r="BI81">
        <v>1056.8699999999999</v>
      </c>
      <c r="BJ81">
        <v>1.4016500000000001</v>
      </c>
      <c r="BK81">
        <v>-39.208100000000002</v>
      </c>
      <c r="BL81">
        <v>777.86</v>
      </c>
      <c r="BM81">
        <v>815.1</v>
      </c>
      <c r="BN81">
        <v>3.4136099999999998</v>
      </c>
      <c r="BO81">
        <v>800.07299999999998</v>
      </c>
      <c r="BP81">
        <v>18.435099999999998</v>
      </c>
      <c r="BQ81">
        <v>2.1641499999999998</v>
      </c>
      <c r="BR81">
        <v>1.82603</v>
      </c>
      <c r="BS81">
        <v>18.699400000000001</v>
      </c>
      <c r="BT81">
        <v>16.011399999999998</v>
      </c>
      <c r="BU81">
        <v>1799.99</v>
      </c>
      <c r="BV81">
        <v>0.90998800000000002</v>
      </c>
      <c r="BW81">
        <v>3.4007599999999999E-2</v>
      </c>
      <c r="BX81">
        <v>2.2002299999999999E-2</v>
      </c>
      <c r="BY81">
        <v>3.4002499999999998E-2</v>
      </c>
      <c r="BZ81">
        <v>25.666699999999999</v>
      </c>
      <c r="CA81">
        <v>33528.199999999997</v>
      </c>
      <c r="CB81">
        <v>1690229084.0999999</v>
      </c>
      <c r="CC81" t="s">
        <v>332</v>
      </c>
      <c r="CD81">
        <v>1690229084.0999999</v>
      </c>
      <c r="CE81">
        <v>1690229076.5999999</v>
      </c>
      <c r="CF81">
        <v>13</v>
      </c>
      <c r="CG81">
        <v>0.23300000000000001</v>
      </c>
      <c r="CH81">
        <v>-0.13100000000000001</v>
      </c>
      <c r="CI81">
        <v>-0.20599999999999999</v>
      </c>
      <c r="CJ81">
        <v>8.7999999999999995E-2</v>
      </c>
      <c r="CK81">
        <v>799</v>
      </c>
      <c r="CL81">
        <v>16</v>
      </c>
      <c r="CM81">
        <v>0.04</v>
      </c>
      <c r="CN81">
        <v>0.04</v>
      </c>
      <c r="CO81">
        <v>-36.699770731707318</v>
      </c>
      <c r="CP81">
        <v>-13.365579094076629</v>
      </c>
      <c r="CQ81">
        <v>1.318792152532912</v>
      </c>
      <c r="CR81">
        <v>-1</v>
      </c>
      <c r="CS81">
        <v>3.3139180487804869</v>
      </c>
      <c r="CT81">
        <v>0.40910362369338599</v>
      </c>
      <c r="CU81">
        <v>4.1796386191054448E-2</v>
      </c>
      <c r="CV81">
        <v>-1</v>
      </c>
      <c r="CW81">
        <v>0</v>
      </c>
      <c r="CX81">
        <v>0</v>
      </c>
      <c r="CY81" t="s">
        <v>333</v>
      </c>
      <c r="CZ81">
        <v>2.3643999999999998</v>
      </c>
      <c r="DA81">
        <v>2.7138100000000001</v>
      </c>
      <c r="DB81">
        <v>0.141766</v>
      </c>
      <c r="DC81">
        <v>0.14622499999999999</v>
      </c>
      <c r="DD81">
        <v>0.10649400000000001</v>
      </c>
      <c r="DE81">
        <v>9.3044000000000002E-2</v>
      </c>
      <c r="DF81">
        <v>31331.8</v>
      </c>
      <c r="DG81">
        <v>27514.3</v>
      </c>
      <c r="DH81">
        <v>31166.9</v>
      </c>
      <c r="DI81">
        <v>28081.3</v>
      </c>
      <c r="DJ81">
        <v>37812</v>
      </c>
      <c r="DK81">
        <v>36218.800000000003</v>
      </c>
      <c r="DL81">
        <v>44354.9</v>
      </c>
      <c r="DM81">
        <v>42567.5</v>
      </c>
      <c r="DN81">
        <v>1.47275</v>
      </c>
      <c r="DO81">
        <v>2.0514800000000002</v>
      </c>
      <c r="DP81">
        <v>0.139683</v>
      </c>
      <c r="DQ81">
        <v>0.178508</v>
      </c>
      <c r="DR81">
        <v>24.692299999999999</v>
      </c>
      <c r="DS81">
        <v>24.479199999999999</v>
      </c>
      <c r="DT81">
        <v>56.7</v>
      </c>
      <c r="DU81">
        <v>29.2</v>
      </c>
      <c r="DV81">
        <v>23.291699999999999</v>
      </c>
      <c r="DW81">
        <v>61.879800000000003</v>
      </c>
      <c r="DX81">
        <v>35.512799999999999</v>
      </c>
      <c r="DY81">
        <v>1</v>
      </c>
      <c r="DZ81">
        <v>-7.1097599999999997E-2</v>
      </c>
      <c r="EA81">
        <v>0.58107600000000004</v>
      </c>
      <c r="EB81">
        <v>20.187999999999999</v>
      </c>
      <c r="EC81">
        <v>5.2404999999999999</v>
      </c>
      <c r="ED81">
        <v>12.039899999999999</v>
      </c>
      <c r="EE81">
        <v>5.01675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1.8646199999999999</v>
      </c>
      <c r="EM81">
        <v>1.8692</v>
      </c>
      <c r="EN81">
        <v>1.8672299999999999</v>
      </c>
      <c r="EO81">
        <v>1.8633999999999999</v>
      </c>
      <c r="EP81">
        <v>1.8644700000000001</v>
      </c>
      <c r="EQ81">
        <v>1.87015</v>
      </c>
      <c r="ER81">
        <v>1.8694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-0.17899999999999999</v>
      </c>
      <c r="FG81">
        <v>0.17860000000000001</v>
      </c>
      <c r="FH81">
        <v>0.3448811944559278</v>
      </c>
      <c r="FI81">
        <v>-6.1462078757559423E-4</v>
      </c>
      <c r="FJ81">
        <v>-1.8861989874597051E-7</v>
      </c>
      <c r="FK81">
        <v>1.1980462299894961E-10</v>
      </c>
      <c r="FL81">
        <v>0.17862261546663211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20.8</v>
      </c>
      <c r="FU81">
        <v>21</v>
      </c>
      <c r="FV81">
        <v>1.78955</v>
      </c>
      <c r="FW81">
        <v>2.5927699999999998</v>
      </c>
      <c r="FX81">
        <v>1.5490699999999999</v>
      </c>
      <c r="FY81">
        <v>2.3290999999999999</v>
      </c>
      <c r="FZ81">
        <v>1.50146</v>
      </c>
      <c r="GA81">
        <v>2.3071299999999999</v>
      </c>
      <c r="GB81">
        <v>33.986499999999999</v>
      </c>
      <c r="GC81">
        <v>23.973700000000001</v>
      </c>
      <c r="GD81">
        <v>19</v>
      </c>
      <c r="GE81">
        <v>282.52499999999998</v>
      </c>
      <c r="GF81">
        <v>598.65800000000002</v>
      </c>
      <c r="GG81">
        <v>22.771999999999998</v>
      </c>
      <c r="GH81">
        <v>26.459900000000001</v>
      </c>
      <c r="GI81">
        <v>30.0001</v>
      </c>
      <c r="GJ81">
        <v>26.605</v>
      </c>
      <c r="GK81">
        <v>26.5913</v>
      </c>
      <c r="GL81">
        <v>35.7883</v>
      </c>
      <c r="GM81">
        <v>30.2957</v>
      </c>
      <c r="GN81">
        <v>98.114099999999993</v>
      </c>
      <c r="GO81">
        <v>22.7818</v>
      </c>
      <c r="GP81">
        <v>800</v>
      </c>
      <c r="GQ81">
        <v>18.329000000000001</v>
      </c>
      <c r="GR81">
        <v>99.722800000000007</v>
      </c>
      <c r="GS81">
        <v>99.574700000000007</v>
      </c>
    </row>
    <row r="82" spans="1:201" x14ac:dyDescent="0.25">
      <c r="A82">
        <v>66</v>
      </c>
      <c r="B82">
        <v>1690230344.5999999</v>
      </c>
      <c r="C82">
        <v>839.5</v>
      </c>
      <c r="D82" t="s">
        <v>465</v>
      </c>
      <c r="E82" t="s">
        <v>466</v>
      </c>
      <c r="F82" t="s">
        <v>330</v>
      </c>
      <c r="H82">
        <v>1690230344.5999999</v>
      </c>
      <c r="I82">
        <f t="shared" si="30"/>
        <v>3.4396272912866447E-4</v>
      </c>
      <c r="J82">
        <f t="shared" si="31"/>
        <v>0.34396272912866449</v>
      </c>
      <c r="K82">
        <f t="shared" si="32"/>
        <v>3.6971477189965083</v>
      </c>
      <c r="L82">
        <f t="shared" si="33"/>
        <v>758.47</v>
      </c>
      <c r="M82">
        <f t="shared" si="34"/>
        <v>469.07188191161185</v>
      </c>
      <c r="N82">
        <f t="shared" si="35"/>
        <v>46.50951514761099</v>
      </c>
      <c r="O82">
        <f t="shared" si="36"/>
        <v>75.203978994110003</v>
      </c>
      <c r="P82">
        <f t="shared" si="37"/>
        <v>2.1710146157856873E-2</v>
      </c>
      <c r="Q82">
        <f t="shared" si="38"/>
        <v>2.1767834702749926</v>
      </c>
      <c r="R82">
        <f t="shared" si="39"/>
        <v>2.159056922688668E-2</v>
      </c>
      <c r="S82">
        <f t="shared" si="40"/>
        <v>1.3504794269995461E-2</v>
      </c>
      <c r="T82">
        <f t="shared" si="41"/>
        <v>276.11402546066978</v>
      </c>
      <c r="U82">
        <f t="shared" si="42"/>
        <v>27.576130415457076</v>
      </c>
      <c r="V82">
        <f t="shared" si="43"/>
        <v>27.576130415457076</v>
      </c>
      <c r="W82">
        <f t="shared" si="44"/>
        <v>3.7020733275893214</v>
      </c>
      <c r="X82">
        <f t="shared" si="45"/>
        <v>66.023529204695819</v>
      </c>
      <c r="Y82">
        <f t="shared" si="46"/>
        <v>2.1692322855713999</v>
      </c>
      <c r="Z82">
        <f t="shared" si="47"/>
        <v>3.2855442774742141</v>
      </c>
      <c r="AA82">
        <f t="shared" si="48"/>
        <v>1.5328410420179215</v>
      </c>
      <c r="AB82">
        <f t="shared" si="49"/>
        <v>-15.168756354574104</v>
      </c>
      <c r="AC82">
        <f t="shared" si="50"/>
        <v>-237.71735190881213</v>
      </c>
      <c r="AD82">
        <f t="shared" si="51"/>
        <v>-23.465386374502124</v>
      </c>
      <c r="AE82">
        <f t="shared" si="52"/>
        <v>-0.2374691772185713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52564.052281106422</v>
      </c>
      <c r="AK82">
        <f t="shared" si="56"/>
        <v>1799.99</v>
      </c>
      <c r="AL82">
        <f t="shared" si="57"/>
        <v>1499.1012632133798</v>
      </c>
      <c r="AM82">
        <f t="shared" si="58"/>
        <v>0.8328386619999999</v>
      </c>
      <c r="AN82">
        <f t="shared" si="59"/>
        <v>0.15339753301999998</v>
      </c>
      <c r="AO82">
        <v>31.5</v>
      </c>
      <c r="AP82">
        <v>0.5</v>
      </c>
      <c r="AQ82" t="s">
        <v>331</v>
      </c>
      <c r="AR82">
        <v>2</v>
      </c>
      <c r="AS82">
        <v>1690230344.5999999</v>
      </c>
      <c r="AT82">
        <v>758.47</v>
      </c>
      <c r="AU82">
        <v>800</v>
      </c>
      <c r="AV82">
        <v>21.877800000000001</v>
      </c>
      <c r="AW82">
        <v>18.3477</v>
      </c>
      <c r="AX82">
        <v>758.64800000000002</v>
      </c>
      <c r="AY82">
        <v>21.699100000000001</v>
      </c>
      <c r="AZ82">
        <v>300.21199999999999</v>
      </c>
      <c r="BA82">
        <v>99.052199999999999</v>
      </c>
      <c r="BB82">
        <v>0.100013</v>
      </c>
      <c r="BC82">
        <v>25.5505</v>
      </c>
      <c r="BD82">
        <v>26.994900000000001</v>
      </c>
      <c r="BE82">
        <v>27.405000000000001</v>
      </c>
      <c r="BF82">
        <v>0</v>
      </c>
      <c r="BG82">
        <v>0</v>
      </c>
      <c r="BH82">
        <v>9986.8799999999992</v>
      </c>
      <c r="BI82">
        <v>1056.97</v>
      </c>
      <c r="BJ82">
        <v>1.3736200000000001</v>
      </c>
      <c r="BK82">
        <v>-41.529400000000003</v>
      </c>
      <c r="BL82">
        <v>775.43499999999995</v>
      </c>
      <c r="BM82">
        <v>814.952</v>
      </c>
      <c r="BN82">
        <v>3.5300600000000002</v>
      </c>
      <c r="BO82">
        <v>800</v>
      </c>
      <c r="BP82">
        <v>18.3477</v>
      </c>
      <c r="BQ82">
        <v>2.1670400000000001</v>
      </c>
      <c r="BR82">
        <v>1.81738</v>
      </c>
      <c r="BS82">
        <v>18.720700000000001</v>
      </c>
      <c r="BT82">
        <v>15.937099999999999</v>
      </c>
      <c r="BU82">
        <v>1799.99</v>
      </c>
      <c r="BV82">
        <v>0.90998999999999997</v>
      </c>
      <c r="BW82">
        <v>3.4006599999999998E-2</v>
      </c>
      <c r="BX82">
        <v>2.20016E-2</v>
      </c>
      <c r="BY82">
        <v>3.4001400000000001E-2</v>
      </c>
      <c r="BZ82">
        <v>25.666699999999999</v>
      </c>
      <c r="CA82">
        <v>33528.199999999997</v>
      </c>
      <c r="CB82">
        <v>1690229084.0999999</v>
      </c>
      <c r="CC82" t="s">
        <v>332</v>
      </c>
      <c r="CD82">
        <v>1690229084.0999999</v>
      </c>
      <c r="CE82">
        <v>1690229076.5999999</v>
      </c>
      <c r="CF82">
        <v>13</v>
      </c>
      <c r="CG82">
        <v>0.23300000000000001</v>
      </c>
      <c r="CH82">
        <v>-0.13100000000000001</v>
      </c>
      <c r="CI82">
        <v>-0.20599999999999999</v>
      </c>
      <c r="CJ82">
        <v>8.7999999999999995E-2</v>
      </c>
      <c r="CK82">
        <v>799</v>
      </c>
      <c r="CL82">
        <v>16</v>
      </c>
      <c r="CM82">
        <v>0.04</v>
      </c>
      <c r="CN82">
        <v>0.04</v>
      </c>
      <c r="CO82">
        <v>-38.917375</v>
      </c>
      <c r="CP82">
        <v>-13.760222138836641</v>
      </c>
      <c r="CQ82">
        <v>1.324223498838093</v>
      </c>
      <c r="CR82">
        <v>-1</v>
      </c>
      <c r="CS82">
        <v>3.41159525</v>
      </c>
      <c r="CT82">
        <v>0.8072993245778628</v>
      </c>
      <c r="CU82">
        <v>7.8609968006210867E-2</v>
      </c>
      <c r="CV82">
        <v>-1</v>
      </c>
      <c r="CW82">
        <v>0</v>
      </c>
      <c r="CX82">
        <v>0</v>
      </c>
      <c r="CY82" t="s">
        <v>333</v>
      </c>
      <c r="CZ82">
        <v>2.3643399999999999</v>
      </c>
      <c r="DA82">
        <v>2.7137899999999999</v>
      </c>
      <c r="DB82">
        <v>0.14146700000000001</v>
      </c>
      <c r="DC82">
        <v>0.14621600000000001</v>
      </c>
      <c r="DD82">
        <v>0.106597</v>
      </c>
      <c r="DE82">
        <v>9.2729000000000006E-2</v>
      </c>
      <c r="DF82">
        <v>31343.200000000001</v>
      </c>
      <c r="DG82">
        <v>27515</v>
      </c>
      <c r="DH82">
        <v>31167.4</v>
      </c>
      <c r="DI82">
        <v>28081.7</v>
      </c>
      <c r="DJ82">
        <v>37808.199999999997</v>
      </c>
      <c r="DK82">
        <v>36231.9</v>
      </c>
      <c r="DL82">
        <v>44355.7</v>
      </c>
      <c r="DM82">
        <v>42568.1</v>
      </c>
      <c r="DN82">
        <v>1.4729000000000001</v>
      </c>
      <c r="DO82">
        <v>2.05185</v>
      </c>
      <c r="DP82">
        <v>0.140846</v>
      </c>
      <c r="DQ82">
        <v>0.178814</v>
      </c>
      <c r="DR82">
        <v>24.687100000000001</v>
      </c>
      <c r="DS82">
        <v>24.4756</v>
      </c>
      <c r="DT82">
        <v>56.7</v>
      </c>
      <c r="DU82">
        <v>29.2</v>
      </c>
      <c r="DV82">
        <v>23.288499999999999</v>
      </c>
      <c r="DW82">
        <v>61.959800000000001</v>
      </c>
      <c r="DX82">
        <v>36.213900000000002</v>
      </c>
      <c r="DY82">
        <v>1</v>
      </c>
      <c r="DZ82">
        <v>-7.1862300000000004E-2</v>
      </c>
      <c r="EA82">
        <v>0.67682200000000003</v>
      </c>
      <c r="EB82">
        <v>20.1876</v>
      </c>
      <c r="EC82">
        <v>5.2408000000000001</v>
      </c>
      <c r="ED82">
        <v>12.039899999999999</v>
      </c>
      <c r="EE82">
        <v>5.0170000000000003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1.8646400000000001</v>
      </c>
      <c r="EM82">
        <v>1.8692</v>
      </c>
      <c r="EN82">
        <v>1.8672200000000001</v>
      </c>
      <c r="EO82">
        <v>1.8633999999999999</v>
      </c>
      <c r="EP82">
        <v>1.8644700000000001</v>
      </c>
      <c r="EQ82">
        <v>1.8701399999999999</v>
      </c>
      <c r="ER82">
        <v>1.8694200000000001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-0.17799999999999999</v>
      </c>
      <c r="FG82">
        <v>0.1787</v>
      </c>
      <c r="FH82">
        <v>0.3448811944559278</v>
      </c>
      <c r="FI82">
        <v>-6.1462078757559423E-4</v>
      </c>
      <c r="FJ82">
        <v>-1.8861989874597051E-7</v>
      </c>
      <c r="FK82">
        <v>1.1980462299894961E-10</v>
      </c>
      <c r="FL82">
        <v>0.17862261546663211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21</v>
      </c>
      <c r="FU82">
        <v>21.1</v>
      </c>
      <c r="FV82">
        <v>1.78955</v>
      </c>
      <c r="FW82">
        <v>2.5817899999999998</v>
      </c>
      <c r="FX82">
        <v>1.5490699999999999</v>
      </c>
      <c r="FY82">
        <v>2.3290999999999999</v>
      </c>
      <c r="FZ82">
        <v>1.50146</v>
      </c>
      <c r="GA82">
        <v>2.4157700000000002</v>
      </c>
      <c r="GB82">
        <v>33.986499999999999</v>
      </c>
      <c r="GC82">
        <v>23.982399999999998</v>
      </c>
      <c r="GD82">
        <v>19</v>
      </c>
      <c r="GE82">
        <v>282.57400000000001</v>
      </c>
      <c r="GF82">
        <v>598.94799999999998</v>
      </c>
      <c r="GG82">
        <v>22.823499999999999</v>
      </c>
      <c r="GH82">
        <v>26.453800000000001</v>
      </c>
      <c r="GI82">
        <v>30</v>
      </c>
      <c r="GJ82">
        <v>26.601700000000001</v>
      </c>
      <c r="GK82">
        <v>26.589099999999998</v>
      </c>
      <c r="GL82">
        <v>35.787100000000002</v>
      </c>
      <c r="GM82">
        <v>30.577300000000001</v>
      </c>
      <c r="GN82">
        <v>98.114099999999993</v>
      </c>
      <c r="GO82">
        <v>22.816600000000001</v>
      </c>
      <c r="GP82">
        <v>800</v>
      </c>
      <c r="GQ82">
        <v>18.2453</v>
      </c>
      <c r="GR82">
        <v>99.724299999999999</v>
      </c>
      <c r="GS82">
        <v>99.576099999999997</v>
      </c>
    </row>
    <row r="83" spans="1:201" x14ac:dyDescent="0.25">
      <c r="A83">
        <v>67</v>
      </c>
      <c r="B83">
        <v>1690230354.5999999</v>
      </c>
      <c r="C83">
        <v>849.5</v>
      </c>
      <c r="D83" t="s">
        <v>467</v>
      </c>
      <c r="E83" t="s">
        <v>468</v>
      </c>
      <c r="F83" t="s">
        <v>330</v>
      </c>
      <c r="H83">
        <v>1690230354.5999999</v>
      </c>
      <c r="I83">
        <f t="shared" si="30"/>
        <v>3.4449618144843176E-4</v>
      </c>
      <c r="J83">
        <f t="shared" si="31"/>
        <v>0.34449618144843175</v>
      </c>
      <c r="K83">
        <f t="shared" si="32"/>
        <v>3.9226033118029671</v>
      </c>
      <c r="L83">
        <f t="shared" si="33"/>
        <v>756.09400000000005</v>
      </c>
      <c r="M83">
        <f t="shared" si="34"/>
        <v>450.90761767563845</v>
      </c>
      <c r="N83">
        <f t="shared" si="35"/>
        <v>44.70825367913627</v>
      </c>
      <c r="O83">
        <f t="shared" si="36"/>
        <v>74.968000167142009</v>
      </c>
      <c r="P83">
        <f t="shared" si="37"/>
        <v>2.175767543891478E-2</v>
      </c>
      <c r="Q83">
        <f t="shared" si="38"/>
        <v>2.1820769162728029</v>
      </c>
      <c r="R83">
        <f t="shared" si="39"/>
        <v>2.163786554134128E-2</v>
      </c>
      <c r="S83">
        <f t="shared" si="40"/>
        <v>1.3534375303674608E-2</v>
      </c>
      <c r="T83">
        <f t="shared" si="41"/>
        <v>276.11385660360793</v>
      </c>
      <c r="U83">
        <f t="shared" si="42"/>
        <v>27.550806744818473</v>
      </c>
      <c r="V83">
        <f t="shared" si="43"/>
        <v>27.550806744818473</v>
      </c>
      <c r="W83">
        <f t="shared" si="44"/>
        <v>3.6965942946182149</v>
      </c>
      <c r="X83">
        <f t="shared" si="45"/>
        <v>65.965392822511902</v>
      </c>
      <c r="Y83">
        <f t="shared" si="46"/>
        <v>2.1646599312374</v>
      </c>
      <c r="Z83">
        <f t="shared" si="47"/>
        <v>3.2815084374039682</v>
      </c>
      <c r="AA83">
        <f t="shared" si="48"/>
        <v>1.5319343633808149</v>
      </c>
      <c r="AB83">
        <f t="shared" si="49"/>
        <v>-15.192281601875841</v>
      </c>
      <c r="AC83">
        <f t="shared" si="50"/>
        <v>-237.75149762643741</v>
      </c>
      <c r="AD83">
        <f t="shared" si="51"/>
        <v>-23.406428561115494</v>
      </c>
      <c r="AE83">
        <f t="shared" si="52"/>
        <v>-0.2363511858208085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52788.031173571108</v>
      </c>
      <c r="AK83">
        <f t="shared" si="56"/>
        <v>1799.99</v>
      </c>
      <c r="AL83">
        <f t="shared" si="57"/>
        <v>1499.1015494117903</v>
      </c>
      <c r="AM83">
        <f t="shared" si="58"/>
        <v>0.83283882100000017</v>
      </c>
      <c r="AN83">
        <f t="shared" si="59"/>
        <v>0.15339743921000001</v>
      </c>
      <c r="AO83">
        <v>31.5</v>
      </c>
      <c r="AP83">
        <v>0.5</v>
      </c>
      <c r="AQ83" t="s">
        <v>331</v>
      </c>
      <c r="AR83">
        <v>2</v>
      </c>
      <c r="AS83">
        <v>1690230354.5999999</v>
      </c>
      <c r="AT83">
        <v>756.09400000000005</v>
      </c>
      <c r="AU83">
        <v>799.98599999999999</v>
      </c>
      <c r="AV83">
        <v>21.831800000000001</v>
      </c>
      <c r="AW83">
        <v>18.295999999999999</v>
      </c>
      <c r="AX83">
        <v>756.27</v>
      </c>
      <c r="AY83">
        <v>21.653199999999998</v>
      </c>
      <c r="AZ83">
        <v>300.20699999999999</v>
      </c>
      <c r="BA83">
        <v>99.051599999999993</v>
      </c>
      <c r="BB83">
        <v>0.100093</v>
      </c>
      <c r="BC83">
        <v>25.529800000000002</v>
      </c>
      <c r="BD83">
        <v>27.044899999999998</v>
      </c>
      <c r="BE83">
        <v>27.3873</v>
      </c>
      <c r="BF83">
        <v>0</v>
      </c>
      <c r="BG83">
        <v>0</v>
      </c>
      <c r="BH83">
        <v>10030.6</v>
      </c>
      <c r="BI83">
        <v>1057.04</v>
      </c>
      <c r="BJ83">
        <v>1.28952</v>
      </c>
      <c r="BK83">
        <v>-43.891800000000003</v>
      </c>
      <c r="BL83">
        <v>772.96900000000005</v>
      </c>
      <c r="BM83">
        <v>814.89499999999998</v>
      </c>
      <c r="BN83">
        <v>3.5358100000000001</v>
      </c>
      <c r="BO83">
        <v>799.98599999999999</v>
      </c>
      <c r="BP83">
        <v>18.295999999999999</v>
      </c>
      <c r="BQ83">
        <v>2.1624699999999999</v>
      </c>
      <c r="BR83">
        <v>1.8122499999999999</v>
      </c>
      <c r="BS83">
        <v>18.687000000000001</v>
      </c>
      <c r="BT83">
        <v>15.892799999999999</v>
      </c>
      <c r="BU83">
        <v>1799.99</v>
      </c>
      <c r="BV83">
        <v>0.90999300000000005</v>
      </c>
      <c r="BW83">
        <v>3.4005399999999998E-2</v>
      </c>
      <c r="BX83">
        <v>2.2000800000000001E-2</v>
      </c>
      <c r="BY83">
        <v>3.4000299999999997E-2</v>
      </c>
      <c r="BZ83">
        <v>25.666699999999999</v>
      </c>
      <c r="CA83">
        <v>33528.1</v>
      </c>
      <c r="CB83">
        <v>1690229084.0999999</v>
      </c>
      <c r="CC83" t="s">
        <v>332</v>
      </c>
      <c r="CD83">
        <v>1690229084.0999999</v>
      </c>
      <c r="CE83">
        <v>1690229076.5999999</v>
      </c>
      <c r="CF83">
        <v>13</v>
      </c>
      <c r="CG83">
        <v>0.23300000000000001</v>
      </c>
      <c r="CH83">
        <v>-0.13100000000000001</v>
      </c>
      <c r="CI83">
        <v>-0.20599999999999999</v>
      </c>
      <c r="CJ83">
        <v>8.7999999999999995E-2</v>
      </c>
      <c r="CK83">
        <v>799</v>
      </c>
      <c r="CL83">
        <v>16</v>
      </c>
      <c r="CM83">
        <v>0.04</v>
      </c>
      <c r="CN83">
        <v>0.04</v>
      </c>
      <c r="CO83">
        <v>-41.329892682926832</v>
      </c>
      <c r="CP83">
        <v>-14.28977351916374</v>
      </c>
      <c r="CQ83">
        <v>1.409707793695202</v>
      </c>
      <c r="CR83">
        <v>-1</v>
      </c>
      <c r="CS83">
        <v>3.5165673170731711</v>
      </c>
      <c r="CT83">
        <v>0.44080515679443377</v>
      </c>
      <c r="CU83">
        <v>4.7682101413852651E-2</v>
      </c>
      <c r="CV83">
        <v>-1</v>
      </c>
      <c r="CW83">
        <v>0</v>
      </c>
      <c r="CX83">
        <v>0</v>
      </c>
      <c r="CY83" t="s">
        <v>333</v>
      </c>
      <c r="CZ83">
        <v>2.3643399999999999</v>
      </c>
      <c r="DA83">
        <v>2.7139099999999998</v>
      </c>
      <c r="DB83">
        <v>0.14116799999999999</v>
      </c>
      <c r="DC83">
        <v>0.14621400000000001</v>
      </c>
      <c r="DD83">
        <v>0.106437</v>
      </c>
      <c r="DE83">
        <v>9.2541799999999994E-2</v>
      </c>
      <c r="DF83">
        <v>31354.5</v>
      </c>
      <c r="DG83">
        <v>27515.1</v>
      </c>
      <c r="DH83">
        <v>31167.7</v>
      </c>
      <c r="DI83">
        <v>28081.7</v>
      </c>
      <c r="DJ83">
        <v>37815.5</v>
      </c>
      <c r="DK83">
        <v>36239.199999999997</v>
      </c>
      <c r="DL83">
        <v>44356.3</v>
      </c>
      <c r="DM83">
        <v>42568</v>
      </c>
      <c r="DN83">
        <v>1.4721</v>
      </c>
      <c r="DO83">
        <v>2.05185</v>
      </c>
      <c r="DP83">
        <v>0.14425099999999999</v>
      </c>
      <c r="DQ83">
        <v>0.17785300000000001</v>
      </c>
      <c r="DR83">
        <v>24.6814</v>
      </c>
      <c r="DS83">
        <v>24.473500000000001</v>
      </c>
      <c r="DT83">
        <v>56.7</v>
      </c>
      <c r="DU83">
        <v>29.2</v>
      </c>
      <c r="DV83">
        <v>23.291599999999999</v>
      </c>
      <c r="DW83">
        <v>61.439799999999998</v>
      </c>
      <c r="DX83">
        <v>35.360599999999998</v>
      </c>
      <c r="DY83">
        <v>1</v>
      </c>
      <c r="DZ83">
        <v>-6.9065000000000001E-2</v>
      </c>
      <c r="EA83">
        <v>1.6323799999999999</v>
      </c>
      <c r="EB83">
        <v>20.1784</v>
      </c>
      <c r="EC83">
        <v>5.2408000000000001</v>
      </c>
      <c r="ED83">
        <v>12.039899999999999</v>
      </c>
      <c r="EE83">
        <v>5.0169499999999996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1.86463</v>
      </c>
      <c r="EM83">
        <v>1.8692</v>
      </c>
      <c r="EN83">
        <v>1.8672200000000001</v>
      </c>
      <c r="EO83">
        <v>1.8633999999999999</v>
      </c>
      <c r="EP83">
        <v>1.86449</v>
      </c>
      <c r="EQ83">
        <v>1.8701399999999999</v>
      </c>
      <c r="ER83">
        <v>1.86938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-0.17599999999999999</v>
      </c>
      <c r="FG83">
        <v>0.17860000000000001</v>
      </c>
      <c r="FH83">
        <v>0.3448811944559278</v>
      </c>
      <c r="FI83">
        <v>-6.1462078757559423E-4</v>
      </c>
      <c r="FJ83">
        <v>-1.8861989874597051E-7</v>
      </c>
      <c r="FK83">
        <v>1.1980462299894961E-10</v>
      </c>
      <c r="FL83">
        <v>0.17862261546663211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21.2</v>
      </c>
      <c r="FU83">
        <v>21.3</v>
      </c>
      <c r="FV83">
        <v>1.78955</v>
      </c>
      <c r="FW83">
        <v>2.5891099999999998</v>
      </c>
      <c r="FX83">
        <v>1.5490699999999999</v>
      </c>
      <c r="FY83">
        <v>2.3290999999999999</v>
      </c>
      <c r="FZ83">
        <v>1.50146</v>
      </c>
      <c r="GA83">
        <v>2.3010299999999999</v>
      </c>
      <c r="GB83">
        <v>33.986499999999999</v>
      </c>
      <c r="GC83">
        <v>23.973700000000001</v>
      </c>
      <c r="GD83">
        <v>19</v>
      </c>
      <c r="GE83">
        <v>282.21100000000001</v>
      </c>
      <c r="GF83">
        <v>598.91</v>
      </c>
      <c r="GG83">
        <v>22.191199999999998</v>
      </c>
      <c r="GH83">
        <v>26.4482</v>
      </c>
      <c r="GI83">
        <v>29.9998</v>
      </c>
      <c r="GJ83">
        <v>26.596599999999999</v>
      </c>
      <c r="GK83">
        <v>26.585799999999999</v>
      </c>
      <c r="GL83">
        <v>35.781399999999998</v>
      </c>
      <c r="GM83">
        <v>30.848099999999999</v>
      </c>
      <c r="GN83">
        <v>98.114099999999993</v>
      </c>
      <c r="GO83">
        <v>22.293700000000001</v>
      </c>
      <c r="GP83">
        <v>800</v>
      </c>
      <c r="GQ83">
        <v>18.228300000000001</v>
      </c>
      <c r="GR83">
        <v>99.725700000000003</v>
      </c>
      <c r="GS83">
        <v>99.575900000000004</v>
      </c>
    </row>
    <row r="84" spans="1:201" x14ac:dyDescent="0.25">
      <c r="A84">
        <v>68</v>
      </c>
      <c r="B84">
        <v>1690230364.5999999</v>
      </c>
      <c r="C84">
        <v>859.5</v>
      </c>
      <c r="D84" t="s">
        <v>469</v>
      </c>
      <c r="E84" t="s">
        <v>470</v>
      </c>
      <c r="F84" t="s">
        <v>330</v>
      </c>
      <c r="H84">
        <v>1690230364.5999999</v>
      </c>
      <c r="I84">
        <f t="shared" si="30"/>
        <v>3.4701518125256211E-4</v>
      </c>
      <c r="J84">
        <f t="shared" si="31"/>
        <v>0.34701518125256209</v>
      </c>
      <c r="K84">
        <f t="shared" si="32"/>
        <v>4.1608330638594291</v>
      </c>
      <c r="L84">
        <f t="shared" si="33"/>
        <v>753.61</v>
      </c>
      <c r="M84">
        <f t="shared" si="34"/>
        <v>434.2865368790068</v>
      </c>
      <c r="N84">
        <f t="shared" si="35"/>
        <v>43.059044967243878</v>
      </c>
      <c r="O84">
        <f t="shared" si="36"/>
        <v>74.719624308329003</v>
      </c>
      <c r="P84">
        <f t="shared" si="37"/>
        <v>2.1986132670561691E-2</v>
      </c>
      <c r="Q84">
        <f t="shared" si="38"/>
        <v>2.1753003664085391</v>
      </c>
      <c r="R84">
        <f t="shared" si="39"/>
        <v>2.1863422377934125E-2</v>
      </c>
      <c r="S84">
        <f t="shared" si="40"/>
        <v>1.3675606819508754E-2</v>
      </c>
      <c r="T84">
        <f t="shared" si="41"/>
        <v>276.11370923842662</v>
      </c>
      <c r="U84">
        <f t="shared" si="42"/>
        <v>27.510360234187974</v>
      </c>
      <c r="V84">
        <f t="shared" si="43"/>
        <v>27.510360234187974</v>
      </c>
      <c r="W84">
        <f t="shared" si="44"/>
        <v>3.6878579583723936</v>
      </c>
      <c r="X84">
        <f t="shared" si="45"/>
        <v>66.018960130749321</v>
      </c>
      <c r="Y84">
        <f t="shared" si="46"/>
        <v>2.1605840543385697</v>
      </c>
      <c r="Z84">
        <f t="shared" si="47"/>
        <v>3.2726720476353655</v>
      </c>
      <c r="AA84">
        <f t="shared" si="48"/>
        <v>1.5272739040338239</v>
      </c>
      <c r="AB84">
        <f t="shared" si="49"/>
        <v>-15.303369493237989</v>
      </c>
      <c r="AC84">
        <f t="shared" si="50"/>
        <v>-237.59406780744561</v>
      </c>
      <c r="AD84">
        <f t="shared" si="51"/>
        <v>-23.453713688900606</v>
      </c>
      <c r="AE84">
        <f t="shared" si="52"/>
        <v>-0.23744175115760413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52513.980220744052</v>
      </c>
      <c r="AK84">
        <f t="shared" si="56"/>
        <v>1799.99</v>
      </c>
      <c r="AL84">
        <f t="shared" si="57"/>
        <v>1499.1025538062102</v>
      </c>
      <c r="AM84">
        <f t="shared" si="58"/>
        <v>0.83283937900000005</v>
      </c>
      <c r="AN84">
        <f t="shared" si="59"/>
        <v>0.15339735734000001</v>
      </c>
      <c r="AO84">
        <v>31.5</v>
      </c>
      <c r="AP84">
        <v>0.5</v>
      </c>
      <c r="AQ84" t="s">
        <v>331</v>
      </c>
      <c r="AR84">
        <v>2</v>
      </c>
      <c r="AS84">
        <v>1690230364.5999999</v>
      </c>
      <c r="AT84">
        <v>753.61</v>
      </c>
      <c r="AU84">
        <v>800.01</v>
      </c>
      <c r="AV84">
        <v>21.7913</v>
      </c>
      <c r="AW84">
        <v>18.229700000000001</v>
      </c>
      <c r="AX84">
        <v>753.78399999999999</v>
      </c>
      <c r="AY84">
        <v>21.6126</v>
      </c>
      <c r="AZ84">
        <v>300.22399999999999</v>
      </c>
      <c r="BA84">
        <v>99.049000000000007</v>
      </c>
      <c r="BB84">
        <v>9.9928900000000001E-2</v>
      </c>
      <c r="BC84">
        <v>25.484400000000001</v>
      </c>
      <c r="BD84">
        <v>26.937899999999999</v>
      </c>
      <c r="BE84">
        <v>27.348400000000002</v>
      </c>
      <c r="BF84">
        <v>0</v>
      </c>
      <c r="BG84">
        <v>0</v>
      </c>
      <c r="BH84">
        <v>9975</v>
      </c>
      <c r="BI84">
        <v>1056.81</v>
      </c>
      <c r="BJ84">
        <v>1.28952</v>
      </c>
      <c r="BK84">
        <v>-46.400399999999998</v>
      </c>
      <c r="BL84">
        <v>770.39800000000002</v>
      </c>
      <c r="BM84">
        <v>814.86500000000001</v>
      </c>
      <c r="BN84">
        <v>3.5615299999999999</v>
      </c>
      <c r="BO84">
        <v>800.01</v>
      </c>
      <c r="BP84">
        <v>18.229700000000001</v>
      </c>
      <c r="BQ84">
        <v>2.1583999999999999</v>
      </c>
      <c r="BR84">
        <v>1.8056399999999999</v>
      </c>
      <c r="BS84">
        <v>18.6569</v>
      </c>
      <c r="BT84">
        <v>15.835699999999999</v>
      </c>
      <c r="BU84">
        <v>1799.99</v>
      </c>
      <c r="BV84">
        <v>0.90999799999999997</v>
      </c>
      <c r="BW84">
        <v>3.4003600000000002E-2</v>
      </c>
      <c r="BX84">
        <v>2.1999700000000001E-2</v>
      </c>
      <c r="BY84">
        <v>3.3998399999999998E-2</v>
      </c>
      <c r="BZ84">
        <v>25.666699999999999</v>
      </c>
      <c r="CA84">
        <v>33528.199999999997</v>
      </c>
      <c r="CB84">
        <v>1690229084.0999999</v>
      </c>
      <c r="CC84" t="s">
        <v>332</v>
      </c>
      <c r="CD84">
        <v>1690229084.0999999</v>
      </c>
      <c r="CE84">
        <v>1690229076.5999999</v>
      </c>
      <c r="CF84">
        <v>13</v>
      </c>
      <c r="CG84">
        <v>0.23300000000000001</v>
      </c>
      <c r="CH84">
        <v>-0.13100000000000001</v>
      </c>
      <c r="CI84">
        <v>-0.20599999999999999</v>
      </c>
      <c r="CJ84">
        <v>8.7999999999999995E-2</v>
      </c>
      <c r="CK84">
        <v>799</v>
      </c>
      <c r="CL84">
        <v>16</v>
      </c>
      <c r="CM84">
        <v>0.04</v>
      </c>
      <c r="CN84">
        <v>0.04</v>
      </c>
      <c r="CO84">
        <v>-43.920884999999998</v>
      </c>
      <c r="CP84">
        <v>-14.46710994371478</v>
      </c>
      <c r="CQ84">
        <v>1.3924970056610531</v>
      </c>
      <c r="CR84">
        <v>-1</v>
      </c>
      <c r="CS84">
        <v>3.5472834999999998</v>
      </c>
      <c r="CT84">
        <v>8.1073170731745872E-3</v>
      </c>
      <c r="CU84">
        <v>1.520610281268675E-2</v>
      </c>
      <c r="CV84">
        <v>-1</v>
      </c>
      <c r="CW84">
        <v>0</v>
      </c>
      <c r="CX84">
        <v>0</v>
      </c>
      <c r="CY84" t="s">
        <v>333</v>
      </c>
      <c r="CZ84">
        <v>2.3643999999999998</v>
      </c>
      <c r="DA84">
        <v>2.7136999999999998</v>
      </c>
      <c r="DB84">
        <v>0.140852</v>
      </c>
      <c r="DC84">
        <v>0.14621300000000001</v>
      </c>
      <c r="DD84">
        <v>0.106295</v>
      </c>
      <c r="DE84">
        <v>9.2299900000000004E-2</v>
      </c>
      <c r="DF84">
        <v>31366.6</v>
      </c>
      <c r="DG84">
        <v>27515.599999999999</v>
      </c>
      <c r="DH84">
        <v>31168.3</v>
      </c>
      <c r="DI84">
        <v>28082.1</v>
      </c>
      <c r="DJ84">
        <v>37822.400000000001</v>
      </c>
      <c r="DK84">
        <v>36249.5</v>
      </c>
      <c r="DL84">
        <v>44357.3</v>
      </c>
      <c r="DM84">
        <v>42568.6</v>
      </c>
      <c r="DN84">
        <v>1.4724200000000001</v>
      </c>
      <c r="DO84">
        <v>2.0520999999999998</v>
      </c>
      <c r="DP84">
        <v>0.13802900000000001</v>
      </c>
      <c r="DQ84">
        <v>0.17569199999999999</v>
      </c>
      <c r="DR84">
        <v>24.676200000000001</v>
      </c>
      <c r="DS84">
        <v>24.469899999999999</v>
      </c>
      <c r="DT84">
        <v>56.7</v>
      </c>
      <c r="DU84">
        <v>29.2</v>
      </c>
      <c r="DV84">
        <v>23.291</v>
      </c>
      <c r="DW84">
        <v>61.9998</v>
      </c>
      <c r="DX84">
        <v>36.262</v>
      </c>
      <c r="DY84">
        <v>1</v>
      </c>
      <c r="DZ84">
        <v>-7.16667E-2</v>
      </c>
      <c r="EA84">
        <v>1.3240400000000001</v>
      </c>
      <c r="EB84">
        <v>20.182400000000001</v>
      </c>
      <c r="EC84">
        <v>5.2408000000000001</v>
      </c>
      <c r="ED84">
        <v>12.039899999999999</v>
      </c>
      <c r="EE84">
        <v>5.0169499999999996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1.8646400000000001</v>
      </c>
      <c r="EM84">
        <v>1.8691899999999999</v>
      </c>
      <c r="EN84">
        <v>1.8672299999999999</v>
      </c>
      <c r="EO84">
        <v>1.8633999999999999</v>
      </c>
      <c r="EP84">
        <v>1.8644799999999999</v>
      </c>
      <c r="EQ84">
        <v>1.87015</v>
      </c>
      <c r="ER84">
        <v>1.8694200000000001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-0.17399999999999999</v>
      </c>
      <c r="FG84">
        <v>0.1787</v>
      </c>
      <c r="FH84">
        <v>0.3448811944559278</v>
      </c>
      <c r="FI84">
        <v>-6.1462078757559423E-4</v>
      </c>
      <c r="FJ84">
        <v>-1.8861989874597051E-7</v>
      </c>
      <c r="FK84">
        <v>1.1980462299894961E-10</v>
      </c>
      <c r="FL84">
        <v>0.17862261546663211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21.3</v>
      </c>
      <c r="FU84">
        <v>21.5</v>
      </c>
      <c r="FV84">
        <v>1.78955</v>
      </c>
      <c r="FW84">
        <v>2.5830099999999998</v>
      </c>
      <c r="FX84">
        <v>1.5490699999999999</v>
      </c>
      <c r="FY84">
        <v>2.3290999999999999</v>
      </c>
      <c r="FZ84">
        <v>1.50146</v>
      </c>
      <c r="GA84">
        <v>2.4243199999999998</v>
      </c>
      <c r="GB84">
        <v>33.986499999999999</v>
      </c>
      <c r="GC84">
        <v>23.991199999999999</v>
      </c>
      <c r="GD84">
        <v>19</v>
      </c>
      <c r="GE84">
        <v>282.33</v>
      </c>
      <c r="GF84">
        <v>599.08199999999999</v>
      </c>
      <c r="GG84">
        <v>22.170999999999999</v>
      </c>
      <c r="GH84">
        <v>26.4421</v>
      </c>
      <c r="GI84">
        <v>29.999199999999998</v>
      </c>
      <c r="GJ84">
        <v>26.592199999999998</v>
      </c>
      <c r="GK84">
        <v>26.5824</v>
      </c>
      <c r="GL84">
        <v>35.781700000000001</v>
      </c>
      <c r="GM84">
        <v>30.848099999999999</v>
      </c>
      <c r="GN84">
        <v>97.741100000000003</v>
      </c>
      <c r="GO84">
        <v>22.212599999999998</v>
      </c>
      <c r="GP84">
        <v>800</v>
      </c>
      <c r="GQ84">
        <v>18.188500000000001</v>
      </c>
      <c r="GR84">
        <v>99.727800000000002</v>
      </c>
      <c r="GS84">
        <v>99.577399999999997</v>
      </c>
    </row>
    <row r="85" spans="1:201" x14ac:dyDescent="0.25">
      <c r="A85">
        <v>69</v>
      </c>
      <c r="B85">
        <v>1690230374.5999999</v>
      </c>
      <c r="C85">
        <v>869.5</v>
      </c>
      <c r="D85" t="s">
        <v>471</v>
      </c>
      <c r="E85" t="s">
        <v>472</v>
      </c>
      <c r="F85" t="s">
        <v>330</v>
      </c>
      <c r="H85">
        <v>1690230374.5999999</v>
      </c>
      <c r="I85">
        <f t="shared" si="30"/>
        <v>3.5198957661664775E-4</v>
      </c>
      <c r="J85">
        <f t="shared" si="31"/>
        <v>0.35198957661664776</v>
      </c>
      <c r="K85">
        <f t="shared" si="32"/>
        <v>4.4215596090621245</v>
      </c>
      <c r="L85">
        <f t="shared" si="33"/>
        <v>750.92899999999997</v>
      </c>
      <c r="M85">
        <f t="shared" si="34"/>
        <v>419.35722186623445</v>
      </c>
      <c r="N85">
        <f t="shared" si="35"/>
        <v>41.57903467251451</v>
      </c>
      <c r="O85">
        <f t="shared" si="36"/>
        <v>74.454191556896689</v>
      </c>
      <c r="P85">
        <f t="shared" si="37"/>
        <v>2.2439433034099229E-2</v>
      </c>
      <c r="Q85">
        <f t="shared" si="38"/>
        <v>2.1797015751465474</v>
      </c>
      <c r="R85">
        <f t="shared" si="39"/>
        <v>2.2311882961243815E-2</v>
      </c>
      <c r="S85">
        <f t="shared" si="40"/>
        <v>1.3956326171622317E-2</v>
      </c>
      <c r="T85">
        <f t="shared" si="41"/>
        <v>276.11509309200005</v>
      </c>
      <c r="U85">
        <f t="shared" si="42"/>
        <v>27.483481528510328</v>
      </c>
      <c r="V85">
        <f t="shared" si="43"/>
        <v>27.483481528510328</v>
      </c>
      <c r="W85">
        <f t="shared" si="44"/>
        <v>3.6820622016937254</v>
      </c>
      <c r="X85">
        <f t="shared" si="45"/>
        <v>66.208031524930206</v>
      </c>
      <c r="Y85">
        <f t="shared" si="46"/>
        <v>2.1640059828071099</v>
      </c>
      <c r="Z85">
        <f t="shared" si="47"/>
        <v>3.2684946719678067</v>
      </c>
      <c r="AA85">
        <f t="shared" si="48"/>
        <v>1.5180562188866156</v>
      </c>
      <c r="AB85">
        <f t="shared" si="49"/>
        <v>-15.522740328794166</v>
      </c>
      <c r="AC85">
        <f t="shared" si="50"/>
        <v>-237.4427206847671</v>
      </c>
      <c r="AD85">
        <f t="shared" si="51"/>
        <v>-23.385777958222793</v>
      </c>
      <c r="AE85">
        <f t="shared" si="52"/>
        <v>-0.23614587978400436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52700.848224653455</v>
      </c>
      <c r="AK85">
        <f t="shared" si="56"/>
        <v>1800</v>
      </c>
      <c r="AL85">
        <f t="shared" si="57"/>
        <v>1499.1115841999999</v>
      </c>
      <c r="AM85">
        <f t="shared" si="58"/>
        <v>0.8328397689999999</v>
      </c>
      <c r="AN85">
        <f t="shared" si="59"/>
        <v>0.15339727394000002</v>
      </c>
      <c r="AO85">
        <v>31.5</v>
      </c>
      <c r="AP85">
        <v>0.5</v>
      </c>
      <c r="AQ85" t="s">
        <v>331</v>
      </c>
      <c r="AR85">
        <v>2</v>
      </c>
      <c r="AS85">
        <v>1690230374.5999999</v>
      </c>
      <c r="AT85">
        <v>750.92899999999997</v>
      </c>
      <c r="AU85">
        <v>800.09500000000003</v>
      </c>
      <c r="AV85">
        <v>21.825700000000001</v>
      </c>
      <c r="AW85">
        <v>18.213100000000001</v>
      </c>
      <c r="AX85">
        <v>751.101</v>
      </c>
      <c r="AY85">
        <v>21.646999999999998</v>
      </c>
      <c r="AZ85">
        <v>300.21800000000002</v>
      </c>
      <c r="BA85">
        <v>99.049499999999995</v>
      </c>
      <c r="BB85">
        <v>9.9942299999999998E-2</v>
      </c>
      <c r="BC85">
        <v>25.462900000000001</v>
      </c>
      <c r="BD85">
        <v>26.858799999999999</v>
      </c>
      <c r="BE85">
        <v>27.314800000000002</v>
      </c>
      <c r="BF85">
        <v>0</v>
      </c>
      <c r="BG85">
        <v>0</v>
      </c>
      <c r="BH85">
        <v>10011.200000000001</v>
      </c>
      <c r="BI85">
        <v>1056.74</v>
      </c>
      <c r="BJ85">
        <v>1.28952</v>
      </c>
      <c r="BK85">
        <v>-49.166400000000003</v>
      </c>
      <c r="BL85">
        <v>767.68399999999997</v>
      </c>
      <c r="BM85">
        <v>814.93799999999999</v>
      </c>
      <c r="BN85">
        <v>3.6125500000000001</v>
      </c>
      <c r="BO85">
        <v>800.09500000000003</v>
      </c>
      <c r="BP85">
        <v>18.213100000000001</v>
      </c>
      <c r="BQ85">
        <v>2.1618200000000001</v>
      </c>
      <c r="BR85">
        <v>1.804</v>
      </c>
      <c r="BS85">
        <v>18.682099999999998</v>
      </c>
      <c r="BT85">
        <v>15.8215</v>
      </c>
      <c r="BU85">
        <v>1800</v>
      </c>
      <c r="BV85">
        <v>0.91000199999999998</v>
      </c>
      <c r="BW85">
        <v>3.40021E-2</v>
      </c>
      <c r="BX85">
        <v>2.19987E-2</v>
      </c>
      <c r="BY85">
        <v>3.3996999999999999E-2</v>
      </c>
      <c r="BZ85">
        <v>25.791699999999999</v>
      </c>
      <c r="CA85">
        <v>33528.400000000001</v>
      </c>
      <c r="CB85">
        <v>1690229084.0999999</v>
      </c>
      <c r="CC85" t="s">
        <v>332</v>
      </c>
      <c r="CD85">
        <v>1690229084.0999999</v>
      </c>
      <c r="CE85">
        <v>1690229076.5999999</v>
      </c>
      <c r="CF85">
        <v>13</v>
      </c>
      <c r="CG85">
        <v>0.23300000000000001</v>
      </c>
      <c r="CH85">
        <v>-0.13100000000000001</v>
      </c>
      <c r="CI85">
        <v>-0.20599999999999999</v>
      </c>
      <c r="CJ85">
        <v>8.7999999999999995E-2</v>
      </c>
      <c r="CK85">
        <v>799</v>
      </c>
      <c r="CL85">
        <v>16</v>
      </c>
      <c r="CM85">
        <v>0.04</v>
      </c>
      <c r="CN85">
        <v>0.04</v>
      </c>
      <c r="CO85">
        <v>-46.134812500000002</v>
      </c>
      <c r="CP85">
        <v>-15.148254033771041</v>
      </c>
      <c r="CQ85">
        <v>1.4579207381040129</v>
      </c>
      <c r="CR85">
        <v>-1</v>
      </c>
      <c r="CS85">
        <v>3.5594282499999998</v>
      </c>
      <c r="CT85">
        <v>0.22808228893057211</v>
      </c>
      <c r="CU85">
        <v>2.2992043829061819E-2</v>
      </c>
      <c r="CV85">
        <v>-1</v>
      </c>
      <c r="CW85">
        <v>0</v>
      </c>
      <c r="CX85">
        <v>0</v>
      </c>
      <c r="CY85" t="s">
        <v>333</v>
      </c>
      <c r="CZ85">
        <v>2.36435</v>
      </c>
      <c r="DA85">
        <v>2.71374</v>
      </c>
      <c r="DB85">
        <v>0.140516</v>
      </c>
      <c r="DC85">
        <v>0.14622399999999999</v>
      </c>
      <c r="DD85">
        <v>0.106416</v>
      </c>
      <c r="DE85">
        <v>9.2240699999999995E-2</v>
      </c>
      <c r="DF85">
        <v>31379.4</v>
      </c>
      <c r="DG85">
        <v>27516</v>
      </c>
      <c r="DH85">
        <v>31168.799999999999</v>
      </c>
      <c r="DI85">
        <v>28083</v>
      </c>
      <c r="DJ85">
        <v>37817.699999999997</v>
      </c>
      <c r="DK85">
        <v>36252.800000000003</v>
      </c>
      <c r="DL85">
        <v>44357.9</v>
      </c>
      <c r="DM85">
        <v>42569.8</v>
      </c>
      <c r="DN85">
        <v>1.4732499999999999</v>
      </c>
      <c r="DO85">
        <v>2.0519500000000002</v>
      </c>
      <c r="DP85">
        <v>0.133634</v>
      </c>
      <c r="DQ85">
        <v>0.17404600000000001</v>
      </c>
      <c r="DR85">
        <v>24.669</v>
      </c>
      <c r="DS85">
        <v>24.463200000000001</v>
      </c>
      <c r="DT85">
        <v>56.7</v>
      </c>
      <c r="DU85">
        <v>29.2</v>
      </c>
      <c r="DV85">
        <v>23.293399999999998</v>
      </c>
      <c r="DW85">
        <v>61.419800000000002</v>
      </c>
      <c r="DX85">
        <v>35.1723</v>
      </c>
      <c r="DY85">
        <v>1</v>
      </c>
      <c r="DZ85">
        <v>-7.30132E-2</v>
      </c>
      <c r="EA85">
        <v>0.81074900000000005</v>
      </c>
      <c r="EB85">
        <v>20.186900000000001</v>
      </c>
      <c r="EC85">
        <v>5.2408000000000001</v>
      </c>
      <c r="ED85">
        <v>12.039899999999999</v>
      </c>
      <c r="EE85">
        <v>5.0168999999999997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1.8689100000000001</v>
      </c>
      <c r="EL85">
        <v>1.8646199999999999</v>
      </c>
      <c r="EM85">
        <v>1.8692</v>
      </c>
      <c r="EN85">
        <v>1.8672299999999999</v>
      </c>
      <c r="EO85">
        <v>1.8633999999999999</v>
      </c>
      <c r="EP85">
        <v>1.86449</v>
      </c>
      <c r="EQ85">
        <v>1.8701700000000001</v>
      </c>
      <c r="ER85">
        <v>1.8694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-0.17199999999999999</v>
      </c>
      <c r="FG85">
        <v>0.1787</v>
      </c>
      <c r="FH85">
        <v>0.3448811944559278</v>
      </c>
      <c r="FI85">
        <v>-6.1462078757559423E-4</v>
      </c>
      <c r="FJ85">
        <v>-1.8861989874597051E-7</v>
      </c>
      <c r="FK85">
        <v>1.1980462299894961E-10</v>
      </c>
      <c r="FL85">
        <v>0.17862261546663211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21.5</v>
      </c>
      <c r="FU85">
        <v>21.6</v>
      </c>
      <c r="FV85">
        <v>1.78955</v>
      </c>
      <c r="FW85">
        <v>2.5903299999999998</v>
      </c>
      <c r="FX85">
        <v>1.5490699999999999</v>
      </c>
      <c r="FY85">
        <v>2.3290999999999999</v>
      </c>
      <c r="FZ85">
        <v>1.50146</v>
      </c>
      <c r="GA85">
        <v>2.3327599999999999</v>
      </c>
      <c r="GB85">
        <v>33.986499999999999</v>
      </c>
      <c r="GC85">
        <v>23.973700000000001</v>
      </c>
      <c r="GD85">
        <v>19</v>
      </c>
      <c r="GE85">
        <v>282.66500000000002</v>
      </c>
      <c r="GF85">
        <v>598.91800000000001</v>
      </c>
      <c r="GG85">
        <v>22.2651</v>
      </c>
      <c r="GH85">
        <v>26.436499999999999</v>
      </c>
      <c r="GI85">
        <v>29.999400000000001</v>
      </c>
      <c r="GJ85">
        <v>26.5884</v>
      </c>
      <c r="GK85">
        <v>26.5791</v>
      </c>
      <c r="GL85">
        <v>35.780200000000001</v>
      </c>
      <c r="GM85">
        <v>30.848099999999999</v>
      </c>
      <c r="GN85">
        <v>97.741100000000003</v>
      </c>
      <c r="GO85">
        <v>22.310500000000001</v>
      </c>
      <c r="GP85">
        <v>800</v>
      </c>
      <c r="GQ85">
        <v>18.104299999999999</v>
      </c>
      <c r="GR85">
        <v>99.729100000000003</v>
      </c>
      <c r="GS85">
        <v>99.580200000000005</v>
      </c>
    </row>
    <row r="86" spans="1:201" x14ac:dyDescent="0.25">
      <c r="A86">
        <v>70</v>
      </c>
      <c r="B86">
        <v>1690230384.5999999</v>
      </c>
      <c r="C86">
        <v>879.5</v>
      </c>
      <c r="D86" t="s">
        <v>473</v>
      </c>
      <c r="E86" t="s">
        <v>474</v>
      </c>
      <c r="F86" t="s">
        <v>330</v>
      </c>
      <c r="H86">
        <v>1690230384.5999999</v>
      </c>
      <c r="I86">
        <f t="shared" si="30"/>
        <v>3.6978635745564639E-4</v>
      </c>
      <c r="J86">
        <f t="shared" si="31"/>
        <v>0.36978635745564642</v>
      </c>
      <c r="K86">
        <f t="shared" si="32"/>
        <v>4.6755654488291478</v>
      </c>
      <c r="L86">
        <f t="shared" si="33"/>
        <v>748.19799999999998</v>
      </c>
      <c r="M86">
        <f t="shared" si="34"/>
        <v>416.35799645262802</v>
      </c>
      <c r="N86">
        <f t="shared" si="35"/>
        <v>41.282370412752023</v>
      </c>
      <c r="O86">
        <f t="shared" si="36"/>
        <v>74.184685393918002</v>
      </c>
      <c r="P86">
        <f t="shared" si="37"/>
        <v>2.3704025212221688E-2</v>
      </c>
      <c r="Q86">
        <f t="shared" si="38"/>
        <v>2.1762378212302007</v>
      </c>
      <c r="R86">
        <f t="shared" si="39"/>
        <v>2.356151787410599E-2</v>
      </c>
      <c r="S86">
        <f t="shared" si="40"/>
        <v>1.4738680859860891E-2</v>
      </c>
      <c r="T86">
        <f t="shared" si="41"/>
        <v>276.11361533294826</v>
      </c>
      <c r="U86">
        <f t="shared" si="42"/>
        <v>27.484997172178616</v>
      </c>
      <c r="V86">
        <f t="shared" si="43"/>
        <v>27.484997172178616</v>
      </c>
      <c r="W86">
        <f t="shared" si="44"/>
        <v>3.682388802772373</v>
      </c>
      <c r="X86">
        <f t="shared" si="45"/>
        <v>66.440271472274503</v>
      </c>
      <c r="Y86">
        <f t="shared" si="46"/>
        <v>2.1722031970280002</v>
      </c>
      <c r="Z86">
        <f t="shared" si="47"/>
        <v>3.2694074676297187</v>
      </c>
      <c r="AA86">
        <f t="shared" si="48"/>
        <v>1.5101856057443728</v>
      </c>
      <c r="AB86">
        <f t="shared" si="49"/>
        <v>-16.307578363794008</v>
      </c>
      <c r="AC86">
        <f t="shared" si="50"/>
        <v>-236.6917958627144</v>
      </c>
      <c r="AD86">
        <f t="shared" si="51"/>
        <v>-23.349648984423457</v>
      </c>
      <c r="AE86">
        <f t="shared" si="52"/>
        <v>-0.23540787798361862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52555.942506561471</v>
      </c>
      <c r="AK86">
        <f t="shared" si="56"/>
        <v>1799.99</v>
      </c>
      <c r="AL86">
        <f t="shared" si="57"/>
        <v>1499.1045031953799</v>
      </c>
      <c r="AM86">
        <f t="shared" si="58"/>
        <v>0.83284046199999995</v>
      </c>
      <c r="AN86">
        <f t="shared" si="59"/>
        <v>0.15339730516999997</v>
      </c>
      <c r="AO86">
        <v>31.5</v>
      </c>
      <c r="AP86">
        <v>0.5</v>
      </c>
      <c r="AQ86" t="s">
        <v>331</v>
      </c>
      <c r="AR86">
        <v>2</v>
      </c>
      <c r="AS86">
        <v>1690230384.5999999</v>
      </c>
      <c r="AT86">
        <v>748.19799999999998</v>
      </c>
      <c r="AU86">
        <v>800.16099999999994</v>
      </c>
      <c r="AV86">
        <v>21.908000000000001</v>
      </c>
      <c r="AW86">
        <v>18.1129</v>
      </c>
      <c r="AX86">
        <v>748.36900000000003</v>
      </c>
      <c r="AY86">
        <v>21.729399999999998</v>
      </c>
      <c r="AZ86">
        <v>300.20499999999998</v>
      </c>
      <c r="BA86">
        <v>99.051100000000005</v>
      </c>
      <c r="BB86">
        <v>0.100041</v>
      </c>
      <c r="BC86">
        <v>25.467600000000001</v>
      </c>
      <c r="BD86">
        <v>26.869</v>
      </c>
      <c r="BE86">
        <v>27.312200000000001</v>
      </c>
      <c r="BF86">
        <v>0</v>
      </c>
      <c r="BG86">
        <v>0</v>
      </c>
      <c r="BH86">
        <v>9982.5</v>
      </c>
      <c r="BI86">
        <v>1056.57</v>
      </c>
      <c r="BJ86">
        <v>1.3035399999999999</v>
      </c>
      <c r="BK86">
        <v>-51.962800000000001</v>
      </c>
      <c r="BL86">
        <v>764.95699999999999</v>
      </c>
      <c r="BM86">
        <v>814.92200000000003</v>
      </c>
      <c r="BN86">
        <v>3.7951299999999999</v>
      </c>
      <c r="BO86">
        <v>800.16099999999994</v>
      </c>
      <c r="BP86">
        <v>18.1129</v>
      </c>
      <c r="BQ86">
        <v>2.17001</v>
      </c>
      <c r="BR86">
        <v>1.7941</v>
      </c>
      <c r="BS86">
        <v>18.742599999999999</v>
      </c>
      <c r="BT86">
        <v>15.7355</v>
      </c>
      <c r="BU86">
        <v>1799.99</v>
      </c>
      <c r="BV86">
        <v>0.91000499999999995</v>
      </c>
      <c r="BW86">
        <v>3.4001200000000002E-2</v>
      </c>
      <c r="BX86">
        <v>2.19981E-2</v>
      </c>
      <c r="BY86">
        <v>3.3996100000000001E-2</v>
      </c>
      <c r="BZ86">
        <v>26</v>
      </c>
      <c r="CA86">
        <v>33528.300000000003</v>
      </c>
      <c r="CB86">
        <v>1690229084.0999999</v>
      </c>
      <c r="CC86" t="s">
        <v>332</v>
      </c>
      <c r="CD86">
        <v>1690229084.0999999</v>
      </c>
      <c r="CE86">
        <v>1690229076.5999999</v>
      </c>
      <c r="CF86">
        <v>13</v>
      </c>
      <c r="CG86">
        <v>0.23300000000000001</v>
      </c>
      <c r="CH86">
        <v>-0.13100000000000001</v>
      </c>
      <c r="CI86">
        <v>-0.20599999999999999</v>
      </c>
      <c r="CJ86">
        <v>8.7999999999999995E-2</v>
      </c>
      <c r="CK86">
        <v>799</v>
      </c>
      <c r="CL86">
        <v>16</v>
      </c>
      <c r="CM86">
        <v>0.04</v>
      </c>
      <c r="CN86">
        <v>0.04</v>
      </c>
      <c r="CO86">
        <v>-48.853431707317071</v>
      </c>
      <c r="CP86">
        <v>-16.649692682926968</v>
      </c>
      <c r="CQ86">
        <v>1.642230217579506</v>
      </c>
      <c r="CR86">
        <v>-1</v>
      </c>
      <c r="CS86">
        <v>3.6305658536585361</v>
      </c>
      <c r="CT86">
        <v>0.63553567944250888</v>
      </c>
      <c r="CU86">
        <v>6.7049419523345671E-2</v>
      </c>
      <c r="CV86">
        <v>-1</v>
      </c>
      <c r="CW86">
        <v>0</v>
      </c>
      <c r="CX86">
        <v>0</v>
      </c>
      <c r="CY86" t="s">
        <v>333</v>
      </c>
      <c r="CZ86">
        <v>2.3643299999999998</v>
      </c>
      <c r="DA86">
        <v>2.7138200000000001</v>
      </c>
      <c r="DB86">
        <v>0.14017499999999999</v>
      </c>
      <c r="DC86">
        <v>0.146234</v>
      </c>
      <c r="DD86">
        <v>0.10670499999999999</v>
      </c>
      <c r="DE86">
        <v>9.1878699999999994E-2</v>
      </c>
      <c r="DF86">
        <v>31392.1</v>
      </c>
      <c r="DG86">
        <v>27516.2</v>
      </c>
      <c r="DH86">
        <v>31169.1</v>
      </c>
      <c r="DI86">
        <v>28083.5</v>
      </c>
      <c r="DJ86">
        <v>37805.4</v>
      </c>
      <c r="DK86">
        <v>36267.9</v>
      </c>
      <c r="DL86">
        <v>44358</v>
      </c>
      <c r="DM86">
        <v>42570.5</v>
      </c>
      <c r="DN86">
        <v>1.47373</v>
      </c>
      <c r="DO86">
        <v>2.0521199999999999</v>
      </c>
      <c r="DP86">
        <v>0.13472899999999999</v>
      </c>
      <c r="DQ86">
        <v>0.17432900000000001</v>
      </c>
      <c r="DR86">
        <v>24.661200000000001</v>
      </c>
      <c r="DS86">
        <v>24.456</v>
      </c>
      <c r="DT86">
        <v>56.6</v>
      </c>
      <c r="DU86">
        <v>29.2</v>
      </c>
      <c r="DV86">
        <v>23.248100000000001</v>
      </c>
      <c r="DW86">
        <v>61.979799999999997</v>
      </c>
      <c r="DX86">
        <v>36.450299999999999</v>
      </c>
      <c r="DY86">
        <v>1</v>
      </c>
      <c r="DZ86">
        <v>-7.3892299999999994E-2</v>
      </c>
      <c r="EA86">
        <v>0.516065</v>
      </c>
      <c r="EB86">
        <v>20.188600000000001</v>
      </c>
      <c r="EC86">
        <v>5.2406499999999996</v>
      </c>
      <c r="ED86">
        <v>12.039899999999999</v>
      </c>
      <c r="EE86">
        <v>5.0165499999999996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1.86463</v>
      </c>
      <c r="EM86">
        <v>1.8692</v>
      </c>
      <c r="EN86">
        <v>1.8672299999999999</v>
      </c>
      <c r="EO86">
        <v>1.8633999999999999</v>
      </c>
      <c r="EP86">
        <v>1.8645</v>
      </c>
      <c r="EQ86">
        <v>1.8701700000000001</v>
      </c>
      <c r="ER86">
        <v>1.86941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-0.17100000000000001</v>
      </c>
      <c r="FG86">
        <v>0.17860000000000001</v>
      </c>
      <c r="FH86">
        <v>0.3448811944559278</v>
      </c>
      <c r="FI86">
        <v>-6.1462078757559423E-4</v>
      </c>
      <c r="FJ86">
        <v>-1.8861989874597051E-7</v>
      </c>
      <c r="FK86">
        <v>1.1980462299894961E-10</v>
      </c>
      <c r="FL86">
        <v>0.17862261546663211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21.7</v>
      </c>
      <c r="FU86">
        <v>21.8</v>
      </c>
      <c r="FV86">
        <v>1.78955</v>
      </c>
      <c r="FW86">
        <v>2.5842299999999998</v>
      </c>
      <c r="FX86">
        <v>1.5490699999999999</v>
      </c>
      <c r="FY86">
        <v>2.3290999999999999</v>
      </c>
      <c r="FZ86">
        <v>1.50146</v>
      </c>
      <c r="GA86">
        <v>2.4011200000000001</v>
      </c>
      <c r="GB86">
        <v>33.986499999999999</v>
      </c>
      <c r="GC86">
        <v>23.991199999999999</v>
      </c>
      <c r="GD86">
        <v>19</v>
      </c>
      <c r="GE86">
        <v>282.85599999999999</v>
      </c>
      <c r="GF86">
        <v>599.02599999999995</v>
      </c>
      <c r="GG86">
        <v>22.465900000000001</v>
      </c>
      <c r="GH86">
        <v>26.431000000000001</v>
      </c>
      <c r="GI86">
        <v>29.999700000000001</v>
      </c>
      <c r="GJ86">
        <v>26.5855</v>
      </c>
      <c r="GK86">
        <v>26.575800000000001</v>
      </c>
      <c r="GL86">
        <v>35.772799999999997</v>
      </c>
      <c r="GM86">
        <v>31.4404</v>
      </c>
      <c r="GN86">
        <v>97.741100000000003</v>
      </c>
      <c r="GO86">
        <v>22.4907</v>
      </c>
      <c r="GP86">
        <v>800</v>
      </c>
      <c r="GQ86">
        <v>17.977900000000002</v>
      </c>
      <c r="GR86">
        <v>99.729699999999994</v>
      </c>
      <c r="GS86">
        <v>99.581900000000005</v>
      </c>
    </row>
    <row r="87" spans="1:201" x14ac:dyDescent="0.25">
      <c r="A87">
        <v>71</v>
      </c>
      <c r="B87">
        <v>1690230394.5999999</v>
      </c>
      <c r="C87">
        <v>889.5</v>
      </c>
      <c r="D87" t="s">
        <v>475</v>
      </c>
      <c r="E87" t="s">
        <v>476</v>
      </c>
      <c r="F87" t="s">
        <v>330</v>
      </c>
      <c r="H87">
        <v>1690230394.5999999</v>
      </c>
      <c r="I87">
        <f t="shared" si="30"/>
        <v>3.9170442707317694E-4</v>
      </c>
      <c r="J87">
        <f t="shared" si="31"/>
        <v>0.39170442707317693</v>
      </c>
      <c r="K87">
        <f t="shared" si="32"/>
        <v>4.9189913459774504</v>
      </c>
      <c r="L87">
        <f t="shared" si="33"/>
        <v>745.38199999999995</v>
      </c>
      <c r="M87">
        <f t="shared" si="34"/>
        <v>416.67421434621531</v>
      </c>
      <c r="N87">
        <f t="shared" si="35"/>
        <v>41.313177517810814</v>
      </c>
      <c r="O87">
        <f t="shared" si="36"/>
        <v>73.904498585060011</v>
      </c>
      <c r="P87">
        <f t="shared" si="37"/>
        <v>2.5188969910304098E-2</v>
      </c>
      <c r="Q87">
        <f t="shared" si="38"/>
        <v>2.1781952625239356</v>
      </c>
      <c r="R87">
        <f t="shared" si="39"/>
        <v>2.5028257438586762E-2</v>
      </c>
      <c r="S87">
        <f t="shared" si="40"/>
        <v>1.5657014687299811E-2</v>
      </c>
      <c r="T87">
        <f t="shared" si="41"/>
        <v>276.11315509350521</v>
      </c>
      <c r="U87">
        <f t="shared" si="42"/>
        <v>27.502494494846495</v>
      </c>
      <c r="V87">
        <f t="shared" si="43"/>
        <v>27.502494494846495</v>
      </c>
      <c r="W87">
        <f t="shared" si="44"/>
        <v>3.6861610744353093</v>
      </c>
      <c r="X87">
        <f t="shared" si="45"/>
        <v>66.582986881987452</v>
      </c>
      <c r="Y87">
        <f t="shared" si="46"/>
        <v>2.1803245916660003</v>
      </c>
      <c r="Z87">
        <f t="shared" si="47"/>
        <v>3.2745971512669385</v>
      </c>
      <c r="AA87">
        <f t="shared" si="48"/>
        <v>1.5058364827693089</v>
      </c>
      <c r="AB87">
        <f t="shared" si="49"/>
        <v>-17.274165233927103</v>
      </c>
      <c r="AC87">
        <f t="shared" si="50"/>
        <v>-235.82401258799808</v>
      </c>
      <c r="AD87">
        <f t="shared" si="51"/>
        <v>-23.248279199785554</v>
      </c>
      <c r="AE87">
        <f t="shared" si="52"/>
        <v>-0.23330192820552043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52632.616255976813</v>
      </c>
      <c r="AK87">
        <f t="shared" si="56"/>
        <v>1799.99</v>
      </c>
      <c r="AL87">
        <f t="shared" si="57"/>
        <v>1499.1038389990701</v>
      </c>
      <c r="AM87">
        <f t="shared" si="58"/>
        <v>0.83284009300000006</v>
      </c>
      <c r="AN87">
        <f t="shared" si="59"/>
        <v>0.15339704947999999</v>
      </c>
      <c r="AO87">
        <v>31.5</v>
      </c>
      <c r="AP87">
        <v>0.5</v>
      </c>
      <c r="AQ87" t="s">
        <v>331</v>
      </c>
      <c r="AR87">
        <v>2</v>
      </c>
      <c r="AS87">
        <v>1690230394.5999999</v>
      </c>
      <c r="AT87">
        <v>745.38199999999995</v>
      </c>
      <c r="AU87">
        <v>800.06100000000004</v>
      </c>
      <c r="AV87">
        <v>21.990200000000002</v>
      </c>
      <c r="AW87">
        <v>17.970400000000001</v>
      </c>
      <c r="AX87">
        <v>745.55100000000004</v>
      </c>
      <c r="AY87">
        <v>21.811599999999999</v>
      </c>
      <c r="AZ87">
        <v>300.19799999999998</v>
      </c>
      <c r="BA87">
        <v>99.049800000000005</v>
      </c>
      <c r="BB87">
        <v>0.10002999999999999</v>
      </c>
      <c r="BC87">
        <v>25.494299999999999</v>
      </c>
      <c r="BD87">
        <v>26.848400000000002</v>
      </c>
      <c r="BE87">
        <v>27.3154</v>
      </c>
      <c r="BF87">
        <v>0</v>
      </c>
      <c r="BG87">
        <v>0</v>
      </c>
      <c r="BH87">
        <v>9998.75</v>
      </c>
      <c r="BI87">
        <v>1056.48</v>
      </c>
      <c r="BJ87">
        <v>1.3455900000000001</v>
      </c>
      <c r="BK87">
        <v>-54.6783</v>
      </c>
      <c r="BL87">
        <v>762.14200000000005</v>
      </c>
      <c r="BM87">
        <v>814.70100000000002</v>
      </c>
      <c r="BN87">
        <v>4.0198200000000002</v>
      </c>
      <c r="BO87">
        <v>800.06100000000004</v>
      </c>
      <c r="BP87">
        <v>17.970400000000001</v>
      </c>
      <c r="BQ87">
        <v>2.1781199999999998</v>
      </c>
      <c r="BR87">
        <v>1.77996</v>
      </c>
      <c r="BS87">
        <v>18.802299999999999</v>
      </c>
      <c r="BT87">
        <v>15.6119</v>
      </c>
      <c r="BU87">
        <v>1799.99</v>
      </c>
      <c r="BV87">
        <v>0.91000899999999996</v>
      </c>
      <c r="BW87">
        <v>3.3999399999999999E-2</v>
      </c>
      <c r="BX87">
        <v>2.19969E-2</v>
      </c>
      <c r="BY87">
        <v>3.3994200000000002E-2</v>
      </c>
      <c r="BZ87">
        <v>26</v>
      </c>
      <c r="CA87">
        <v>33528.199999999997</v>
      </c>
      <c r="CB87">
        <v>1690229084.0999999</v>
      </c>
      <c r="CC87" t="s">
        <v>332</v>
      </c>
      <c r="CD87">
        <v>1690229084.0999999</v>
      </c>
      <c r="CE87">
        <v>1690229076.5999999</v>
      </c>
      <c r="CF87">
        <v>13</v>
      </c>
      <c r="CG87">
        <v>0.23300000000000001</v>
      </c>
      <c r="CH87">
        <v>-0.13100000000000001</v>
      </c>
      <c r="CI87">
        <v>-0.20599999999999999</v>
      </c>
      <c r="CJ87">
        <v>8.7999999999999995E-2</v>
      </c>
      <c r="CK87">
        <v>799</v>
      </c>
      <c r="CL87">
        <v>16</v>
      </c>
      <c r="CM87">
        <v>0.04</v>
      </c>
      <c r="CN87">
        <v>0.04</v>
      </c>
      <c r="CO87">
        <v>-51.540785000000007</v>
      </c>
      <c r="CP87">
        <v>-16.450406003752239</v>
      </c>
      <c r="CQ87">
        <v>1.583229731364024</v>
      </c>
      <c r="CR87">
        <v>-1</v>
      </c>
      <c r="CS87">
        <v>3.777301</v>
      </c>
      <c r="CT87">
        <v>1.240067842401495</v>
      </c>
      <c r="CU87">
        <v>0.11986628691587969</v>
      </c>
      <c r="CV87">
        <v>-1</v>
      </c>
      <c r="CW87">
        <v>0</v>
      </c>
      <c r="CX87">
        <v>0</v>
      </c>
      <c r="CY87" t="s">
        <v>333</v>
      </c>
      <c r="CZ87">
        <v>2.3643299999999998</v>
      </c>
      <c r="DA87">
        <v>2.7138200000000001</v>
      </c>
      <c r="DB87">
        <v>0.139819</v>
      </c>
      <c r="DC87">
        <v>0.14621799999999999</v>
      </c>
      <c r="DD87">
        <v>0.10699</v>
      </c>
      <c r="DE87">
        <v>9.1358999999999996E-2</v>
      </c>
      <c r="DF87">
        <v>31405.599999999999</v>
      </c>
      <c r="DG87">
        <v>27516.7</v>
      </c>
      <c r="DH87">
        <v>31169.5</v>
      </c>
      <c r="DI87">
        <v>28083.5</v>
      </c>
      <c r="DJ87">
        <v>37794.1</v>
      </c>
      <c r="DK87">
        <v>36288.9</v>
      </c>
      <c r="DL87">
        <v>44359.199999999997</v>
      </c>
      <c r="DM87">
        <v>42570.7</v>
      </c>
      <c r="DN87">
        <v>1.4734</v>
      </c>
      <c r="DO87">
        <v>2.0517500000000002</v>
      </c>
      <c r="DP87">
        <v>0.13372300000000001</v>
      </c>
      <c r="DQ87">
        <v>0.17483499999999999</v>
      </c>
      <c r="DR87">
        <v>24.657</v>
      </c>
      <c r="DS87">
        <v>24.450900000000001</v>
      </c>
      <c r="DT87">
        <v>56.7</v>
      </c>
      <c r="DU87">
        <v>29.2</v>
      </c>
      <c r="DV87">
        <v>23.291699999999999</v>
      </c>
      <c r="DW87">
        <v>61.579799999999999</v>
      </c>
      <c r="DX87">
        <v>35.208300000000001</v>
      </c>
      <c r="DY87">
        <v>1</v>
      </c>
      <c r="DZ87">
        <v>-7.4547799999999997E-2</v>
      </c>
      <c r="EA87">
        <v>0.44272600000000001</v>
      </c>
      <c r="EB87">
        <v>20.1889</v>
      </c>
      <c r="EC87">
        <v>5.2409499999999998</v>
      </c>
      <c r="ED87">
        <v>12.039899999999999</v>
      </c>
      <c r="EE87">
        <v>5.0162500000000003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1.86463</v>
      </c>
      <c r="EM87">
        <v>1.8692</v>
      </c>
      <c r="EN87">
        <v>1.8672299999999999</v>
      </c>
      <c r="EO87">
        <v>1.8633999999999999</v>
      </c>
      <c r="EP87">
        <v>1.8645099999999999</v>
      </c>
      <c r="EQ87">
        <v>1.87018</v>
      </c>
      <c r="ER87">
        <v>1.8693900000000001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-0.16900000000000001</v>
      </c>
      <c r="FG87">
        <v>0.17860000000000001</v>
      </c>
      <c r="FH87">
        <v>0.3448811944559278</v>
      </c>
      <c r="FI87">
        <v>-6.1462078757559423E-4</v>
      </c>
      <c r="FJ87">
        <v>-1.8861989874597051E-7</v>
      </c>
      <c r="FK87">
        <v>1.1980462299894961E-10</v>
      </c>
      <c r="FL87">
        <v>0.17862261546663211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21.8</v>
      </c>
      <c r="FU87">
        <v>22</v>
      </c>
      <c r="FV87">
        <v>1.78955</v>
      </c>
      <c r="FW87">
        <v>2.5866699999999998</v>
      </c>
      <c r="FX87">
        <v>1.5490699999999999</v>
      </c>
      <c r="FY87">
        <v>2.3290999999999999</v>
      </c>
      <c r="FZ87">
        <v>1.50146</v>
      </c>
      <c r="GA87">
        <v>2.33765</v>
      </c>
      <c r="GB87">
        <v>33.986499999999999</v>
      </c>
      <c r="GC87">
        <v>23.973700000000001</v>
      </c>
      <c r="GD87">
        <v>19</v>
      </c>
      <c r="GE87">
        <v>282.69900000000001</v>
      </c>
      <c r="GF87">
        <v>598.65899999999999</v>
      </c>
      <c r="GG87">
        <v>22.651800000000001</v>
      </c>
      <c r="GH87">
        <v>26.425899999999999</v>
      </c>
      <c r="GI87">
        <v>29.999600000000001</v>
      </c>
      <c r="GJ87">
        <v>26.581600000000002</v>
      </c>
      <c r="GK87">
        <v>26.571300000000001</v>
      </c>
      <c r="GL87">
        <v>35.7682</v>
      </c>
      <c r="GM87">
        <v>32.028100000000002</v>
      </c>
      <c r="GN87">
        <v>97.370599999999996</v>
      </c>
      <c r="GO87">
        <v>22.6602</v>
      </c>
      <c r="GP87">
        <v>800</v>
      </c>
      <c r="GQ87">
        <v>17.837499999999999</v>
      </c>
      <c r="GR87">
        <v>99.731800000000007</v>
      </c>
      <c r="GS87">
        <v>99.5822</v>
      </c>
    </row>
    <row r="88" spans="1:201" x14ac:dyDescent="0.25">
      <c r="A88">
        <v>72</v>
      </c>
      <c r="B88">
        <v>1690230404.5999999</v>
      </c>
      <c r="C88">
        <v>899.5</v>
      </c>
      <c r="D88" t="s">
        <v>477</v>
      </c>
      <c r="E88" t="s">
        <v>478</v>
      </c>
      <c r="F88" t="s">
        <v>330</v>
      </c>
      <c r="H88">
        <v>1690230404.5999999</v>
      </c>
      <c r="I88">
        <f t="shared" si="30"/>
        <v>4.1186693676906438E-4</v>
      </c>
      <c r="J88">
        <f t="shared" si="31"/>
        <v>0.41186693676906438</v>
      </c>
      <c r="K88">
        <f t="shared" si="32"/>
        <v>5.1703316684148666</v>
      </c>
      <c r="L88">
        <f t="shared" si="33"/>
        <v>742.54399999999998</v>
      </c>
      <c r="M88">
        <f t="shared" si="34"/>
        <v>414.7320250375293</v>
      </c>
      <c r="N88">
        <f t="shared" si="35"/>
        <v>41.119775751924429</v>
      </c>
      <c r="O88">
        <f t="shared" si="36"/>
        <v>73.621618111536009</v>
      </c>
      <c r="P88">
        <f t="shared" si="37"/>
        <v>2.65517796424138E-2</v>
      </c>
      <c r="Q88">
        <f t="shared" si="38"/>
        <v>2.1786973107628</v>
      </c>
      <c r="R88">
        <f t="shared" si="39"/>
        <v>2.6373313881782299E-2</v>
      </c>
      <c r="S88">
        <f t="shared" si="40"/>
        <v>1.6499255509956019E-2</v>
      </c>
      <c r="T88">
        <f t="shared" si="41"/>
        <v>276.11475377400006</v>
      </c>
      <c r="U88">
        <f t="shared" si="42"/>
        <v>27.514254003818216</v>
      </c>
      <c r="V88">
        <f t="shared" si="43"/>
        <v>27.514254003818216</v>
      </c>
      <c r="W88">
        <f t="shared" si="44"/>
        <v>3.6886982174731413</v>
      </c>
      <c r="X88">
        <f t="shared" si="45"/>
        <v>66.686701465595988</v>
      </c>
      <c r="Y88">
        <f t="shared" si="46"/>
        <v>2.1861994941681004</v>
      </c>
      <c r="Z88">
        <f t="shared" si="47"/>
        <v>3.2783140358141303</v>
      </c>
      <c r="AA88">
        <f t="shared" si="48"/>
        <v>1.5024987233050409</v>
      </c>
      <c r="AB88">
        <f t="shared" si="49"/>
        <v>-18.163331911515741</v>
      </c>
      <c r="AC88">
        <f t="shared" si="50"/>
        <v>-235.0161683558907</v>
      </c>
      <c r="AD88">
        <f t="shared" si="51"/>
        <v>-23.166878770082818</v>
      </c>
      <c r="AE88">
        <f t="shared" si="52"/>
        <v>-0.23162526348917822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52650.092377143461</v>
      </c>
      <c r="AK88">
        <f t="shared" si="56"/>
        <v>1800</v>
      </c>
      <c r="AL88">
        <f t="shared" si="57"/>
        <v>1499.1141204</v>
      </c>
      <c r="AM88">
        <f t="shared" si="58"/>
        <v>0.83284117800000002</v>
      </c>
      <c r="AN88">
        <f t="shared" si="59"/>
        <v>0.15339708543000002</v>
      </c>
      <c r="AO88">
        <v>31.5</v>
      </c>
      <c r="AP88">
        <v>0.5</v>
      </c>
      <c r="AQ88" t="s">
        <v>331</v>
      </c>
      <c r="AR88">
        <v>2</v>
      </c>
      <c r="AS88">
        <v>1690230404.5999999</v>
      </c>
      <c r="AT88">
        <v>742.54399999999998</v>
      </c>
      <c r="AU88">
        <v>800.005</v>
      </c>
      <c r="AV88">
        <v>22.049900000000001</v>
      </c>
      <c r="AW88">
        <v>17.823499999999999</v>
      </c>
      <c r="AX88">
        <v>742.71100000000001</v>
      </c>
      <c r="AY88">
        <v>21.871300000000002</v>
      </c>
      <c r="AZ88">
        <v>300.202</v>
      </c>
      <c r="BA88">
        <v>99.047700000000006</v>
      </c>
      <c r="BB88">
        <v>0.100119</v>
      </c>
      <c r="BC88">
        <v>25.513400000000001</v>
      </c>
      <c r="BD88">
        <v>26.8963</v>
      </c>
      <c r="BE88">
        <v>27.355499999999999</v>
      </c>
      <c r="BF88">
        <v>0</v>
      </c>
      <c r="BG88">
        <v>0</v>
      </c>
      <c r="BH88">
        <v>10003.1</v>
      </c>
      <c r="BI88">
        <v>1056.43</v>
      </c>
      <c r="BJ88">
        <v>1.2054199999999999</v>
      </c>
      <c r="BK88">
        <v>-57.460799999999999</v>
      </c>
      <c r="BL88">
        <v>759.28599999999994</v>
      </c>
      <c r="BM88">
        <v>814.52300000000002</v>
      </c>
      <c r="BN88">
        <v>4.2263599999999997</v>
      </c>
      <c r="BO88">
        <v>800.005</v>
      </c>
      <c r="BP88">
        <v>17.823499999999999</v>
      </c>
      <c r="BQ88">
        <v>2.1839900000000001</v>
      </c>
      <c r="BR88">
        <v>1.7653799999999999</v>
      </c>
      <c r="BS88">
        <v>18.845400000000001</v>
      </c>
      <c r="BT88">
        <v>15.483599999999999</v>
      </c>
      <c r="BU88">
        <v>1800</v>
      </c>
      <c r="BV88">
        <v>0.91001399999999999</v>
      </c>
      <c r="BW88">
        <v>3.3997800000000002E-2</v>
      </c>
      <c r="BX88">
        <v>2.1995899999999999E-2</v>
      </c>
      <c r="BY88">
        <v>3.3992700000000001E-2</v>
      </c>
      <c r="BZ88">
        <v>26</v>
      </c>
      <c r="CA88">
        <v>33528.5</v>
      </c>
      <c r="CB88">
        <v>1690229084.0999999</v>
      </c>
      <c r="CC88" t="s">
        <v>332</v>
      </c>
      <c r="CD88">
        <v>1690229084.0999999</v>
      </c>
      <c r="CE88">
        <v>1690229076.5999999</v>
      </c>
      <c r="CF88">
        <v>13</v>
      </c>
      <c r="CG88">
        <v>0.23300000000000001</v>
      </c>
      <c r="CH88">
        <v>-0.13100000000000001</v>
      </c>
      <c r="CI88">
        <v>-0.20599999999999999</v>
      </c>
      <c r="CJ88">
        <v>8.7999999999999995E-2</v>
      </c>
      <c r="CK88">
        <v>799</v>
      </c>
      <c r="CL88">
        <v>16</v>
      </c>
      <c r="CM88">
        <v>0.04</v>
      </c>
      <c r="CN88">
        <v>0.04</v>
      </c>
      <c r="CO88">
        <v>-54.340715000000003</v>
      </c>
      <c r="CP88">
        <v>-17.06092232645392</v>
      </c>
      <c r="CQ88">
        <v>1.642021572871379</v>
      </c>
      <c r="CR88">
        <v>-1</v>
      </c>
      <c r="CS88">
        <v>3.98687675</v>
      </c>
      <c r="CT88">
        <v>1.3041175609755919</v>
      </c>
      <c r="CU88">
        <v>0.12571054654219549</v>
      </c>
      <c r="CV88">
        <v>-1</v>
      </c>
      <c r="CW88">
        <v>0</v>
      </c>
      <c r="CX88">
        <v>0</v>
      </c>
      <c r="CY88" t="s">
        <v>333</v>
      </c>
      <c r="CZ88">
        <v>2.3643399999999999</v>
      </c>
      <c r="DA88">
        <v>2.7139099999999998</v>
      </c>
      <c r="DB88">
        <v>0.139458</v>
      </c>
      <c r="DC88">
        <v>0.146206</v>
      </c>
      <c r="DD88">
        <v>0.107196</v>
      </c>
      <c r="DE88">
        <v>9.0820799999999993E-2</v>
      </c>
      <c r="DF88">
        <v>31419</v>
      </c>
      <c r="DG88">
        <v>27517.599999999999</v>
      </c>
      <c r="DH88">
        <v>31169.7</v>
      </c>
      <c r="DI88">
        <v>28084</v>
      </c>
      <c r="DJ88">
        <v>37785.300000000003</v>
      </c>
      <c r="DK88">
        <v>36311.199999999997</v>
      </c>
      <c r="DL88">
        <v>44359.199999999997</v>
      </c>
      <c r="DM88">
        <v>42571.6</v>
      </c>
      <c r="DN88">
        <v>1.47397</v>
      </c>
      <c r="DO88">
        <v>2.05145</v>
      </c>
      <c r="DP88">
        <v>0.13674800000000001</v>
      </c>
      <c r="DQ88">
        <v>0.17741299999999999</v>
      </c>
      <c r="DR88">
        <v>24.6555</v>
      </c>
      <c r="DS88">
        <v>24.448899999999998</v>
      </c>
      <c r="DT88">
        <v>56.6</v>
      </c>
      <c r="DU88">
        <v>29.2</v>
      </c>
      <c r="DV88">
        <v>23.251300000000001</v>
      </c>
      <c r="DW88">
        <v>61.569800000000001</v>
      </c>
      <c r="DX88">
        <v>36.482399999999998</v>
      </c>
      <c r="DY88">
        <v>1</v>
      </c>
      <c r="DZ88">
        <v>-7.4982199999999999E-2</v>
      </c>
      <c r="EA88">
        <v>0.347497</v>
      </c>
      <c r="EB88">
        <v>20.1891</v>
      </c>
      <c r="EC88">
        <v>5.2404999999999999</v>
      </c>
      <c r="ED88">
        <v>12.039899999999999</v>
      </c>
      <c r="EE88">
        <v>5.0167999999999999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1.8646199999999999</v>
      </c>
      <c r="EM88">
        <v>1.8692</v>
      </c>
      <c r="EN88">
        <v>1.8672299999999999</v>
      </c>
      <c r="EO88">
        <v>1.8633999999999999</v>
      </c>
      <c r="EP88">
        <v>1.86449</v>
      </c>
      <c r="EQ88">
        <v>1.87018</v>
      </c>
      <c r="ER88">
        <v>1.86944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-0.16700000000000001</v>
      </c>
      <c r="FG88">
        <v>0.17860000000000001</v>
      </c>
      <c r="FH88">
        <v>0.3448811944559278</v>
      </c>
      <c r="FI88">
        <v>-6.1462078757559423E-4</v>
      </c>
      <c r="FJ88">
        <v>-1.8861989874597051E-7</v>
      </c>
      <c r="FK88">
        <v>1.1980462299894961E-10</v>
      </c>
      <c r="FL88">
        <v>0.17862261546663211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22</v>
      </c>
      <c r="FU88">
        <v>22.1</v>
      </c>
      <c r="FV88">
        <v>1.78833</v>
      </c>
      <c r="FW88">
        <v>2.5781200000000002</v>
      </c>
      <c r="FX88">
        <v>1.5490699999999999</v>
      </c>
      <c r="FY88">
        <v>2.3290999999999999</v>
      </c>
      <c r="FZ88">
        <v>1.50024</v>
      </c>
      <c r="GA88">
        <v>2.3742700000000001</v>
      </c>
      <c r="GB88">
        <v>33.986499999999999</v>
      </c>
      <c r="GC88">
        <v>23.991199999999999</v>
      </c>
      <c r="GD88">
        <v>19</v>
      </c>
      <c r="GE88">
        <v>282.928</v>
      </c>
      <c r="GF88">
        <v>598.37900000000002</v>
      </c>
      <c r="GG88">
        <v>22.823799999999999</v>
      </c>
      <c r="GH88">
        <v>26.4209</v>
      </c>
      <c r="GI88">
        <v>29.9998</v>
      </c>
      <c r="GJ88">
        <v>26.5776</v>
      </c>
      <c r="GK88">
        <v>26.569099999999999</v>
      </c>
      <c r="GL88">
        <v>35.764499999999998</v>
      </c>
      <c r="GM88">
        <v>32.600200000000001</v>
      </c>
      <c r="GN88">
        <v>97.370599999999996</v>
      </c>
      <c r="GO88">
        <v>22.831399999999999</v>
      </c>
      <c r="GP88">
        <v>800</v>
      </c>
      <c r="GQ88">
        <v>17.705100000000002</v>
      </c>
      <c r="GR88">
        <v>99.732100000000003</v>
      </c>
      <c r="GS88">
        <v>99.584199999999996</v>
      </c>
    </row>
    <row r="89" spans="1:201" x14ac:dyDescent="0.25">
      <c r="A89">
        <v>73</v>
      </c>
      <c r="B89">
        <v>1690230414.5999999</v>
      </c>
      <c r="C89">
        <v>909.5</v>
      </c>
      <c r="D89" t="s">
        <v>479</v>
      </c>
      <c r="E89" t="s">
        <v>480</v>
      </c>
      <c r="F89" t="s">
        <v>330</v>
      </c>
      <c r="H89">
        <v>1690230414.5999999</v>
      </c>
      <c r="I89">
        <f t="shared" si="30"/>
        <v>4.2887831178238962E-4</v>
      </c>
      <c r="J89">
        <f t="shared" si="31"/>
        <v>0.42887831178238961</v>
      </c>
      <c r="K89">
        <f t="shared" si="32"/>
        <v>5.4406618795157113</v>
      </c>
      <c r="L89">
        <f t="shared" si="33"/>
        <v>739.61699999999996</v>
      </c>
      <c r="M89">
        <f t="shared" si="34"/>
        <v>408.45561258093636</v>
      </c>
      <c r="N89">
        <f t="shared" si="35"/>
        <v>40.496667419004915</v>
      </c>
      <c r="O89">
        <f t="shared" si="36"/>
        <v>73.329935356212303</v>
      </c>
      <c r="P89">
        <f t="shared" si="37"/>
        <v>2.7641625755463382E-2</v>
      </c>
      <c r="Q89">
        <f t="shared" si="38"/>
        <v>2.1792816438186504</v>
      </c>
      <c r="R89">
        <f t="shared" si="39"/>
        <v>2.7448317709862655E-2</v>
      </c>
      <c r="S89">
        <f t="shared" si="40"/>
        <v>1.7172453726505915E-2</v>
      </c>
      <c r="T89">
        <f t="shared" si="41"/>
        <v>276.11288595900044</v>
      </c>
      <c r="U89">
        <f t="shared" si="42"/>
        <v>27.534186179438862</v>
      </c>
      <c r="V89">
        <f t="shared" si="43"/>
        <v>27.534186179438862</v>
      </c>
      <c r="W89">
        <f t="shared" si="44"/>
        <v>3.6930021142461853</v>
      </c>
      <c r="X89">
        <f t="shared" si="45"/>
        <v>66.692713096568255</v>
      </c>
      <c r="Y89">
        <f t="shared" si="46"/>
        <v>2.1898139391409202</v>
      </c>
      <c r="Z89">
        <f t="shared" si="47"/>
        <v>3.283438081114141</v>
      </c>
      <c r="AA89">
        <f t="shared" si="48"/>
        <v>1.5031881751052651</v>
      </c>
      <c r="AB89">
        <f t="shared" si="49"/>
        <v>-18.913533549603383</v>
      </c>
      <c r="AC89">
        <f t="shared" si="50"/>
        <v>-234.33104831732587</v>
      </c>
      <c r="AD89">
        <f t="shared" si="51"/>
        <v>-23.098494578264692</v>
      </c>
      <c r="AE89">
        <f t="shared" si="52"/>
        <v>-0.23019048619352134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52669.732170191819</v>
      </c>
      <c r="AK89">
        <f t="shared" si="56"/>
        <v>1799.99</v>
      </c>
      <c r="AL89">
        <f t="shared" si="57"/>
        <v>1499.10568038884</v>
      </c>
      <c r="AM89">
        <f t="shared" si="58"/>
        <v>0.83284111599999999</v>
      </c>
      <c r="AN89">
        <f t="shared" si="59"/>
        <v>0.15339689996000003</v>
      </c>
      <c r="AO89">
        <v>31.5</v>
      </c>
      <c r="AP89">
        <v>0.5</v>
      </c>
      <c r="AQ89" t="s">
        <v>331</v>
      </c>
      <c r="AR89">
        <v>2</v>
      </c>
      <c r="AS89">
        <v>1690230414.5999999</v>
      </c>
      <c r="AT89">
        <v>739.61699999999996</v>
      </c>
      <c r="AU89">
        <v>800.01199999999994</v>
      </c>
      <c r="AV89">
        <v>22.0868</v>
      </c>
      <c r="AW89">
        <v>17.6876</v>
      </c>
      <c r="AX89">
        <v>739.78099999999995</v>
      </c>
      <c r="AY89">
        <v>21.908200000000001</v>
      </c>
      <c r="AZ89">
        <v>300.31099999999998</v>
      </c>
      <c r="BA89">
        <v>99.045900000000003</v>
      </c>
      <c r="BB89">
        <v>9.9921899999999994E-2</v>
      </c>
      <c r="BC89">
        <v>25.5397</v>
      </c>
      <c r="BD89">
        <v>26.924199999999999</v>
      </c>
      <c r="BE89">
        <v>27.393899999999999</v>
      </c>
      <c r="BF89">
        <v>0</v>
      </c>
      <c r="BG89">
        <v>0</v>
      </c>
      <c r="BH89">
        <v>10008.1</v>
      </c>
      <c r="BI89">
        <v>1056.3800000000001</v>
      </c>
      <c r="BJ89">
        <v>1.41567</v>
      </c>
      <c r="BK89">
        <v>-60.395099999999999</v>
      </c>
      <c r="BL89">
        <v>756.32100000000003</v>
      </c>
      <c r="BM89">
        <v>814.41700000000003</v>
      </c>
      <c r="BN89">
        <v>4.3992100000000001</v>
      </c>
      <c r="BO89">
        <v>800.01199999999994</v>
      </c>
      <c r="BP89">
        <v>17.6876</v>
      </c>
      <c r="BQ89">
        <v>2.1876099999999998</v>
      </c>
      <c r="BR89">
        <v>1.7518800000000001</v>
      </c>
      <c r="BS89">
        <v>18.8718</v>
      </c>
      <c r="BT89">
        <v>15.363899999999999</v>
      </c>
      <c r="BU89">
        <v>1799.99</v>
      </c>
      <c r="BV89">
        <v>0.91001799999999999</v>
      </c>
      <c r="BW89">
        <v>3.3996100000000001E-2</v>
      </c>
      <c r="BX89">
        <v>2.1994799999999998E-2</v>
      </c>
      <c r="BY89">
        <v>3.3991E-2</v>
      </c>
      <c r="BZ89">
        <v>26</v>
      </c>
      <c r="CA89">
        <v>33528.300000000003</v>
      </c>
      <c r="CB89">
        <v>1690229084.0999999</v>
      </c>
      <c r="CC89" t="s">
        <v>332</v>
      </c>
      <c r="CD89">
        <v>1690229084.0999999</v>
      </c>
      <c r="CE89">
        <v>1690229076.5999999</v>
      </c>
      <c r="CF89">
        <v>13</v>
      </c>
      <c r="CG89">
        <v>0.23300000000000001</v>
      </c>
      <c r="CH89">
        <v>-0.13100000000000001</v>
      </c>
      <c r="CI89">
        <v>-0.20599999999999999</v>
      </c>
      <c r="CJ89">
        <v>8.7999999999999995E-2</v>
      </c>
      <c r="CK89">
        <v>799</v>
      </c>
      <c r="CL89">
        <v>16</v>
      </c>
      <c r="CM89">
        <v>0.04</v>
      </c>
      <c r="CN89">
        <v>0.04</v>
      </c>
      <c r="CO89">
        <v>-57.183052500000002</v>
      </c>
      <c r="CP89">
        <v>-17.06287992495292</v>
      </c>
      <c r="CQ89">
        <v>1.641789794094771</v>
      </c>
      <c r="CR89">
        <v>-1</v>
      </c>
      <c r="CS89">
        <v>4.1870820000000002</v>
      </c>
      <c r="CT89">
        <v>1.1060694934333981</v>
      </c>
      <c r="CU89">
        <v>0.1068287713165325</v>
      </c>
      <c r="CV89">
        <v>-1</v>
      </c>
      <c r="CW89">
        <v>0</v>
      </c>
      <c r="CX89">
        <v>0</v>
      </c>
      <c r="CY89" t="s">
        <v>333</v>
      </c>
      <c r="CZ89">
        <v>2.3646799999999999</v>
      </c>
      <c r="DA89">
        <v>2.7137199999999999</v>
      </c>
      <c r="DB89">
        <v>0.13908400000000001</v>
      </c>
      <c r="DC89">
        <v>0.146203</v>
      </c>
      <c r="DD89">
        <v>0.107323</v>
      </c>
      <c r="DE89">
        <v>9.0321600000000002E-2</v>
      </c>
      <c r="DF89">
        <v>31432.799999999999</v>
      </c>
      <c r="DG89">
        <v>27518.5</v>
      </c>
      <c r="DH89">
        <v>31169.9</v>
      </c>
      <c r="DI89">
        <v>28084.799999999999</v>
      </c>
      <c r="DJ89">
        <v>37780.1</v>
      </c>
      <c r="DK89">
        <v>36332</v>
      </c>
      <c r="DL89">
        <v>44359.5</v>
      </c>
      <c r="DM89">
        <v>42572.6</v>
      </c>
      <c r="DN89">
        <v>1.4742</v>
      </c>
      <c r="DO89">
        <v>2.05165</v>
      </c>
      <c r="DP89">
        <v>0.13845399999999999</v>
      </c>
      <c r="DQ89">
        <v>0.17960400000000001</v>
      </c>
      <c r="DR89">
        <v>24.6555</v>
      </c>
      <c r="DS89">
        <v>24.4514</v>
      </c>
      <c r="DT89">
        <v>56.6</v>
      </c>
      <c r="DU89">
        <v>29.2</v>
      </c>
      <c r="DV89">
        <v>23.2484</v>
      </c>
      <c r="DW89">
        <v>61.529800000000002</v>
      </c>
      <c r="DX89">
        <v>35.092100000000002</v>
      </c>
      <c r="DY89">
        <v>1</v>
      </c>
      <c r="DZ89">
        <v>-7.5050800000000001E-2</v>
      </c>
      <c r="EA89">
        <v>0.34490199999999999</v>
      </c>
      <c r="EB89">
        <v>20.1891</v>
      </c>
      <c r="EC89">
        <v>5.2409499999999998</v>
      </c>
      <c r="ED89">
        <v>12.039899999999999</v>
      </c>
      <c r="EE89">
        <v>5.0168499999999998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1.8689100000000001</v>
      </c>
      <c r="EL89">
        <v>1.8646199999999999</v>
      </c>
      <c r="EM89">
        <v>1.8691899999999999</v>
      </c>
      <c r="EN89">
        <v>1.8672299999999999</v>
      </c>
      <c r="EO89">
        <v>1.8633999999999999</v>
      </c>
      <c r="EP89">
        <v>1.8645</v>
      </c>
      <c r="EQ89">
        <v>1.87018</v>
      </c>
      <c r="ER89">
        <v>1.8694500000000001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-0.16400000000000001</v>
      </c>
      <c r="FG89">
        <v>0.17860000000000001</v>
      </c>
      <c r="FH89">
        <v>0.3448811944559278</v>
      </c>
      <c r="FI89">
        <v>-6.1462078757559423E-4</v>
      </c>
      <c r="FJ89">
        <v>-1.8861989874597051E-7</v>
      </c>
      <c r="FK89">
        <v>1.1980462299894961E-10</v>
      </c>
      <c r="FL89">
        <v>0.17862261546663211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22.2</v>
      </c>
      <c r="FU89">
        <v>22.3</v>
      </c>
      <c r="FV89">
        <v>1.78833</v>
      </c>
      <c r="FW89">
        <v>2.5903299999999998</v>
      </c>
      <c r="FX89">
        <v>1.5490699999999999</v>
      </c>
      <c r="FY89">
        <v>2.3290999999999999</v>
      </c>
      <c r="FZ89">
        <v>1.50146</v>
      </c>
      <c r="GA89">
        <v>2.32666</v>
      </c>
      <c r="GB89">
        <v>33.986499999999999</v>
      </c>
      <c r="GC89">
        <v>23.982399999999998</v>
      </c>
      <c r="GD89">
        <v>19</v>
      </c>
      <c r="GE89">
        <v>283.00700000000001</v>
      </c>
      <c r="GF89">
        <v>598.49699999999996</v>
      </c>
      <c r="GG89">
        <v>22.961300000000001</v>
      </c>
      <c r="GH89">
        <v>26.415900000000001</v>
      </c>
      <c r="GI89">
        <v>29.9999</v>
      </c>
      <c r="GJ89">
        <v>26.573699999999999</v>
      </c>
      <c r="GK89">
        <v>26.564599999999999</v>
      </c>
      <c r="GL89">
        <v>35.759799999999998</v>
      </c>
      <c r="GM89">
        <v>32.870800000000003</v>
      </c>
      <c r="GN89">
        <v>96.998999999999995</v>
      </c>
      <c r="GO89">
        <v>22.965199999999999</v>
      </c>
      <c r="GP89">
        <v>800</v>
      </c>
      <c r="GQ89">
        <v>17.575399999999998</v>
      </c>
      <c r="GR89">
        <v>99.732699999999994</v>
      </c>
      <c r="GS89">
        <v>99.586699999999993</v>
      </c>
    </row>
    <row r="90" spans="1:201" x14ac:dyDescent="0.25">
      <c r="A90">
        <v>74</v>
      </c>
      <c r="B90">
        <v>1690230424.5999999</v>
      </c>
      <c r="C90">
        <v>919.5</v>
      </c>
      <c r="D90" t="s">
        <v>481</v>
      </c>
      <c r="E90" t="s">
        <v>482</v>
      </c>
      <c r="F90" t="s">
        <v>330</v>
      </c>
      <c r="H90">
        <v>1690230424.5999999</v>
      </c>
      <c r="I90">
        <f t="shared" si="30"/>
        <v>4.4314918405165596E-4</v>
      </c>
      <c r="J90">
        <f t="shared" si="31"/>
        <v>0.44314918405165599</v>
      </c>
      <c r="K90">
        <f t="shared" si="32"/>
        <v>5.7191873001960563</v>
      </c>
      <c r="L90">
        <f t="shared" si="33"/>
        <v>736.61099999999999</v>
      </c>
      <c r="M90">
        <f t="shared" si="34"/>
        <v>399.53381979520901</v>
      </c>
      <c r="N90">
        <f t="shared" si="35"/>
        <v>39.61252649323756</v>
      </c>
      <c r="O90">
        <f t="shared" si="36"/>
        <v>73.032672847737004</v>
      </c>
      <c r="P90">
        <f t="shared" si="37"/>
        <v>2.851862548407513E-2</v>
      </c>
      <c r="Q90">
        <f t="shared" si="38"/>
        <v>2.1773998634515004</v>
      </c>
      <c r="R90">
        <f t="shared" si="39"/>
        <v>2.831272934053336E-2</v>
      </c>
      <c r="S90">
        <f t="shared" si="40"/>
        <v>1.7713830765692305E-2</v>
      </c>
      <c r="T90">
        <f t="shared" si="41"/>
        <v>276.11418412799998</v>
      </c>
      <c r="U90">
        <f t="shared" si="42"/>
        <v>27.558932355527421</v>
      </c>
      <c r="V90">
        <f t="shared" si="43"/>
        <v>27.558932355527421</v>
      </c>
      <c r="W90">
        <f t="shared" si="44"/>
        <v>3.6983515813761216</v>
      </c>
      <c r="X90">
        <f t="shared" si="45"/>
        <v>66.666649434356117</v>
      </c>
      <c r="Y90">
        <f t="shared" si="46"/>
        <v>2.1926131343316002</v>
      </c>
      <c r="Z90">
        <f t="shared" si="47"/>
        <v>3.2889205516329052</v>
      </c>
      <c r="AA90">
        <f t="shared" si="48"/>
        <v>1.5057384470445214</v>
      </c>
      <c r="AB90">
        <f t="shared" si="49"/>
        <v>-19.542879016678029</v>
      </c>
      <c r="AC90">
        <f t="shared" si="50"/>
        <v>-233.73500799204544</v>
      </c>
      <c r="AD90">
        <f t="shared" si="51"/>
        <v>-23.065755480923542</v>
      </c>
      <c r="AE90">
        <f t="shared" si="52"/>
        <v>-0.22945836164703337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52586.515725271653</v>
      </c>
      <c r="AK90">
        <f t="shared" si="56"/>
        <v>1800</v>
      </c>
      <c r="AL90">
        <f t="shared" si="57"/>
        <v>1499.1143148000001</v>
      </c>
      <c r="AM90">
        <f t="shared" si="58"/>
        <v>0.83284128600000007</v>
      </c>
      <c r="AN90">
        <f t="shared" si="59"/>
        <v>0.15339676895999999</v>
      </c>
      <c r="AO90">
        <v>31.5</v>
      </c>
      <c r="AP90">
        <v>0.5</v>
      </c>
      <c r="AQ90" t="s">
        <v>331</v>
      </c>
      <c r="AR90">
        <v>2</v>
      </c>
      <c r="AS90">
        <v>1690230424.5999999</v>
      </c>
      <c r="AT90">
        <v>736.61099999999999</v>
      </c>
      <c r="AU90">
        <v>800.05</v>
      </c>
      <c r="AV90">
        <v>22.114799999999999</v>
      </c>
      <c r="AW90">
        <v>17.567499999999999</v>
      </c>
      <c r="AX90">
        <v>736.774</v>
      </c>
      <c r="AY90">
        <v>21.936199999999999</v>
      </c>
      <c r="AZ90">
        <v>300.18900000000002</v>
      </c>
      <c r="BA90">
        <v>99.046800000000005</v>
      </c>
      <c r="BB90">
        <v>0.100067</v>
      </c>
      <c r="BC90">
        <v>25.567799999999998</v>
      </c>
      <c r="BD90">
        <v>26.995999999999999</v>
      </c>
      <c r="BE90">
        <v>27.415500000000002</v>
      </c>
      <c r="BF90">
        <v>0</v>
      </c>
      <c r="BG90">
        <v>0</v>
      </c>
      <c r="BH90">
        <v>9992.5</v>
      </c>
      <c r="BI90">
        <v>1056.49</v>
      </c>
      <c r="BJ90">
        <v>1.4577199999999999</v>
      </c>
      <c r="BK90">
        <v>-63.439100000000003</v>
      </c>
      <c r="BL90">
        <v>753.27</v>
      </c>
      <c r="BM90">
        <v>814.35599999999999</v>
      </c>
      <c r="BN90">
        <v>4.5473400000000002</v>
      </c>
      <c r="BO90">
        <v>800.05</v>
      </c>
      <c r="BP90">
        <v>17.567499999999999</v>
      </c>
      <c r="BQ90">
        <v>2.1903999999999999</v>
      </c>
      <c r="BR90">
        <v>1.74</v>
      </c>
      <c r="BS90">
        <v>18.892299999999999</v>
      </c>
      <c r="BT90">
        <v>15.257999999999999</v>
      </c>
      <c r="BU90">
        <v>1800</v>
      </c>
      <c r="BV90">
        <v>0.910022</v>
      </c>
      <c r="BW90">
        <v>3.3994499999999997E-2</v>
      </c>
      <c r="BX90">
        <v>2.1993800000000001E-2</v>
      </c>
      <c r="BY90">
        <v>3.3989400000000003E-2</v>
      </c>
      <c r="BZ90">
        <v>26</v>
      </c>
      <c r="CA90">
        <v>33528.5</v>
      </c>
      <c r="CB90">
        <v>1690229084.0999999</v>
      </c>
      <c r="CC90" t="s">
        <v>332</v>
      </c>
      <c r="CD90">
        <v>1690229084.0999999</v>
      </c>
      <c r="CE90">
        <v>1690229076.5999999</v>
      </c>
      <c r="CF90">
        <v>13</v>
      </c>
      <c r="CG90">
        <v>0.23300000000000001</v>
      </c>
      <c r="CH90">
        <v>-0.13100000000000001</v>
      </c>
      <c r="CI90">
        <v>-0.20599999999999999</v>
      </c>
      <c r="CJ90">
        <v>8.7999999999999995E-2</v>
      </c>
      <c r="CK90">
        <v>799</v>
      </c>
      <c r="CL90">
        <v>16</v>
      </c>
      <c r="CM90">
        <v>0.04</v>
      </c>
      <c r="CN90">
        <v>0.04</v>
      </c>
      <c r="CO90">
        <v>-60.084062500000002</v>
      </c>
      <c r="CP90">
        <v>-17.924581238273721</v>
      </c>
      <c r="CQ90">
        <v>1.72456920616244</v>
      </c>
      <c r="CR90">
        <v>-1</v>
      </c>
      <c r="CS90">
        <v>4.3625495000000001</v>
      </c>
      <c r="CT90">
        <v>0.9639548217635987</v>
      </c>
      <c r="CU90">
        <v>9.3049185352425262E-2</v>
      </c>
      <c r="CV90">
        <v>-1</v>
      </c>
      <c r="CW90">
        <v>0</v>
      </c>
      <c r="CX90">
        <v>0</v>
      </c>
      <c r="CY90" t="s">
        <v>333</v>
      </c>
      <c r="CZ90">
        <v>2.3643100000000001</v>
      </c>
      <c r="DA90">
        <v>2.7138499999999999</v>
      </c>
      <c r="DB90">
        <v>0.13870399999999999</v>
      </c>
      <c r="DC90">
        <v>0.146208</v>
      </c>
      <c r="DD90">
        <v>0.107422</v>
      </c>
      <c r="DE90">
        <v>8.9881199999999994E-2</v>
      </c>
      <c r="DF90">
        <v>31447.1</v>
      </c>
      <c r="DG90">
        <v>27518.6</v>
      </c>
      <c r="DH90">
        <v>31170.3</v>
      </c>
      <c r="DI90">
        <v>28085</v>
      </c>
      <c r="DJ90">
        <v>37776.300000000003</v>
      </c>
      <c r="DK90">
        <v>36349.9</v>
      </c>
      <c r="DL90">
        <v>44360.1</v>
      </c>
      <c r="DM90">
        <v>42572.800000000003</v>
      </c>
      <c r="DN90">
        <v>1.474</v>
      </c>
      <c r="DO90">
        <v>2.0514199999999998</v>
      </c>
      <c r="DP90">
        <v>0.14268600000000001</v>
      </c>
      <c r="DQ90">
        <v>0.18052000000000001</v>
      </c>
      <c r="DR90">
        <v>24.658100000000001</v>
      </c>
      <c r="DS90">
        <v>24.458100000000002</v>
      </c>
      <c r="DT90">
        <v>56.6</v>
      </c>
      <c r="DU90">
        <v>29.2</v>
      </c>
      <c r="DV90">
        <v>23.250699999999998</v>
      </c>
      <c r="DW90">
        <v>61.819800000000001</v>
      </c>
      <c r="DX90">
        <v>36.502400000000002</v>
      </c>
      <c r="DY90">
        <v>1</v>
      </c>
      <c r="DZ90">
        <v>-7.5624999999999998E-2</v>
      </c>
      <c r="EA90">
        <v>0.31378299999999998</v>
      </c>
      <c r="EB90">
        <v>20.1892</v>
      </c>
      <c r="EC90">
        <v>5.2408000000000001</v>
      </c>
      <c r="ED90">
        <v>12.039899999999999</v>
      </c>
      <c r="EE90">
        <v>5.0168499999999998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1.8689100000000001</v>
      </c>
      <c r="EL90">
        <v>1.8646199999999999</v>
      </c>
      <c r="EM90">
        <v>1.8691899999999999</v>
      </c>
      <c r="EN90">
        <v>1.86724</v>
      </c>
      <c r="EO90">
        <v>1.8633999999999999</v>
      </c>
      <c r="EP90">
        <v>1.8644799999999999</v>
      </c>
      <c r="EQ90">
        <v>1.87018</v>
      </c>
      <c r="ER90">
        <v>1.8694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-0.16300000000000001</v>
      </c>
      <c r="FG90">
        <v>0.17860000000000001</v>
      </c>
      <c r="FH90">
        <v>0.3448811944559278</v>
      </c>
      <c r="FI90">
        <v>-6.1462078757559423E-4</v>
      </c>
      <c r="FJ90">
        <v>-1.8861989874597051E-7</v>
      </c>
      <c r="FK90">
        <v>1.1980462299894961E-10</v>
      </c>
      <c r="FL90">
        <v>0.17862261546663211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22.3</v>
      </c>
      <c r="FU90">
        <v>22.5</v>
      </c>
      <c r="FV90">
        <v>1.78833</v>
      </c>
      <c r="FW90">
        <v>2.5793499999999998</v>
      </c>
      <c r="FX90">
        <v>1.5490699999999999</v>
      </c>
      <c r="FY90">
        <v>2.3290999999999999</v>
      </c>
      <c r="FZ90">
        <v>1.50146</v>
      </c>
      <c r="GA90">
        <v>2.3852500000000001</v>
      </c>
      <c r="GB90">
        <v>33.963900000000002</v>
      </c>
      <c r="GC90">
        <v>23.991199999999999</v>
      </c>
      <c r="GD90">
        <v>19</v>
      </c>
      <c r="GE90">
        <v>282.90699999999998</v>
      </c>
      <c r="GF90">
        <v>598.27499999999998</v>
      </c>
      <c r="GG90">
        <v>23.0778</v>
      </c>
      <c r="GH90">
        <v>26.410799999999998</v>
      </c>
      <c r="GI90">
        <v>29.9999</v>
      </c>
      <c r="GJ90">
        <v>26.570399999999999</v>
      </c>
      <c r="GK90">
        <v>26.561900000000001</v>
      </c>
      <c r="GL90">
        <v>35.751100000000001</v>
      </c>
      <c r="GM90">
        <v>33.4315</v>
      </c>
      <c r="GN90">
        <v>96.998999999999995</v>
      </c>
      <c r="GO90">
        <v>23.082999999999998</v>
      </c>
      <c r="GP90">
        <v>800</v>
      </c>
      <c r="GQ90">
        <v>17.447399999999998</v>
      </c>
      <c r="GR90">
        <v>99.733999999999995</v>
      </c>
      <c r="GS90">
        <v>99.587400000000002</v>
      </c>
    </row>
    <row r="91" spans="1:201" x14ac:dyDescent="0.25">
      <c r="A91">
        <v>75</v>
      </c>
      <c r="B91">
        <v>1690230434.5999999</v>
      </c>
      <c r="C91">
        <v>929.5</v>
      </c>
      <c r="D91" t="s">
        <v>483</v>
      </c>
      <c r="E91" t="s">
        <v>484</v>
      </c>
      <c r="F91" t="s">
        <v>330</v>
      </c>
      <c r="H91">
        <v>1690230434.5999999</v>
      </c>
      <c r="I91">
        <f t="shared" si="30"/>
        <v>4.5424549385801279E-4</v>
      </c>
      <c r="J91">
        <f t="shared" si="31"/>
        <v>0.45424549385801277</v>
      </c>
      <c r="K91">
        <f t="shared" si="32"/>
        <v>6.0114131991038171</v>
      </c>
      <c r="L91">
        <f t="shared" si="33"/>
        <v>733.49900000000002</v>
      </c>
      <c r="M91">
        <f t="shared" si="34"/>
        <v>387.81021406661273</v>
      </c>
      <c r="N91">
        <f t="shared" si="35"/>
        <v>38.450238684573151</v>
      </c>
      <c r="O91">
        <f t="shared" si="36"/>
        <v>72.72426202794999</v>
      </c>
      <c r="P91">
        <f t="shared" si="37"/>
        <v>2.9186988881770508E-2</v>
      </c>
      <c r="Q91">
        <f t="shared" si="38"/>
        <v>2.1781609622041729</v>
      </c>
      <c r="R91">
        <f t="shared" si="39"/>
        <v>2.8971442986916944E-2</v>
      </c>
      <c r="S91">
        <f t="shared" si="40"/>
        <v>1.8126385011421463E-2</v>
      </c>
      <c r="T91">
        <f t="shared" si="41"/>
        <v>276.11270637399809</v>
      </c>
      <c r="U91">
        <f t="shared" si="42"/>
        <v>27.578148560940235</v>
      </c>
      <c r="V91">
        <f t="shared" si="43"/>
        <v>27.578148560940235</v>
      </c>
      <c r="W91">
        <f t="shared" si="44"/>
        <v>3.7025102785625386</v>
      </c>
      <c r="X91">
        <f t="shared" si="45"/>
        <v>66.621214789325549</v>
      </c>
      <c r="Y91">
        <f t="shared" si="46"/>
        <v>2.1942035341400001</v>
      </c>
      <c r="Z91">
        <f t="shared" si="47"/>
        <v>3.2935507721957187</v>
      </c>
      <c r="AA91">
        <f t="shared" si="48"/>
        <v>1.5083067444225384</v>
      </c>
      <c r="AB91">
        <f t="shared" si="49"/>
        <v>-20.032226279138364</v>
      </c>
      <c r="AC91">
        <f t="shared" si="50"/>
        <v>-233.29018126717921</v>
      </c>
      <c r="AD91">
        <f t="shared" si="51"/>
        <v>-23.01875882749648</v>
      </c>
      <c r="AE91">
        <f t="shared" si="52"/>
        <v>-0.22845999981595355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52613.995480478545</v>
      </c>
      <c r="AK91">
        <f t="shared" si="56"/>
        <v>1799.99</v>
      </c>
      <c r="AL91">
        <f t="shared" si="57"/>
        <v>1499.1072337802098</v>
      </c>
      <c r="AM91">
        <f t="shared" si="58"/>
        <v>0.8328419789999999</v>
      </c>
      <c r="AN91">
        <f t="shared" si="59"/>
        <v>0.15339680018999999</v>
      </c>
      <c r="AO91">
        <v>31.5</v>
      </c>
      <c r="AP91">
        <v>0.5</v>
      </c>
      <c r="AQ91" t="s">
        <v>331</v>
      </c>
      <c r="AR91">
        <v>2</v>
      </c>
      <c r="AS91">
        <v>1690230434.5999999</v>
      </c>
      <c r="AT91">
        <v>733.49900000000002</v>
      </c>
      <c r="AU91">
        <v>800.04700000000003</v>
      </c>
      <c r="AV91">
        <v>22.130800000000001</v>
      </c>
      <c r="AW91">
        <v>17.471699999999998</v>
      </c>
      <c r="AX91">
        <v>733.66</v>
      </c>
      <c r="AY91">
        <v>21.952200000000001</v>
      </c>
      <c r="AZ91">
        <v>300.31700000000001</v>
      </c>
      <c r="BA91">
        <v>99.046999999999997</v>
      </c>
      <c r="BB91">
        <v>0.10005</v>
      </c>
      <c r="BC91">
        <v>25.5915</v>
      </c>
      <c r="BD91">
        <v>26.950399999999998</v>
      </c>
      <c r="BE91">
        <v>27.453099999999999</v>
      </c>
      <c r="BF91">
        <v>0</v>
      </c>
      <c r="BG91">
        <v>0</v>
      </c>
      <c r="BH91">
        <v>9998.75</v>
      </c>
      <c r="BI91">
        <v>1056.6199999999999</v>
      </c>
      <c r="BJ91">
        <v>1.4577199999999999</v>
      </c>
      <c r="BK91">
        <v>-66.547399999999996</v>
      </c>
      <c r="BL91">
        <v>750.1</v>
      </c>
      <c r="BM91">
        <v>814.27300000000002</v>
      </c>
      <c r="BN91">
        <v>4.6591100000000001</v>
      </c>
      <c r="BO91">
        <v>800.04700000000003</v>
      </c>
      <c r="BP91">
        <v>17.471699999999998</v>
      </c>
      <c r="BQ91">
        <v>2.1919900000000001</v>
      </c>
      <c r="BR91">
        <v>1.7305200000000001</v>
      </c>
      <c r="BS91">
        <v>18.9039</v>
      </c>
      <c r="BT91">
        <v>15.1729</v>
      </c>
      <c r="BU91">
        <v>1799.99</v>
      </c>
      <c r="BV91">
        <v>0.91002499999999997</v>
      </c>
      <c r="BW91">
        <v>3.3993599999999999E-2</v>
      </c>
      <c r="BX91">
        <v>2.1993200000000001E-2</v>
      </c>
      <c r="BY91">
        <v>3.3988499999999998E-2</v>
      </c>
      <c r="BZ91">
        <v>26</v>
      </c>
      <c r="CA91">
        <v>33528.5</v>
      </c>
      <c r="CB91">
        <v>1690229084.0999999</v>
      </c>
      <c r="CC91" t="s">
        <v>332</v>
      </c>
      <c r="CD91">
        <v>1690229084.0999999</v>
      </c>
      <c r="CE91">
        <v>1690229076.5999999</v>
      </c>
      <c r="CF91">
        <v>13</v>
      </c>
      <c r="CG91">
        <v>0.23300000000000001</v>
      </c>
      <c r="CH91">
        <v>-0.13100000000000001</v>
      </c>
      <c r="CI91">
        <v>-0.20599999999999999</v>
      </c>
      <c r="CJ91">
        <v>8.7999999999999995E-2</v>
      </c>
      <c r="CK91">
        <v>799</v>
      </c>
      <c r="CL91">
        <v>16</v>
      </c>
      <c r="CM91">
        <v>0.04</v>
      </c>
      <c r="CN91">
        <v>0.04</v>
      </c>
      <c r="CO91">
        <v>-63.068570000000001</v>
      </c>
      <c r="CP91">
        <v>-17.98713545966206</v>
      </c>
      <c r="CQ91">
        <v>1.7306782508889409</v>
      </c>
      <c r="CR91">
        <v>-1</v>
      </c>
      <c r="CS91">
        <v>4.5207435</v>
      </c>
      <c r="CT91">
        <v>0.86576195121951249</v>
      </c>
      <c r="CU91">
        <v>8.3678367621207866E-2</v>
      </c>
      <c r="CV91">
        <v>-1</v>
      </c>
      <c r="CW91">
        <v>0</v>
      </c>
      <c r="CX91">
        <v>0</v>
      </c>
      <c r="CY91" t="s">
        <v>333</v>
      </c>
      <c r="CZ91">
        <v>2.3647499999999999</v>
      </c>
      <c r="DA91">
        <v>2.7138399999999998</v>
      </c>
      <c r="DB91">
        <v>0.13830799999999999</v>
      </c>
      <c r="DC91">
        <v>0.146207</v>
      </c>
      <c r="DD91">
        <v>0.107478</v>
      </c>
      <c r="DE91">
        <v>8.95291E-2</v>
      </c>
      <c r="DF91">
        <v>31461.7</v>
      </c>
      <c r="DG91">
        <v>27518.2</v>
      </c>
      <c r="DH91">
        <v>31170.400000000001</v>
      </c>
      <c r="DI91">
        <v>28084.6</v>
      </c>
      <c r="DJ91">
        <v>37774</v>
      </c>
      <c r="DK91">
        <v>36363.5</v>
      </c>
      <c r="DL91">
        <v>44360.3</v>
      </c>
      <c r="DM91">
        <v>42572.2</v>
      </c>
      <c r="DN91">
        <v>1.4741</v>
      </c>
      <c r="DO91">
        <v>2.0515500000000002</v>
      </c>
      <c r="DP91">
        <v>0.13957900000000001</v>
      </c>
      <c r="DQ91">
        <v>0.18235299999999999</v>
      </c>
      <c r="DR91">
        <v>24.6632</v>
      </c>
      <c r="DS91">
        <v>24.465800000000002</v>
      </c>
      <c r="DT91">
        <v>56.6</v>
      </c>
      <c r="DU91">
        <v>29.2</v>
      </c>
      <c r="DV91">
        <v>23.251999999999999</v>
      </c>
      <c r="DW91">
        <v>61.7498</v>
      </c>
      <c r="DX91">
        <v>35.232399999999998</v>
      </c>
      <c r="DY91">
        <v>1</v>
      </c>
      <c r="DZ91">
        <v>-7.5640200000000005E-2</v>
      </c>
      <c r="EA91">
        <v>0.50691399999999998</v>
      </c>
      <c r="EB91">
        <v>20.188400000000001</v>
      </c>
      <c r="EC91">
        <v>5.2404999999999999</v>
      </c>
      <c r="ED91">
        <v>12.039899999999999</v>
      </c>
      <c r="EE91">
        <v>5.0168499999999998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1.8691899999999999</v>
      </c>
      <c r="EN91">
        <v>1.8672200000000001</v>
      </c>
      <c r="EO91">
        <v>1.8633999999999999</v>
      </c>
      <c r="EP91">
        <v>1.8645</v>
      </c>
      <c r="EQ91">
        <v>1.87015</v>
      </c>
      <c r="ER91">
        <v>1.86941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-0.161</v>
      </c>
      <c r="FG91">
        <v>0.17860000000000001</v>
      </c>
      <c r="FH91">
        <v>0.3448811944559278</v>
      </c>
      <c r="FI91">
        <v>-6.1462078757559423E-4</v>
      </c>
      <c r="FJ91">
        <v>-1.8861989874597051E-7</v>
      </c>
      <c r="FK91">
        <v>1.1980462299894961E-10</v>
      </c>
      <c r="FL91">
        <v>0.17862261546663211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22.5</v>
      </c>
      <c r="FU91">
        <v>22.6</v>
      </c>
      <c r="FV91">
        <v>1.78833</v>
      </c>
      <c r="FW91">
        <v>2.5891099999999998</v>
      </c>
      <c r="FX91">
        <v>1.5490699999999999</v>
      </c>
      <c r="FY91">
        <v>2.3290999999999999</v>
      </c>
      <c r="FZ91">
        <v>1.50146</v>
      </c>
      <c r="GA91">
        <v>2.3547400000000001</v>
      </c>
      <c r="GB91">
        <v>33.963900000000002</v>
      </c>
      <c r="GC91">
        <v>23.982399999999998</v>
      </c>
      <c r="GD91">
        <v>19</v>
      </c>
      <c r="GE91">
        <v>282.93</v>
      </c>
      <c r="GF91">
        <v>598.33600000000001</v>
      </c>
      <c r="GG91">
        <v>23.1206</v>
      </c>
      <c r="GH91">
        <v>26.406400000000001</v>
      </c>
      <c r="GI91">
        <v>29.9999</v>
      </c>
      <c r="GJ91">
        <v>26.565999999999999</v>
      </c>
      <c r="GK91">
        <v>26.558</v>
      </c>
      <c r="GL91">
        <v>35.751399999999997</v>
      </c>
      <c r="GM91">
        <v>33.722299999999997</v>
      </c>
      <c r="GN91">
        <v>96.627099999999999</v>
      </c>
      <c r="GO91">
        <v>23.111000000000001</v>
      </c>
      <c r="GP91">
        <v>800</v>
      </c>
      <c r="GQ91">
        <v>17.410599999999999</v>
      </c>
      <c r="GR91">
        <v>99.734399999999994</v>
      </c>
      <c r="GS91">
        <v>99.585999999999999</v>
      </c>
    </row>
    <row r="92" spans="1:201" x14ac:dyDescent="0.25">
      <c r="A92">
        <v>76</v>
      </c>
      <c r="B92">
        <v>1690230444.5999999</v>
      </c>
      <c r="C92">
        <v>939.5</v>
      </c>
      <c r="D92" t="s">
        <v>485</v>
      </c>
      <c r="E92" t="s">
        <v>486</v>
      </c>
      <c r="F92" t="s">
        <v>330</v>
      </c>
      <c r="H92">
        <v>1690230444.5999999</v>
      </c>
      <c r="I92">
        <f t="shared" si="30"/>
        <v>4.6264104084589965E-4</v>
      </c>
      <c r="J92">
        <f t="shared" si="31"/>
        <v>0.46264104084589963</v>
      </c>
      <c r="K92">
        <f t="shared" si="32"/>
        <v>6.3016601490004271</v>
      </c>
      <c r="L92">
        <f t="shared" si="33"/>
        <v>730.41099999999994</v>
      </c>
      <c r="M92">
        <f t="shared" si="34"/>
        <v>374.74608259796673</v>
      </c>
      <c r="N92">
        <f t="shared" si="35"/>
        <v>37.154693525020114</v>
      </c>
      <c r="O92">
        <f t="shared" si="36"/>
        <v>72.41755981587599</v>
      </c>
      <c r="P92">
        <f t="shared" si="37"/>
        <v>2.9690353007154491E-2</v>
      </c>
      <c r="Q92">
        <f t="shared" si="38"/>
        <v>2.1738985740557193</v>
      </c>
      <c r="R92">
        <f t="shared" si="39"/>
        <v>2.9466905251518717E-2</v>
      </c>
      <c r="S92">
        <f t="shared" si="40"/>
        <v>1.8436751390590242E-2</v>
      </c>
      <c r="T92">
        <f t="shared" si="41"/>
        <v>276.113859408</v>
      </c>
      <c r="U92">
        <f t="shared" si="42"/>
        <v>27.594699733047641</v>
      </c>
      <c r="V92">
        <f t="shared" si="43"/>
        <v>27.594699733047641</v>
      </c>
      <c r="W92">
        <f t="shared" si="44"/>
        <v>3.7060954900307133</v>
      </c>
      <c r="X92">
        <f t="shared" si="45"/>
        <v>66.606603400172176</v>
      </c>
      <c r="Y92">
        <f t="shared" si="46"/>
        <v>2.1957934604519997</v>
      </c>
      <c r="Z92">
        <f t="shared" si="47"/>
        <v>3.2966603134822572</v>
      </c>
      <c r="AA92">
        <f t="shared" si="48"/>
        <v>1.5103020295787135</v>
      </c>
      <c r="AB92">
        <f t="shared" si="49"/>
        <v>-20.402469901304176</v>
      </c>
      <c r="AC92">
        <f t="shared" si="50"/>
        <v>-232.90997846933479</v>
      </c>
      <c r="AD92">
        <f t="shared" si="51"/>
        <v>-23.030045453975294</v>
      </c>
      <c r="AE92">
        <f t="shared" si="52"/>
        <v>-0.22863441661428396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52434.092544671897</v>
      </c>
      <c r="AK92">
        <f t="shared" si="56"/>
        <v>1800</v>
      </c>
      <c r="AL92">
        <f t="shared" si="57"/>
        <v>1499.1148997999999</v>
      </c>
      <c r="AM92">
        <f t="shared" si="58"/>
        <v>0.83284161099999998</v>
      </c>
      <c r="AN92">
        <f t="shared" si="59"/>
        <v>0.15339658855999999</v>
      </c>
      <c r="AO92">
        <v>31.5</v>
      </c>
      <c r="AP92">
        <v>0.5</v>
      </c>
      <c r="AQ92" t="s">
        <v>331</v>
      </c>
      <c r="AR92">
        <v>2</v>
      </c>
      <c r="AS92">
        <v>1690230444.5999999</v>
      </c>
      <c r="AT92">
        <v>730.41099999999994</v>
      </c>
      <c r="AU92">
        <v>800.09799999999996</v>
      </c>
      <c r="AV92">
        <v>22.146999999999998</v>
      </c>
      <c r="AW92">
        <v>17.398800000000001</v>
      </c>
      <c r="AX92">
        <v>730.56899999999996</v>
      </c>
      <c r="AY92">
        <v>21.968399999999999</v>
      </c>
      <c r="AZ92">
        <v>300.12299999999999</v>
      </c>
      <c r="BA92">
        <v>99.046300000000002</v>
      </c>
      <c r="BB92">
        <v>0.10001599999999999</v>
      </c>
      <c r="BC92">
        <v>25.607399999999998</v>
      </c>
      <c r="BD92">
        <v>26.986599999999999</v>
      </c>
      <c r="BE92">
        <v>27.481100000000001</v>
      </c>
      <c r="BF92">
        <v>0</v>
      </c>
      <c r="BG92">
        <v>0</v>
      </c>
      <c r="BH92">
        <v>9963.75</v>
      </c>
      <c r="BI92">
        <v>1056.6400000000001</v>
      </c>
      <c r="BJ92">
        <v>1.4577199999999999</v>
      </c>
      <c r="BK92">
        <v>-69.687399999999997</v>
      </c>
      <c r="BL92">
        <v>746.95399999999995</v>
      </c>
      <c r="BM92">
        <v>814.26599999999996</v>
      </c>
      <c r="BN92">
        <v>4.7482699999999998</v>
      </c>
      <c r="BO92">
        <v>800.09799999999996</v>
      </c>
      <c r="BP92">
        <v>17.398800000000001</v>
      </c>
      <c r="BQ92">
        <v>2.1935799999999999</v>
      </c>
      <c r="BR92">
        <v>1.7232799999999999</v>
      </c>
      <c r="BS92">
        <v>18.915500000000002</v>
      </c>
      <c r="BT92">
        <v>15.107799999999999</v>
      </c>
      <c r="BU92">
        <v>1800</v>
      </c>
      <c r="BV92">
        <v>0.91002799999999995</v>
      </c>
      <c r="BW92">
        <v>3.39922E-2</v>
      </c>
      <c r="BX92">
        <v>2.1992299999999999E-2</v>
      </c>
      <c r="BY92">
        <v>3.3987000000000003E-2</v>
      </c>
      <c r="BZ92">
        <v>26</v>
      </c>
      <c r="CA92">
        <v>33528.5</v>
      </c>
      <c r="CB92">
        <v>1690229084.0999999</v>
      </c>
      <c r="CC92" t="s">
        <v>332</v>
      </c>
      <c r="CD92">
        <v>1690229084.0999999</v>
      </c>
      <c r="CE92">
        <v>1690229076.5999999</v>
      </c>
      <c r="CF92">
        <v>13</v>
      </c>
      <c r="CG92">
        <v>0.23300000000000001</v>
      </c>
      <c r="CH92">
        <v>-0.13100000000000001</v>
      </c>
      <c r="CI92">
        <v>-0.20599999999999999</v>
      </c>
      <c r="CJ92">
        <v>8.7999999999999995E-2</v>
      </c>
      <c r="CK92">
        <v>799</v>
      </c>
      <c r="CL92">
        <v>16</v>
      </c>
      <c r="CM92">
        <v>0.04</v>
      </c>
      <c r="CN92">
        <v>0.04</v>
      </c>
      <c r="CO92">
        <v>-66.213026829268301</v>
      </c>
      <c r="CP92">
        <v>-18.753428571428859</v>
      </c>
      <c r="CQ92">
        <v>1.8495679645856899</v>
      </c>
      <c r="CR92">
        <v>-1</v>
      </c>
      <c r="CS92">
        <v>4.6382160975609752</v>
      </c>
      <c r="CT92">
        <v>0.49067728222996942</v>
      </c>
      <c r="CU92">
        <v>4.9646740412150538E-2</v>
      </c>
      <c r="CV92">
        <v>-1</v>
      </c>
      <c r="CW92">
        <v>0</v>
      </c>
      <c r="CX92">
        <v>0</v>
      </c>
      <c r="CY92" t="s">
        <v>333</v>
      </c>
      <c r="CZ92">
        <v>2.3641000000000001</v>
      </c>
      <c r="DA92">
        <v>2.7137699999999998</v>
      </c>
      <c r="DB92">
        <v>0.13791300000000001</v>
      </c>
      <c r="DC92">
        <v>0.14621200000000001</v>
      </c>
      <c r="DD92">
        <v>0.10753500000000001</v>
      </c>
      <c r="DE92">
        <v>8.9259599999999995E-2</v>
      </c>
      <c r="DF92">
        <v>31475.9</v>
      </c>
      <c r="DG92">
        <v>27519.1</v>
      </c>
      <c r="DH92">
        <v>31170.2</v>
      </c>
      <c r="DI92">
        <v>28085.599999999999</v>
      </c>
      <c r="DJ92">
        <v>37771.300000000003</v>
      </c>
      <c r="DK92">
        <v>36375.4</v>
      </c>
      <c r="DL92">
        <v>44360</v>
      </c>
      <c r="DM92">
        <v>42573.599999999999</v>
      </c>
      <c r="DN92">
        <v>1.474</v>
      </c>
      <c r="DO92">
        <v>2.0514800000000002</v>
      </c>
      <c r="DP92">
        <v>0.14147899999999999</v>
      </c>
      <c r="DQ92">
        <v>0.18356</v>
      </c>
      <c r="DR92">
        <v>24.668399999999998</v>
      </c>
      <c r="DS92">
        <v>24.4741</v>
      </c>
      <c r="DT92">
        <v>56.6</v>
      </c>
      <c r="DU92">
        <v>29.2</v>
      </c>
      <c r="DV92">
        <v>23.251300000000001</v>
      </c>
      <c r="DW92">
        <v>61.889800000000001</v>
      </c>
      <c r="DX92">
        <v>36.510399999999997</v>
      </c>
      <c r="DY92">
        <v>1</v>
      </c>
      <c r="DZ92">
        <v>-7.6128100000000004E-2</v>
      </c>
      <c r="EA92">
        <v>0.39537</v>
      </c>
      <c r="EB92">
        <v>20.1889</v>
      </c>
      <c r="EC92">
        <v>5.2409499999999998</v>
      </c>
      <c r="ED92">
        <v>12.039899999999999</v>
      </c>
      <c r="EE92">
        <v>5.0167000000000002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1.8692</v>
      </c>
      <c r="EN92">
        <v>1.8672299999999999</v>
      </c>
      <c r="EO92">
        <v>1.8633999999999999</v>
      </c>
      <c r="EP92">
        <v>1.86449</v>
      </c>
      <c r="EQ92">
        <v>1.87015</v>
      </c>
      <c r="ER92">
        <v>1.8694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-0.158</v>
      </c>
      <c r="FG92">
        <v>0.17860000000000001</v>
      </c>
      <c r="FH92">
        <v>0.3448811944559278</v>
      </c>
      <c r="FI92">
        <v>-6.1462078757559423E-4</v>
      </c>
      <c r="FJ92">
        <v>-1.8861989874597051E-7</v>
      </c>
      <c r="FK92">
        <v>1.1980462299894961E-10</v>
      </c>
      <c r="FL92">
        <v>0.17862261546663211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22.7</v>
      </c>
      <c r="FU92">
        <v>22.8</v>
      </c>
      <c r="FV92">
        <v>1.78833</v>
      </c>
      <c r="FW92">
        <v>2.5830099999999998</v>
      </c>
      <c r="FX92">
        <v>1.5490699999999999</v>
      </c>
      <c r="FY92">
        <v>2.3290999999999999</v>
      </c>
      <c r="FZ92">
        <v>1.50146</v>
      </c>
      <c r="GA92">
        <v>2.3791500000000001</v>
      </c>
      <c r="GB92">
        <v>33.986499999999999</v>
      </c>
      <c r="GC92">
        <v>23.991199999999999</v>
      </c>
      <c r="GD92">
        <v>19</v>
      </c>
      <c r="GE92">
        <v>282.87</v>
      </c>
      <c r="GF92">
        <v>598.24599999999998</v>
      </c>
      <c r="GG92">
        <v>23.1646</v>
      </c>
      <c r="GH92">
        <v>26.401299999999999</v>
      </c>
      <c r="GI92">
        <v>30</v>
      </c>
      <c r="GJ92">
        <v>26.562000000000001</v>
      </c>
      <c r="GK92">
        <v>26.555800000000001</v>
      </c>
      <c r="GL92">
        <v>35.745800000000003</v>
      </c>
      <c r="GM92">
        <v>34</v>
      </c>
      <c r="GN92">
        <v>96.627099999999999</v>
      </c>
      <c r="GO92">
        <v>23.1754</v>
      </c>
      <c r="GP92">
        <v>800</v>
      </c>
      <c r="GQ92">
        <v>17.300899999999999</v>
      </c>
      <c r="GR92">
        <v>99.733800000000002</v>
      </c>
      <c r="GS92">
        <v>99.589200000000005</v>
      </c>
    </row>
    <row r="93" spans="1:201" x14ac:dyDescent="0.25">
      <c r="A93">
        <v>77</v>
      </c>
      <c r="B93">
        <v>1690230454.5999999</v>
      </c>
      <c r="C93">
        <v>949.5</v>
      </c>
      <c r="D93" t="s">
        <v>487</v>
      </c>
      <c r="E93" t="s">
        <v>488</v>
      </c>
      <c r="F93" t="s">
        <v>330</v>
      </c>
      <c r="H93">
        <v>1690230454.5999999</v>
      </c>
      <c r="I93">
        <f t="shared" si="30"/>
        <v>4.7375081852204311E-4</v>
      </c>
      <c r="J93">
        <f t="shared" si="31"/>
        <v>0.47375081852204309</v>
      </c>
      <c r="K93">
        <f t="shared" si="32"/>
        <v>6.5980509172691253</v>
      </c>
      <c r="L93">
        <f t="shared" si="33"/>
        <v>727.202</v>
      </c>
      <c r="M93">
        <f t="shared" si="34"/>
        <v>364.3413063808631</v>
      </c>
      <c r="N93">
        <f t="shared" si="35"/>
        <v>36.124160349197972</v>
      </c>
      <c r="O93">
        <f t="shared" si="36"/>
        <v>72.101519081662005</v>
      </c>
      <c r="P93">
        <f t="shared" si="37"/>
        <v>3.0434590667579864E-2</v>
      </c>
      <c r="Q93">
        <f t="shared" si="38"/>
        <v>2.1763652234794577</v>
      </c>
      <c r="R93">
        <f t="shared" si="39"/>
        <v>3.0200111967210265E-2</v>
      </c>
      <c r="S93">
        <f t="shared" si="40"/>
        <v>1.8895986270397767E-2</v>
      </c>
      <c r="T93">
        <f t="shared" si="41"/>
        <v>276.11402515200001</v>
      </c>
      <c r="U93">
        <f t="shared" si="42"/>
        <v>27.599925881949066</v>
      </c>
      <c r="V93">
        <f t="shared" si="43"/>
        <v>27.599925881949066</v>
      </c>
      <c r="W93">
        <f t="shared" si="44"/>
        <v>3.7072281748806106</v>
      </c>
      <c r="X93">
        <f t="shared" si="45"/>
        <v>66.635330199990193</v>
      </c>
      <c r="Y93">
        <f t="shared" si="46"/>
        <v>2.1981880258855</v>
      </c>
      <c r="Z93">
        <f t="shared" si="47"/>
        <v>3.2988326452171215</v>
      </c>
      <c r="AA93">
        <f t="shared" si="48"/>
        <v>1.5090401489951106</v>
      </c>
      <c r="AB93">
        <f t="shared" si="49"/>
        <v>-20.892411096822102</v>
      </c>
      <c r="AC93">
        <f t="shared" si="50"/>
        <v>-232.48506168665804</v>
      </c>
      <c r="AD93">
        <f t="shared" si="51"/>
        <v>-22.963851118509766</v>
      </c>
      <c r="AE93">
        <f t="shared" si="52"/>
        <v>-0.22729874998989885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52534.635284074546</v>
      </c>
      <c r="AK93">
        <f t="shared" si="56"/>
        <v>1800</v>
      </c>
      <c r="AL93">
        <f t="shared" si="57"/>
        <v>1499.1114312</v>
      </c>
      <c r="AM93">
        <f t="shared" si="58"/>
        <v>0.83283968399999997</v>
      </c>
      <c r="AN93">
        <f t="shared" si="59"/>
        <v>0.15339668064</v>
      </c>
      <c r="AO93">
        <v>31.5</v>
      </c>
      <c r="AP93">
        <v>0.5</v>
      </c>
      <c r="AQ93" t="s">
        <v>331</v>
      </c>
      <c r="AR93">
        <v>2</v>
      </c>
      <c r="AS93">
        <v>1690230454.5999999</v>
      </c>
      <c r="AT93">
        <v>727.202</v>
      </c>
      <c r="AU93">
        <v>800.02099999999996</v>
      </c>
      <c r="AV93">
        <v>22.170500000000001</v>
      </c>
      <c r="AW93">
        <v>17.311599999999999</v>
      </c>
      <c r="AX93">
        <v>727.35699999999997</v>
      </c>
      <c r="AY93">
        <v>21.991900000000001</v>
      </c>
      <c r="AZ93">
        <v>300.32100000000003</v>
      </c>
      <c r="BA93">
        <v>99.049099999999996</v>
      </c>
      <c r="BB93">
        <v>0.100131</v>
      </c>
      <c r="BC93">
        <v>25.618500000000001</v>
      </c>
      <c r="BD93">
        <v>26.970400000000001</v>
      </c>
      <c r="BE93">
        <v>27.502300000000002</v>
      </c>
      <c r="BF93">
        <v>0</v>
      </c>
      <c r="BG93">
        <v>0</v>
      </c>
      <c r="BH93">
        <v>9983.75</v>
      </c>
      <c r="BI93">
        <v>1056.71</v>
      </c>
      <c r="BJ93">
        <v>1.4577199999999999</v>
      </c>
      <c r="BK93">
        <v>-72.819800000000001</v>
      </c>
      <c r="BL93">
        <v>743.69</v>
      </c>
      <c r="BM93">
        <v>814.11500000000001</v>
      </c>
      <c r="BN93">
        <v>4.8589599999999997</v>
      </c>
      <c r="BO93">
        <v>800.02099999999996</v>
      </c>
      <c r="BP93">
        <v>17.311599999999999</v>
      </c>
      <c r="BQ93">
        <v>2.19597</v>
      </c>
      <c r="BR93">
        <v>1.7146999999999999</v>
      </c>
      <c r="BS93">
        <v>18.933</v>
      </c>
      <c r="BT93">
        <v>15.030099999999999</v>
      </c>
      <c r="BU93">
        <v>1800</v>
      </c>
      <c r="BV93">
        <v>0.91001100000000001</v>
      </c>
      <c r="BW93">
        <v>3.4000500000000003E-2</v>
      </c>
      <c r="BX93">
        <v>2.1991199999999999E-2</v>
      </c>
      <c r="BY93">
        <v>3.3996999999999999E-2</v>
      </c>
      <c r="BZ93">
        <v>26</v>
      </c>
      <c r="CA93">
        <v>33528.5</v>
      </c>
      <c r="CB93">
        <v>1690229084.0999999</v>
      </c>
      <c r="CC93" t="s">
        <v>332</v>
      </c>
      <c r="CD93">
        <v>1690229084.0999999</v>
      </c>
      <c r="CE93">
        <v>1690229076.5999999</v>
      </c>
      <c r="CF93">
        <v>13</v>
      </c>
      <c r="CG93">
        <v>0.23300000000000001</v>
      </c>
      <c r="CH93">
        <v>-0.13100000000000001</v>
      </c>
      <c r="CI93">
        <v>-0.20599999999999999</v>
      </c>
      <c r="CJ93">
        <v>8.7999999999999995E-2</v>
      </c>
      <c r="CK93">
        <v>799</v>
      </c>
      <c r="CL93">
        <v>16</v>
      </c>
      <c r="CM93">
        <v>0.04</v>
      </c>
      <c r="CN93">
        <v>0.04</v>
      </c>
      <c r="CO93">
        <v>-69.351665853658531</v>
      </c>
      <c r="CP93">
        <v>-18.779034146341541</v>
      </c>
      <c r="CQ93">
        <v>1.851940974222656</v>
      </c>
      <c r="CR93">
        <v>-1</v>
      </c>
      <c r="CS93">
        <v>4.7349609756097557</v>
      </c>
      <c r="CT93">
        <v>0.62083505226481439</v>
      </c>
      <c r="CU93">
        <v>6.252540142564797E-2</v>
      </c>
      <c r="CV93">
        <v>-1</v>
      </c>
      <c r="CW93">
        <v>0</v>
      </c>
      <c r="CX93">
        <v>0</v>
      </c>
      <c r="CY93" t="s">
        <v>333</v>
      </c>
      <c r="CZ93">
        <v>2.36476</v>
      </c>
      <c r="DA93">
        <v>2.7139099999999998</v>
      </c>
      <c r="DB93">
        <v>0.13750599999999999</v>
      </c>
      <c r="DC93">
        <v>0.146206</v>
      </c>
      <c r="DD93">
        <v>0.10761999999999999</v>
      </c>
      <c r="DE93">
        <v>8.8940099999999994E-2</v>
      </c>
      <c r="DF93">
        <v>31491</v>
      </c>
      <c r="DG93">
        <v>27519.1</v>
      </c>
      <c r="DH93">
        <v>31170.3</v>
      </c>
      <c r="DI93">
        <v>28085.4</v>
      </c>
      <c r="DJ93">
        <v>37767.800000000003</v>
      </c>
      <c r="DK93">
        <v>36387.9</v>
      </c>
      <c r="DL93">
        <v>44360.2</v>
      </c>
      <c r="DM93">
        <v>42573.3</v>
      </c>
      <c r="DN93">
        <v>1.4737</v>
      </c>
      <c r="DO93">
        <v>2.0510700000000002</v>
      </c>
      <c r="DP93">
        <v>0.14010800000000001</v>
      </c>
      <c r="DQ93">
        <v>0.18435699999999999</v>
      </c>
      <c r="DR93">
        <v>24.674700000000001</v>
      </c>
      <c r="DS93">
        <v>24.482299999999999</v>
      </c>
      <c r="DT93">
        <v>56.6</v>
      </c>
      <c r="DU93">
        <v>29.2</v>
      </c>
      <c r="DV93">
        <v>23.250800000000002</v>
      </c>
      <c r="DW93">
        <v>61.759799999999998</v>
      </c>
      <c r="DX93">
        <v>35.2684</v>
      </c>
      <c r="DY93">
        <v>1</v>
      </c>
      <c r="DZ93">
        <v>-7.3788099999999995E-2</v>
      </c>
      <c r="EA93">
        <v>2.5463499999999999</v>
      </c>
      <c r="EB93">
        <v>20.163399999999999</v>
      </c>
      <c r="EC93">
        <v>5.2413999999999996</v>
      </c>
      <c r="ED93">
        <v>12.039899999999999</v>
      </c>
      <c r="EE93">
        <v>5.0167999999999999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1.8692</v>
      </c>
      <c r="EN93">
        <v>1.8672200000000001</v>
      </c>
      <c r="EO93">
        <v>1.8633999999999999</v>
      </c>
      <c r="EP93">
        <v>1.86449</v>
      </c>
      <c r="EQ93">
        <v>1.87015</v>
      </c>
      <c r="ER93">
        <v>1.86941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-0.155</v>
      </c>
      <c r="FG93">
        <v>0.17860000000000001</v>
      </c>
      <c r="FH93">
        <v>0.3448811944559278</v>
      </c>
      <c r="FI93">
        <v>-6.1462078757559423E-4</v>
      </c>
      <c r="FJ93">
        <v>-1.8861989874597051E-7</v>
      </c>
      <c r="FK93">
        <v>1.1980462299894961E-10</v>
      </c>
      <c r="FL93">
        <v>0.17862261546663211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22.8</v>
      </c>
      <c r="FU93">
        <v>23</v>
      </c>
      <c r="FV93">
        <v>1.78833</v>
      </c>
      <c r="FW93">
        <v>2.5891099999999998</v>
      </c>
      <c r="FX93">
        <v>1.5490699999999999</v>
      </c>
      <c r="FY93">
        <v>2.3290999999999999</v>
      </c>
      <c r="FZ93">
        <v>1.50146</v>
      </c>
      <c r="GA93">
        <v>2.34131</v>
      </c>
      <c r="GB93">
        <v>33.963900000000002</v>
      </c>
      <c r="GC93">
        <v>23.973700000000001</v>
      </c>
      <c r="GD93">
        <v>19</v>
      </c>
      <c r="GE93">
        <v>282.72699999999998</v>
      </c>
      <c r="GF93">
        <v>597.87099999999998</v>
      </c>
      <c r="GG93">
        <v>22.961099999999998</v>
      </c>
      <c r="GH93">
        <v>26.3963</v>
      </c>
      <c r="GI93">
        <v>30.0017</v>
      </c>
      <c r="GJ93">
        <v>26.558700000000002</v>
      </c>
      <c r="GK93">
        <v>26.552399999999999</v>
      </c>
      <c r="GL93">
        <v>35.740400000000001</v>
      </c>
      <c r="GM93">
        <v>34.604399999999998</v>
      </c>
      <c r="GN93">
        <v>96.256799999999998</v>
      </c>
      <c r="GO93">
        <v>22.703199999999999</v>
      </c>
      <c r="GP93">
        <v>800</v>
      </c>
      <c r="GQ93">
        <v>17.1907</v>
      </c>
      <c r="GR93">
        <v>99.734200000000001</v>
      </c>
      <c r="GS93">
        <v>99.5886</v>
      </c>
    </row>
    <row r="94" spans="1:201" x14ac:dyDescent="0.25">
      <c r="A94">
        <v>78</v>
      </c>
      <c r="B94">
        <v>1690230464.5999999</v>
      </c>
      <c r="C94">
        <v>959.5</v>
      </c>
      <c r="D94" t="s">
        <v>489</v>
      </c>
      <c r="E94" t="s">
        <v>490</v>
      </c>
      <c r="F94" t="s">
        <v>330</v>
      </c>
      <c r="H94">
        <v>1690230464.5999999</v>
      </c>
      <c r="I94">
        <f t="shared" si="30"/>
        <v>4.7876925902599383E-4</v>
      </c>
      <c r="J94">
        <f t="shared" si="31"/>
        <v>0.47876925902599382</v>
      </c>
      <c r="K94">
        <f t="shared" si="32"/>
        <v>6.8967603986482997</v>
      </c>
      <c r="L94">
        <f t="shared" si="33"/>
        <v>724.00099999999998</v>
      </c>
      <c r="M94">
        <f t="shared" si="34"/>
        <v>349.95315250927774</v>
      </c>
      <c r="N94">
        <f t="shared" si="35"/>
        <v>34.697412730510116</v>
      </c>
      <c r="O94">
        <f t="shared" si="36"/>
        <v>71.783784012735993</v>
      </c>
      <c r="P94">
        <f t="shared" si="37"/>
        <v>3.0806602694933023E-2</v>
      </c>
      <c r="Q94">
        <f t="shared" si="38"/>
        <v>2.1776513830709421</v>
      </c>
      <c r="R94">
        <f t="shared" si="39"/>
        <v>3.0566521838242901E-2</v>
      </c>
      <c r="S94">
        <f t="shared" si="40"/>
        <v>1.9125490397958026E-2</v>
      </c>
      <c r="T94">
        <f t="shared" si="41"/>
        <v>276.11473075200001</v>
      </c>
      <c r="U94">
        <f t="shared" si="42"/>
        <v>27.566202899728744</v>
      </c>
      <c r="V94">
        <f t="shared" si="43"/>
        <v>27.566202899728744</v>
      </c>
      <c r="W94">
        <f t="shared" si="44"/>
        <v>3.6999245649332986</v>
      </c>
      <c r="X94">
        <f t="shared" si="45"/>
        <v>66.603238404013368</v>
      </c>
      <c r="Y94">
        <f t="shared" si="46"/>
        <v>2.1930907213311999</v>
      </c>
      <c r="Z94">
        <f t="shared" si="47"/>
        <v>3.2927689011575882</v>
      </c>
      <c r="AA94">
        <f t="shared" si="48"/>
        <v>1.5068338436020987</v>
      </c>
      <c r="AB94">
        <f t="shared" si="49"/>
        <v>-21.113724323046327</v>
      </c>
      <c r="AC94">
        <f t="shared" si="50"/>
        <v>-232.30277032980973</v>
      </c>
      <c r="AD94">
        <f t="shared" si="51"/>
        <v>-22.924862213358974</v>
      </c>
      <c r="AE94">
        <f t="shared" si="52"/>
        <v>-0.22662611421503698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52593.545287449873</v>
      </c>
      <c r="AK94">
        <f t="shared" si="56"/>
        <v>1800</v>
      </c>
      <c r="AL94">
        <f t="shared" si="57"/>
        <v>1499.1104502000001</v>
      </c>
      <c r="AM94">
        <f t="shared" si="58"/>
        <v>0.83283913900000006</v>
      </c>
      <c r="AN94">
        <f t="shared" si="59"/>
        <v>0.15339707263999999</v>
      </c>
      <c r="AO94">
        <v>31.5</v>
      </c>
      <c r="AP94">
        <v>0.5</v>
      </c>
      <c r="AQ94" t="s">
        <v>331</v>
      </c>
      <c r="AR94">
        <v>2</v>
      </c>
      <c r="AS94">
        <v>1690230464.5999999</v>
      </c>
      <c r="AT94">
        <v>724.00099999999998</v>
      </c>
      <c r="AU94">
        <v>800.01199999999994</v>
      </c>
      <c r="AV94">
        <v>22.119199999999999</v>
      </c>
      <c r="AW94">
        <v>17.206199999999999</v>
      </c>
      <c r="AX94">
        <v>724.15499999999997</v>
      </c>
      <c r="AY94">
        <v>21.9405</v>
      </c>
      <c r="AZ94">
        <v>300.17599999999999</v>
      </c>
      <c r="BA94">
        <v>99.048699999999997</v>
      </c>
      <c r="BB94">
        <v>0.100036</v>
      </c>
      <c r="BC94">
        <v>25.587499999999999</v>
      </c>
      <c r="BD94">
        <v>26.970400000000001</v>
      </c>
      <c r="BE94">
        <v>27.4755</v>
      </c>
      <c r="BF94">
        <v>0</v>
      </c>
      <c r="BG94">
        <v>0</v>
      </c>
      <c r="BH94">
        <v>9994.3799999999992</v>
      </c>
      <c r="BI94">
        <v>1056.9100000000001</v>
      </c>
      <c r="BJ94">
        <v>1.4577199999999999</v>
      </c>
      <c r="BK94">
        <v>-76.010400000000004</v>
      </c>
      <c r="BL94">
        <v>740.37800000000004</v>
      </c>
      <c r="BM94">
        <v>814.01800000000003</v>
      </c>
      <c r="BN94">
        <v>4.9129899999999997</v>
      </c>
      <c r="BO94">
        <v>800.01199999999994</v>
      </c>
      <c r="BP94">
        <v>17.206199999999999</v>
      </c>
      <c r="BQ94">
        <v>2.1908799999999999</v>
      </c>
      <c r="BR94">
        <v>1.70425</v>
      </c>
      <c r="BS94">
        <v>18.895800000000001</v>
      </c>
      <c r="BT94">
        <v>14.9352</v>
      </c>
      <c r="BU94">
        <v>1800</v>
      </c>
      <c r="BV94">
        <v>0.909999</v>
      </c>
      <c r="BW94">
        <v>3.4004199999999998E-2</v>
      </c>
      <c r="BX94">
        <v>2.1994699999999999E-2</v>
      </c>
      <c r="BY94">
        <v>3.4002200000000003E-2</v>
      </c>
      <c r="BZ94">
        <v>26</v>
      </c>
      <c r="CA94">
        <v>33528.5</v>
      </c>
      <c r="CB94">
        <v>1690229084.0999999</v>
      </c>
      <c r="CC94" t="s">
        <v>332</v>
      </c>
      <c r="CD94">
        <v>1690229084.0999999</v>
      </c>
      <c r="CE94">
        <v>1690229076.5999999</v>
      </c>
      <c r="CF94">
        <v>13</v>
      </c>
      <c r="CG94">
        <v>0.23300000000000001</v>
      </c>
      <c r="CH94">
        <v>-0.13100000000000001</v>
      </c>
      <c r="CI94">
        <v>-0.20599999999999999</v>
      </c>
      <c r="CJ94">
        <v>8.7999999999999995E-2</v>
      </c>
      <c r="CK94">
        <v>799</v>
      </c>
      <c r="CL94">
        <v>16</v>
      </c>
      <c r="CM94">
        <v>0.04</v>
      </c>
      <c r="CN94">
        <v>0.04</v>
      </c>
      <c r="CO94">
        <v>-72.437120000000007</v>
      </c>
      <c r="CP94">
        <v>-19.068488555346889</v>
      </c>
      <c r="CQ94">
        <v>1.83457436537743</v>
      </c>
      <c r="CR94">
        <v>-1</v>
      </c>
      <c r="CS94">
        <v>4.8384982500000007</v>
      </c>
      <c r="CT94">
        <v>0.58460836772982594</v>
      </c>
      <c r="CU94">
        <v>5.6728034113985457E-2</v>
      </c>
      <c r="CV94">
        <v>-1</v>
      </c>
      <c r="CW94">
        <v>0</v>
      </c>
      <c r="CX94">
        <v>0</v>
      </c>
      <c r="CY94" t="s">
        <v>333</v>
      </c>
      <c r="CZ94">
        <v>2.36429</v>
      </c>
      <c r="DA94">
        <v>2.7138200000000001</v>
      </c>
      <c r="DB94">
        <v>0.13709499999999999</v>
      </c>
      <c r="DC94">
        <v>0.146203</v>
      </c>
      <c r="DD94">
        <v>0.107443</v>
      </c>
      <c r="DE94">
        <v>8.8549600000000006E-2</v>
      </c>
      <c r="DF94">
        <v>31506.1</v>
      </c>
      <c r="DG94">
        <v>27519.3</v>
      </c>
      <c r="DH94">
        <v>31170.400000000001</v>
      </c>
      <c r="DI94">
        <v>28085.5</v>
      </c>
      <c r="DJ94">
        <v>37775.4</v>
      </c>
      <c r="DK94">
        <v>36403.9</v>
      </c>
      <c r="DL94">
        <v>44360.3</v>
      </c>
      <c r="DM94">
        <v>42573.599999999999</v>
      </c>
      <c r="DN94">
        <v>1.4741</v>
      </c>
      <c r="DO94">
        <v>2.0510000000000002</v>
      </c>
      <c r="DP94">
        <v>0.13975799999999999</v>
      </c>
      <c r="DQ94">
        <v>0.18240500000000001</v>
      </c>
      <c r="DR94">
        <v>24.680399999999999</v>
      </c>
      <c r="DS94">
        <v>24.487400000000001</v>
      </c>
      <c r="DT94">
        <v>56.6</v>
      </c>
      <c r="DU94">
        <v>29.2</v>
      </c>
      <c r="DV94">
        <v>23.250900000000001</v>
      </c>
      <c r="DW94">
        <v>61.869799999999998</v>
      </c>
      <c r="DX94">
        <v>36.5184</v>
      </c>
      <c r="DY94">
        <v>1</v>
      </c>
      <c r="DZ94">
        <v>-7.6130600000000007E-2</v>
      </c>
      <c r="EA94">
        <v>0.78537599999999996</v>
      </c>
      <c r="EB94">
        <v>20.186599999999999</v>
      </c>
      <c r="EC94">
        <v>5.2411000000000003</v>
      </c>
      <c r="ED94">
        <v>12.039899999999999</v>
      </c>
      <c r="EE94">
        <v>5.0170000000000003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1.8689100000000001</v>
      </c>
      <c r="EL94">
        <v>1.8646199999999999</v>
      </c>
      <c r="EM94">
        <v>1.8692</v>
      </c>
      <c r="EN94">
        <v>1.8672299999999999</v>
      </c>
      <c r="EO94">
        <v>1.8633999999999999</v>
      </c>
      <c r="EP94">
        <v>1.86449</v>
      </c>
      <c r="EQ94">
        <v>1.87016</v>
      </c>
      <c r="ER94">
        <v>1.86941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-0.154</v>
      </c>
      <c r="FG94">
        <v>0.1787</v>
      </c>
      <c r="FH94">
        <v>0.3448811944559278</v>
      </c>
      <c r="FI94">
        <v>-6.1462078757559423E-4</v>
      </c>
      <c r="FJ94">
        <v>-1.8861989874597051E-7</v>
      </c>
      <c r="FK94">
        <v>1.1980462299894961E-10</v>
      </c>
      <c r="FL94">
        <v>0.17862261546663211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23</v>
      </c>
      <c r="FU94">
        <v>23.1</v>
      </c>
      <c r="FV94">
        <v>1.78711</v>
      </c>
      <c r="FW94">
        <v>2.5793499999999998</v>
      </c>
      <c r="FX94">
        <v>1.5490699999999999</v>
      </c>
      <c r="FY94">
        <v>2.3290999999999999</v>
      </c>
      <c r="FZ94">
        <v>1.50146</v>
      </c>
      <c r="GA94">
        <v>2.3852500000000001</v>
      </c>
      <c r="GB94">
        <v>33.986499999999999</v>
      </c>
      <c r="GC94">
        <v>23.991199999999999</v>
      </c>
      <c r="GD94">
        <v>19</v>
      </c>
      <c r="GE94">
        <v>282.87799999999999</v>
      </c>
      <c r="GF94">
        <v>597.76900000000001</v>
      </c>
      <c r="GG94">
        <v>22.7637</v>
      </c>
      <c r="GH94">
        <v>26.391300000000001</v>
      </c>
      <c r="GI94">
        <v>29.999300000000002</v>
      </c>
      <c r="GJ94">
        <v>26.554200000000002</v>
      </c>
      <c r="GK94">
        <v>26.549099999999999</v>
      </c>
      <c r="GL94">
        <v>35.7395</v>
      </c>
      <c r="GM94">
        <v>34.604399999999998</v>
      </c>
      <c r="GN94">
        <v>96.256799999999998</v>
      </c>
      <c r="GO94">
        <v>22.838200000000001</v>
      </c>
      <c r="GP94">
        <v>800</v>
      </c>
      <c r="GQ94">
        <v>17.128799999999998</v>
      </c>
      <c r="GR94">
        <v>99.734499999999997</v>
      </c>
      <c r="GS94">
        <v>99.589299999999994</v>
      </c>
    </row>
    <row r="95" spans="1:201" x14ac:dyDescent="0.25">
      <c r="A95">
        <v>79</v>
      </c>
      <c r="B95">
        <v>1690230475</v>
      </c>
      <c r="C95">
        <v>969.90000009536743</v>
      </c>
      <c r="D95" t="s">
        <v>491</v>
      </c>
      <c r="E95" t="s">
        <v>492</v>
      </c>
      <c r="F95" t="s">
        <v>330</v>
      </c>
      <c r="H95">
        <v>1690230475</v>
      </c>
      <c r="I95">
        <f t="shared" si="30"/>
        <v>4.8886516931625275E-4</v>
      </c>
      <c r="J95">
        <f t="shared" si="31"/>
        <v>0.48886516931625279</v>
      </c>
      <c r="K95">
        <f t="shared" si="32"/>
        <v>7.2191587593227879</v>
      </c>
      <c r="L95">
        <f t="shared" si="33"/>
        <v>720.61400000000003</v>
      </c>
      <c r="M95">
        <f t="shared" si="34"/>
        <v>339.46171828797071</v>
      </c>
      <c r="N95">
        <f t="shared" si="35"/>
        <v>33.656006741238876</v>
      </c>
      <c r="O95">
        <f t="shared" si="36"/>
        <v>71.445433565080009</v>
      </c>
      <c r="P95">
        <f t="shared" si="37"/>
        <v>3.1608503308266714E-2</v>
      </c>
      <c r="Q95">
        <f t="shared" si="38"/>
        <v>2.1818532677066496</v>
      </c>
      <c r="R95">
        <f t="shared" si="39"/>
        <v>3.1356298853208668E-2</v>
      </c>
      <c r="S95">
        <f t="shared" si="40"/>
        <v>1.962017851103217E-2</v>
      </c>
      <c r="T95">
        <f t="shared" si="41"/>
        <v>276.11419269599998</v>
      </c>
      <c r="U95">
        <f t="shared" si="42"/>
        <v>27.551591498367856</v>
      </c>
      <c r="V95">
        <f t="shared" si="43"/>
        <v>27.551591498367856</v>
      </c>
      <c r="W95">
        <f t="shared" si="44"/>
        <v>3.6967639777011856</v>
      </c>
      <c r="X95">
        <f t="shared" si="45"/>
        <v>66.751517765981603</v>
      </c>
      <c r="Y95">
        <f t="shared" si="46"/>
        <v>2.1969688445019995</v>
      </c>
      <c r="Z95">
        <f t="shared" si="47"/>
        <v>3.291264255899264</v>
      </c>
      <c r="AA95">
        <f t="shared" si="48"/>
        <v>1.4997951331991861</v>
      </c>
      <c r="AB95">
        <f t="shared" si="49"/>
        <v>-21.558953966846747</v>
      </c>
      <c r="AC95">
        <f t="shared" si="50"/>
        <v>-231.93803503759776</v>
      </c>
      <c r="AD95">
        <f t="shared" si="51"/>
        <v>-22.842234358225738</v>
      </c>
      <c r="AE95">
        <f t="shared" si="52"/>
        <v>-0.22503066667027838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52769.72993464196</v>
      </c>
      <c r="AK95">
        <f t="shared" si="56"/>
        <v>1800</v>
      </c>
      <c r="AL95">
        <f t="shared" si="57"/>
        <v>1499.1069456</v>
      </c>
      <c r="AM95">
        <f t="shared" si="58"/>
        <v>0.83283719199999995</v>
      </c>
      <c r="AN95">
        <f t="shared" si="59"/>
        <v>0.15339677371999999</v>
      </c>
      <c r="AO95">
        <v>31.5</v>
      </c>
      <c r="AP95">
        <v>0.5</v>
      </c>
      <c r="AQ95" t="s">
        <v>331</v>
      </c>
      <c r="AR95">
        <v>2</v>
      </c>
      <c r="AS95">
        <v>1690230475</v>
      </c>
      <c r="AT95">
        <v>720.61400000000003</v>
      </c>
      <c r="AU95">
        <v>800.08500000000004</v>
      </c>
      <c r="AV95">
        <v>22.159099999999999</v>
      </c>
      <c r="AW95">
        <v>17.1416</v>
      </c>
      <c r="AX95">
        <v>720.76499999999999</v>
      </c>
      <c r="AY95">
        <v>21.980499999999999</v>
      </c>
      <c r="AZ95">
        <v>300.11</v>
      </c>
      <c r="BA95">
        <v>99.045199999999994</v>
      </c>
      <c r="BB95">
        <v>0.10002</v>
      </c>
      <c r="BC95">
        <v>25.579799999999999</v>
      </c>
      <c r="BD95">
        <v>26.9497</v>
      </c>
      <c r="BE95">
        <v>27.443000000000001</v>
      </c>
      <c r="BF95">
        <v>0</v>
      </c>
      <c r="BG95">
        <v>0</v>
      </c>
      <c r="BH95">
        <v>10029.4</v>
      </c>
      <c r="BI95">
        <v>1056.94</v>
      </c>
      <c r="BJ95">
        <v>1.4577199999999999</v>
      </c>
      <c r="BK95">
        <v>-79.471400000000003</v>
      </c>
      <c r="BL95">
        <v>736.94399999999996</v>
      </c>
      <c r="BM95">
        <v>814.03899999999999</v>
      </c>
      <c r="BN95">
        <v>5.0175099999999997</v>
      </c>
      <c r="BO95">
        <v>800.08500000000004</v>
      </c>
      <c r="BP95">
        <v>17.1416</v>
      </c>
      <c r="BQ95">
        <v>2.19475</v>
      </c>
      <c r="BR95">
        <v>1.6977899999999999</v>
      </c>
      <c r="BS95">
        <v>18.924099999999999</v>
      </c>
      <c r="BT95">
        <v>14.876300000000001</v>
      </c>
      <c r="BU95">
        <v>1800</v>
      </c>
      <c r="BV95">
        <v>0.90998800000000002</v>
      </c>
      <c r="BW95">
        <v>3.4008099999999999E-2</v>
      </c>
      <c r="BX95">
        <v>2.1989600000000002E-2</v>
      </c>
      <c r="BY95">
        <v>3.4014200000000001E-2</v>
      </c>
      <c r="BZ95">
        <v>26</v>
      </c>
      <c r="CA95">
        <v>33528.5</v>
      </c>
      <c r="CB95">
        <v>1690229084.0999999</v>
      </c>
      <c r="CC95" t="s">
        <v>332</v>
      </c>
      <c r="CD95">
        <v>1690229084.0999999</v>
      </c>
      <c r="CE95">
        <v>1690229076.5999999</v>
      </c>
      <c r="CF95">
        <v>13</v>
      </c>
      <c r="CG95">
        <v>0.23300000000000001</v>
      </c>
      <c r="CH95">
        <v>-0.13100000000000001</v>
      </c>
      <c r="CI95">
        <v>-0.20599999999999999</v>
      </c>
      <c r="CJ95">
        <v>8.7999999999999995E-2</v>
      </c>
      <c r="CK95">
        <v>799</v>
      </c>
      <c r="CL95">
        <v>16</v>
      </c>
      <c r="CM95">
        <v>0.04</v>
      </c>
      <c r="CN95">
        <v>0.04</v>
      </c>
      <c r="CO95">
        <v>-75.711448780487814</v>
      </c>
      <c r="CP95">
        <v>-19.36355288952803</v>
      </c>
      <c r="CQ95">
        <v>1.897432638493515</v>
      </c>
      <c r="CR95">
        <v>-1</v>
      </c>
      <c r="CS95">
        <v>4.9121570731707296</v>
      </c>
      <c r="CT95">
        <v>0.31555550089451151</v>
      </c>
      <c r="CU95">
        <v>3.2844386998196952E-2</v>
      </c>
      <c r="CV95">
        <v>-1</v>
      </c>
      <c r="CW95">
        <v>0</v>
      </c>
      <c r="CX95">
        <v>0</v>
      </c>
      <c r="CY95" t="s">
        <v>333</v>
      </c>
      <c r="CZ95">
        <v>2.36409</v>
      </c>
      <c r="DA95">
        <v>2.7138399999999998</v>
      </c>
      <c r="DB95">
        <v>0.136655</v>
      </c>
      <c r="DC95">
        <v>0.146207</v>
      </c>
      <c r="DD95">
        <v>0.10757799999999999</v>
      </c>
      <c r="DE95">
        <v>8.8307200000000002E-2</v>
      </c>
      <c r="DF95">
        <v>31522.5</v>
      </c>
      <c r="DG95">
        <v>27519.8</v>
      </c>
      <c r="DH95">
        <v>31170.799999999999</v>
      </c>
      <c r="DI95">
        <v>28086.1</v>
      </c>
      <c r="DJ95">
        <v>37769.9</v>
      </c>
      <c r="DK95">
        <v>36414.300000000003</v>
      </c>
      <c r="DL95">
        <v>44360.7</v>
      </c>
      <c r="DM95">
        <v>42574.5</v>
      </c>
      <c r="DN95">
        <v>1.4742299999999999</v>
      </c>
      <c r="DO95">
        <v>2.0508299999999999</v>
      </c>
      <c r="DP95">
        <v>0.138242</v>
      </c>
      <c r="DQ95">
        <v>0.180259</v>
      </c>
      <c r="DR95">
        <v>24.6845</v>
      </c>
      <c r="DS95">
        <v>24.49</v>
      </c>
      <c r="DT95">
        <v>56.6</v>
      </c>
      <c r="DU95">
        <v>29.2</v>
      </c>
      <c r="DV95">
        <v>23.249600000000001</v>
      </c>
      <c r="DW95">
        <v>61.459800000000001</v>
      </c>
      <c r="DX95">
        <v>35.901400000000002</v>
      </c>
      <c r="DY95">
        <v>1</v>
      </c>
      <c r="DZ95">
        <v>-7.7306899999999998E-2</v>
      </c>
      <c r="EA95">
        <v>0.63237699999999997</v>
      </c>
      <c r="EB95">
        <v>20.187999999999999</v>
      </c>
      <c r="EC95">
        <v>5.2408000000000001</v>
      </c>
      <c r="ED95">
        <v>12.039899999999999</v>
      </c>
      <c r="EE95">
        <v>5.0168999999999997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1.86463</v>
      </c>
      <c r="EM95">
        <v>1.8692</v>
      </c>
      <c r="EN95">
        <v>1.8672299999999999</v>
      </c>
      <c r="EO95">
        <v>1.8633999999999999</v>
      </c>
      <c r="EP95">
        <v>1.8645</v>
      </c>
      <c r="EQ95">
        <v>1.87018</v>
      </c>
      <c r="ER95">
        <v>1.8694299999999999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-0.151</v>
      </c>
      <c r="FG95">
        <v>0.17860000000000001</v>
      </c>
      <c r="FH95">
        <v>0.3448811944559278</v>
      </c>
      <c r="FI95">
        <v>-6.1462078757559423E-4</v>
      </c>
      <c r="FJ95">
        <v>-1.8861989874597051E-7</v>
      </c>
      <c r="FK95">
        <v>1.1980462299894961E-10</v>
      </c>
      <c r="FL95">
        <v>0.17862261546663211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23.2</v>
      </c>
      <c r="FU95">
        <v>23.3</v>
      </c>
      <c r="FV95">
        <v>1.78711</v>
      </c>
      <c r="FW95">
        <v>2.5866699999999998</v>
      </c>
      <c r="FX95">
        <v>1.5490699999999999</v>
      </c>
      <c r="FY95">
        <v>2.3290999999999999</v>
      </c>
      <c r="FZ95">
        <v>1.50146</v>
      </c>
      <c r="GA95">
        <v>2.2900399999999999</v>
      </c>
      <c r="GB95">
        <v>33.963900000000002</v>
      </c>
      <c r="GC95">
        <v>23.982399999999998</v>
      </c>
      <c r="GD95">
        <v>19</v>
      </c>
      <c r="GE95">
        <v>282.91500000000002</v>
      </c>
      <c r="GF95">
        <v>597.58000000000004</v>
      </c>
      <c r="GG95">
        <v>22.867000000000001</v>
      </c>
      <c r="GH95">
        <v>26.386600000000001</v>
      </c>
      <c r="GI95">
        <v>29.999600000000001</v>
      </c>
      <c r="GJ95">
        <v>26.5504</v>
      </c>
      <c r="GK95">
        <v>26.545500000000001</v>
      </c>
      <c r="GL95">
        <v>35.735199999999999</v>
      </c>
      <c r="GM95">
        <v>35.1952</v>
      </c>
      <c r="GN95">
        <v>95.881399999999999</v>
      </c>
      <c r="GO95">
        <v>22.911100000000001</v>
      </c>
      <c r="GP95">
        <v>800</v>
      </c>
      <c r="GQ95">
        <v>16.995799999999999</v>
      </c>
      <c r="GR95">
        <v>99.735500000000002</v>
      </c>
      <c r="GS95">
        <v>99.591200000000001</v>
      </c>
    </row>
    <row r="96" spans="1:201" x14ac:dyDescent="0.25">
      <c r="A96">
        <v>80</v>
      </c>
      <c r="B96">
        <v>1690230485</v>
      </c>
      <c r="C96">
        <v>979.90000009536743</v>
      </c>
      <c r="D96" t="s">
        <v>493</v>
      </c>
      <c r="E96" t="s">
        <v>494</v>
      </c>
      <c r="F96" t="s">
        <v>330</v>
      </c>
      <c r="H96">
        <v>1690230485</v>
      </c>
      <c r="I96">
        <f t="shared" si="30"/>
        <v>5.0831528395847041E-4</v>
      </c>
      <c r="J96">
        <f t="shared" si="31"/>
        <v>0.50831528395847037</v>
      </c>
      <c r="K96">
        <f t="shared" si="32"/>
        <v>7.5275395822603839</v>
      </c>
      <c r="L96">
        <f t="shared" si="33"/>
        <v>717.30700000000002</v>
      </c>
      <c r="M96">
        <f t="shared" si="34"/>
        <v>336.88074774518674</v>
      </c>
      <c r="N96">
        <f t="shared" si="35"/>
        <v>33.401012389695019</v>
      </c>
      <c r="O96">
        <f t="shared" si="36"/>
        <v>71.119469291659101</v>
      </c>
      <c r="P96">
        <f t="shared" si="37"/>
        <v>3.3022112520644277E-2</v>
      </c>
      <c r="Q96">
        <f t="shared" si="38"/>
        <v>2.1823352911534846</v>
      </c>
      <c r="R96">
        <f t="shared" si="39"/>
        <v>3.2747011419612289E-2</v>
      </c>
      <c r="S96">
        <f t="shared" si="40"/>
        <v>2.0491407751768977E-2</v>
      </c>
      <c r="T96">
        <f t="shared" si="41"/>
        <v>276.11839397255551</v>
      </c>
      <c r="U96">
        <f t="shared" si="42"/>
        <v>27.546880353009058</v>
      </c>
      <c r="V96">
        <f t="shared" si="43"/>
        <v>27.546880353009058</v>
      </c>
      <c r="W96">
        <f t="shared" si="44"/>
        <v>3.6957454138886323</v>
      </c>
      <c r="X96">
        <f t="shared" si="45"/>
        <v>66.910461403389846</v>
      </c>
      <c r="Y96">
        <f t="shared" si="46"/>
        <v>2.2025007795625902</v>
      </c>
      <c r="Z96">
        <f t="shared" si="47"/>
        <v>3.291713632467951</v>
      </c>
      <c r="AA96">
        <f t="shared" si="48"/>
        <v>1.4932446343260422</v>
      </c>
      <c r="AB96">
        <f t="shared" si="49"/>
        <v>-22.416704022568545</v>
      </c>
      <c r="AC96">
        <f t="shared" si="50"/>
        <v>-231.16438596545126</v>
      </c>
      <c r="AD96">
        <f t="shared" si="51"/>
        <v>-22.760737143495909</v>
      </c>
      <c r="AE96">
        <f t="shared" si="52"/>
        <v>-0.22343315896020499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52789.472723521845</v>
      </c>
      <c r="AK96">
        <f t="shared" si="56"/>
        <v>1800.01</v>
      </c>
      <c r="AL96">
        <f t="shared" si="57"/>
        <v>1499.1178803864002</v>
      </c>
      <c r="AM96">
        <f t="shared" si="58"/>
        <v>0.83283864000000007</v>
      </c>
      <c r="AN96">
        <f t="shared" si="59"/>
        <v>0.15339825555</v>
      </c>
      <c r="AO96">
        <v>31.5</v>
      </c>
      <c r="AP96">
        <v>0.5</v>
      </c>
      <c r="AQ96" t="s">
        <v>331</v>
      </c>
      <c r="AR96">
        <v>2</v>
      </c>
      <c r="AS96">
        <v>1690230485</v>
      </c>
      <c r="AT96">
        <v>717.30700000000002</v>
      </c>
      <c r="AU96">
        <v>800.11199999999997</v>
      </c>
      <c r="AV96">
        <v>22.214300000000001</v>
      </c>
      <c r="AW96">
        <v>16.999500000000001</v>
      </c>
      <c r="AX96">
        <v>717.45600000000002</v>
      </c>
      <c r="AY96">
        <v>22.035699999999999</v>
      </c>
      <c r="AZ96">
        <v>300.22699999999998</v>
      </c>
      <c r="BA96">
        <v>99.048000000000002</v>
      </c>
      <c r="BB96">
        <v>9.9881300000000006E-2</v>
      </c>
      <c r="BC96">
        <v>25.582100000000001</v>
      </c>
      <c r="BD96">
        <v>26.931899999999999</v>
      </c>
      <c r="BE96">
        <v>27.432200000000002</v>
      </c>
      <c r="BF96">
        <v>0</v>
      </c>
      <c r="BG96">
        <v>0</v>
      </c>
      <c r="BH96">
        <v>10033.1</v>
      </c>
      <c r="BI96">
        <v>1057.02</v>
      </c>
      <c r="BJ96">
        <v>1.4577199999999999</v>
      </c>
      <c r="BK96">
        <v>-82.805099999999996</v>
      </c>
      <c r="BL96">
        <v>733.60400000000004</v>
      </c>
      <c r="BM96">
        <v>813.94899999999996</v>
      </c>
      <c r="BN96">
        <v>5.2147600000000001</v>
      </c>
      <c r="BO96">
        <v>800.11199999999997</v>
      </c>
      <c r="BP96">
        <v>16.999500000000001</v>
      </c>
      <c r="BQ96">
        <v>2.2002799999999998</v>
      </c>
      <c r="BR96">
        <v>1.68377</v>
      </c>
      <c r="BS96">
        <v>18.964300000000001</v>
      </c>
      <c r="BT96">
        <v>14.7476</v>
      </c>
      <c r="BU96">
        <v>1800.01</v>
      </c>
      <c r="BV96">
        <v>0.90997300000000003</v>
      </c>
      <c r="BW96">
        <v>3.4006500000000002E-2</v>
      </c>
      <c r="BX96">
        <v>2.20085E-2</v>
      </c>
      <c r="BY96">
        <v>3.4012500000000001E-2</v>
      </c>
      <c r="BZ96">
        <v>26</v>
      </c>
      <c r="CA96">
        <v>33528.300000000003</v>
      </c>
      <c r="CB96">
        <v>1690229084.0999999</v>
      </c>
      <c r="CC96" t="s">
        <v>332</v>
      </c>
      <c r="CD96">
        <v>1690229084.0999999</v>
      </c>
      <c r="CE96">
        <v>1690229076.5999999</v>
      </c>
      <c r="CF96">
        <v>13</v>
      </c>
      <c r="CG96">
        <v>0.23300000000000001</v>
      </c>
      <c r="CH96">
        <v>-0.13100000000000001</v>
      </c>
      <c r="CI96">
        <v>-0.20599999999999999</v>
      </c>
      <c r="CJ96">
        <v>8.7999999999999995E-2</v>
      </c>
      <c r="CK96">
        <v>799</v>
      </c>
      <c r="CL96">
        <v>16</v>
      </c>
      <c r="CM96">
        <v>0.04</v>
      </c>
      <c r="CN96">
        <v>0.04</v>
      </c>
      <c r="CO96">
        <v>-78.966426829268286</v>
      </c>
      <c r="CP96">
        <v>-19.92987895492293</v>
      </c>
      <c r="CQ96">
        <v>1.9562025420129041</v>
      </c>
      <c r="CR96">
        <v>-1</v>
      </c>
      <c r="CS96">
        <v>5.0139290243902446</v>
      </c>
      <c r="CT96">
        <v>0.91292198390058199</v>
      </c>
      <c r="CU96">
        <v>9.2021221460314231E-2</v>
      </c>
      <c r="CV96">
        <v>-1</v>
      </c>
      <c r="CW96">
        <v>0</v>
      </c>
      <c r="CX96">
        <v>0</v>
      </c>
      <c r="CY96" t="s">
        <v>333</v>
      </c>
      <c r="CZ96">
        <v>2.3644699999999998</v>
      </c>
      <c r="DA96">
        <v>2.7136999999999998</v>
      </c>
      <c r="DB96">
        <v>0.13623299999999999</v>
      </c>
      <c r="DC96">
        <v>0.14621200000000001</v>
      </c>
      <c r="DD96">
        <v>0.10777299999999999</v>
      </c>
      <c r="DE96">
        <v>8.7781100000000001E-2</v>
      </c>
      <c r="DF96">
        <v>31538.6</v>
      </c>
      <c r="DG96">
        <v>27519.9</v>
      </c>
      <c r="DH96">
        <v>31171.4</v>
      </c>
      <c r="DI96">
        <v>28086.5</v>
      </c>
      <c r="DJ96">
        <v>37762.5</v>
      </c>
      <c r="DK96">
        <v>36435.699999999997</v>
      </c>
      <c r="DL96">
        <v>44361.9</v>
      </c>
      <c r="DM96">
        <v>42574.9</v>
      </c>
      <c r="DN96">
        <v>1.47427</v>
      </c>
      <c r="DO96">
        <v>2.0507499999999999</v>
      </c>
      <c r="DP96">
        <v>0.13710600000000001</v>
      </c>
      <c r="DQ96">
        <v>0.17946999999999999</v>
      </c>
      <c r="DR96">
        <v>24.685300000000002</v>
      </c>
      <c r="DS96">
        <v>24.492100000000001</v>
      </c>
      <c r="DT96">
        <v>56.6</v>
      </c>
      <c r="DU96">
        <v>29.2</v>
      </c>
      <c r="DV96">
        <v>23.2485</v>
      </c>
      <c r="DW96">
        <v>61.209800000000001</v>
      </c>
      <c r="DX96">
        <v>35.9054</v>
      </c>
      <c r="DY96">
        <v>1</v>
      </c>
      <c r="DZ96">
        <v>-7.7642299999999997E-2</v>
      </c>
      <c r="EA96">
        <v>0.52748099999999998</v>
      </c>
      <c r="EB96">
        <v>20.188600000000001</v>
      </c>
      <c r="EC96">
        <v>5.2409499999999998</v>
      </c>
      <c r="ED96">
        <v>12.039899999999999</v>
      </c>
      <c r="EE96">
        <v>5.0169499999999996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1.8689199999999999</v>
      </c>
      <c r="EL96">
        <v>1.8646199999999999</v>
      </c>
      <c r="EM96">
        <v>1.8691899999999999</v>
      </c>
      <c r="EN96">
        <v>1.8672299999999999</v>
      </c>
      <c r="EO96">
        <v>1.8633999999999999</v>
      </c>
      <c r="EP96">
        <v>1.8644700000000001</v>
      </c>
      <c r="EQ96">
        <v>1.8701300000000001</v>
      </c>
      <c r="ER96">
        <v>1.8694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-0.14899999999999999</v>
      </c>
      <c r="FG96">
        <v>0.17860000000000001</v>
      </c>
      <c r="FH96">
        <v>0.3448811944559278</v>
      </c>
      <c r="FI96">
        <v>-6.1462078757559423E-4</v>
      </c>
      <c r="FJ96">
        <v>-1.8861989874597051E-7</v>
      </c>
      <c r="FK96">
        <v>1.1980462299894961E-10</v>
      </c>
      <c r="FL96">
        <v>0.17862261546663211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23.3</v>
      </c>
      <c r="FU96">
        <v>23.5</v>
      </c>
      <c r="FV96">
        <v>1.78711</v>
      </c>
      <c r="FW96">
        <v>2.5817899999999998</v>
      </c>
      <c r="FX96">
        <v>1.5490699999999999</v>
      </c>
      <c r="FY96">
        <v>2.3290999999999999</v>
      </c>
      <c r="FZ96">
        <v>1.50146</v>
      </c>
      <c r="GA96">
        <v>2.4096700000000002</v>
      </c>
      <c r="GB96">
        <v>33.963900000000002</v>
      </c>
      <c r="GC96">
        <v>23.991199999999999</v>
      </c>
      <c r="GD96">
        <v>19</v>
      </c>
      <c r="GE96">
        <v>282.92700000000002</v>
      </c>
      <c r="GF96">
        <v>597.48099999999999</v>
      </c>
      <c r="GG96">
        <v>22.948</v>
      </c>
      <c r="GH96">
        <v>26.3827</v>
      </c>
      <c r="GI96">
        <v>29.9998</v>
      </c>
      <c r="GJ96">
        <v>26.548200000000001</v>
      </c>
      <c r="GK96">
        <v>26.542400000000001</v>
      </c>
      <c r="GL96">
        <v>35.729599999999998</v>
      </c>
      <c r="GM96">
        <v>35.756599999999999</v>
      </c>
      <c r="GN96">
        <v>95.500699999999995</v>
      </c>
      <c r="GO96">
        <v>23.000900000000001</v>
      </c>
      <c r="GP96">
        <v>800</v>
      </c>
      <c r="GQ96">
        <v>16.854299999999999</v>
      </c>
      <c r="GR96">
        <v>99.737899999999996</v>
      </c>
      <c r="GS96">
        <v>99.592399999999998</v>
      </c>
    </row>
    <row r="97" spans="1:201" x14ac:dyDescent="0.25">
      <c r="A97">
        <v>81</v>
      </c>
      <c r="B97">
        <v>1690230495</v>
      </c>
      <c r="C97">
        <v>989.90000009536743</v>
      </c>
      <c r="D97" t="s">
        <v>495</v>
      </c>
      <c r="E97" t="s">
        <v>496</v>
      </c>
      <c r="F97" t="s">
        <v>330</v>
      </c>
      <c r="H97">
        <v>1690230495</v>
      </c>
      <c r="I97">
        <f t="shared" si="30"/>
        <v>5.2716845673477842E-4</v>
      </c>
      <c r="J97">
        <f t="shared" si="31"/>
        <v>0.52716845673477841</v>
      </c>
      <c r="K97">
        <f t="shared" si="32"/>
        <v>7.8173219487220207</v>
      </c>
      <c r="L97">
        <f t="shared" si="33"/>
        <v>714.06799999999998</v>
      </c>
      <c r="M97">
        <f t="shared" si="34"/>
        <v>333.55510455020567</v>
      </c>
      <c r="N97">
        <f t="shared" si="35"/>
        <v>33.070795489543919</v>
      </c>
      <c r="O97">
        <f t="shared" si="36"/>
        <v>70.797287978764004</v>
      </c>
      <c r="P97">
        <f t="shared" si="37"/>
        <v>3.4286777358994547E-2</v>
      </c>
      <c r="Q97">
        <f t="shared" si="38"/>
        <v>2.1754971223873367</v>
      </c>
      <c r="R97">
        <f t="shared" si="39"/>
        <v>3.3989380279899284E-2</v>
      </c>
      <c r="S97">
        <f t="shared" si="40"/>
        <v>2.1269867521277221E-2</v>
      </c>
      <c r="T97">
        <f t="shared" si="41"/>
        <v>276.11531200352232</v>
      </c>
      <c r="U97">
        <f t="shared" si="42"/>
        <v>27.562196206888455</v>
      </c>
      <c r="V97">
        <f t="shared" si="43"/>
        <v>27.562196206888455</v>
      </c>
      <c r="W97">
        <f t="shared" si="44"/>
        <v>3.6990576440095828</v>
      </c>
      <c r="X97">
        <f t="shared" si="45"/>
        <v>66.986297948887426</v>
      </c>
      <c r="Y97">
        <f t="shared" si="46"/>
        <v>2.2071183516875998</v>
      </c>
      <c r="Z97">
        <f t="shared" si="47"/>
        <v>3.2948803251848582</v>
      </c>
      <c r="AA97">
        <f t="shared" si="48"/>
        <v>1.491939292321983</v>
      </c>
      <c r="AB97">
        <f t="shared" si="49"/>
        <v>-23.248128942003728</v>
      </c>
      <c r="AC97">
        <f t="shared" si="50"/>
        <v>-230.33635387656085</v>
      </c>
      <c r="AD97">
        <f t="shared" si="51"/>
        <v>-22.754085031381216</v>
      </c>
      <c r="AE97">
        <f t="shared" si="52"/>
        <v>-0.22325584642345575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52502.065545412959</v>
      </c>
      <c r="AK97">
        <f t="shared" si="56"/>
        <v>1799.99</v>
      </c>
      <c r="AL97">
        <f t="shared" si="57"/>
        <v>1499.10099321488</v>
      </c>
      <c r="AM97">
        <f t="shared" si="58"/>
        <v>0.83283851200000003</v>
      </c>
      <c r="AN97">
        <f t="shared" si="59"/>
        <v>0.15339824777</v>
      </c>
      <c r="AO97">
        <v>31.5</v>
      </c>
      <c r="AP97">
        <v>0.5</v>
      </c>
      <c r="AQ97" t="s">
        <v>331</v>
      </c>
      <c r="AR97">
        <v>2</v>
      </c>
      <c r="AS97">
        <v>1690230495</v>
      </c>
      <c r="AT97">
        <v>714.06799999999998</v>
      </c>
      <c r="AU97">
        <v>800.05399999999997</v>
      </c>
      <c r="AV97">
        <v>22.261199999999999</v>
      </c>
      <c r="AW97">
        <v>16.8522</v>
      </c>
      <c r="AX97">
        <v>714.21400000000006</v>
      </c>
      <c r="AY97">
        <v>22.082599999999999</v>
      </c>
      <c r="AZ97">
        <v>300.16899999999998</v>
      </c>
      <c r="BA97">
        <v>99.046400000000006</v>
      </c>
      <c r="BB97">
        <v>0.100023</v>
      </c>
      <c r="BC97">
        <v>25.598299999999998</v>
      </c>
      <c r="BD97">
        <v>26.963999999999999</v>
      </c>
      <c r="BE97">
        <v>27.452000000000002</v>
      </c>
      <c r="BF97">
        <v>0</v>
      </c>
      <c r="BG97">
        <v>0</v>
      </c>
      <c r="BH97">
        <v>9976.8799999999992</v>
      </c>
      <c r="BI97">
        <v>1057.17</v>
      </c>
      <c r="BJ97">
        <v>1.43669</v>
      </c>
      <c r="BK97">
        <v>-85.9863</v>
      </c>
      <c r="BL97">
        <v>730.32600000000002</v>
      </c>
      <c r="BM97">
        <v>813.76800000000003</v>
      </c>
      <c r="BN97">
        <v>5.4090299999999996</v>
      </c>
      <c r="BO97">
        <v>800.05399999999997</v>
      </c>
      <c r="BP97">
        <v>16.8522</v>
      </c>
      <c r="BQ97">
        <v>2.2048999999999999</v>
      </c>
      <c r="BR97">
        <v>1.6691499999999999</v>
      </c>
      <c r="BS97">
        <v>18.997900000000001</v>
      </c>
      <c r="BT97">
        <v>14.612500000000001</v>
      </c>
      <c r="BU97">
        <v>1799.99</v>
      </c>
      <c r="BV97">
        <v>0.90997300000000003</v>
      </c>
      <c r="BW97">
        <v>3.4006000000000002E-2</v>
      </c>
      <c r="BX97">
        <v>2.20091E-2</v>
      </c>
      <c r="BY97">
        <v>3.4012100000000003E-2</v>
      </c>
      <c r="BZ97">
        <v>26</v>
      </c>
      <c r="CA97">
        <v>33528.1</v>
      </c>
      <c r="CB97">
        <v>1690229084.0999999</v>
      </c>
      <c r="CC97" t="s">
        <v>332</v>
      </c>
      <c r="CD97">
        <v>1690229084.0999999</v>
      </c>
      <c r="CE97">
        <v>1690229076.5999999</v>
      </c>
      <c r="CF97">
        <v>13</v>
      </c>
      <c r="CG97">
        <v>0.23300000000000001</v>
      </c>
      <c r="CH97">
        <v>-0.13100000000000001</v>
      </c>
      <c r="CI97">
        <v>-0.20599999999999999</v>
      </c>
      <c r="CJ97">
        <v>8.7999999999999995E-2</v>
      </c>
      <c r="CK97">
        <v>799</v>
      </c>
      <c r="CL97">
        <v>16</v>
      </c>
      <c r="CM97">
        <v>0.04</v>
      </c>
      <c r="CN97">
        <v>0.04</v>
      </c>
      <c r="CO97">
        <v>-82.686769999999996</v>
      </c>
      <c r="CP97">
        <v>-19.804579362101052</v>
      </c>
      <c r="CQ97">
        <v>1.905309470952161</v>
      </c>
      <c r="CR97">
        <v>-1</v>
      </c>
      <c r="CS97">
        <v>5.2145687499999998</v>
      </c>
      <c r="CT97">
        <v>1.154377598499045</v>
      </c>
      <c r="CU97">
        <v>0.1112303019457266</v>
      </c>
      <c r="CV97">
        <v>-1</v>
      </c>
      <c r="CW97">
        <v>0</v>
      </c>
      <c r="CX97">
        <v>0</v>
      </c>
      <c r="CY97" t="s">
        <v>333</v>
      </c>
      <c r="CZ97">
        <v>2.3643100000000001</v>
      </c>
      <c r="DA97">
        <v>2.7137899999999999</v>
      </c>
      <c r="DB97">
        <v>0.13581299999999999</v>
      </c>
      <c r="DC97">
        <v>0.146201</v>
      </c>
      <c r="DD97">
        <v>0.107934</v>
      </c>
      <c r="DE97">
        <v>8.7229899999999999E-2</v>
      </c>
      <c r="DF97">
        <v>31554.2</v>
      </c>
      <c r="DG97">
        <v>27520.1</v>
      </c>
      <c r="DH97">
        <v>31171.7</v>
      </c>
      <c r="DI97">
        <v>28086.3</v>
      </c>
      <c r="DJ97">
        <v>37756</v>
      </c>
      <c r="DK97">
        <v>36457.599999999999</v>
      </c>
      <c r="DL97">
        <v>44362.400000000001</v>
      </c>
      <c r="DM97">
        <v>42574.6</v>
      </c>
      <c r="DN97">
        <v>1.47465</v>
      </c>
      <c r="DO97">
        <v>2.0505499999999999</v>
      </c>
      <c r="DP97">
        <v>0.138991</v>
      </c>
      <c r="DQ97">
        <v>0.180561</v>
      </c>
      <c r="DR97">
        <v>24.686599999999999</v>
      </c>
      <c r="DS97">
        <v>24.4941</v>
      </c>
      <c r="DT97">
        <v>56.6</v>
      </c>
      <c r="DU97">
        <v>29.2</v>
      </c>
      <c r="DV97">
        <v>23.248200000000001</v>
      </c>
      <c r="DW97">
        <v>61.439799999999998</v>
      </c>
      <c r="DX97">
        <v>35.833300000000001</v>
      </c>
      <c r="DY97">
        <v>1</v>
      </c>
      <c r="DZ97">
        <v>-7.7888700000000005E-2</v>
      </c>
      <c r="EA97">
        <v>0.41264400000000001</v>
      </c>
      <c r="EB97">
        <v>20.1891</v>
      </c>
      <c r="EC97">
        <v>5.2411000000000003</v>
      </c>
      <c r="ED97">
        <v>12.039899999999999</v>
      </c>
      <c r="EE97">
        <v>5.0167999999999999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1.8692</v>
      </c>
      <c r="EN97">
        <v>1.8672299999999999</v>
      </c>
      <c r="EO97">
        <v>1.8633999999999999</v>
      </c>
      <c r="EP97">
        <v>1.8644799999999999</v>
      </c>
      <c r="EQ97">
        <v>1.87015</v>
      </c>
      <c r="ER97">
        <v>1.8694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-0.14599999999999999</v>
      </c>
      <c r="FG97">
        <v>0.17860000000000001</v>
      </c>
      <c r="FH97">
        <v>0.3448811944559278</v>
      </c>
      <c r="FI97">
        <v>-6.1462078757559423E-4</v>
      </c>
      <c r="FJ97">
        <v>-1.8861989874597051E-7</v>
      </c>
      <c r="FK97">
        <v>1.1980462299894961E-10</v>
      </c>
      <c r="FL97">
        <v>0.17862261546663211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23.5</v>
      </c>
      <c r="FU97">
        <v>23.6</v>
      </c>
      <c r="FV97">
        <v>1.78711</v>
      </c>
      <c r="FW97">
        <v>2.5915499999999998</v>
      </c>
      <c r="FX97">
        <v>1.5490699999999999</v>
      </c>
      <c r="FY97">
        <v>2.3290999999999999</v>
      </c>
      <c r="FZ97">
        <v>1.50146</v>
      </c>
      <c r="GA97">
        <v>2.2790499999999998</v>
      </c>
      <c r="GB97">
        <v>33.963900000000002</v>
      </c>
      <c r="GC97">
        <v>23.982399999999998</v>
      </c>
      <c r="GD97">
        <v>19</v>
      </c>
      <c r="GE97">
        <v>283.07</v>
      </c>
      <c r="GF97">
        <v>597.27200000000005</v>
      </c>
      <c r="GG97">
        <v>23.051300000000001</v>
      </c>
      <c r="GH97">
        <v>26.379300000000001</v>
      </c>
      <c r="GI97">
        <v>30</v>
      </c>
      <c r="GJ97">
        <v>26.544499999999999</v>
      </c>
      <c r="GK97">
        <v>26.538799999999998</v>
      </c>
      <c r="GL97">
        <v>35.7239</v>
      </c>
      <c r="GM97">
        <v>36.340000000000003</v>
      </c>
      <c r="GN97">
        <v>95.500699999999995</v>
      </c>
      <c r="GO97">
        <v>23.092199999999998</v>
      </c>
      <c r="GP97">
        <v>800</v>
      </c>
      <c r="GQ97">
        <v>16.706399999999999</v>
      </c>
      <c r="GR97">
        <v>99.739000000000004</v>
      </c>
      <c r="GS97">
        <v>99.591700000000003</v>
      </c>
    </row>
    <row r="98" spans="1:201" x14ac:dyDescent="0.25">
      <c r="A98">
        <v>82</v>
      </c>
      <c r="B98">
        <v>1690230505</v>
      </c>
      <c r="C98">
        <v>999.90000009536743</v>
      </c>
      <c r="D98" t="s">
        <v>497</v>
      </c>
      <c r="E98" t="s">
        <v>498</v>
      </c>
      <c r="F98" t="s">
        <v>330</v>
      </c>
      <c r="H98">
        <v>1690230505</v>
      </c>
      <c r="I98">
        <f t="shared" si="30"/>
        <v>5.4652552367165526E-4</v>
      </c>
      <c r="J98">
        <f t="shared" si="31"/>
        <v>0.5465255236716553</v>
      </c>
      <c r="K98">
        <f t="shared" si="32"/>
        <v>8.1310538824644034</v>
      </c>
      <c r="L98">
        <f t="shared" si="33"/>
        <v>710.77700000000004</v>
      </c>
      <c r="M98">
        <f t="shared" si="34"/>
        <v>329.4522818982544</v>
      </c>
      <c r="N98">
        <f t="shared" si="35"/>
        <v>32.663695961302729</v>
      </c>
      <c r="O98">
        <f t="shared" si="36"/>
        <v>70.470308144524907</v>
      </c>
      <c r="P98">
        <f t="shared" si="37"/>
        <v>3.5583996906352514E-2</v>
      </c>
      <c r="Q98">
        <f t="shared" si="38"/>
        <v>2.1783670661861727</v>
      </c>
      <c r="R98">
        <f t="shared" si="39"/>
        <v>3.5264201607851944E-2</v>
      </c>
      <c r="S98">
        <f t="shared" si="40"/>
        <v>2.2068618711292232E-2</v>
      </c>
      <c r="T98">
        <f t="shared" si="41"/>
        <v>276.11662042800003</v>
      </c>
      <c r="U98">
        <f t="shared" si="42"/>
        <v>27.574789577766484</v>
      </c>
      <c r="V98">
        <f t="shared" si="43"/>
        <v>27.574789577766484</v>
      </c>
      <c r="W98">
        <f t="shared" si="44"/>
        <v>3.7017830461774586</v>
      </c>
      <c r="X98">
        <f t="shared" si="45"/>
        <v>67.019437363468739</v>
      </c>
      <c r="Y98">
        <f t="shared" si="46"/>
        <v>2.2110427629636997</v>
      </c>
      <c r="Z98">
        <f t="shared" si="47"/>
        <v>3.2991067217894985</v>
      </c>
      <c r="AA98">
        <f t="shared" si="48"/>
        <v>1.4907402832137588</v>
      </c>
      <c r="AB98">
        <f t="shared" si="49"/>
        <v>-24.101775593919996</v>
      </c>
      <c r="AC98">
        <f t="shared" si="50"/>
        <v>-229.58247690627056</v>
      </c>
      <c r="AD98">
        <f t="shared" si="51"/>
        <v>-22.653608213017318</v>
      </c>
      <c r="AE98">
        <f t="shared" si="52"/>
        <v>-0.22124028520784123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52617.530871568801</v>
      </c>
      <c r="AK98">
        <f t="shared" si="56"/>
        <v>1800</v>
      </c>
      <c r="AL98">
        <f t="shared" si="57"/>
        <v>1499.1093378000003</v>
      </c>
      <c r="AM98">
        <f t="shared" si="58"/>
        <v>0.83283852100000011</v>
      </c>
      <c r="AN98">
        <f t="shared" si="59"/>
        <v>0.15339812246000001</v>
      </c>
      <c r="AO98">
        <v>31.5</v>
      </c>
      <c r="AP98">
        <v>0.5</v>
      </c>
      <c r="AQ98" t="s">
        <v>331</v>
      </c>
      <c r="AR98">
        <v>2</v>
      </c>
      <c r="AS98">
        <v>1690230505</v>
      </c>
      <c r="AT98">
        <v>710.77700000000004</v>
      </c>
      <c r="AU98">
        <v>800.16899999999998</v>
      </c>
      <c r="AV98">
        <v>22.300999999999998</v>
      </c>
      <c r="AW98">
        <v>16.694400000000002</v>
      </c>
      <c r="AX98">
        <v>710.92200000000003</v>
      </c>
      <c r="AY98">
        <v>22.122399999999999</v>
      </c>
      <c r="AZ98">
        <v>300.21100000000001</v>
      </c>
      <c r="BA98">
        <v>99.045500000000004</v>
      </c>
      <c r="BB98">
        <v>9.9953700000000006E-2</v>
      </c>
      <c r="BC98">
        <v>25.619900000000001</v>
      </c>
      <c r="BD98">
        <v>26.944299999999998</v>
      </c>
      <c r="BE98">
        <v>27.465900000000001</v>
      </c>
      <c r="BF98">
        <v>0</v>
      </c>
      <c r="BG98">
        <v>0</v>
      </c>
      <c r="BH98">
        <v>10000.6</v>
      </c>
      <c r="BI98">
        <v>1057.33</v>
      </c>
      <c r="BJ98">
        <v>1.4016500000000001</v>
      </c>
      <c r="BK98">
        <v>-89.391499999999994</v>
      </c>
      <c r="BL98">
        <v>726.99</v>
      </c>
      <c r="BM98">
        <v>813.75400000000002</v>
      </c>
      <c r="BN98">
        <v>5.6066099999999999</v>
      </c>
      <c r="BO98">
        <v>800.16899999999998</v>
      </c>
      <c r="BP98">
        <v>16.694400000000002</v>
      </c>
      <c r="BQ98">
        <v>2.2088100000000002</v>
      </c>
      <c r="BR98">
        <v>1.6535</v>
      </c>
      <c r="BS98">
        <v>19.026399999999999</v>
      </c>
      <c r="BT98">
        <v>14.466699999999999</v>
      </c>
      <c r="BU98">
        <v>1800</v>
      </c>
      <c r="BV98">
        <v>0.90997600000000001</v>
      </c>
      <c r="BW98">
        <v>3.4004800000000002E-2</v>
      </c>
      <c r="BX98">
        <v>2.2008300000000001E-2</v>
      </c>
      <c r="BY98">
        <v>3.4010800000000001E-2</v>
      </c>
      <c r="BZ98">
        <v>26</v>
      </c>
      <c r="CA98">
        <v>33528.199999999997</v>
      </c>
      <c r="CB98">
        <v>1690229084.0999999</v>
      </c>
      <c r="CC98" t="s">
        <v>332</v>
      </c>
      <c r="CD98">
        <v>1690229084.0999999</v>
      </c>
      <c r="CE98">
        <v>1690229076.5999999</v>
      </c>
      <c r="CF98">
        <v>13</v>
      </c>
      <c r="CG98">
        <v>0.23300000000000001</v>
      </c>
      <c r="CH98">
        <v>-0.13100000000000001</v>
      </c>
      <c r="CI98">
        <v>-0.20599999999999999</v>
      </c>
      <c r="CJ98">
        <v>8.7999999999999995E-2</v>
      </c>
      <c r="CK98">
        <v>799</v>
      </c>
      <c r="CL98">
        <v>16</v>
      </c>
      <c r="CM98">
        <v>0.04</v>
      </c>
      <c r="CN98">
        <v>0.04</v>
      </c>
      <c r="CO98">
        <v>-85.937020000000004</v>
      </c>
      <c r="CP98">
        <v>-19.49972983114429</v>
      </c>
      <c r="CQ98">
        <v>1.876435994005657</v>
      </c>
      <c r="CR98">
        <v>-1</v>
      </c>
      <c r="CS98">
        <v>5.4097927499999994</v>
      </c>
      <c r="CT98">
        <v>1.1583213883677299</v>
      </c>
      <c r="CU98">
        <v>0.11154898132631021</v>
      </c>
      <c r="CV98">
        <v>-1</v>
      </c>
      <c r="CW98">
        <v>0</v>
      </c>
      <c r="CX98">
        <v>0</v>
      </c>
      <c r="CY98" t="s">
        <v>333</v>
      </c>
      <c r="CZ98">
        <v>2.36442</v>
      </c>
      <c r="DA98">
        <v>2.7137500000000001</v>
      </c>
      <c r="DB98">
        <v>0.13538600000000001</v>
      </c>
      <c r="DC98">
        <v>0.14621100000000001</v>
      </c>
      <c r="DD98">
        <v>0.108071</v>
      </c>
      <c r="DE98">
        <v>8.6637800000000001E-2</v>
      </c>
      <c r="DF98">
        <v>31569.3</v>
      </c>
      <c r="DG98">
        <v>27519.599999999999</v>
      </c>
      <c r="DH98">
        <v>31171.200000000001</v>
      </c>
      <c r="DI98">
        <v>28086.1</v>
      </c>
      <c r="DJ98">
        <v>37749.5</v>
      </c>
      <c r="DK98">
        <v>36480.9</v>
      </c>
      <c r="DL98">
        <v>44361.7</v>
      </c>
      <c r="DM98">
        <v>42574.3</v>
      </c>
      <c r="DN98">
        <v>1.47465</v>
      </c>
      <c r="DO98">
        <v>2.0502500000000001</v>
      </c>
      <c r="DP98">
        <v>0.13778399999999999</v>
      </c>
      <c r="DQ98">
        <v>0.18151800000000001</v>
      </c>
      <c r="DR98">
        <v>24.686599999999999</v>
      </c>
      <c r="DS98">
        <v>24.4923</v>
      </c>
      <c r="DT98">
        <v>56.6</v>
      </c>
      <c r="DU98">
        <v>29.2</v>
      </c>
      <c r="DV98">
        <v>23.248999999999999</v>
      </c>
      <c r="DW98">
        <v>61.459800000000001</v>
      </c>
      <c r="DX98">
        <v>36.005600000000001</v>
      </c>
      <c r="DY98">
        <v>1</v>
      </c>
      <c r="DZ98">
        <v>-7.8008099999999997E-2</v>
      </c>
      <c r="EA98">
        <v>0.42766100000000001</v>
      </c>
      <c r="EB98">
        <v>20.1889</v>
      </c>
      <c r="EC98">
        <v>5.2406499999999996</v>
      </c>
      <c r="ED98">
        <v>12.039899999999999</v>
      </c>
      <c r="EE98">
        <v>5.0169499999999996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1.8672200000000001</v>
      </c>
      <c r="EO98">
        <v>1.8633999999999999</v>
      </c>
      <c r="EP98">
        <v>1.86449</v>
      </c>
      <c r="EQ98">
        <v>1.87016</v>
      </c>
      <c r="ER98">
        <v>1.8693900000000001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-0.14499999999999999</v>
      </c>
      <c r="FG98">
        <v>0.17860000000000001</v>
      </c>
      <c r="FH98">
        <v>0.3448811944559278</v>
      </c>
      <c r="FI98">
        <v>-6.1462078757559423E-4</v>
      </c>
      <c r="FJ98">
        <v>-1.8861989874597051E-7</v>
      </c>
      <c r="FK98">
        <v>1.1980462299894961E-10</v>
      </c>
      <c r="FL98">
        <v>0.17862261546663211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23.7</v>
      </c>
      <c r="FU98">
        <v>23.8</v>
      </c>
      <c r="FV98">
        <v>1.78589</v>
      </c>
      <c r="FW98">
        <v>2.5842299999999998</v>
      </c>
      <c r="FX98">
        <v>1.5490699999999999</v>
      </c>
      <c r="FY98">
        <v>2.3290999999999999</v>
      </c>
      <c r="FZ98">
        <v>1.50146</v>
      </c>
      <c r="GA98">
        <v>2.3950200000000001</v>
      </c>
      <c r="GB98">
        <v>33.986499999999999</v>
      </c>
      <c r="GC98">
        <v>23.991199999999999</v>
      </c>
      <c r="GD98">
        <v>19</v>
      </c>
      <c r="GE98">
        <v>283.05700000000002</v>
      </c>
      <c r="GF98">
        <v>596.98299999999995</v>
      </c>
      <c r="GG98">
        <v>23.134399999999999</v>
      </c>
      <c r="GH98">
        <v>26.375299999999999</v>
      </c>
      <c r="GI98">
        <v>29.9999</v>
      </c>
      <c r="GJ98">
        <v>26.541499999999999</v>
      </c>
      <c r="GK98">
        <v>26.535799999999998</v>
      </c>
      <c r="GL98">
        <v>35.716200000000001</v>
      </c>
      <c r="GM98">
        <v>36.930500000000002</v>
      </c>
      <c r="GN98">
        <v>95.125600000000006</v>
      </c>
      <c r="GO98">
        <v>23.184799999999999</v>
      </c>
      <c r="GP98">
        <v>800</v>
      </c>
      <c r="GQ98">
        <v>16.556699999999999</v>
      </c>
      <c r="GR98">
        <v>99.737399999999994</v>
      </c>
      <c r="GS98">
        <v>99.590900000000005</v>
      </c>
    </row>
    <row r="99" spans="1:201" x14ac:dyDescent="0.25">
      <c r="A99">
        <v>83</v>
      </c>
      <c r="B99">
        <v>1690230515</v>
      </c>
      <c r="C99">
        <v>1009.900000095367</v>
      </c>
      <c r="D99" t="s">
        <v>499</v>
      </c>
      <c r="E99" t="s">
        <v>500</v>
      </c>
      <c r="F99" t="s">
        <v>330</v>
      </c>
      <c r="H99">
        <v>1690230515</v>
      </c>
      <c r="I99">
        <f t="shared" si="30"/>
        <v>5.6406325335494679E-4</v>
      </c>
      <c r="J99">
        <f t="shared" si="31"/>
        <v>0.56406325335494678</v>
      </c>
      <c r="K99">
        <f t="shared" si="32"/>
        <v>8.4210235704003349</v>
      </c>
      <c r="L99">
        <f t="shared" si="33"/>
        <v>707.45899999999995</v>
      </c>
      <c r="M99">
        <f t="shared" si="34"/>
        <v>325.21191993051769</v>
      </c>
      <c r="N99">
        <f t="shared" si="35"/>
        <v>32.243478249662864</v>
      </c>
      <c r="O99">
        <f t="shared" si="36"/>
        <v>70.141767509327011</v>
      </c>
      <c r="P99">
        <f t="shared" si="37"/>
        <v>3.6760535557698516E-2</v>
      </c>
      <c r="Q99">
        <f t="shared" si="38"/>
        <v>2.175492223536176</v>
      </c>
      <c r="R99">
        <f t="shared" si="39"/>
        <v>3.6418906467133368E-2</v>
      </c>
      <c r="S99">
        <f t="shared" si="40"/>
        <v>2.2792245864081431E-2</v>
      </c>
      <c r="T99">
        <f t="shared" si="41"/>
        <v>276.11514266046311</v>
      </c>
      <c r="U99">
        <f t="shared" si="42"/>
        <v>27.584401340280955</v>
      </c>
      <c r="V99">
        <f t="shared" si="43"/>
        <v>27.584401340280955</v>
      </c>
      <c r="W99">
        <f t="shared" si="44"/>
        <v>3.7038643606678741</v>
      </c>
      <c r="X99">
        <f t="shared" si="45"/>
        <v>67.059158590861443</v>
      </c>
      <c r="Y99">
        <f t="shared" si="46"/>
        <v>2.2140999117801003</v>
      </c>
      <c r="Z99">
        <f t="shared" si="47"/>
        <v>3.3017114415178912</v>
      </c>
      <c r="AA99">
        <f t="shared" si="48"/>
        <v>1.4897644488877737</v>
      </c>
      <c r="AB99">
        <f t="shared" si="49"/>
        <v>-24.875189472953153</v>
      </c>
      <c r="AC99">
        <f t="shared" si="50"/>
        <v>-228.84691603194213</v>
      </c>
      <c r="AD99">
        <f t="shared" si="51"/>
        <v>-22.613461189860374</v>
      </c>
      <c r="AE99">
        <f t="shared" si="52"/>
        <v>-0.22042403429256296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52495.717845494029</v>
      </c>
      <c r="AK99">
        <f t="shared" si="56"/>
        <v>1799.99</v>
      </c>
      <c r="AL99">
        <f t="shared" si="57"/>
        <v>1499.1022568078599</v>
      </c>
      <c r="AM99">
        <f t="shared" si="58"/>
        <v>0.83283921399999994</v>
      </c>
      <c r="AN99">
        <f t="shared" si="59"/>
        <v>0.15339815369000001</v>
      </c>
      <c r="AO99">
        <v>31.5</v>
      </c>
      <c r="AP99">
        <v>0.5</v>
      </c>
      <c r="AQ99" t="s">
        <v>331</v>
      </c>
      <c r="AR99">
        <v>2</v>
      </c>
      <c r="AS99">
        <v>1690230515</v>
      </c>
      <c r="AT99">
        <v>707.45899999999995</v>
      </c>
      <c r="AU99">
        <v>800.00099999999998</v>
      </c>
      <c r="AV99">
        <v>22.331700000000001</v>
      </c>
      <c r="AW99">
        <v>16.5456</v>
      </c>
      <c r="AX99">
        <v>707.601</v>
      </c>
      <c r="AY99">
        <v>22.153099999999998</v>
      </c>
      <c r="AZ99">
        <v>300.22300000000001</v>
      </c>
      <c r="BA99">
        <v>99.046000000000006</v>
      </c>
      <c r="BB99">
        <v>0.100053</v>
      </c>
      <c r="BC99">
        <v>25.633199999999999</v>
      </c>
      <c r="BD99">
        <v>26.958100000000002</v>
      </c>
      <c r="BE99">
        <v>27.497199999999999</v>
      </c>
      <c r="BF99">
        <v>0</v>
      </c>
      <c r="BG99">
        <v>0</v>
      </c>
      <c r="BH99">
        <v>9976.8799999999992</v>
      </c>
      <c r="BI99">
        <v>1057.32</v>
      </c>
      <c r="BJ99">
        <v>1.4016500000000001</v>
      </c>
      <c r="BK99">
        <v>-92.541700000000006</v>
      </c>
      <c r="BL99">
        <v>723.61900000000003</v>
      </c>
      <c r="BM99">
        <v>813.46</v>
      </c>
      <c r="BN99">
        <v>5.7861000000000002</v>
      </c>
      <c r="BO99">
        <v>800.00099999999998</v>
      </c>
      <c r="BP99">
        <v>16.5456</v>
      </c>
      <c r="BQ99">
        <v>2.2118699999999998</v>
      </c>
      <c r="BR99">
        <v>1.6387799999999999</v>
      </c>
      <c r="BS99">
        <v>19.048500000000001</v>
      </c>
      <c r="BT99">
        <v>14.3283</v>
      </c>
      <c r="BU99">
        <v>1799.99</v>
      </c>
      <c r="BV99">
        <v>0.90997899999999998</v>
      </c>
      <c r="BW99">
        <v>3.4003899999999997E-2</v>
      </c>
      <c r="BX99">
        <v>2.2007700000000002E-2</v>
      </c>
      <c r="BY99">
        <v>3.4009900000000003E-2</v>
      </c>
      <c r="BZ99">
        <v>26</v>
      </c>
      <c r="CA99">
        <v>33528.1</v>
      </c>
      <c r="CB99">
        <v>1690229084.0999999</v>
      </c>
      <c r="CC99" t="s">
        <v>332</v>
      </c>
      <c r="CD99">
        <v>1690229084.0999999</v>
      </c>
      <c r="CE99">
        <v>1690229076.5999999</v>
      </c>
      <c r="CF99">
        <v>13</v>
      </c>
      <c r="CG99">
        <v>0.23300000000000001</v>
      </c>
      <c r="CH99">
        <v>-0.13100000000000001</v>
      </c>
      <c r="CI99">
        <v>-0.20599999999999999</v>
      </c>
      <c r="CJ99">
        <v>8.7999999999999995E-2</v>
      </c>
      <c r="CK99">
        <v>799</v>
      </c>
      <c r="CL99">
        <v>16</v>
      </c>
      <c r="CM99">
        <v>0.04</v>
      </c>
      <c r="CN99">
        <v>0.04</v>
      </c>
      <c r="CO99">
        <v>-88.875582499999993</v>
      </c>
      <c r="CP99">
        <v>-19.784520450281459</v>
      </c>
      <c r="CQ99">
        <v>1.903968196542094</v>
      </c>
      <c r="CR99">
        <v>-1</v>
      </c>
      <c r="CS99">
        <v>5.5818187500000001</v>
      </c>
      <c r="CT99">
        <v>1.125346378986849</v>
      </c>
      <c r="CU99">
        <v>0.1085309239845377</v>
      </c>
      <c r="CV99">
        <v>-1</v>
      </c>
      <c r="CW99">
        <v>0</v>
      </c>
      <c r="CX99">
        <v>0</v>
      </c>
      <c r="CY99" t="s">
        <v>333</v>
      </c>
      <c r="CZ99">
        <v>2.3644799999999999</v>
      </c>
      <c r="DA99">
        <v>2.7138200000000001</v>
      </c>
      <c r="DB99">
        <v>0.13495699999999999</v>
      </c>
      <c r="DC99">
        <v>0.14618999999999999</v>
      </c>
      <c r="DD99">
        <v>0.108179</v>
      </c>
      <c r="DE99">
        <v>8.60789E-2</v>
      </c>
      <c r="DF99">
        <v>31585.8</v>
      </c>
      <c r="DG99">
        <v>27521</v>
      </c>
      <c r="DH99">
        <v>31172</v>
      </c>
      <c r="DI99">
        <v>28086.799999999999</v>
      </c>
      <c r="DJ99">
        <v>37745.800000000003</v>
      </c>
      <c r="DK99">
        <v>36504.300000000003</v>
      </c>
      <c r="DL99">
        <v>44362.9</v>
      </c>
      <c r="DM99">
        <v>42575.4</v>
      </c>
      <c r="DN99">
        <v>1.4750000000000001</v>
      </c>
      <c r="DO99">
        <v>2.0500799999999999</v>
      </c>
      <c r="DP99">
        <v>0.13861399999999999</v>
      </c>
      <c r="DQ99">
        <v>0.18318400000000001</v>
      </c>
      <c r="DR99">
        <v>24.686900000000001</v>
      </c>
      <c r="DS99">
        <v>24.496400000000001</v>
      </c>
      <c r="DT99">
        <v>56.5</v>
      </c>
      <c r="DU99">
        <v>29.2</v>
      </c>
      <c r="DV99">
        <v>23.2059</v>
      </c>
      <c r="DW99">
        <v>61.5398</v>
      </c>
      <c r="DX99">
        <v>35.897399999999998</v>
      </c>
      <c r="DY99">
        <v>1</v>
      </c>
      <c r="DZ99">
        <v>-7.8297800000000001E-2</v>
      </c>
      <c r="EA99">
        <v>0.39583099999999999</v>
      </c>
      <c r="EB99">
        <v>20.189</v>
      </c>
      <c r="EC99">
        <v>5.2404999999999999</v>
      </c>
      <c r="ED99">
        <v>12.039899999999999</v>
      </c>
      <c r="EE99">
        <v>5.0170000000000003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1.8689100000000001</v>
      </c>
      <c r="EL99">
        <v>1.8646199999999999</v>
      </c>
      <c r="EM99">
        <v>1.8691899999999999</v>
      </c>
      <c r="EN99">
        <v>1.8672299999999999</v>
      </c>
      <c r="EO99">
        <v>1.8633999999999999</v>
      </c>
      <c r="EP99">
        <v>1.8644700000000001</v>
      </c>
      <c r="EQ99">
        <v>1.87018</v>
      </c>
      <c r="ER99">
        <v>1.8693900000000001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-0.14199999999999999</v>
      </c>
      <c r="FG99">
        <v>0.17860000000000001</v>
      </c>
      <c r="FH99">
        <v>0.3448811944559278</v>
      </c>
      <c r="FI99">
        <v>-6.1462078757559423E-4</v>
      </c>
      <c r="FJ99">
        <v>-1.8861989874597051E-7</v>
      </c>
      <c r="FK99">
        <v>1.1980462299894961E-10</v>
      </c>
      <c r="FL99">
        <v>0.17862261546663211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23.8</v>
      </c>
      <c r="FU99">
        <v>24</v>
      </c>
      <c r="FV99">
        <v>1.78589</v>
      </c>
      <c r="FW99">
        <v>2.5805699999999998</v>
      </c>
      <c r="FX99">
        <v>1.5490699999999999</v>
      </c>
      <c r="FY99">
        <v>2.3290999999999999</v>
      </c>
      <c r="FZ99">
        <v>1.50146</v>
      </c>
      <c r="GA99">
        <v>2.3168899999999999</v>
      </c>
      <c r="GB99">
        <v>33.986499999999999</v>
      </c>
      <c r="GC99">
        <v>23.982399999999998</v>
      </c>
      <c r="GD99">
        <v>19</v>
      </c>
      <c r="GE99">
        <v>283.18799999999999</v>
      </c>
      <c r="GF99">
        <v>596.80100000000004</v>
      </c>
      <c r="GG99">
        <v>23.221299999999999</v>
      </c>
      <c r="GH99">
        <v>26.370999999999999</v>
      </c>
      <c r="GI99">
        <v>29.9998</v>
      </c>
      <c r="GJ99">
        <v>26.537199999999999</v>
      </c>
      <c r="GK99">
        <v>26.532699999999998</v>
      </c>
      <c r="GL99">
        <v>35.714300000000001</v>
      </c>
      <c r="GM99">
        <v>37.4938</v>
      </c>
      <c r="GN99">
        <v>94.745900000000006</v>
      </c>
      <c r="GO99">
        <v>23.247900000000001</v>
      </c>
      <c r="GP99">
        <v>800</v>
      </c>
      <c r="GQ99">
        <v>16.406199999999998</v>
      </c>
      <c r="GR99">
        <v>99.739900000000006</v>
      </c>
      <c r="GS99">
        <v>99.593599999999995</v>
      </c>
    </row>
    <row r="100" spans="1:201" x14ac:dyDescent="0.25">
      <c r="A100">
        <v>84</v>
      </c>
      <c r="B100">
        <v>1690230525</v>
      </c>
      <c r="C100">
        <v>1019.900000095367</v>
      </c>
      <c r="D100" t="s">
        <v>501</v>
      </c>
      <c r="E100" t="s">
        <v>502</v>
      </c>
      <c r="F100" t="s">
        <v>330</v>
      </c>
      <c r="H100">
        <v>1690230525</v>
      </c>
      <c r="I100">
        <f t="shared" si="30"/>
        <v>5.7976526645857221E-4</v>
      </c>
      <c r="J100">
        <f t="shared" si="31"/>
        <v>0.57976526645857218</v>
      </c>
      <c r="K100">
        <f t="shared" si="32"/>
        <v>8.7263100802315741</v>
      </c>
      <c r="L100">
        <f t="shared" si="33"/>
        <v>704.22400000000005</v>
      </c>
      <c r="M100">
        <f t="shared" si="34"/>
        <v>318.96316719539186</v>
      </c>
      <c r="N100">
        <f t="shared" si="35"/>
        <v>31.62370113327945</v>
      </c>
      <c r="O100">
        <f t="shared" si="36"/>
        <v>69.82050467676801</v>
      </c>
      <c r="P100">
        <f t="shared" si="37"/>
        <v>3.7781398860173059E-2</v>
      </c>
      <c r="Q100">
        <f t="shared" si="38"/>
        <v>2.1783633909716906</v>
      </c>
      <c r="R100">
        <f t="shared" si="39"/>
        <v>3.74211028582567E-2</v>
      </c>
      <c r="S100">
        <f t="shared" si="40"/>
        <v>2.3420274012439561E-2</v>
      </c>
      <c r="T100">
        <f t="shared" si="41"/>
        <v>276.11644084199997</v>
      </c>
      <c r="U100">
        <f t="shared" si="42"/>
        <v>27.596662457992952</v>
      </c>
      <c r="V100">
        <f t="shared" si="43"/>
        <v>27.596662457992952</v>
      </c>
      <c r="W100">
        <f t="shared" si="44"/>
        <v>3.7065208441030997</v>
      </c>
      <c r="X100">
        <f t="shared" si="45"/>
        <v>67.047510723547973</v>
      </c>
      <c r="Y100">
        <f t="shared" si="46"/>
        <v>2.2163437653315001</v>
      </c>
      <c r="Z100">
        <f t="shared" si="47"/>
        <v>3.3056316952168232</v>
      </c>
      <c r="AA100">
        <f t="shared" si="48"/>
        <v>1.4901770787715996</v>
      </c>
      <c r="AB100">
        <f t="shared" si="49"/>
        <v>-25.567648250823034</v>
      </c>
      <c r="AC100">
        <f t="shared" si="50"/>
        <v>-228.24008945448495</v>
      </c>
      <c r="AD100">
        <f t="shared" si="51"/>
        <v>-22.527407594462439</v>
      </c>
      <c r="AE100">
        <f t="shared" si="52"/>
        <v>-0.21870445777042846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52611.504631197269</v>
      </c>
      <c r="AK100">
        <f t="shared" si="56"/>
        <v>1800</v>
      </c>
      <c r="AL100">
        <f t="shared" si="57"/>
        <v>1499.1108911999997</v>
      </c>
      <c r="AM100">
        <f t="shared" si="58"/>
        <v>0.8328393839999999</v>
      </c>
      <c r="AN100">
        <f t="shared" si="59"/>
        <v>0.15339802269</v>
      </c>
      <c r="AO100">
        <v>31.5</v>
      </c>
      <c r="AP100">
        <v>0.5</v>
      </c>
      <c r="AQ100" t="s">
        <v>331</v>
      </c>
      <c r="AR100">
        <v>2</v>
      </c>
      <c r="AS100">
        <v>1690230525</v>
      </c>
      <c r="AT100">
        <v>704.22400000000005</v>
      </c>
      <c r="AU100">
        <v>800.05100000000004</v>
      </c>
      <c r="AV100">
        <v>22.354500000000002</v>
      </c>
      <c r="AW100">
        <v>16.4084</v>
      </c>
      <c r="AX100">
        <v>704.36300000000006</v>
      </c>
      <c r="AY100">
        <v>22.175899999999999</v>
      </c>
      <c r="AZ100">
        <v>300.27</v>
      </c>
      <c r="BA100">
        <v>99.045199999999994</v>
      </c>
      <c r="BB100">
        <v>0.100107</v>
      </c>
      <c r="BC100">
        <v>25.653199999999998</v>
      </c>
      <c r="BD100">
        <v>26.985099999999999</v>
      </c>
      <c r="BE100">
        <v>27.506799999999998</v>
      </c>
      <c r="BF100">
        <v>0</v>
      </c>
      <c r="BG100">
        <v>0</v>
      </c>
      <c r="BH100">
        <v>10000.6</v>
      </c>
      <c r="BI100">
        <v>1057.47</v>
      </c>
      <c r="BJ100">
        <v>1.4016500000000001</v>
      </c>
      <c r="BK100">
        <v>-95.827100000000002</v>
      </c>
      <c r="BL100">
        <v>720.32600000000002</v>
      </c>
      <c r="BM100">
        <v>813.39700000000005</v>
      </c>
      <c r="BN100">
        <v>5.94611</v>
      </c>
      <c r="BO100">
        <v>800.05100000000004</v>
      </c>
      <c r="BP100">
        <v>16.4084</v>
      </c>
      <c r="BQ100">
        <v>2.2141099999999998</v>
      </c>
      <c r="BR100">
        <v>1.62517</v>
      </c>
      <c r="BS100">
        <v>19.064699999999998</v>
      </c>
      <c r="BT100">
        <v>14.1996</v>
      </c>
      <c r="BU100">
        <v>1800</v>
      </c>
      <c r="BV100">
        <v>0.90998299999999999</v>
      </c>
      <c r="BW100">
        <v>3.4002299999999999E-2</v>
      </c>
      <c r="BX100">
        <v>2.2006700000000001E-2</v>
      </c>
      <c r="BY100">
        <v>3.4008299999999998E-2</v>
      </c>
      <c r="BZ100">
        <v>26</v>
      </c>
      <c r="CA100">
        <v>33528.199999999997</v>
      </c>
      <c r="CB100">
        <v>1690229084.0999999</v>
      </c>
      <c r="CC100" t="s">
        <v>332</v>
      </c>
      <c r="CD100">
        <v>1690229084.0999999</v>
      </c>
      <c r="CE100">
        <v>1690229076.5999999</v>
      </c>
      <c r="CF100">
        <v>13</v>
      </c>
      <c r="CG100">
        <v>0.23300000000000001</v>
      </c>
      <c r="CH100">
        <v>-0.13100000000000001</v>
      </c>
      <c r="CI100">
        <v>-0.20599999999999999</v>
      </c>
      <c r="CJ100">
        <v>8.7999999999999995E-2</v>
      </c>
      <c r="CK100">
        <v>799</v>
      </c>
      <c r="CL100">
        <v>16</v>
      </c>
      <c r="CM100">
        <v>0.04</v>
      </c>
      <c r="CN100">
        <v>0.04</v>
      </c>
      <c r="CO100">
        <v>-92.264700000000005</v>
      </c>
      <c r="CP100">
        <v>-19.65260905923364</v>
      </c>
      <c r="CQ100">
        <v>1.9383437598164861</v>
      </c>
      <c r="CR100">
        <v>-1</v>
      </c>
      <c r="CS100">
        <v>5.7722909756097556</v>
      </c>
      <c r="CT100">
        <v>1.068374634146342</v>
      </c>
      <c r="CU100">
        <v>0.10594854065696641</v>
      </c>
      <c r="CV100">
        <v>-1</v>
      </c>
      <c r="CW100">
        <v>0</v>
      </c>
      <c r="CX100">
        <v>0</v>
      </c>
      <c r="CY100" t="s">
        <v>333</v>
      </c>
      <c r="CZ100">
        <v>2.3646199999999999</v>
      </c>
      <c r="DA100">
        <v>2.7139000000000002</v>
      </c>
      <c r="DB100">
        <v>0.13453499999999999</v>
      </c>
      <c r="DC100">
        <v>0.14619299999999999</v>
      </c>
      <c r="DD100">
        <v>0.10825700000000001</v>
      </c>
      <c r="DE100">
        <v>8.5560700000000003E-2</v>
      </c>
      <c r="DF100">
        <v>31601.200000000001</v>
      </c>
      <c r="DG100">
        <v>27520.7</v>
      </c>
      <c r="DH100">
        <v>31172</v>
      </c>
      <c r="DI100">
        <v>28086.6</v>
      </c>
      <c r="DJ100">
        <v>37742.199999999997</v>
      </c>
      <c r="DK100">
        <v>36524.699999999997</v>
      </c>
      <c r="DL100">
        <v>44362.5</v>
      </c>
      <c r="DM100">
        <v>42575.1</v>
      </c>
      <c r="DN100">
        <v>1.47543</v>
      </c>
      <c r="DO100">
        <v>2.0501800000000001</v>
      </c>
      <c r="DP100">
        <v>0.14002600000000001</v>
      </c>
      <c r="DQ100">
        <v>0.18345600000000001</v>
      </c>
      <c r="DR100">
        <v>24.690799999999999</v>
      </c>
      <c r="DS100">
        <v>24.5016</v>
      </c>
      <c r="DT100">
        <v>56.5</v>
      </c>
      <c r="DU100">
        <v>29.2</v>
      </c>
      <c r="DV100">
        <v>23.209800000000001</v>
      </c>
      <c r="DW100">
        <v>61.529800000000002</v>
      </c>
      <c r="DX100">
        <v>35.785299999999999</v>
      </c>
      <c r="DY100">
        <v>1</v>
      </c>
      <c r="DZ100">
        <v>-7.8559500000000004E-2</v>
      </c>
      <c r="EA100">
        <v>0.37956699999999999</v>
      </c>
      <c r="EB100">
        <v>20.1891</v>
      </c>
      <c r="EC100">
        <v>5.2403500000000003</v>
      </c>
      <c r="ED100">
        <v>12.039899999999999</v>
      </c>
      <c r="EE100">
        <v>5.0168499999999998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1.86463</v>
      </c>
      <c r="EM100">
        <v>1.8691899999999999</v>
      </c>
      <c r="EN100">
        <v>1.8672299999999999</v>
      </c>
      <c r="EO100">
        <v>1.8633999999999999</v>
      </c>
      <c r="EP100">
        <v>1.8645099999999999</v>
      </c>
      <c r="EQ100">
        <v>1.87016</v>
      </c>
      <c r="ER100">
        <v>1.86941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-0.13900000000000001</v>
      </c>
      <c r="FG100">
        <v>0.17860000000000001</v>
      </c>
      <c r="FH100">
        <v>0.3448811944559278</v>
      </c>
      <c r="FI100">
        <v>-6.1462078757559423E-4</v>
      </c>
      <c r="FJ100">
        <v>-1.8861989874597051E-7</v>
      </c>
      <c r="FK100">
        <v>1.1980462299894961E-10</v>
      </c>
      <c r="FL100">
        <v>0.17862261546663211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24</v>
      </c>
      <c r="FU100">
        <v>24.1</v>
      </c>
      <c r="FV100">
        <v>1.78589</v>
      </c>
      <c r="FW100">
        <v>2.5866699999999998</v>
      </c>
      <c r="FX100">
        <v>1.5490699999999999</v>
      </c>
      <c r="FY100">
        <v>2.3290999999999999</v>
      </c>
      <c r="FZ100">
        <v>1.50146</v>
      </c>
      <c r="GA100">
        <v>2.3864700000000001</v>
      </c>
      <c r="GB100">
        <v>33.986499999999999</v>
      </c>
      <c r="GC100">
        <v>23.991199999999999</v>
      </c>
      <c r="GD100">
        <v>19</v>
      </c>
      <c r="GE100">
        <v>283.35899999999998</v>
      </c>
      <c r="GF100">
        <v>596.84400000000005</v>
      </c>
      <c r="GG100">
        <v>23.281700000000001</v>
      </c>
      <c r="GH100">
        <v>26.367699999999999</v>
      </c>
      <c r="GI100">
        <v>30</v>
      </c>
      <c r="GJ100">
        <v>26.534800000000001</v>
      </c>
      <c r="GK100">
        <v>26.5291</v>
      </c>
      <c r="GL100">
        <v>35.709899999999998</v>
      </c>
      <c r="GM100">
        <v>38.046799999999998</v>
      </c>
      <c r="GN100">
        <v>94.366</v>
      </c>
      <c r="GO100">
        <v>23.3002</v>
      </c>
      <c r="GP100">
        <v>800</v>
      </c>
      <c r="GQ100">
        <v>16.258099999999999</v>
      </c>
      <c r="GR100">
        <v>99.739599999999996</v>
      </c>
      <c r="GS100">
        <v>99.592699999999994</v>
      </c>
    </row>
    <row r="101" spans="1:201" x14ac:dyDescent="0.25">
      <c r="A101">
        <v>85</v>
      </c>
      <c r="B101">
        <v>1690230535</v>
      </c>
      <c r="C101">
        <v>1029.900000095367</v>
      </c>
      <c r="D101" t="s">
        <v>503</v>
      </c>
      <c r="E101" t="s">
        <v>504</v>
      </c>
      <c r="F101" t="s">
        <v>330</v>
      </c>
      <c r="H101">
        <v>1690230535</v>
      </c>
      <c r="I101">
        <f t="shared" si="30"/>
        <v>5.9813992186688386E-4</v>
      </c>
      <c r="J101">
        <f t="shared" si="31"/>
        <v>0.59813992186688381</v>
      </c>
      <c r="K101">
        <f t="shared" si="32"/>
        <v>9.0324134709270165</v>
      </c>
      <c r="L101">
        <f t="shared" si="33"/>
        <v>700.88</v>
      </c>
      <c r="M101">
        <f t="shared" si="34"/>
        <v>314.81979077984727</v>
      </c>
      <c r="N101">
        <f t="shared" si="35"/>
        <v>31.211948982176938</v>
      </c>
      <c r="O101">
        <f t="shared" si="36"/>
        <v>69.486834828392006</v>
      </c>
      <c r="P101">
        <f t="shared" si="37"/>
        <v>3.9022620695031048E-2</v>
      </c>
      <c r="Q101">
        <f t="shared" si="38"/>
        <v>2.1785583709181884</v>
      </c>
      <c r="R101">
        <f t="shared" si="39"/>
        <v>3.8638426310947889E-2</v>
      </c>
      <c r="S101">
        <f t="shared" si="40"/>
        <v>2.4183219468628663E-2</v>
      </c>
      <c r="T101">
        <f t="shared" si="41"/>
        <v>276.11633255400005</v>
      </c>
      <c r="U101">
        <f t="shared" si="42"/>
        <v>27.600200827758499</v>
      </c>
      <c r="V101">
        <f t="shared" si="43"/>
        <v>27.600200827758499</v>
      </c>
      <c r="W101">
        <f t="shared" si="44"/>
        <v>3.7072877733857359</v>
      </c>
      <c r="X101">
        <f t="shared" si="45"/>
        <v>67.069539476653546</v>
      </c>
      <c r="Y101">
        <f t="shared" si="46"/>
        <v>2.2183876252042198</v>
      </c>
      <c r="Z101">
        <f t="shared" si="47"/>
        <v>3.3075933464198384</v>
      </c>
      <c r="AA101">
        <f t="shared" si="48"/>
        <v>1.4889001481815161</v>
      </c>
      <c r="AB101">
        <f t="shared" si="49"/>
        <v>-26.377970554329579</v>
      </c>
      <c r="AC101">
        <f t="shared" si="50"/>
        <v>-227.50159735622648</v>
      </c>
      <c r="AD101">
        <f t="shared" si="51"/>
        <v>-22.454028607492024</v>
      </c>
      <c r="AE101">
        <f t="shared" si="52"/>
        <v>-0.21726396404804404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52617.788702090751</v>
      </c>
      <c r="AK101">
        <f t="shared" si="56"/>
        <v>1800</v>
      </c>
      <c r="AL101">
        <f t="shared" si="57"/>
        <v>1499.1107634</v>
      </c>
      <c r="AM101">
        <f t="shared" si="58"/>
        <v>0.83283931300000003</v>
      </c>
      <c r="AN101">
        <f t="shared" si="59"/>
        <v>0.15339796253000001</v>
      </c>
      <c r="AO101">
        <v>31.5</v>
      </c>
      <c r="AP101">
        <v>0.5</v>
      </c>
      <c r="AQ101" t="s">
        <v>331</v>
      </c>
      <c r="AR101">
        <v>2</v>
      </c>
      <c r="AS101">
        <v>1690230535</v>
      </c>
      <c r="AT101">
        <v>700.88</v>
      </c>
      <c r="AU101">
        <v>800.06500000000005</v>
      </c>
      <c r="AV101">
        <v>22.375800000000002</v>
      </c>
      <c r="AW101">
        <v>16.2394</v>
      </c>
      <c r="AX101">
        <v>701.01700000000005</v>
      </c>
      <c r="AY101">
        <v>22.197199999999999</v>
      </c>
      <c r="AZ101">
        <v>300.173</v>
      </c>
      <c r="BA101">
        <v>99.042299999999997</v>
      </c>
      <c r="BB101">
        <v>9.9970900000000001E-2</v>
      </c>
      <c r="BC101">
        <v>25.6632</v>
      </c>
      <c r="BD101">
        <v>27.032800000000002</v>
      </c>
      <c r="BE101">
        <v>27.517499999999998</v>
      </c>
      <c r="BF101">
        <v>0</v>
      </c>
      <c r="BG101">
        <v>0</v>
      </c>
      <c r="BH101">
        <v>10002.5</v>
      </c>
      <c r="BI101">
        <v>1057.6099999999999</v>
      </c>
      <c r="BJ101">
        <v>1.4016500000000001</v>
      </c>
      <c r="BK101">
        <v>-99.185699999999997</v>
      </c>
      <c r="BL101">
        <v>716.92100000000005</v>
      </c>
      <c r="BM101">
        <v>813.27200000000005</v>
      </c>
      <c r="BN101">
        <v>6.1363399999999997</v>
      </c>
      <c r="BO101">
        <v>800.06500000000005</v>
      </c>
      <c r="BP101">
        <v>16.2394</v>
      </c>
      <c r="BQ101">
        <v>2.2161499999999998</v>
      </c>
      <c r="BR101">
        <v>1.60839</v>
      </c>
      <c r="BS101">
        <v>19.079499999999999</v>
      </c>
      <c r="BT101">
        <v>14.039400000000001</v>
      </c>
      <c r="BU101">
        <v>1800</v>
      </c>
      <c r="BV101">
        <v>0.90998400000000002</v>
      </c>
      <c r="BW101">
        <v>3.4001799999999999E-2</v>
      </c>
      <c r="BX101">
        <v>2.2006399999999999E-2</v>
      </c>
      <c r="BY101">
        <v>3.4007900000000001E-2</v>
      </c>
      <c r="BZ101">
        <v>26</v>
      </c>
      <c r="CA101">
        <v>33528.199999999997</v>
      </c>
      <c r="CB101">
        <v>1690229084.0999999</v>
      </c>
      <c r="CC101" t="s">
        <v>332</v>
      </c>
      <c r="CD101">
        <v>1690229084.0999999</v>
      </c>
      <c r="CE101">
        <v>1690229076.5999999</v>
      </c>
      <c r="CF101">
        <v>13</v>
      </c>
      <c r="CG101">
        <v>0.23300000000000001</v>
      </c>
      <c r="CH101">
        <v>-0.13100000000000001</v>
      </c>
      <c r="CI101">
        <v>-0.20599999999999999</v>
      </c>
      <c r="CJ101">
        <v>8.7999999999999995E-2</v>
      </c>
      <c r="CK101">
        <v>799</v>
      </c>
      <c r="CL101">
        <v>16</v>
      </c>
      <c r="CM101">
        <v>0.04</v>
      </c>
      <c r="CN101">
        <v>0.04</v>
      </c>
      <c r="CO101">
        <v>-95.478467499999994</v>
      </c>
      <c r="CP101">
        <v>-19.95082288930562</v>
      </c>
      <c r="CQ101">
        <v>1.919472192737824</v>
      </c>
      <c r="CR101">
        <v>-1</v>
      </c>
      <c r="CS101">
        <v>5.939280000000001</v>
      </c>
      <c r="CT101">
        <v>0.98428772983112855</v>
      </c>
      <c r="CU101">
        <v>9.5446306607432405E-2</v>
      </c>
      <c r="CV101">
        <v>-1</v>
      </c>
      <c r="CW101">
        <v>0</v>
      </c>
      <c r="CX101">
        <v>0</v>
      </c>
      <c r="CY101" t="s">
        <v>333</v>
      </c>
      <c r="CZ101">
        <v>2.3643200000000002</v>
      </c>
      <c r="DA101">
        <v>2.7137600000000002</v>
      </c>
      <c r="DB101">
        <v>0.13409499999999999</v>
      </c>
      <c r="DC101">
        <v>0.14618800000000001</v>
      </c>
      <c r="DD101">
        <v>0.10832899999999999</v>
      </c>
      <c r="DE101">
        <v>8.4918499999999994E-2</v>
      </c>
      <c r="DF101">
        <v>31617.200000000001</v>
      </c>
      <c r="DG101">
        <v>27520.9</v>
      </c>
      <c r="DH101">
        <v>31171.9</v>
      </c>
      <c r="DI101">
        <v>28086.6</v>
      </c>
      <c r="DJ101">
        <v>37739.1</v>
      </c>
      <c r="DK101">
        <v>36550.699999999997</v>
      </c>
      <c r="DL101">
        <v>44362.6</v>
      </c>
      <c r="DM101">
        <v>42575.4</v>
      </c>
      <c r="DN101">
        <v>1.4753499999999999</v>
      </c>
      <c r="DO101">
        <v>2.0497999999999998</v>
      </c>
      <c r="DP101">
        <v>0.142705</v>
      </c>
      <c r="DQ101">
        <v>0.18376899999999999</v>
      </c>
      <c r="DR101">
        <v>24.694700000000001</v>
      </c>
      <c r="DS101">
        <v>24.507300000000001</v>
      </c>
      <c r="DT101">
        <v>56.5</v>
      </c>
      <c r="DU101">
        <v>29.2</v>
      </c>
      <c r="DV101">
        <v>23.209299999999999</v>
      </c>
      <c r="DW101">
        <v>61.879800000000003</v>
      </c>
      <c r="DX101">
        <v>36.137799999999999</v>
      </c>
      <c r="DY101">
        <v>1</v>
      </c>
      <c r="DZ101">
        <v>-7.8579800000000005E-2</v>
      </c>
      <c r="EA101">
        <v>0.46510899999999999</v>
      </c>
      <c r="EB101">
        <v>20.1891</v>
      </c>
      <c r="EC101">
        <v>5.2401999999999997</v>
      </c>
      <c r="ED101">
        <v>12.039899999999999</v>
      </c>
      <c r="EE101">
        <v>5.0169499999999996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1.86466</v>
      </c>
      <c r="EM101">
        <v>1.8692</v>
      </c>
      <c r="EN101">
        <v>1.86724</v>
      </c>
      <c r="EO101">
        <v>1.8633999999999999</v>
      </c>
      <c r="EP101">
        <v>1.8645</v>
      </c>
      <c r="EQ101">
        <v>1.87018</v>
      </c>
      <c r="ER101">
        <v>1.86944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-0.13700000000000001</v>
      </c>
      <c r="FG101">
        <v>0.17860000000000001</v>
      </c>
      <c r="FH101">
        <v>0.3448811944559278</v>
      </c>
      <c r="FI101">
        <v>-6.1462078757559423E-4</v>
      </c>
      <c r="FJ101">
        <v>-1.8861989874597051E-7</v>
      </c>
      <c r="FK101">
        <v>1.1980462299894961E-10</v>
      </c>
      <c r="FL101">
        <v>0.17862261546663211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24.2</v>
      </c>
      <c r="FU101">
        <v>24.3</v>
      </c>
      <c r="FV101">
        <v>1.78589</v>
      </c>
      <c r="FW101">
        <v>2.5842299999999998</v>
      </c>
      <c r="FX101">
        <v>1.5490699999999999</v>
      </c>
      <c r="FY101">
        <v>2.3290999999999999</v>
      </c>
      <c r="FZ101">
        <v>1.50146</v>
      </c>
      <c r="GA101">
        <v>2.2863799999999999</v>
      </c>
      <c r="GB101">
        <v>33.963900000000002</v>
      </c>
      <c r="GC101">
        <v>23.982399999999998</v>
      </c>
      <c r="GD101">
        <v>19</v>
      </c>
      <c r="GE101">
        <v>283.30799999999999</v>
      </c>
      <c r="GF101">
        <v>596.49300000000005</v>
      </c>
      <c r="GG101">
        <v>23.313400000000001</v>
      </c>
      <c r="GH101">
        <v>26.3642</v>
      </c>
      <c r="GI101">
        <v>30</v>
      </c>
      <c r="GJ101">
        <v>26.5305</v>
      </c>
      <c r="GK101">
        <v>26.5261</v>
      </c>
      <c r="GL101">
        <v>35.702100000000002</v>
      </c>
      <c r="GM101">
        <v>38.627600000000001</v>
      </c>
      <c r="GN101">
        <v>93.980800000000002</v>
      </c>
      <c r="GO101">
        <v>23.0596</v>
      </c>
      <c r="GP101">
        <v>800</v>
      </c>
      <c r="GQ101">
        <v>16.105699999999999</v>
      </c>
      <c r="GR101">
        <v>99.739500000000007</v>
      </c>
      <c r="GS101">
        <v>99.593299999999999</v>
      </c>
    </row>
    <row r="102" spans="1:201" x14ac:dyDescent="0.25">
      <c r="A102">
        <v>86</v>
      </c>
      <c r="B102">
        <v>1690230545</v>
      </c>
      <c r="C102">
        <v>1039.900000095367</v>
      </c>
      <c r="D102" t="s">
        <v>505</v>
      </c>
      <c r="E102" t="s">
        <v>506</v>
      </c>
      <c r="F102" t="s">
        <v>330</v>
      </c>
      <c r="H102">
        <v>1690230545</v>
      </c>
      <c r="I102">
        <f t="shared" si="30"/>
        <v>6.1359677758334342E-4</v>
      </c>
      <c r="J102">
        <f t="shared" si="31"/>
        <v>0.61359677758334341</v>
      </c>
      <c r="K102">
        <f t="shared" si="32"/>
        <v>9.3375715958943637</v>
      </c>
      <c r="L102">
        <f t="shared" si="33"/>
        <v>697.6</v>
      </c>
      <c r="M102">
        <f t="shared" si="34"/>
        <v>308.96633167897915</v>
      </c>
      <c r="N102">
        <f t="shared" si="35"/>
        <v>30.632744004422005</v>
      </c>
      <c r="O102">
        <f t="shared" si="36"/>
        <v>69.164177537920011</v>
      </c>
      <c r="P102">
        <f t="shared" si="37"/>
        <v>4.0060515065331204E-2</v>
      </c>
      <c r="Q102">
        <f t="shared" si="38"/>
        <v>2.1828430014127909</v>
      </c>
      <c r="R102">
        <f t="shared" si="39"/>
        <v>3.9656512127971263E-2</v>
      </c>
      <c r="S102">
        <f t="shared" si="40"/>
        <v>2.482127852262473E-2</v>
      </c>
      <c r="T102">
        <f t="shared" si="41"/>
        <v>276.11625213000002</v>
      </c>
      <c r="U102">
        <f t="shared" si="42"/>
        <v>27.589661677377244</v>
      </c>
      <c r="V102">
        <f t="shared" si="43"/>
        <v>27.589661677377244</v>
      </c>
      <c r="W102">
        <f t="shared" si="44"/>
        <v>3.705003857306298</v>
      </c>
      <c r="X102">
        <f t="shared" si="45"/>
        <v>67.027292081091161</v>
      </c>
      <c r="Y102">
        <f t="shared" si="46"/>
        <v>2.2167535313669502</v>
      </c>
      <c r="Z102">
        <f t="shared" si="47"/>
        <v>3.3072401741742317</v>
      </c>
      <c r="AA102">
        <f t="shared" si="48"/>
        <v>1.4882503259393478</v>
      </c>
      <c r="AB102">
        <f t="shared" si="49"/>
        <v>-27.059617891425443</v>
      </c>
      <c r="AC102">
        <f t="shared" si="50"/>
        <v>-226.92059525654457</v>
      </c>
      <c r="AD102">
        <f t="shared" si="51"/>
        <v>-22.35134012744809</v>
      </c>
      <c r="AE102">
        <f t="shared" si="52"/>
        <v>-0.21530114541806711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52796.568839724343</v>
      </c>
      <c r="AK102">
        <f t="shared" si="56"/>
        <v>1800</v>
      </c>
      <c r="AL102">
        <f t="shared" si="57"/>
        <v>1499.111748</v>
      </c>
      <c r="AM102">
        <f t="shared" si="58"/>
        <v>0.83283985999999999</v>
      </c>
      <c r="AN102">
        <f t="shared" si="59"/>
        <v>0.15339791785000001</v>
      </c>
      <c r="AO102">
        <v>31.5</v>
      </c>
      <c r="AP102">
        <v>0.5</v>
      </c>
      <c r="AQ102" t="s">
        <v>331</v>
      </c>
      <c r="AR102">
        <v>2</v>
      </c>
      <c r="AS102">
        <v>1690230545</v>
      </c>
      <c r="AT102">
        <v>697.6</v>
      </c>
      <c r="AU102">
        <v>800.08500000000004</v>
      </c>
      <c r="AV102">
        <v>22.358499999999999</v>
      </c>
      <c r="AW102">
        <v>16.063099999999999</v>
      </c>
      <c r="AX102">
        <v>697.73599999999999</v>
      </c>
      <c r="AY102">
        <v>22.1799</v>
      </c>
      <c r="AZ102">
        <v>300.15800000000002</v>
      </c>
      <c r="BA102">
        <v>99.046000000000006</v>
      </c>
      <c r="BB102">
        <v>9.9896700000000005E-2</v>
      </c>
      <c r="BC102">
        <v>25.6614</v>
      </c>
      <c r="BD102">
        <v>26.939299999999999</v>
      </c>
      <c r="BE102">
        <v>27.528700000000001</v>
      </c>
      <c r="BF102">
        <v>0</v>
      </c>
      <c r="BG102">
        <v>0</v>
      </c>
      <c r="BH102">
        <v>10037.5</v>
      </c>
      <c r="BI102">
        <v>1057.69</v>
      </c>
      <c r="BJ102">
        <v>1.4016500000000001</v>
      </c>
      <c r="BK102">
        <v>-102.485</v>
      </c>
      <c r="BL102">
        <v>713.55399999999997</v>
      </c>
      <c r="BM102">
        <v>813.14700000000005</v>
      </c>
      <c r="BN102">
        <v>6.29535</v>
      </c>
      <c r="BO102">
        <v>800.08500000000004</v>
      </c>
      <c r="BP102">
        <v>16.063099999999999</v>
      </c>
      <c r="BQ102">
        <v>2.2145199999999998</v>
      </c>
      <c r="BR102">
        <v>1.5909899999999999</v>
      </c>
      <c r="BS102">
        <v>19.067699999999999</v>
      </c>
      <c r="BT102">
        <v>13.8718</v>
      </c>
      <c r="BU102">
        <v>1800</v>
      </c>
      <c r="BV102">
        <v>0.90998800000000002</v>
      </c>
      <c r="BW102">
        <v>3.40004E-2</v>
      </c>
      <c r="BX102">
        <v>2.2005500000000001E-2</v>
      </c>
      <c r="BY102">
        <v>3.4006500000000002E-2</v>
      </c>
      <c r="BZ102">
        <v>26</v>
      </c>
      <c r="CA102">
        <v>33528.199999999997</v>
      </c>
      <c r="CB102">
        <v>1690229084.0999999</v>
      </c>
      <c r="CC102" t="s">
        <v>332</v>
      </c>
      <c r="CD102">
        <v>1690229084.0999999</v>
      </c>
      <c r="CE102">
        <v>1690229076.5999999</v>
      </c>
      <c r="CF102">
        <v>13</v>
      </c>
      <c r="CG102">
        <v>0.23300000000000001</v>
      </c>
      <c r="CH102">
        <v>-0.13100000000000001</v>
      </c>
      <c r="CI102">
        <v>-0.20599999999999999</v>
      </c>
      <c r="CJ102">
        <v>8.7999999999999995E-2</v>
      </c>
      <c r="CK102">
        <v>799</v>
      </c>
      <c r="CL102">
        <v>16</v>
      </c>
      <c r="CM102">
        <v>0.04</v>
      </c>
      <c r="CN102">
        <v>0.04</v>
      </c>
      <c r="CO102">
        <v>-98.863212195121946</v>
      </c>
      <c r="CP102">
        <v>-19.876689198606471</v>
      </c>
      <c r="CQ102">
        <v>1.960123629898233</v>
      </c>
      <c r="CR102">
        <v>-1</v>
      </c>
      <c r="CS102">
        <v>6.1099199999999989</v>
      </c>
      <c r="CT102">
        <v>1.0468674564459861</v>
      </c>
      <c r="CU102">
        <v>0.1035294638396569</v>
      </c>
      <c r="CV102">
        <v>-1</v>
      </c>
      <c r="CW102">
        <v>0</v>
      </c>
      <c r="CX102">
        <v>0</v>
      </c>
      <c r="CY102" t="s">
        <v>333</v>
      </c>
      <c r="CZ102">
        <v>2.3642599999999998</v>
      </c>
      <c r="DA102">
        <v>2.7137199999999999</v>
      </c>
      <c r="DB102">
        <v>0.13367100000000001</v>
      </c>
      <c r="DC102">
        <v>0.14619399999999999</v>
      </c>
      <c r="DD102">
        <v>0.108274</v>
      </c>
      <c r="DE102">
        <v>8.4251199999999998E-2</v>
      </c>
      <c r="DF102">
        <v>31633.1</v>
      </c>
      <c r="DG102">
        <v>27520.799999999999</v>
      </c>
      <c r="DH102">
        <v>31172.3</v>
      </c>
      <c r="DI102">
        <v>28086.799999999999</v>
      </c>
      <c r="DJ102">
        <v>37742.1</v>
      </c>
      <c r="DK102">
        <v>36577.599999999999</v>
      </c>
      <c r="DL102">
        <v>44363.4</v>
      </c>
      <c r="DM102">
        <v>42575.6</v>
      </c>
      <c r="DN102">
        <v>1.47475</v>
      </c>
      <c r="DO102">
        <v>2.0497999999999998</v>
      </c>
      <c r="DP102">
        <v>0.13669999999999999</v>
      </c>
      <c r="DQ102">
        <v>0.18407399999999999</v>
      </c>
      <c r="DR102">
        <v>24.699400000000001</v>
      </c>
      <c r="DS102">
        <v>24.513500000000001</v>
      </c>
      <c r="DT102">
        <v>56.5</v>
      </c>
      <c r="DU102">
        <v>29.2</v>
      </c>
      <c r="DV102">
        <v>23.207699999999999</v>
      </c>
      <c r="DW102">
        <v>61.299799999999998</v>
      </c>
      <c r="DX102">
        <v>35.9375</v>
      </c>
      <c r="DY102">
        <v>1</v>
      </c>
      <c r="DZ102">
        <v>-7.7982700000000002E-2</v>
      </c>
      <c r="EA102">
        <v>1.06243</v>
      </c>
      <c r="EB102">
        <v>20.184899999999999</v>
      </c>
      <c r="EC102">
        <v>5.24125</v>
      </c>
      <c r="ED102">
        <v>12.039899999999999</v>
      </c>
      <c r="EE102">
        <v>5.0173500000000004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1.8646400000000001</v>
      </c>
      <c r="EM102">
        <v>1.8691899999999999</v>
      </c>
      <c r="EN102">
        <v>1.8672200000000001</v>
      </c>
      <c r="EO102">
        <v>1.8633999999999999</v>
      </c>
      <c r="EP102">
        <v>1.8645</v>
      </c>
      <c r="EQ102">
        <v>1.8701399999999999</v>
      </c>
      <c r="ER102">
        <v>1.8694500000000001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-0.13600000000000001</v>
      </c>
      <c r="FG102">
        <v>0.17860000000000001</v>
      </c>
      <c r="FH102">
        <v>0.3448811944559278</v>
      </c>
      <c r="FI102">
        <v>-6.1462078757559423E-4</v>
      </c>
      <c r="FJ102">
        <v>-1.8861989874597051E-7</v>
      </c>
      <c r="FK102">
        <v>1.1980462299894961E-10</v>
      </c>
      <c r="FL102">
        <v>0.17862261546663211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24.3</v>
      </c>
      <c r="FU102">
        <v>24.5</v>
      </c>
      <c r="FV102">
        <v>1.78589</v>
      </c>
      <c r="FW102">
        <v>2.5866699999999998</v>
      </c>
      <c r="FX102">
        <v>1.5490699999999999</v>
      </c>
      <c r="FY102">
        <v>2.3290999999999999</v>
      </c>
      <c r="FZ102">
        <v>1.50146</v>
      </c>
      <c r="GA102">
        <v>2.3718300000000001</v>
      </c>
      <c r="GB102">
        <v>33.963900000000002</v>
      </c>
      <c r="GC102">
        <v>23.982399999999998</v>
      </c>
      <c r="GD102">
        <v>19</v>
      </c>
      <c r="GE102">
        <v>283.036</v>
      </c>
      <c r="GF102">
        <v>596.45100000000002</v>
      </c>
      <c r="GG102">
        <v>23.032</v>
      </c>
      <c r="GH102">
        <v>26.3599</v>
      </c>
      <c r="GI102">
        <v>30</v>
      </c>
      <c r="GJ102">
        <v>26.527100000000001</v>
      </c>
      <c r="GK102">
        <v>26.522500000000001</v>
      </c>
      <c r="GL102">
        <v>35.697800000000001</v>
      </c>
      <c r="GM102">
        <v>38.906599999999997</v>
      </c>
      <c r="GN102">
        <v>93.980800000000002</v>
      </c>
      <c r="GO102">
        <v>23.0458</v>
      </c>
      <c r="GP102">
        <v>800</v>
      </c>
      <c r="GQ102">
        <v>15.989699999999999</v>
      </c>
      <c r="GR102">
        <v>99.741100000000003</v>
      </c>
      <c r="GS102">
        <v>99.593699999999998</v>
      </c>
    </row>
    <row r="103" spans="1:201" x14ac:dyDescent="0.25">
      <c r="A103">
        <v>87</v>
      </c>
      <c r="B103">
        <v>1690230555</v>
      </c>
      <c r="C103">
        <v>1049.900000095367</v>
      </c>
      <c r="D103" t="s">
        <v>507</v>
      </c>
      <c r="E103" t="s">
        <v>508</v>
      </c>
      <c r="F103" t="s">
        <v>330</v>
      </c>
      <c r="H103">
        <v>1690230555</v>
      </c>
      <c r="I103">
        <f t="shared" si="30"/>
        <v>6.1767453739749556E-4</v>
      </c>
      <c r="J103">
        <f t="shared" si="31"/>
        <v>0.61767453739749556</v>
      </c>
      <c r="K103">
        <f t="shared" si="32"/>
        <v>9.6599280926182782</v>
      </c>
      <c r="L103">
        <f t="shared" si="33"/>
        <v>694.25199999999995</v>
      </c>
      <c r="M103">
        <f t="shared" si="34"/>
        <v>295.32896938919987</v>
      </c>
      <c r="N103">
        <f t="shared" si="35"/>
        <v>29.280442470793453</v>
      </c>
      <c r="O103">
        <f t="shared" si="36"/>
        <v>68.831736311800796</v>
      </c>
      <c r="P103">
        <f t="shared" si="37"/>
        <v>4.0321719818021746E-2</v>
      </c>
      <c r="Q103">
        <f t="shared" si="38"/>
        <v>2.1770013912252733</v>
      </c>
      <c r="R103">
        <f t="shared" si="39"/>
        <v>3.9911374212900134E-2</v>
      </c>
      <c r="S103">
        <f t="shared" si="40"/>
        <v>2.4981128718244778E-2</v>
      </c>
      <c r="T103">
        <f t="shared" si="41"/>
        <v>276.11610264000007</v>
      </c>
      <c r="U103">
        <f t="shared" si="42"/>
        <v>27.580699250252181</v>
      </c>
      <c r="V103">
        <f t="shared" si="43"/>
        <v>27.580699250252181</v>
      </c>
      <c r="W103">
        <f t="shared" si="44"/>
        <v>3.7030625955906813</v>
      </c>
      <c r="X103">
        <f t="shared" si="45"/>
        <v>67.007032517917878</v>
      </c>
      <c r="Y103">
        <f t="shared" si="46"/>
        <v>2.2144669796642398</v>
      </c>
      <c r="Z103">
        <f t="shared" si="47"/>
        <v>3.3048277120346805</v>
      </c>
      <c r="AA103">
        <f t="shared" si="48"/>
        <v>1.4885956159264415</v>
      </c>
      <c r="AB103">
        <f t="shared" si="49"/>
        <v>-27.239447099229555</v>
      </c>
      <c r="AC103">
        <f t="shared" si="50"/>
        <v>-226.70504148034155</v>
      </c>
      <c r="AD103">
        <f t="shared" si="51"/>
        <v>-22.38764501916101</v>
      </c>
      <c r="AE103">
        <f t="shared" si="52"/>
        <v>-0.21603095873203415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52555.60371995686</v>
      </c>
      <c r="AK103">
        <f t="shared" si="56"/>
        <v>1800</v>
      </c>
      <c r="AL103">
        <f t="shared" si="57"/>
        <v>1499.112441</v>
      </c>
      <c r="AM103">
        <f t="shared" si="58"/>
        <v>0.83284024499999998</v>
      </c>
      <c r="AN103">
        <f t="shared" si="59"/>
        <v>0.15339783480000002</v>
      </c>
      <c r="AO103">
        <v>31.5</v>
      </c>
      <c r="AP103">
        <v>0.5</v>
      </c>
      <c r="AQ103" t="s">
        <v>331</v>
      </c>
      <c r="AR103">
        <v>2</v>
      </c>
      <c r="AS103">
        <v>1690230555</v>
      </c>
      <c r="AT103">
        <v>694.25199999999995</v>
      </c>
      <c r="AU103">
        <v>800.12</v>
      </c>
      <c r="AV103">
        <v>22.335599999999999</v>
      </c>
      <c r="AW103">
        <v>15.998699999999999</v>
      </c>
      <c r="AX103">
        <v>694.38499999999999</v>
      </c>
      <c r="AY103">
        <v>22.157</v>
      </c>
      <c r="AZ103">
        <v>300.18099999999998</v>
      </c>
      <c r="BA103">
        <v>99.045199999999994</v>
      </c>
      <c r="BB103">
        <v>9.9975400000000006E-2</v>
      </c>
      <c r="BC103">
        <v>25.649100000000001</v>
      </c>
      <c r="BD103">
        <v>26.951799999999999</v>
      </c>
      <c r="BE103">
        <v>27.505800000000001</v>
      </c>
      <c r="BF103">
        <v>0</v>
      </c>
      <c r="BG103">
        <v>0</v>
      </c>
      <c r="BH103">
        <v>9989.3799999999992</v>
      </c>
      <c r="BI103">
        <v>1057.72</v>
      </c>
      <c r="BJ103">
        <v>1.4016500000000001</v>
      </c>
      <c r="BK103">
        <v>-105.86799999999999</v>
      </c>
      <c r="BL103">
        <v>710.11300000000006</v>
      </c>
      <c r="BM103">
        <v>813.12900000000002</v>
      </c>
      <c r="BN103">
        <v>6.3369499999999999</v>
      </c>
      <c r="BO103">
        <v>800.12</v>
      </c>
      <c r="BP103">
        <v>15.998699999999999</v>
      </c>
      <c r="BQ103">
        <v>2.21224</v>
      </c>
      <c r="BR103">
        <v>1.5845899999999999</v>
      </c>
      <c r="BS103">
        <v>19.051200000000001</v>
      </c>
      <c r="BT103">
        <v>13.809799999999999</v>
      </c>
      <c r="BU103">
        <v>1800</v>
      </c>
      <c r="BV103">
        <v>0.90999200000000002</v>
      </c>
      <c r="BW103">
        <v>3.3999000000000001E-2</v>
      </c>
      <c r="BX103">
        <v>2.20045E-2</v>
      </c>
      <c r="BY103">
        <v>3.4005000000000001E-2</v>
      </c>
      <c r="BZ103">
        <v>26</v>
      </c>
      <c r="CA103">
        <v>33528.199999999997</v>
      </c>
      <c r="CB103">
        <v>1690229084.0999999</v>
      </c>
      <c r="CC103" t="s">
        <v>332</v>
      </c>
      <c r="CD103">
        <v>1690229084.0999999</v>
      </c>
      <c r="CE103">
        <v>1690229076.5999999</v>
      </c>
      <c r="CF103">
        <v>13</v>
      </c>
      <c r="CG103">
        <v>0.23300000000000001</v>
      </c>
      <c r="CH103">
        <v>-0.13100000000000001</v>
      </c>
      <c r="CI103">
        <v>-0.20599999999999999</v>
      </c>
      <c r="CJ103">
        <v>8.7999999999999995E-2</v>
      </c>
      <c r="CK103">
        <v>799</v>
      </c>
      <c r="CL103">
        <v>16</v>
      </c>
      <c r="CM103">
        <v>0.04</v>
      </c>
      <c r="CN103">
        <v>0.04</v>
      </c>
      <c r="CO103">
        <v>-102.1214829268293</v>
      </c>
      <c r="CP103">
        <v>-19.382939372822229</v>
      </c>
      <c r="CQ103">
        <v>1.911722765249168</v>
      </c>
      <c r="CR103">
        <v>-1</v>
      </c>
      <c r="CS103">
        <v>6.2488775609756102</v>
      </c>
      <c r="CT103">
        <v>0.60180773519162289</v>
      </c>
      <c r="CU103">
        <v>6.2585914131773335E-2</v>
      </c>
      <c r="CV103">
        <v>-1</v>
      </c>
      <c r="CW103">
        <v>0</v>
      </c>
      <c r="CX103">
        <v>0</v>
      </c>
      <c r="CY103" t="s">
        <v>333</v>
      </c>
      <c r="CZ103">
        <v>2.3643200000000002</v>
      </c>
      <c r="DA103">
        <v>2.7137600000000002</v>
      </c>
      <c r="DB103">
        <v>0.13323099999999999</v>
      </c>
      <c r="DC103">
        <v>0.14619699999999999</v>
      </c>
      <c r="DD103">
        <v>0.108195</v>
      </c>
      <c r="DE103">
        <v>8.4005099999999999E-2</v>
      </c>
      <c r="DF103">
        <v>31649.4</v>
      </c>
      <c r="DG103">
        <v>27521.200000000001</v>
      </c>
      <c r="DH103">
        <v>31172.6</v>
      </c>
      <c r="DI103">
        <v>28087.200000000001</v>
      </c>
      <c r="DJ103">
        <v>37745.599999999999</v>
      </c>
      <c r="DK103">
        <v>36588.1</v>
      </c>
      <c r="DL103">
        <v>44363.6</v>
      </c>
      <c r="DM103">
        <v>42576.3</v>
      </c>
      <c r="DN103">
        <v>1.4753499999999999</v>
      </c>
      <c r="DO103">
        <v>2.0495000000000001</v>
      </c>
      <c r="DP103">
        <v>0.13722899999999999</v>
      </c>
      <c r="DQ103">
        <v>0.18234600000000001</v>
      </c>
      <c r="DR103">
        <v>24.703199999999999</v>
      </c>
      <c r="DS103">
        <v>24.518899999999999</v>
      </c>
      <c r="DT103">
        <v>56.4</v>
      </c>
      <c r="DU103">
        <v>29.2</v>
      </c>
      <c r="DV103">
        <v>23.170100000000001</v>
      </c>
      <c r="DW103">
        <v>61.409799999999997</v>
      </c>
      <c r="DX103">
        <v>35.901400000000002</v>
      </c>
      <c r="DY103">
        <v>1</v>
      </c>
      <c r="DZ103">
        <v>-7.9108200000000004E-2</v>
      </c>
      <c r="EA103">
        <v>0.57902799999999999</v>
      </c>
      <c r="EB103">
        <v>20.188199999999998</v>
      </c>
      <c r="EC103">
        <v>5.2406499999999996</v>
      </c>
      <c r="ED103">
        <v>12.039899999999999</v>
      </c>
      <c r="EE103">
        <v>5.0174000000000003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1.8646400000000001</v>
      </c>
      <c r="EM103">
        <v>1.8691899999999999</v>
      </c>
      <c r="EN103">
        <v>1.8672299999999999</v>
      </c>
      <c r="EO103">
        <v>1.8633999999999999</v>
      </c>
      <c r="EP103">
        <v>1.86449</v>
      </c>
      <c r="EQ103">
        <v>1.87015</v>
      </c>
      <c r="ER103">
        <v>1.86948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-0.13300000000000001</v>
      </c>
      <c r="FG103">
        <v>0.17860000000000001</v>
      </c>
      <c r="FH103">
        <v>0.3448811944559278</v>
      </c>
      <c r="FI103">
        <v>-6.1462078757559423E-4</v>
      </c>
      <c r="FJ103">
        <v>-1.8861989874597051E-7</v>
      </c>
      <c r="FK103">
        <v>1.1980462299894961E-10</v>
      </c>
      <c r="FL103">
        <v>0.17862261546663211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24.5</v>
      </c>
      <c r="FU103">
        <v>24.6</v>
      </c>
      <c r="FV103">
        <v>1.78467</v>
      </c>
      <c r="FW103">
        <v>2.5866699999999998</v>
      </c>
      <c r="FX103">
        <v>1.5490699999999999</v>
      </c>
      <c r="FY103">
        <v>2.3290999999999999</v>
      </c>
      <c r="FZ103">
        <v>1.50146</v>
      </c>
      <c r="GA103">
        <v>2.2875999999999999</v>
      </c>
      <c r="GB103">
        <v>33.986499999999999</v>
      </c>
      <c r="GC103">
        <v>23.982399999999998</v>
      </c>
      <c r="GD103">
        <v>19</v>
      </c>
      <c r="GE103">
        <v>283.27800000000002</v>
      </c>
      <c r="GF103">
        <v>596.16499999999996</v>
      </c>
      <c r="GG103">
        <v>23.0379</v>
      </c>
      <c r="GH103">
        <v>26.357099999999999</v>
      </c>
      <c r="GI103">
        <v>29.999700000000001</v>
      </c>
      <c r="GJ103">
        <v>26.523599999999998</v>
      </c>
      <c r="GK103">
        <v>26.519400000000001</v>
      </c>
      <c r="GL103">
        <v>35.692900000000002</v>
      </c>
      <c r="GM103">
        <v>39.192399999999999</v>
      </c>
      <c r="GN103">
        <v>93.603300000000004</v>
      </c>
      <c r="GO103">
        <v>23.107900000000001</v>
      </c>
      <c r="GP103">
        <v>800</v>
      </c>
      <c r="GQ103">
        <v>15.8681</v>
      </c>
      <c r="GR103">
        <v>99.741699999999994</v>
      </c>
      <c r="GS103">
        <v>99.595399999999998</v>
      </c>
    </row>
    <row r="104" spans="1:201" x14ac:dyDescent="0.25">
      <c r="A104">
        <v>88</v>
      </c>
      <c r="B104">
        <v>1690230565</v>
      </c>
      <c r="C104">
        <v>1059.900000095367</v>
      </c>
      <c r="D104" t="s">
        <v>509</v>
      </c>
      <c r="E104" t="s">
        <v>510</v>
      </c>
      <c r="F104" t="s">
        <v>330</v>
      </c>
      <c r="H104">
        <v>1690230565</v>
      </c>
      <c r="I104">
        <f t="shared" si="30"/>
        <v>6.3593179353236585E-4</v>
      </c>
      <c r="J104">
        <f t="shared" si="31"/>
        <v>0.63593179353236584</v>
      </c>
      <c r="K104">
        <f t="shared" si="32"/>
        <v>9.9572653402400899</v>
      </c>
      <c r="L104">
        <f t="shared" si="33"/>
        <v>691.01</v>
      </c>
      <c r="M104">
        <f t="shared" si="34"/>
        <v>292.98827683134573</v>
      </c>
      <c r="N104">
        <f t="shared" si="35"/>
        <v>29.048163613809454</v>
      </c>
      <c r="O104">
        <f t="shared" si="36"/>
        <v>68.509811231569998</v>
      </c>
      <c r="P104">
        <f t="shared" si="37"/>
        <v>4.1659911276468162E-2</v>
      </c>
      <c r="Q104">
        <f t="shared" si="38"/>
        <v>2.1792632660938982</v>
      </c>
      <c r="R104">
        <f t="shared" si="39"/>
        <v>4.1222485592077994E-2</v>
      </c>
      <c r="S104">
        <f t="shared" si="40"/>
        <v>2.5802971639307649E-2</v>
      </c>
      <c r="T104">
        <f t="shared" si="41"/>
        <v>276.11444052036393</v>
      </c>
      <c r="U104">
        <f t="shared" si="42"/>
        <v>27.572217621843304</v>
      </c>
      <c r="V104">
        <f t="shared" si="43"/>
        <v>27.572217621843304</v>
      </c>
      <c r="W104">
        <f t="shared" si="44"/>
        <v>3.7012262923925987</v>
      </c>
      <c r="X104">
        <f t="shared" si="45"/>
        <v>67.097238964953291</v>
      </c>
      <c r="Y104">
        <f t="shared" si="46"/>
        <v>2.2173955241421002</v>
      </c>
      <c r="Z104">
        <f t="shared" si="47"/>
        <v>3.3047492837973649</v>
      </c>
      <c r="AA104">
        <f t="shared" si="48"/>
        <v>1.4838307682504985</v>
      </c>
      <c r="AB104">
        <f t="shared" si="49"/>
        <v>-28.044592094777336</v>
      </c>
      <c r="AC104">
        <f t="shared" si="50"/>
        <v>-225.99108701428264</v>
      </c>
      <c r="AD104">
        <f t="shared" si="51"/>
        <v>-22.292984012352218</v>
      </c>
      <c r="AE104">
        <f t="shared" si="52"/>
        <v>-0.21422260104824886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52649.711547581959</v>
      </c>
      <c r="AK104">
        <f t="shared" si="56"/>
        <v>1799.99</v>
      </c>
      <c r="AL104">
        <f t="shared" si="57"/>
        <v>1499.1045553950898</v>
      </c>
      <c r="AM104">
        <f t="shared" si="58"/>
        <v>0.83284049099999991</v>
      </c>
      <c r="AN104">
        <f t="shared" si="59"/>
        <v>0.15339776361000002</v>
      </c>
      <c r="AO104">
        <v>31.5</v>
      </c>
      <c r="AP104">
        <v>0.5</v>
      </c>
      <c r="AQ104" t="s">
        <v>331</v>
      </c>
      <c r="AR104">
        <v>2</v>
      </c>
      <c r="AS104">
        <v>1690230565</v>
      </c>
      <c r="AT104">
        <v>691.01</v>
      </c>
      <c r="AU104">
        <v>800.09100000000001</v>
      </c>
      <c r="AV104">
        <v>22.365300000000001</v>
      </c>
      <c r="AW104">
        <v>15.8424</v>
      </c>
      <c r="AX104">
        <v>691.14099999999996</v>
      </c>
      <c r="AY104">
        <v>22.186699999999998</v>
      </c>
      <c r="AZ104">
        <v>300.23200000000003</v>
      </c>
      <c r="BA104">
        <v>99.044399999999996</v>
      </c>
      <c r="BB104">
        <v>0.10005699999999999</v>
      </c>
      <c r="BC104">
        <v>25.648700000000002</v>
      </c>
      <c r="BD104">
        <v>26.935300000000002</v>
      </c>
      <c r="BE104">
        <v>27.4529</v>
      </c>
      <c r="BF104">
        <v>0</v>
      </c>
      <c r="BG104">
        <v>0</v>
      </c>
      <c r="BH104">
        <v>10008.1</v>
      </c>
      <c r="BI104">
        <v>1057.71</v>
      </c>
      <c r="BJ104">
        <v>1.4016500000000001</v>
      </c>
      <c r="BK104">
        <v>-109.081</v>
      </c>
      <c r="BL104">
        <v>706.81899999999996</v>
      </c>
      <c r="BM104">
        <v>812.971</v>
      </c>
      <c r="BN104">
        <v>6.5228700000000002</v>
      </c>
      <c r="BO104">
        <v>800.09100000000001</v>
      </c>
      <c r="BP104">
        <v>15.8424</v>
      </c>
      <c r="BQ104">
        <v>2.21516</v>
      </c>
      <c r="BR104">
        <v>1.5690999999999999</v>
      </c>
      <c r="BS104">
        <v>19.072399999999998</v>
      </c>
      <c r="BT104">
        <v>13.6587</v>
      </c>
      <c r="BU104">
        <v>1799.99</v>
      </c>
      <c r="BV104">
        <v>0.909995</v>
      </c>
      <c r="BW104">
        <v>3.3997800000000002E-2</v>
      </c>
      <c r="BX104">
        <v>2.20038E-2</v>
      </c>
      <c r="BY104">
        <v>3.4003899999999997E-2</v>
      </c>
      <c r="BZ104">
        <v>26</v>
      </c>
      <c r="CA104">
        <v>33528.199999999997</v>
      </c>
      <c r="CB104">
        <v>1690229084.0999999</v>
      </c>
      <c r="CC104" t="s">
        <v>332</v>
      </c>
      <c r="CD104">
        <v>1690229084.0999999</v>
      </c>
      <c r="CE104">
        <v>1690229076.5999999</v>
      </c>
      <c r="CF104">
        <v>13</v>
      </c>
      <c r="CG104">
        <v>0.23300000000000001</v>
      </c>
      <c r="CH104">
        <v>-0.13100000000000001</v>
      </c>
      <c r="CI104">
        <v>-0.20599999999999999</v>
      </c>
      <c r="CJ104">
        <v>8.7999999999999995E-2</v>
      </c>
      <c r="CK104">
        <v>799</v>
      </c>
      <c r="CL104">
        <v>16</v>
      </c>
      <c r="CM104">
        <v>0.04</v>
      </c>
      <c r="CN104">
        <v>0.04</v>
      </c>
      <c r="CO104">
        <v>-105.65755</v>
      </c>
      <c r="CP104">
        <v>-19.975227016885189</v>
      </c>
      <c r="CQ104">
        <v>1.9225171644227259</v>
      </c>
      <c r="CR104">
        <v>-1</v>
      </c>
      <c r="CS104">
        <v>6.3664480000000001</v>
      </c>
      <c r="CT104">
        <v>0.72944330206379127</v>
      </c>
      <c r="CU104">
        <v>7.5544127574550771E-2</v>
      </c>
      <c r="CV104">
        <v>-1</v>
      </c>
      <c r="CW104">
        <v>0</v>
      </c>
      <c r="CX104">
        <v>0</v>
      </c>
      <c r="CY104" t="s">
        <v>333</v>
      </c>
      <c r="CZ104">
        <v>2.3645</v>
      </c>
      <c r="DA104">
        <v>2.7138599999999999</v>
      </c>
      <c r="DB104">
        <v>0.13280400000000001</v>
      </c>
      <c r="DC104">
        <v>0.14618999999999999</v>
      </c>
      <c r="DD104">
        <v>0.108297</v>
      </c>
      <c r="DE104">
        <v>8.3407099999999998E-2</v>
      </c>
      <c r="DF104">
        <v>31665.3</v>
      </c>
      <c r="DG104">
        <v>27521.7</v>
      </c>
      <c r="DH104">
        <v>31172.799999999999</v>
      </c>
      <c r="DI104">
        <v>28087.5</v>
      </c>
      <c r="DJ104">
        <v>37741.5</v>
      </c>
      <c r="DK104">
        <v>36612.199999999997</v>
      </c>
      <c r="DL104">
        <v>44364</v>
      </c>
      <c r="DM104">
        <v>42576.5</v>
      </c>
      <c r="DN104">
        <v>1.47553</v>
      </c>
      <c r="DO104">
        <v>2.0493199999999998</v>
      </c>
      <c r="DP104">
        <v>0.13609599999999999</v>
      </c>
      <c r="DQ104">
        <v>0.17896699999999999</v>
      </c>
      <c r="DR104">
        <v>24.705300000000001</v>
      </c>
      <c r="DS104">
        <v>24.5212</v>
      </c>
      <c r="DT104">
        <v>56.4</v>
      </c>
      <c r="DU104">
        <v>29.2</v>
      </c>
      <c r="DV104">
        <v>23.169499999999999</v>
      </c>
      <c r="DW104">
        <v>61.909799999999997</v>
      </c>
      <c r="DX104">
        <v>36.117800000000003</v>
      </c>
      <c r="DY104">
        <v>1</v>
      </c>
      <c r="DZ104">
        <v>-7.9756099999999996E-2</v>
      </c>
      <c r="EA104">
        <v>0.39677299999999999</v>
      </c>
      <c r="EB104">
        <v>20.1891</v>
      </c>
      <c r="EC104">
        <v>5.2408000000000001</v>
      </c>
      <c r="ED104">
        <v>12.039899999999999</v>
      </c>
      <c r="EE104">
        <v>5.0169499999999996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1.8689100000000001</v>
      </c>
      <c r="EL104">
        <v>1.86463</v>
      </c>
      <c r="EM104">
        <v>1.8692</v>
      </c>
      <c r="EN104">
        <v>1.86724</v>
      </c>
      <c r="EO104">
        <v>1.8633999999999999</v>
      </c>
      <c r="EP104">
        <v>1.8645</v>
      </c>
      <c r="EQ104">
        <v>1.87015</v>
      </c>
      <c r="ER104">
        <v>1.86944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-0.13100000000000001</v>
      </c>
      <c r="FG104">
        <v>0.17860000000000001</v>
      </c>
      <c r="FH104">
        <v>0.3448811944559278</v>
      </c>
      <c r="FI104">
        <v>-6.1462078757559423E-4</v>
      </c>
      <c r="FJ104">
        <v>-1.8861989874597051E-7</v>
      </c>
      <c r="FK104">
        <v>1.1980462299894961E-10</v>
      </c>
      <c r="FL104">
        <v>0.17862261546663211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24.7</v>
      </c>
      <c r="FU104">
        <v>24.8</v>
      </c>
      <c r="FV104">
        <v>1.78467</v>
      </c>
      <c r="FW104">
        <v>2.5842299999999998</v>
      </c>
      <c r="FX104">
        <v>1.5490699999999999</v>
      </c>
      <c r="FY104">
        <v>2.3290999999999999</v>
      </c>
      <c r="FZ104">
        <v>1.50146</v>
      </c>
      <c r="GA104">
        <v>2.3986800000000001</v>
      </c>
      <c r="GB104">
        <v>33.986499999999999</v>
      </c>
      <c r="GC104">
        <v>23.991199999999999</v>
      </c>
      <c r="GD104">
        <v>19</v>
      </c>
      <c r="GE104">
        <v>283.34100000000001</v>
      </c>
      <c r="GF104">
        <v>595.97500000000002</v>
      </c>
      <c r="GG104">
        <v>23.1404</v>
      </c>
      <c r="GH104">
        <v>26.353100000000001</v>
      </c>
      <c r="GI104">
        <v>29.999700000000001</v>
      </c>
      <c r="GJ104">
        <v>26.521000000000001</v>
      </c>
      <c r="GK104">
        <v>26.515799999999999</v>
      </c>
      <c r="GL104">
        <v>35.688600000000001</v>
      </c>
      <c r="GM104">
        <v>39.756100000000004</v>
      </c>
      <c r="GN104">
        <v>93.232799999999997</v>
      </c>
      <c r="GO104">
        <v>23.1934</v>
      </c>
      <c r="GP104">
        <v>800</v>
      </c>
      <c r="GQ104">
        <v>15.709199999999999</v>
      </c>
      <c r="GR104">
        <v>99.742500000000007</v>
      </c>
      <c r="GS104">
        <v>99.596100000000007</v>
      </c>
    </row>
    <row r="105" spans="1:201" x14ac:dyDescent="0.25">
      <c r="A105">
        <v>89</v>
      </c>
      <c r="B105">
        <v>1690230575</v>
      </c>
      <c r="C105">
        <v>1069.900000095367</v>
      </c>
      <c r="D105" t="s">
        <v>511</v>
      </c>
      <c r="E105" t="s">
        <v>512</v>
      </c>
      <c r="F105" t="s">
        <v>330</v>
      </c>
      <c r="H105">
        <v>1690230575</v>
      </c>
      <c r="I105">
        <f t="shared" si="30"/>
        <v>6.5703759077317373E-4</v>
      </c>
      <c r="J105">
        <f t="shared" si="31"/>
        <v>0.6570375907731737</v>
      </c>
      <c r="K105">
        <f t="shared" si="32"/>
        <v>10.257939655878129</v>
      </c>
      <c r="L105">
        <f t="shared" si="33"/>
        <v>687.76700000000005</v>
      </c>
      <c r="M105">
        <f t="shared" si="34"/>
        <v>291.82365436339251</v>
      </c>
      <c r="N105">
        <f t="shared" si="35"/>
        <v>28.933725291883608</v>
      </c>
      <c r="O105">
        <f t="shared" si="36"/>
        <v>68.190707453902704</v>
      </c>
      <c r="P105">
        <f t="shared" si="37"/>
        <v>4.3154831798171325E-2</v>
      </c>
      <c r="Q105">
        <f t="shared" si="38"/>
        <v>2.1802891502523067</v>
      </c>
      <c r="R105">
        <f t="shared" si="39"/>
        <v>4.2685858657178236E-2</v>
      </c>
      <c r="S105">
        <f t="shared" si="40"/>
        <v>2.6720372281067526E-2</v>
      </c>
      <c r="T105">
        <f t="shared" si="41"/>
        <v>276.11571672000002</v>
      </c>
      <c r="U105">
        <f t="shared" si="42"/>
        <v>27.572574582527523</v>
      </c>
      <c r="V105">
        <f t="shared" si="43"/>
        <v>27.572574582527523</v>
      </c>
      <c r="W105">
        <f t="shared" si="44"/>
        <v>3.7013035596496016</v>
      </c>
      <c r="X105">
        <f t="shared" si="45"/>
        <v>67.165447133864262</v>
      </c>
      <c r="Y105">
        <f t="shared" si="46"/>
        <v>2.2207560726750399</v>
      </c>
      <c r="Z105">
        <f t="shared" si="47"/>
        <v>3.3063966182625961</v>
      </c>
      <c r="AA105">
        <f t="shared" si="48"/>
        <v>1.4805474869745616</v>
      </c>
      <c r="AB105">
        <f t="shared" si="49"/>
        <v>-28.975357753096961</v>
      </c>
      <c r="AC105">
        <f t="shared" si="50"/>
        <v>-225.15206290932809</v>
      </c>
      <c r="AD105">
        <f t="shared" si="51"/>
        <v>-22.200739008489261</v>
      </c>
      <c r="AE105">
        <f t="shared" si="52"/>
        <v>-0.21244295091429422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52691.001642262454</v>
      </c>
      <c r="AK105">
        <f t="shared" si="56"/>
        <v>1800</v>
      </c>
      <c r="AL105">
        <f t="shared" si="57"/>
        <v>1499.1134489999997</v>
      </c>
      <c r="AM105">
        <f t="shared" si="58"/>
        <v>0.83284080499999991</v>
      </c>
      <c r="AN105">
        <f t="shared" si="59"/>
        <v>0.15339762040000002</v>
      </c>
      <c r="AO105">
        <v>31.5</v>
      </c>
      <c r="AP105">
        <v>0.5</v>
      </c>
      <c r="AQ105" t="s">
        <v>331</v>
      </c>
      <c r="AR105">
        <v>2</v>
      </c>
      <c r="AS105">
        <v>1690230575</v>
      </c>
      <c r="AT105">
        <v>687.76700000000005</v>
      </c>
      <c r="AU105">
        <v>800.16399999999999</v>
      </c>
      <c r="AV105">
        <v>22.398399999999999</v>
      </c>
      <c r="AW105">
        <v>15.657400000000001</v>
      </c>
      <c r="AX105">
        <v>687.89499999999998</v>
      </c>
      <c r="AY105">
        <v>22.219799999999999</v>
      </c>
      <c r="AZ105">
        <v>300.14999999999998</v>
      </c>
      <c r="BA105">
        <v>99.048000000000002</v>
      </c>
      <c r="BB105">
        <v>9.99781E-2</v>
      </c>
      <c r="BC105">
        <v>25.6571</v>
      </c>
      <c r="BD105">
        <v>26.9621</v>
      </c>
      <c r="BE105">
        <v>27.4757</v>
      </c>
      <c r="BF105">
        <v>0</v>
      </c>
      <c r="BG105">
        <v>0</v>
      </c>
      <c r="BH105">
        <v>10016.200000000001</v>
      </c>
      <c r="BI105">
        <v>1057.74</v>
      </c>
      <c r="BJ105">
        <v>1.4016500000000001</v>
      </c>
      <c r="BK105">
        <v>-112.39700000000001</v>
      </c>
      <c r="BL105">
        <v>703.52499999999998</v>
      </c>
      <c r="BM105">
        <v>812.89200000000005</v>
      </c>
      <c r="BN105">
        <v>6.7409299999999996</v>
      </c>
      <c r="BO105">
        <v>800.16399999999999</v>
      </c>
      <c r="BP105">
        <v>15.657400000000001</v>
      </c>
      <c r="BQ105">
        <v>2.2185100000000002</v>
      </c>
      <c r="BR105">
        <v>1.55084</v>
      </c>
      <c r="BS105">
        <v>19.096599999999999</v>
      </c>
      <c r="BT105">
        <v>13.4788</v>
      </c>
      <c r="BU105">
        <v>1800</v>
      </c>
      <c r="BV105">
        <v>0.91</v>
      </c>
      <c r="BW105">
        <v>3.3995900000000003E-2</v>
      </c>
      <c r="BX105">
        <v>2.2002500000000001E-2</v>
      </c>
      <c r="BY105">
        <v>3.4001999999999998E-2</v>
      </c>
      <c r="BZ105">
        <v>26</v>
      </c>
      <c r="CA105">
        <v>33528.400000000001</v>
      </c>
      <c r="CB105">
        <v>1690229084.0999999</v>
      </c>
      <c r="CC105" t="s">
        <v>332</v>
      </c>
      <c r="CD105">
        <v>1690229084.0999999</v>
      </c>
      <c r="CE105">
        <v>1690229076.5999999</v>
      </c>
      <c r="CF105">
        <v>13</v>
      </c>
      <c r="CG105">
        <v>0.23300000000000001</v>
      </c>
      <c r="CH105">
        <v>-0.13100000000000001</v>
      </c>
      <c r="CI105">
        <v>-0.20599999999999999</v>
      </c>
      <c r="CJ105">
        <v>8.7999999999999995E-2</v>
      </c>
      <c r="CK105">
        <v>799</v>
      </c>
      <c r="CL105">
        <v>16</v>
      </c>
      <c r="CM105">
        <v>0.04</v>
      </c>
      <c r="CN105">
        <v>0.04</v>
      </c>
      <c r="CO105">
        <v>-108.65025</v>
      </c>
      <c r="CP105">
        <v>-19.60424015009368</v>
      </c>
      <c r="CQ105">
        <v>1.886384846074628</v>
      </c>
      <c r="CR105">
        <v>-1</v>
      </c>
      <c r="CS105">
        <v>6.5028050000000004</v>
      </c>
      <c r="CT105">
        <v>1.157934709193233</v>
      </c>
      <c r="CU105">
        <v>0.1118220007422511</v>
      </c>
      <c r="CV105">
        <v>-1</v>
      </c>
      <c r="CW105">
        <v>0</v>
      </c>
      <c r="CX105">
        <v>0</v>
      </c>
      <c r="CY105" t="s">
        <v>333</v>
      </c>
      <c r="CZ105">
        <v>2.3642400000000001</v>
      </c>
      <c r="DA105">
        <v>2.7137799999999999</v>
      </c>
      <c r="DB105">
        <v>0.132382</v>
      </c>
      <c r="DC105">
        <v>0.146201</v>
      </c>
      <c r="DD105">
        <v>0.108416</v>
      </c>
      <c r="DE105">
        <v>8.2699599999999998E-2</v>
      </c>
      <c r="DF105">
        <v>31680.799999999999</v>
      </c>
      <c r="DG105">
        <v>27521.5</v>
      </c>
      <c r="DH105">
        <v>31172.9</v>
      </c>
      <c r="DI105">
        <v>28087.7</v>
      </c>
      <c r="DJ105">
        <v>37736.6</v>
      </c>
      <c r="DK105">
        <v>36640.699999999997</v>
      </c>
      <c r="DL105">
        <v>44364.2</v>
      </c>
      <c r="DM105">
        <v>42576.7</v>
      </c>
      <c r="DN105">
        <v>1.4753000000000001</v>
      </c>
      <c r="DO105">
        <v>2.0489199999999999</v>
      </c>
      <c r="DP105">
        <v>0.13773099999999999</v>
      </c>
      <c r="DQ105">
        <v>0.18023700000000001</v>
      </c>
      <c r="DR105">
        <v>24.705300000000001</v>
      </c>
      <c r="DS105">
        <v>24.523299999999999</v>
      </c>
      <c r="DT105">
        <v>56.4</v>
      </c>
      <c r="DU105">
        <v>29.2</v>
      </c>
      <c r="DV105">
        <v>23.166899999999998</v>
      </c>
      <c r="DW105">
        <v>61.7498</v>
      </c>
      <c r="DX105">
        <v>35.853400000000001</v>
      </c>
      <c r="DY105">
        <v>1</v>
      </c>
      <c r="DZ105">
        <v>-7.9908499999999993E-2</v>
      </c>
      <c r="EA105">
        <v>0.39269300000000001</v>
      </c>
      <c r="EB105">
        <v>20.1892</v>
      </c>
      <c r="EC105">
        <v>5.2409499999999998</v>
      </c>
      <c r="ED105">
        <v>12.039899999999999</v>
      </c>
      <c r="EE105">
        <v>5.01715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1.8646400000000001</v>
      </c>
      <c r="EM105">
        <v>1.8692</v>
      </c>
      <c r="EN105">
        <v>1.8672299999999999</v>
      </c>
      <c r="EO105">
        <v>1.8633999999999999</v>
      </c>
      <c r="EP105">
        <v>1.86449</v>
      </c>
      <c r="EQ105">
        <v>1.87015</v>
      </c>
      <c r="ER105">
        <v>1.8694299999999999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-0.128</v>
      </c>
      <c r="FG105">
        <v>0.17860000000000001</v>
      </c>
      <c r="FH105">
        <v>0.3448811944559278</v>
      </c>
      <c r="FI105">
        <v>-6.1462078757559423E-4</v>
      </c>
      <c r="FJ105">
        <v>-1.8861989874597051E-7</v>
      </c>
      <c r="FK105">
        <v>1.1980462299894961E-10</v>
      </c>
      <c r="FL105">
        <v>0.17862261546663211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24.8</v>
      </c>
      <c r="FU105">
        <v>25</v>
      </c>
      <c r="FV105">
        <v>1.78467</v>
      </c>
      <c r="FW105">
        <v>2.5903299999999998</v>
      </c>
      <c r="FX105">
        <v>1.5490699999999999</v>
      </c>
      <c r="FY105">
        <v>2.3290999999999999</v>
      </c>
      <c r="FZ105">
        <v>1.50146</v>
      </c>
      <c r="GA105">
        <v>2.2729499999999998</v>
      </c>
      <c r="GB105">
        <v>33.986499999999999</v>
      </c>
      <c r="GC105">
        <v>23.982399999999998</v>
      </c>
      <c r="GD105">
        <v>19</v>
      </c>
      <c r="GE105">
        <v>283.23</v>
      </c>
      <c r="GF105">
        <v>595.60400000000004</v>
      </c>
      <c r="GG105">
        <v>23.2332</v>
      </c>
      <c r="GH105">
        <v>26.3504</v>
      </c>
      <c r="GI105">
        <v>29.9999</v>
      </c>
      <c r="GJ105">
        <v>26.517700000000001</v>
      </c>
      <c r="GK105">
        <v>26.512799999999999</v>
      </c>
      <c r="GL105">
        <v>35.6813</v>
      </c>
      <c r="GM105">
        <v>40.046500000000002</v>
      </c>
      <c r="GN105">
        <v>92.851100000000002</v>
      </c>
      <c r="GO105">
        <v>23.261399999999998</v>
      </c>
      <c r="GP105">
        <v>800</v>
      </c>
      <c r="GQ105">
        <v>15.5464</v>
      </c>
      <c r="GR105">
        <v>99.742999999999995</v>
      </c>
      <c r="GS105">
        <v>99.596500000000006</v>
      </c>
    </row>
    <row r="106" spans="1:201" x14ac:dyDescent="0.25">
      <c r="A106">
        <v>90</v>
      </c>
      <c r="B106">
        <v>1690230585</v>
      </c>
      <c r="C106">
        <v>1079.900000095367</v>
      </c>
      <c r="D106" t="s">
        <v>513</v>
      </c>
      <c r="E106" t="s">
        <v>514</v>
      </c>
      <c r="F106" t="s">
        <v>330</v>
      </c>
      <c r="H106">
        <v>1690230585</v>
      </c>
      <c r="I106">
        <f t="shared" si="30"/>
        <v>6.7264410883657497E-4</v>
      </c>
      <c r="J106">
        <f t="shared" si="31"/>
        <v>0.67264410883657499</v>
      </c>
      <c r="K106">
        <f t="shared" si="32"/>
        <v>10.553977038391142</v>
      </c>
      <c r="L106">
        <f t="shared" si="33"/>
        <v>684.53099999999995</v>
      </c>
      <c r="M106">
        <f t="shared" si="34"/>
        <v>286.5898934853883</v>
      </c>
      <c r="N106">
        <f t="shared" si="35"/>
        <v>28.414073666483716</v>
      </c>
      <c r="O106">
        <f t="shared" si="36"/>
        <v>67.868109459287112</v>
      </c>
      <c r="P106">
        <f t="shared" si="37"/>
        <v>4.4168892260202847E-2</v>
      </c>
      <c r="Q106">
        <f t="shared" si="38"/>
        <v>2.1797374163965459</v>
      </c>
      <c r="R106">
        <f t="shared" si="39"/>
        <v>4.3677632594683893E-2</v>
      </c>
      <c r="S106">
        <f t="shared" si="40"/>
        <v>2.7342202738678753E-2</v>
      </c>
      <c r="T106">
        <f t="shared" si="41"/>
        <v>276.11555173200003</v>
      </c>
      <c r="U106">
        <f t="shared" si="42"/>
        <v>27.584949923757275</v>
      </c>
      <c r="V106">
        <f t="shared" si="43"/>
        <v>27.584949923757275</v>
      </c>
      <c r="W106">
        <f t="shared" si="44"/>
        <v>3.703983180786985</v>
      </c>
      <c r="X106">
        <f t="shared" si="45"/>
        <v>67.157124508915004</v>
      </c>
      <c r="Y106">
        <f t="shared" si="46"/>
        <v>2.2227608677907202</v>
      </c>
      <c r="Z106">
        <f t="shared" si="47"/>
        <v>3.3097916029678314</v>
      </c>
      <c r="AA106">
        <f t="shared" si="48"/>
        <v>1.4812223129962647</v>
      </c>
      <c r="AB106">
        <f t="shared" si="49"/>
        <v>-29.663605199692956</v>
      </c>
      <c r="AC106">
        <f t="shared" si="50"/>
        <v>-224.51637060458017</v>
      </c>
      <c r="AD106">
        <f t="shared" si="51"/>
        <v>-22.146950020025017</v>
      </c>
      <c r="AE106">
        <f t="shared" si="52"/>
        <v>-0.21137409229814352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52664.933115756852</v>
      </c>
      <c r="AK106">
        <f t="shared" si="56"/>
        <v>1800</v>
      </c>
      <c r="AL106">
        <f t="shared" si="57"/>
        <v>1499.1130512</v>
      </c>
      <c r="AM106">
        <f t="shared" si="58"/>
        <v>0.83284058399999994</v>
      </c>
      <c r="AN106">
        <f t="shared" si="59"/>
        <v>0.15339752874000001</v>
      </c>
      <c r="AO106">
        <v>31.5</v>
      </c>
      <c r="AP106">
        <v>0.5</v>
      </c>
      <c r="AQ106" t="s">
        <v>331</v>
      </c>
      <c r="AR106">
        <v>2</v>
      </c>
      <c r="AS106">
        <v>1690230585</v>
      </c>
      <c r="AT106">
        <v>684.53099999999995</v>
      </c>
      <c r="AU106">
        <v>800.1</v>
      </c>
      <c r="AV106">
        <v>22.4192</v>
      </c>
      <c r="AW106">
        <v>15.5197</v>
      </c>
      <c r="AX106">
        <v>684.65700000000004</v>
      </c>
      <c r="AY106">
        <v>22.240600000000001</v>
      </c>
      <c r="AZ106">
        <v>300.214</v>
      </c>
      <c r="BA106">
        <v>99.045500000000004</v>
      </c>
      <c r="BB106">
        <v>9.9914100000000006E-2</v>
      </c>
      <c r="BC106">
        <v>25.674399999999999</v>
      </c>
      <c r="BD106">
        <v>26.948399999999999</v>
      </c>
      <c r="BE106">
        <v>27.516400000000001</v>
      </c>
      <c r="BF106">
        <v>0</v>
      </c>
      <c r="BG106">
        <v>0</v>
      </c>
      <c r="BH106">
        <v>10011.9</v>
      </c>
      <c r="BI106">
        <v>1057.8499999999999</v>
      </c>
      <c r="BJ106">
        <v>1.4016500000000001</v>
      </c>
      <c r="BK106">
        <v>-115.569</v>
      </c>
      <c r="BL106">
        <v>700.23</v>
      </c>
      <c r="BM106">
        <v>812.71299999999997</v>
      </c>
      <c r="BN106">
        <v>6.8994600000000004</v>
      </c>
      <c r="BO106">
        <v>800.1</v>
      </c>
      <c r="BP106">
        <v>15.5197</v>
      </c>
      <c r="BQ106">
        <v>2.22052</v>
      </c>
      <c r="BR106">
        <v>1.5371600000000001</v>
      </c>
      <c r="BS106">
        <v>19.1111</v>
      </c>
      <c r="BT106">
        <v>13.3429</v>
      </c>
      <c r="BU106">
        <v>1800</v>
      </c>
      <c r="BV106">
        <v>0.91000099999999995</v>
      </c>
      <c r="BW106">
        <v>3.3995400000000002E-2</v>
      </c>
      <c r="BX106">
        <v>2.20022E-2</v>
      </c>
      <c r="BY106">
        <v>3.4001400000000001E-2</v>
      </c>
      <c r="BZ106">
        <v>26</v>
      </c>
      <c r="CA106">
        <v>33528.400000000001</v>
      </c>
      <c r="CB106">
        <v>1690229084.0999999</v>
      </c>
      <c r="CC106" t="s">
        <v>332</v>
      </c>
      <c r="CD106">
        <v>1690229084.0999999</v>
      </c>
      <c r="CE106">
        <v>1690229076.5999999</v>
      </c>
      <c r="CF106">
        <v>13</v>
      </c>
      <c r="CG106">
        <v>0.23300000000000001</v>
      </c>
      <c r="CH106">
        <v>-0.13100000000000001</v>
      </c>
      <c r="CI106">
        <v>-0.20599999999999999</v>
      </c>
      <c r="CJ106">
        <v>8.7999999999999995E-2</v>
      </c>
      <c r="CK106">
        <v>799</v>
      </c>
      <c r="CL106">
        <v>16</v>
      </c>
      <c r="CM106">
        <v>0.04</v>
      </c>
      <c r="CN106">
        <v>0.04</v>
      </c>
      <c r="CO106">
        <v>-112.21185</v>
      </c>
      <c r="CP106">
        <v>-19.185343339586989</v>
      </c>
      <c r="CQ106">
        <v>1.84651706666903</v>
      </c>
      <c r="CR106">
        <v>-1</v>
      </c>
      <c r="CS106">
        <v>6.7077177499999996</v>
      </c>
      <c r="CT106">
        <v>1.0847264915572159</v>
      </c>
      <c r="CU106">
        <v>0.105251087891943</v>
      </c>
      <c r="CV106">
        <v>-1</v>
      </c>
      <c r="CW106">
        <v>0</v>
      </c>
      <c r="CX106">
        <v>0</v>
      </c>
      <c r="CY106" t="s">
        <v>333</v>
      </c>
      <c r="CZ106">
        <v>2.3644400000000001</v>
      </c>
      <c r="DA106">
        <v>2.7137199999999999</v>
      </c>
      <c r="DB106">
        <v>0.13195200000000001</v>
      </c>
      <c r="DC106">
        <v>0.14618800000000001</v>
      </c>
      <c r="DD106">
        <v>0.108485</v>
      </c>
      <c r="DE106">
        <v>8.2166400000000001E-2</v>
      </c>
      <c r="DF106">
        <v>31696.799999999999</v>
      </c>
      <c r="DG106">
        <v>27521.7</v>
      </c>
      <c r="DH106">
        <v>31173.200000000001</v>
      </c>
      <c r="DI106">
        <v>28087.4</v>
      </c>
      <c r="DJ106">
        <v>37733.9</v>
      </c>
      <c r="DK106">
        <v>36661.599999999999</v>
      </c>
      <c r="DL106">
        <v>44364.7</v>
      </c>
      <c r="DM106">
        <v>42576.3</v>
      </c>
      <c r="DN106">
        <v>1.4757199999999999</v>
      </c>
      <c r="DO106">
        <v>2.0490499999999998</v>
      </c>
      <c r="DP106">
        <v>0.136767</v>
      </c>
      <c r="DQ106">
        <v>0.182509</v>
      </c>
      <c r="DR106">
        <v>24.7074</v>
      </c>
      <c r="DS106">
        <v>24.526900000000001</v>
      </c>
      <c r="DT106">
        <v>56.3</v>
      </c>
      <c r="DU106">
        <v>29.2</v>
      </c>
      <c r="DV106">
        <v>23.127400000000002</v>
      </c>
      <c r="DW106">
        <v>61.4998</v>
      </c>
      <c r="DX106">
        <v>36.3902</v>
      </c>
      <c r="DY106">
        <v>1</v>
      </c>
      <c r="DZ106">
        <v>-8.0271800000000004E-2</v>
      </c>
      <c r="EA106">
        <v>0.40690100000000001</v>
      </c>
      <c r="EB106">
        <v>20.1892</v>
      </c>
      <c r="EC106">
        <v>5.2406499999999996</v>
      </c>
      <c r="ED106">
        <v>12.039899999999999</v>
      </c>
      <c r="EE106">
        <v>5.0170000000000003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1.8646400000000001</v>
      </c>
      <c r="EM106">
        <v>1.8691899999999999</v>
      </c>
      <c r="EN106">
        <v>1.8672299999999999</v>
      </c>
      <c r="EO106">
        <v>1.8633999999999999</v>
      </c>
      <c r="EP106">
        <v>1.8645</v>
      </c>
      <c r="EQ106">
        <v>1.8701700000000001</v>
      </c>
      <c r="ER106">
        <v>1.8693900000000001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-0.126</v>
      </c>
      <c r="FG106">
        <v>0.17860000000000001</v>
      </c>
      <c r="FH106">
        <v>0.3448811944559278</v>
      </c>
      <c r="FI106">
        <v>-6.1462078757559423E-4</v>
      </c>
      <c r="FJ106">
        <v>-1.8861989874597051E-7</v>
      </c>
      <c r="FK106">
        <v>1.1980462299894961E-10</v>
      </c>
      <c r="FL106">
        <v>0.17862261546663211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25</v>
      </c>
      <c r="FU106">
        <v>25.1</v>
      </c>
      <c r="FV106">
        <v>1.78467</v>
      </c>
      <c r="FW106">
        <v>2.5805699999999998</v>
      </c>
      <c r="FX106">
        <v>1.5490699999999999</v>
      </c>
      <c r="FY106">
        <v>2.3290999999999999</v>
      </c>
      <c r="FZ106">
        <v>1.50146</v>
      </c>
      <c r="GA106">
        <v>2.4035600000000001</v>
      </c>
      <c r="GB106">
        <v>33.986499999999999</v>
      </c>
      <c r="GC106">
        <v>23.991199999999999</v>
      </c>
      <c r="GD106">
        <v>19</v>
      </c>
      <c r="GE106">
        <v>283.399</v>
      </c>
      <c r="GF106">
        <v>595.67200000000003</v>
      </c>
      <c r="GG106">
        <v>23.294499999999999</v>
      </c>
      <c r="GH106">
        <v>26.346499999999999</v>
      </c>
      <c r="GI106">
        <v>30</v>
      </c>
      <c r="GJ106">
        <v>26.514700000000001</v>
      </c>
      <c r="GK106">
        <v>26.509499999999999</v>
      </c>
      <c r="GL106">
        <v>35.678699999999999</v>
      </c>
      <c r="GM106">
        <v>40.630000000000003</v>
      </c>
      <c r="GN106">
        <v>92.471800000000002</v>
      </c>
      <c r="GO106">
        <v>23.3276</v>
      </c>
      <c r="GP106">
        <v>800</v>
      </c>
      <c r="GQ106">
        <v>15.4727</v>
      </c>
      <c r="GR106">
        <v>99.744</v>
      </c>
      <c r="GS106">
        <v>99.595600000000005</v>
      </c>
    </row>
    <row r="107" spans="1:201" x14ac:dyDescent="0.25">
      <c r="A107">
        <v>91</v>
      </c>
      <c r="B107">
        <v>1690230595</v>
      </c>
      <c r="C107">
        <v>1089.900000095367</v>
      </c>
      <c r="D107" t="s">
        <v>515</v>
      </c>
      <c r="E107" t="s">
        <v>516</v>
      </c>
      <c r="F107" t="s">
        <v>330</v>
      </c>
      <c r="H107">
        <v>1690230595</v>
      </c>
      <c r="I107">
        <f t="shared" si="30"/>
        <v>6.8033872114352733E-4</v>
      </c>
      <c r="J107">
        <f t="shared" si="31"/>
        <v>0.68033872114352734</v>
      </c>
      <c r="K107">
        <f t="shared" si="32"/>
        <v>10.850117501621879</v>
      </c>
      <c r="L107">
        <f t="shared" si="33"/>
        <v>681.31700000000001</v>
      </c>
      <c r="M107">
        <f t="shared" si="34"/>
        <v>276.93042640666914</v>
      </c>
      <c r="N107">
        <f t="shared" si="35"/>
        <v>27.45664098216486</v>
      </c>
      <c r="O107">
        <f t="shared" si="36"/>
        <v>67.550093742950011</v>
      </c>
      <c r="P107">
        <f t="shared" si="37"/>
        <v>4.4650194504096692E-2</v>
      </c>
      <c r="Q107">
        <f t="shared" si="38"/>
        <v>2.1785345873101161</v>
      </c>
      <c r="R107">
        <f t="shared" si="39"/>
        <v>4.4147961972313882E-2</v>
      </c>
      <c r="S107">
        <f t="shared" si="40"/>
        <v>2.7637129038738415E-2</v>
      </c>
      <c r="T107">
        <f t="shared" si="41"/>
        <v>276.11405523250437</v>
      </c>
      <c r="U107">
        <f t="shared" si="42"/>
        <v>27.598042074690646</v>
      </c>
      <c r="V107">
        <f t="shared" si="43"/>
        <v>27.598042074690646</v>
      </c>
      <c r="W107">
        <f t="shared" si="44"/>
        <v>3.7068198547329581</v>
      </c>
      <c r="X107">
        <f t="shared" si="45"/>
        <v>67.154797039631205</v>
      </c>
      <c r="Y107">
        <f t="shared" si="46"/>
        <v>2.2246358866649998</v>
      </c>
      <c r="Z107">
        <f t="shared" si="47"/>
        <v>3.3126983994190877</v>
      </c>
      <c r="AA107">
        <f t="shared" si="48"/>
        <v>1.4821839680679583</v>
      </c>
      <c r="AB107">
        <f t="shared" si="49"/>
        <v>-30.002937602429554</v>
      </c>
      <c r="AC107">
        <f t="shared" si="50"/>
        <v>-224.19189189065864</v>
      </c>
      <c r="AD107">
        <f t="shared" si="51"/>
        <v>-22.130242167305354</v>
      </c>
      <c r="AE107">
        <f t="shared" si="52"/>
        <v>-0.21101642788917729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52612.306391653809</v>
      </c>
      <c r="AK107">
        <f t="shared" si="56"/>
        <v>1799.99</v>
      </c>
      <c r="AL107">
        <f t="shared" si="57"/>
        <v>1499.10555438954</v>
      </c>
      <c r="AM107">
        <f t="shared" si="58"/>
        <v>0.83284104599999997</v>
      </c>
      <c r="AN107">
        <f t="shared" si="59"/>
        <v>0.15339754955999998</v>
      </c>
      <c r="AO107">
        <v>31.5</v>
      </c>
      <c r="AP107">
        <v>0.5</v>
      </c>
      <c r="AQ107" t="s">
        <v>331</v>
      </c>
      <c r="AR107">
        <v>2</v>
      </c>
      <c r="AS107">
        <v>1690230595</v>
      </c>
      <c r="AT107">
        <v>681.31700000000001</v>
      </c>
      <c r="AU107">
        <v>800.00699999999995</v>
      </c>
      <c r="AV107">
        <v>22.437899999999999</v>
      </c>
      <c r="AW107">
        <v>15.460699999999999</v>
      </c>
      <c r="AX107">
        <v>681.44100000000003</v>
      </c>
      <c r="AY107">
        <v>22.2593</v>
      </c>
      <c r="AZ107">
        <v>300.26100000000002</v>
      </c>
      <c r="BA107">
        <v>99.046300000000002</v>
      </c>
      <c r="BB107">
        <v>0.10005</v>
      </c>
      <c r="BC107">
        <v>25.6892</v>
      </c>
      <c r="BD107">
        <v>26.965599999999998</v>
      </c>
      <c r="BE107">
        <v>27.5124</v>
      </c>
      <c r="BF107">
        <v>0</v>
      </c>
      <c r="BG107">
        <v>0</v>
      </c>
      <c r="BH107">
        <v>10001.9</v>
      </c>
      <c r="BI107">
        <v>1058.05</v>
      </c>
      <c r="BJ107">
        <v>1.4016500000000001</v>
      </c>
      <c r="BK107">
        <v>-118.69</v>
      </c>
      <c r="BL107">
        <v>696.95600000000002</v>
      </c>
      <c r="BM107">
        <v>812.57</v>
      </c>
      <c r="BN107">
        <v>6.9772100000000004</v>
      </c>
      <c r="BO107">
        <v>800.00699999999995</v>
      </c>
      <c r="BP107">
        <v>15.460699999999999</v>
      </c>
      <c r="BQ107">
        <v>2.2223999999999999</v>
      </c>
      <c r="BR107">
        <v>1.5313300000000001</v>
      </c>
      <c r="BS107">
        <v>19.124700000000001</v>
      </c>
      <c r="BT107">
        <v>13.284599999999999</v>
      </c>
      <c r="BU107">
        <v>1799.99</v>
      </c>
      <c r="BV107">
        <v>0.91000300000000001</v>
      </c>
      <c r="BW107">
        <v>3.3994799999999999E-2</v>
      </c>
      <c r="BX107">
        <v>2.2001799999999998E-2</v>
      </c>
      <c r="BY107">
        <v>3.4000799999999998E-2</v>
      </c>
      <c r="BZ107">
        <v>26</v>
      </c>
      <c r="CA107">
        <v>33528.199999999997</v>
      </c>
      <c r="CB107">
        <v>1690229084.0999999</v>
      </c>
      <c r="CC107" t="s">
        <v>332</v>
      </c>
      <c r="CD107">
        <v>1690229084.0999999</v>
      </c>
      <c r="CE107">
        <v>1690229076.5999999</v>
      </c>
      <c r="CF107">
        <v>13</v>
      </c>
      <c r="CG107">
        <v>0.23300000000000001</v>
      </c>
      <c r="CH107">
        <v>-0.13100000000000001</v>
      </c>
      <c r="CI107">
        <v>-0.20599999999999999</v>
      </c>
      <c r="CJ107">
        <v>8.7999999999999995E-2</v>
      </c>
      <c r="CK107">
        <v>799</v>
      </c>
      <c r="CL107">
        <v>16</v>
      </c>
      <c r="CM107">
        <v>0.04</v>
      </c>
      <c r="CN107">
        <v>0.04</v>
      </c>
      <c r="CO107">
        <v>-115.411575</v>
      </c>
      <c r="CP107">
        <v>-19.168559099437019</v>
      </c>
      <c r="CQ107">
        <v>1.844431550471582</v>
      </c>
      <c r="CR107">
        <v>-1</v>
      </c>
      <c r="CS107">
        <v>6.8723012500000014</v>
      </c>
      <c r="CT107">
        <v>0.83438375234520112</v>
      </c>
      <c r="CU107">
        <v>8.2235896212891693E-2</v>
      </c>
      <c r="CV107">
        <v>-1</v>
      </c>
      <c r="CW107">
        <v>0</v>
      </c>
      <c r="CX107">
        <v>0</v>
      </c>
      <c r="CY107" t="s">
        <v>333</v>
      </c>
      <c r="CZ107">
        <v>2.3645800000000001</v>
      </c>
      <c r="DA107">
        <v>2.7138399999999998</v>
      </c>
      <c r="DB107">
        <v>0.13152800000000001</v>
      </c>
      <c r="DC107">
        <v>0.146178</v>
      </c>
      <c r="DD107">
        <v>0.108552</v>
      </c>
      <c r="DE107">
        <v>8.1939700000000004E-2</v>
      </c>
      <c r="DF107">
        <v>31712.2</v>
      </c>
      <c r="DG107">
        <v>27522.400000000001</v>
      </c>
      <c r="DH107">
        <v>31173.1</v>
      </c>
      <c r="DI107">
        <v>28087.8</v>
      </c>
      <c r="DJ107">
        <v>37730.9</v>
      </c>
      <c r="DK107">
        <v>36671.5</v>
      </c>
      <c r="DL107">
        <v>44364.6</v>
      </c>
      <c r="DM107">
        <v>42577.2</v>
      </c>
      <c r="DN107">
        <v>1.4760500000000001</v>
      </c>
      <c r="DO107">
        <v>2.04888</v>
      </c>
      <c r="DP107">
        <v>0.13761200000000001</v>
      </c>
      <c r="DQ107">
        <v>0.18210699999999999</v>
      </c>
      <c r="DR107">
        <v>24.710799999999999</v>
      </c>
      <c r="DS107">
        <v>24.529499999999999</v>
      </c>
      <c r="DT107">
        <v>56.3</v>
      </c>
      <c r="DU107">
        <v>29.2</v>
      </c>
      <c r="DV107">
        <v>23.1267</v>
      </c>
      <c r="DW107">
        <v>61.2498</v>
      </c>
      <c r="DX107">
        <v>35.821300000000001</v>
      </c>
      <c r="DY107">
        <v>1</v>
      </c>
      <c r="DZ107">
        <v>-8.0477599999999996E-2</v>
      </c>
      <c r="EA107">
        <v>0.28645199999999998</v>
      </c>
      <c r="EB107">
        <v>20.189699999999998</v>
      </c>
      <c r="EC107">
        <v>5.2408000000000001</v>
      </c>
      <c r="ED107">
        <v>12.039899999999999</v>
      </c>
      <c r="EE107">
        <v>5.0174500000000002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1.86466</v>
      </c>
      <c r="EM107">
        <v>1.8692</v>
      </c>
      <c r="EN107">
        <v>1.8672299999999999</v>
      </c>
      <c r="EO107">
        <v>1.8633999999999999</v>
      </c>
      <c r="EP107">
        <v>1.86449</v>
      </c>
      <c r="EQ107">
        <v>1.8701700000000001</v>
      </c>
      <c r="ER107">
        <v>1.86941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-0.124</v>
      </c>
      <c r="FG107">
        <v>0.17860000000000001</v>
      </c>
      <c r="FH107">
        <v>0.3448811944559278</v>
      </c>
      <c r="FI107">
        <v>-6.1462078757559423E-4</v>
      </c>
      <c r="FJ107">
        <v>-1.8861989874597051E-7</v>
      </c>
      <c r="FK107">
        <v>1.1980462299894961E-10</v>
      </c>
      <c r="FL107">
        <v>0.17862261546663211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25.2</v>
      </c>
      <c r="FU107">
        <v>25.3</v>
      </c>
      <c r="FV107">
        <v>1.78467</v>
      </c>
      <c r="FW107">
        <v>2.5866699999999998</v>
      </c>
      <c r="FX107">
        <v>1.5490699999999999</v>
      </c>
      <c r="FY107">
        <v>2.3290999999999999</v>
      </c>
      <c r="FZ107">
        <v>1.50146</v>
      </c>
      <c r="GA107">
        <v>2.2802699999999998</v>
      </c>
      <c r="GB107">
        <v>33.986499999999999</v>
      </c>
      <c r="GC107">
        <v>23.982399999999998</v>
      </c>
      <c r="GD107">
        <v>19</v>
      </c>
      <c r="GE107">
        <v>283.524</v>
      </c>
      <c r="GF107">
        <v>595.495</v>
      </c>
      <c r="GG107">
        <v>23.3705</v>
      </c>
      <c r="GH107">
        <v>26.344100000000001</v>
      </c>
      <c r="GI107">
        <v>29.9999</v>
      </c>
      <c r="GJ107">
        <v>26.511500000000002</v>
      </c>
      <c r="GK107">
        <v>26.506900000000002</v>
      </c>
      <c r="GL107">
        <v>35.677500000000002</v>
      </c>
      <c r="GM107">
        <v>40.932200000000002</v>
      </c>
      <c r="GN107">
        <v>92.093699999999998</v>
      </c>
      <c r="GO107">
        <v>23.4115</v>
      </c>
      <c r="GP107">
        <v>800</v>
      </c>
      <c r="GQ107">
        <v>15.330399999999999</v>
      </c>
      <c r="GR107">
        <v>99.743700000000004</v>
      </c>
      <c r="GS107">
        <v>99.597399999999993</v>
      </c>
    </row>
    <row r="108" spans="1:201" x14ac:dyDescent="0.25">
      <c r="A108">
        <v>92</v>
      </c>
      <c r="B108">
        <v>1690230605</v>
      </c>
      <c r="C108">
        <v>1099.900000095367</v>
      </c>
      <c r="D108" t="s">
        <v>517</v>
      </c>
      <c r="E108" t="s">
        <v>518</v>
      </c>
      <c r="F108" t="s">
        <v>330</v>
      </c>
      <c r="H108">
        <v>1690230605</v>
      </c>
      <c r="I108">
        <f t="shared" si="30"/>
        <v>7.015745769626909E-4</v>
      </c>
      <c r="J108">
        <f t="shared" si="31"/>
        <v>0.70157457696269088</v>
      </c>
      <c r="K108">
        <f t="shared" si="32"/>
        <v>11.146816578485572</v>
      </c>
      <c r="L108">
        <f t="shared" si="33"/>
        <v>678.10599999999999</v>
      </c>
      <c r="M108">
        <f t="shared" si="34"/>
        <v>275.82621247558632</v>
      </c>
      <c r="N108">
        <f t="shared" si="35"/>
        <v>27.34685959234114</v>
      </c>
      <c r="O108">
        <f t="shared" si="36"/>
        <v>67.230990863007406</v>
      </c>
      <c r="P108">
        <f t="shared" si="37"/>
        <v>4.6124632577696612E-2</v>
      </c>
      <c r="Q108">
        <f t="shared" si="38"/>
        <v>2.1805710564922194</v>
      </c>
      <c r="R108">
        <f t="shared" si="39"/>
        <v>4.5589391672345936E-2</v>
      </c>
      <c r="S108">
        <f t="shared" si="40"/>
        <v>2.8540941475957461E-2</v>
      </c>
      <c r="T108">
        <f t="shared" si="41"/>
        <v>276.11384778365692</v>
      </c>
      <c r="U108">
        <f t="shared" si="42"/>
        <v>27.60413359311201</v>
      </c>
      <c r="V108">
        <f t="shared" si="43"/>
        <v>27.60413359311201</v>
      </c>
      <c r="W108">
        <f t="shared" si="44"/>
        <v>3.7081403490206757</v>
      </c>
      <c r="X108">
        <f t="shared" si="45"/>
        <v>67.198697748863523</v>
      </c>
      <c r="Y108">
        <f t="shared" si="46"/>
        <v>2.2280714393711198</v>
      </c>
      <c r="Z108">
        <f t="shared" si="47"/>
        <v>3.315646752111058</v>
      </c>
      <c r="AA108">
        <f t="shared" si="48"/>
        <v>1.4800689096495558</v>
      </c>
      <c r="AB108">
        <f t="shared" si="49"/>
        <v>-30.939438844054667</v>
      </c>
      <c r="AC108">
        <f t="shared" si="50"/>
        <v>-223.35419219164402</v>
      </c>
      <c r="AD108">
        <f t="shared" si="51"/>
        <v>-22.029284963518368</v>
      </c>
      <c r="AE108">
        <f t="shared" si="52"/>
        <v>-0.20906821556013711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52694.367377772396</v>
      </c>
      <c r="AK108">
        <f t="shared" si="56"/>
        <v>1799.99</v>
      </c>
      <c r="AL108">
        <f t="shared" si="57"/>
        <v>1499.1059953870902</v>
      </c>
      <c r="AM108">
        <f t="shared" si="58"/>
        <v>0.83284129100000004</v>
      </c>
      <c r="AN108">
        <f t="shared" si="59"/>
        <v>0.15339743431</v>
      </c>
      <c r="AO108">
        <v>31.5</v>
      </c>
      <c r="AP108">
        <v>0.5</v>
      </c>
      <c r="AQ108" t="s">
        <v>331</v>
      </c>
      <c r="AR108">
        <v>2</v>
      </c>
      <c r="AS108">
        <v>1690230605</v>
      </c>
      <c r="AT108">
        <v>678.10599999999999</v>
      </c>
      <c r="AU108">
        <v>800.077</v>
      </c>
      <c r="AV108">
        <v>22.472799999999999</v>
      </c>
      <c r="AW108">
        <v>15.275700000000001</v>
      </c>
      <c r="AX108">
        <v>678.22699999999998</v>
      </c>
      <c r="AY108">
        <v>22.2941</v>
      </c>
      <c r="AZ108">
        <v>300.16199999999998</v>
      </c>
      <c r="BA108">
        <v>99.045299999999997</v>
      </c>
      <c r="BB108">
        <v>9.9952899999999997E-2</v>
      </c>
      <c r="BC108">
        <v>25.7042</v>
      </c>
      <c r="BD108">
        <v>26.954599999999999</v>
      </c>
      <c r="BE108">
        <v>27.555199999999999</v>
      </c>
      <c r="BF108">
        <v>0</v>
      </c>
      <c r="BG108">
        <v>0</v>
      </c>
      <c r="BH108">
        <v>10018.799999999999</v>
      </c>
      <c r="BI108">
        <v>1058.1199999999999</v>
      </c>
      <c r="BJ108">
        <v>1.4016500000000001</v>
      </c>
      <c r="BK108">
        <v>-121.971</v>
      </c>
      <c r="BL108">
        <v>693.69500000000005</v>
      </c>
      <c r="BM108">
        <v>812.48800000000006</v>
      </c>
      <c r="BN108">
        <v>7.1970499999999999</v>
      </c>
      <c r="BO108">
        <v>800.077</v>
      </c>
      <c r="BP108">
        <v>15.275700000000001</v>
      </c>
      <c r="BQ108">
        <v>2.2258200000000001</v>
      </c>
      <c r="BR108">
        <v>1.5129900000000001</v>
      </c>
      <c r="BS108">
        <v>19.1494</v>
      </c>
      <c r="BT108">
        <v>13.1</v>
      </c>
      <c r="BU108">
        <v>1799.99</v>
      </c>
      <c r="BV108">
        <v>0.91000700000000001</v>
      </c>
      <c r="BW108">
        <v>3.3993200000000001E-2</v>
      </c>
      <c r="BX108">
        <v>2.2000800000000001E-2</v>
      </c>
      <c r="BY108">
        <v>3.3999300000000003E-2</v>
      </c>
      <c r="BZ108">
        <v>26</v>
      </c>
      <c r="CA108">
        <v>33528.300000000003</v>
      </c>
      <c r="CB108">
        <v>1690229084.0999999</v>
      </c>
      <c r="CC108" t="s">
        <v>332</v>
      </c>
      <c r="CD108">
        <v>1690229084.0999999</v>
      </c>
      <c r="CE108">
        <v>1690229076.5999999</v>
      </c>
      <c r="CF108">
        <v>13</v>
      </c>
      <c r="CG108">
        <v>0.23300000000000001</v>
      </c>
      <c r="CH108">
        <v>-0.13100000000000001</v>
      </c>
      <c r="CI108">
        <v>-0.20599999999999999</v>
      </c>
      <c r="CJ108">
        <v>8.7999999999999995E-2</v>
      </c>
      <c r="CK108">
        <v>799</v>
      </c>
      <c r="CL108">
        <v>16</v>
      </c>
      <c r="CM108">
        <v>0.04</v>
      </c>
      <c r="CN108">
        <v>0.04</v>
      </c>
      <c r="CO108">
        <v>-118.32825</v>
      </c>
      <c r="CP108">
        <v>-19.483744840525521</v>
      </c>
      <c r="CQ108">
        <v>1.8747088273916019</v>
      </c>
      <c r="CR108">
        <v>-1</v>
      </c>
      <c r="CS108">
        <v>6.9919607499999996</v>
      </c>
      <c r="CT108">
        <v>0.70446337711067963</v>
      </c>
      <c r="CU108">
        <v>7.1659660492759111E-2</v>
      </c>
      <c r="CV108">
        <v>-1</v>
      </c>
      <c r="CW108">
        <v>0</v>
      </c>
      <c r="CX108">
        <v>0</v>
      </c>
      <c r="CY108" t="s">
        <v>333</v>
      </c>
      <c r="CZ108">
        <v>2.3642699999999999</v>
      </c>
      <c r="DA108">
        <v>2.7137600000000002</v>
      </c>
      <c r="DB108">
        <v>0.131101</v>
      </c>
      <c r="DC108">
        <v>0.14618200000000001</v>
      </c>
      <c r="DD108">
        <v>0.108672</v>
      </c>
      <c r="DE108">
        <v>8.1221500000000002E-2</v>
      </c>
      <c r="DF108">
        <v>31728.5</v>
      </c>
      <c r="DG108">
        <v>27522.5</v>
      </c>
      <c r="DH108">
        <v>31173.8</v>
      </c>
      <c r="DI108">
        <v>28088</v>
      </c>
      <c r="DJ108">
        <v>37726.5</v>
      </c>
      <c r="DK108">
        <v>36700.400000000001</v>
      </c>
      <c r="DL108">
        <v>44365.5</v>
      </c>
      <c r="DM108">
        <v>42577.3</v>
      </c>
      <c r="DN108">
        <v>1.4757</v>
      </c>
      <c r="DO108">
        <v>2.0488300000000002</v>
      </c>
      <c r="DP108">
        <v>0.136659</v>
      </c>
      <c r="DQ108">
        <v>0.18437999999999999</v>
      </c>
      <c r="DR108">
        <v>24.715399999999999</v>
      </c>
      <c r="DS108">
        <v>24.5351</v>
      </c>
      <c r="DT108">
        <v>56.3</v>
      </c>
      <c r="DU108">
        <v>29.2</v>
      </c>
      <c r="DV108">
        <v>23.125699999999998</v>
      </c>
      <c r="DW108">
        <v>61.209800000000001</v>
      </c>
      <c r="DX108">
        <v>36.25</v>
      </c>
      <c r="DY108">
        <v>1</v>
      </c>
      <c r="DZ108">
        <v>-8.0965400000000007E-2</v>
      </c>
      <c r="EA108">
        <v>0.32103999999999999</v>
      </c>
      <c r="EB108">
        <v>20.189599999999999</v>
      </c>
      <c r="EC108">
        <v>5.2404999999999999</v>
      </c>
      <c r="ED108">
        <v>12.039899999999999</v>
      </c>
      <c r="EE108">
        <v>5.0167999999999999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1.8646400000000001</v>
      </c>
      <c r="EM108">
        <v>1.8691899999999999</v>
      </c>
      <c r="EN108">
        <v>1.8672200000000001</v>
      </c>
      <c r="EO108">
        <v>1.8633999999999999</v>
      </c>
      <c r="EP108">
        <v>1.8644700000000001</v>
      </c>
      <c r="EQ108">
        <v>1.8701399999999999</v>
      </c>
      <c r="ER108">
        <v>1.86938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-0.121</v>
      </c>
      <c r="FG108">
        <v>0.1787</v>
      </c>
      <c r="FH108">
        <v>0.3448811944559278</v>
      </c>
      <c r="FI108">
        <v>-6.1462078757559423E-4</v>
      </c>
      <c r="FJ108">
        <v>-1.8861989874597051E-7</v>
      </c>
      <c r="FK108">
        <v>1.1980462299894961E-10</v>
      </c>
      <c r="FL108">
        <v>0.17862261546663211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25.3</v>
      </c>
      <c r="FU108">
        <v>25.5</v>
      </c>
      <c r="FV108">
        <v>1.78467</v>
      </c>
      <c r="FW108">
        <v>2.5842299999999998</v>
      </c>
      <c r="FX108">
        <v>1.5490699999999999</v>
      </c>
      <c r="FY108">
        <v>2.3290999999999999</v>
      </c>
      <c r="FZ108">
        <v>1.50146</v>
      </c>
      <c r="GA108">
        <v>2.3889200000000002</v>
      </c>
      <c r="GB108">
        <v>33.986499999999999</v>
      </c>
      <c r="GC108">
        <v>23.991199999999999</v>
      </c>
      <c r="GD108">
        <v>19</v>
      </c>
      <c r="GE108">
        <v>283.358</v>
      </c>
      <c r="GF108">
        <v>595.41200000000003</v>
      </c>
      <c r="GG108">
        <v>23.441199999999998</v>
      </c>
      <c r="GH108">
        <v>26.340399999999999</v>
      </c>
      <c r="GI108">
        <v>29.9998</v>
      </c>
      <c r="GJ108">
        <v>26.507999999999999</v>
      </c>
      <c r="GK108">
        <v>26.503299999999999</v>
      </c>
      <c r="GL108">
        <v>35.671100000000003</v>
      </c>
      <c r="GM108">
        <v>41.210700000000003</v>
      </c>
      <c r="GN108">
        <v>91.718999999999994</v>
      </c>
      <c r="GO108">
        <v>23.463999999999999</v>
      </c>
      <c r="GP108">
        <v>800</v>
      </c>
      <c r="GQ108">
        <v>15.1732</v>
      </c>
      <c r="GR108">
        <v>99.745800000000003</v>
      </c>
      <c r="GS108">
        <v>99.597999999999999</v>
      </c>
    </row>
    <row r="109" spans="1:201" x14ac:dyDescent="0.25">
      <c r="A109">
        <v>93</v>
      </c>
      <c r="B109">
        <v>1690230615</v>
      </c>
      <c r="C109">
        <v>1109.900000095367</v>
      </c>
      <c r="D109" t="s">
        <v>519</v>
      </c>
      <c r="E109" t="s">
        <v>520</v>
      </c>
      <c r="F109" t="s">
        <v>330</v>
      </c>
      <c r="H109">
        <v>1690230615</v>
      </c>
      <c r="I109">
        <f t="shared" si="30"/>
        <v>7.1553991676910796E-4</v>
      </c>
      <c r="J109">
        <f t="shared" si="31"/>
        <v>0.715539916769108</v>
      </c>
      <c r="K109">
        <f t="shared" si="32"/>
        <v>11.436844892989027</v>
      </c>
      <c r="L109">
        <f t="shared" si="33"/>
        <v>674.93799999999999</v>
      </c>
      <c r="M109">
        <f t="shared" si="34"/>
        <v>270.0933827309629</v>
      </c>
      <c r="N109">
        <f t="shared" si="35"/>
        <v>26.778933762490723</v>
      </c>
      <c r="O109">
        <f t="shared" si="36"/>
        <v>66.918040764409994</v>
      </c>
      <c r="P109">
        <f t="shared" si="37"/>
        <v>4.7014092054369752E-2</v>
      </c>
      <c r="Q109">
        <f t="shared" si="38"/>
        <v>2.1758825370431945</v>
      </c>
      <c r="R109">
        <f t="shared" si="39"/>
        <v>4.6456960688028036E-2</v>
      </c>
      <c r="S109">
        <f t="shared" si="40"/>
        <v>2.9085106307924082E-2</v>
      </c>
      <c r="T109">
        <f t="shared" si="41"/>
        <v>276.11528259599999</v>
      </c>
      <c r="U109">
        <f t="shared" si="42"/>
        <v>27.620462038076667</v>
      </c>
      <c r="V109">
        <f t="shared" si="43"/>
        <v>27.620462038076667</v>
      </c>
      <c r="W109">
        <f t="shared" si="44"/>
        <v>3.711681987210623</v>
      </c>
      <c r="X109">
        <f t="shared" si="45"/>
        <v>67.19835057093205</v>
      </c>
      <c r="Y109">
        <f t="shared" si="46"/>
        <v>2.2303601012474998</v>
      </c>
      <c r="Z109">
        <f t="shared" si="47"/>
        <v>3.3190697127204269</v>
      </c>
      <c r="AA109">
        <f t="shared" si="48"/>
        <v>1.4813218859631232</v>
      </c>
      <c r="AB109">
        <f t="shared" si="49"/>
        <v>-31.55531032951766</v>
      </c>
      <c r="AC109">
        <f t="shared" si="50"/>
        <v>-222.74825077498105</v>
      </c>
      <c r="AD109">
        <f t="shared" si="51"/>
        <v>-22.020577726165442</v>
      </c>
      <c r="AE109">
        <f t="shared" si="52"/>
        <v>-0.20885623466415382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52496.409321176936</v>
      </c>
      <c r="AK109">
        <f t="shared" si="56"/>
        <v>1800</v>
      </c>
      <c r="AL109">
        <f t="shared" si="57"/>
        <v>1499.1148926000001</v>
      </c>
      <c r="AM109">
        <f t="shared" si="58"/>
        <v>0.83284160699999998</v>
      </c>
      <c r="AN109">
        <f t="shared" si="59"/>
        <v>0.15339737921999999</v>
      </c>
      <c r="AO109">
        <v>31.5</v>
      </c>
      <c r="AP109">
        <v>0.5</v>
      </c>
      <c r="AQ109" t="s">
        <v>331</v>
      </c>
      <c r="AR109">
        <v>2</v>
      </c>
      <c r="AS109">
        <v>1690230615</v>
      </c>
      <c r="AT109">
        <v>674.93799999999999</v>
      </c>
      <c r="AU109">
        <v>800.04200000000003</v>
      </c>
      <c r="AV109">
        <v>22.4955</v>
      </c>
      <c r="AW109">
        <v>15.154500000000001</v>
      </c>
      <c r="AX109">
        <v>675.05799999999999</v>
      </c>
      <c r="AY109">
        <v>22.3169</v>
      </c>
      <c r="AZ109">
        <v>300.12900000000002</v>
      </c>
      <c r="BA109">
        <v>99.046899999999994</v>
      </c>
      <c r="BB109">
        <v>0.100045</v>
      </c>
      <c r="BC109">
        <v>25.721599999999999</v>
      </c>
      <c r="BD109">
        <v>26.998699999999999</v>
      </c>
      <c r="BE109">
        <v>27.5458</v>
      </c>
      <c r="BF109">
        <v>0</v>
      </c>
      <c r="BG109">
        <v>0</v>
      </c>
      <c r="BH109">
        <v>9980</v>
      </c>
      <c r="BI109">
        <v>1058.2</v>
      </c>
      <c r="BJ109">
        <v>1.4016500000000001</v>
      </c>
      <c r="BK109">
        <v>-125.10299999999999</v>
      </c>
      <c r="BL109">
        <v>690.471</v>
      </c>
      <c r="BM109">
        <v>812.35299999999995</v>
      </c>
      <c r="BN109">
        <v>7.3409899999999997</v>
      </c>
      <c r="BO109">
        <v>800.04200000000003</v>
      </c>
      <c r="BP109">
        <v>15.154500000000001</v>
      </c>
      <c r="BQ109">
        <v>2.22811</v>
      </c>
      <c r="BR109">
        <v>1.50101</v>
      </c>
      <c r="BS109">
        <v>19.165900000000001</v>
      </c>
      <c r="BT109">
        <v>12.9785</v>
      </c>
      <c r="BU109">
        <v>1800</v>
      </c>
      <c r="BV109">
        <v>0.91000999999999999</v>
      </c>
      <c r="BW109">
        <v>3.3992099999999997E-2</v>
      </c>
      <c r="BX109">
        <v>2.2000100000000002E-2</v>
      </c>
      <c r="BY109">
        <v>3.3998199999999999E-2</v>
      </c>
      <c r="BZ109">
        <v>26</v>
      </c>
      <c r="CA109">
        <v>33528.400000000001</v>
      </c>
      <c r="CB109">
        <v>1690229084.0999999</v>
      </c>
      <c r="CC109" t="s">
        <v>332</v>
      </c>
      <c r="CD109">
        <v>1690229084.0999999</v>
      </c>
      <c r="CE109">
        <v>1690229076.5999999</v>
      </c>
      <c r="CF109">
        <v>13</v>
      </c>
      <c r="CG109">
        <v>0.23300000000000001</v>
      </c>
      <c r="CH109">
        <v>-0.13100000000000001</v>
      </c>
      <c r="CI109">
        <v>-0.20599999999999999</v>
      </c>
      <c r="CJ109">
        <v>8.7999999999999995E-2</v>
      </c>
      <c r="CK109">
        <v>799</v>
      </c>
      <c r="CL109">
        <v>16</v>
      </c>
      <c r="CM109">
        <v>0.04</v>
      </c>
      <c r="CN109">
        <v>0.04</v>
      </c>
      <c r="CO109">
        <v>-121.54707500000001</v>
      </c>
      <c r="CP109">
        <v>-19.205527204502509</v>
      </c>
      <c r="CQ109">
        <v>1.84809287357941</v>
      </c>
      <c r="CR109">
        <v>-1</v>
      </c>
      <c r="CS109">
        <v>7.140830750000001</v>
      </c>
      <c r="CT109">
        <v>1.1028383864915521</v>
      </c>
      <c r="CU109">
        <v>0.1074492029841892</v>
      </c>
      <c r="CV109">
        <v>-1</v>
      </c>
      <c r="CW109">
        <v>0</v>
      </c>
      <c r="CX109">
        <v>0</v>
      </c>
      <c r="CY109" t="s">
        <v>333</v>
      </c>
      <c r="CZ109">
        <v>2.36416</v>
      </c>
      <c r="DA109">
        <v>2.7138200000000001</v>
      </c>
      <c r="DB109">
        <v>0.13068199999999999</v>
      </c>
      <c r="DC109">
        <v>0.146179</v>
      </c>
      <c r="DD109">
        <v>0.108752</v>
      </c>
      <c r="DE109">
        <v>8.0751299999999998E-2</v>
      </c>
      <c r="DF109">
        <v>31743.3</v>
      </c>
      <c r="DG109">
        <v>27523.4</v>
      </c>
      <c r="DH109">
        <v>31173.3</v>
      </c>
      <c r="DI109">
        <v>28088.799999999999</v>
      </c>
      <c r="DJ109">
        <v>37722.5</v>
      </c>
      <c r="DK109">
        <v>36720.199999999997</v>
      </c>
      <c r="DL109">
        <v>44364.800000000003</v>
      </c>
      <c r="DM109">
        <v>42578.5</v>
      </c>
      <c r="DN109">
        <v>1.4757</v>
      </c>
      <c r="DO109">
        <v>2.0486</v>
      </c>
      <c r="DP109">
        <v>0.13908699999999999</v>
      </c>
      <c r="DQ109">
        <v>0.18348500000000001</v>
      </c>
      <c r="DR109">
        <v>24.719799999999999</v>
      </c>
      <c r="DS109">
        <v>24.540299999999998</v>
      </c>
      <c r="DT109">
        <v>56.2</v>
      </c>
      <c r="DU109">
        <v>29.2</v>
      </c>
      <c r="DV109">
        <v>23.083500000000001</v>
      </c>
      <c r="DW109">
        <v>61.769799999999996</v>
      </c>
      <c r="DX109">
        <v>35.789299999999997</v>
      </c>
      <c r="DY109">
        <v>1</v>
      </c>
      <c r="DZ109">
        <v>-8.1029000000000004E-2</v>
      </c>
      <c r="EA109">
        <v>0.33189299999999999</v>
      </c>
      <c r="EB109">
        <v>20.189299999999999</v>
      </c>
      <c r="EC109">
        <v>5.2404999999999999</v>
      </c>
      <c r="ED109">
        <v>12.039899999999999</v>
      </c>
      <c r="EE109">
        <v>5.0164499999999999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1.8646400000000001</v>
      </c>
      <c r="EM109">
        <v>1.8691599999999999</v>
      </c>
      <c r="EN109">
        <v>1.8672299999999999</v>
      </c>
      <c r="EO109">
        <v>1.8633999999999999</v>
      </c>
      <c r="EP109">
        <v>1.8644700000000001</v>
      </c>
      <c r="EQ109">
        <v>1.8701700000000001</v>
      </c>
      <c r="ER109">
        <v>1.8693900000000001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-0.12</v>
      </c>
      <c r="FG109">
        <v>0.17860000000000001</v>
      </c>
      <c r="FH109">
        <v>0.3448811944559278</v>
      </c>
      <c r="FI109">
        <v>-6.1462078757559423E-4</v>
      </c>
      <c r="FJ109">
        <v>-1.8861989874597051E-7</v>
      </c>
      <c r="FK109">
        <v>1.1980462299894961E-10</v>
      </c>
      <c r="FL109">
        <v>0.17862261546663211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25.5</v>
      </c>
      <c r="FU109">
        <v>25.6</v>
      </c>
      <c r="FV109">
        <v>1.78345</v>
      </c>
      <c r="FW109">
        <v>2.5866699999999998</v>
      </c>
      <c r="FX109">
        <v>1.5490699999999999</v>
      </c>
      <c r="FY109">
        <v>2.3290999999999999</v>
      </c>
      <c r="FZ109">
        <v>1.50146</v>
      </c>
      <c r="GA109">
        <v>2.2863799999999999</v>
      </c>
      <c r="GB109">
        <v>33.986499999999999</v>
      </c>
      <c r="GC109">
        <v>23.982399999999998</v>
      </c>
      <c r="GD109">
        <v>19</v>
      </c>
      <c r="GE109">
        <v>283.34899999999999</v>
      </c>
      <c r="GF109">
        <v>595.18700000000001</v>
      </c>
      <c r="GG109">
        <v>23.487500000000001</v>
      </c>
      <c r="GH109">
        <v>26.337499999999999</v>
      </c>
      <c r="GI109">
        <v>30</v>
      </c>
      <c r="GJ109">
        <v>26.505800000000001</v>
      </c>
      <c r="GK109">
        <v>26.500299999999999</v>
      </c>
      <c r="GL109">
        <v>35.666800000000002</v>
      </c>
      <c r="GM109">
        <v>41.803100000000001</v>
      </c>
      <c r="GN109">
        <v>91.3279</v>
      </c>
      <c r="GO109">
        <v>23.484400000000001</v>
      </c>
      <c r="GP109">
        <v>800</v>
      </c>
      <c r="GQ109">
        <v>15.0213</v>
      </c>
      <c r="GR109">
        <v>99.744299999999996</v>
      </c>
      <c r="GS109">
        <v>99.600700000000003</v>
      </c>
    </row>
    <row r="110" spans="1:201" x14ac:dyDescent="0.25">
      <c r="A110">
        <v>94</v>
      </c>
      <c r="B110">
        <v>1690230625</v>
      </c>
      <c r="C110">
        <v>1119.900000095367</v>
      </c>
      <c r="D110" t="s">
        <v>521</v>
      </c>
      <c r="E110" t="s">
        <v>522</v>
      </c>
      <c r="F110" t="s">
        <v>330</v>
      </c>
      <c r="H110">
        <v>1690230625</v>
      </c>
      <c r="I110">
        <f t="shared" si="30"/>
        <v>7.3258526640681003E-4</v>
      </c>
      <c r="J110">
        <f t="shared" si="31"/>
        <v>0.73258526640680999</v>
      </c>
      <c r="K110">
        <f t="shared" si="32"/>
        <v>11.73840141395139</v>
      </c>
      <c r="L110">
        <f t="shared" si="33"/>
        <v>671.77800000000002</v>
      </c>
      <c r="M110">
        <f t="shared" si="34"/>
        <v>266.32364720463295</v>
      </c>
      <c r="N110">
        <f t="shared" si="35"/>
        <v>26.407210447938141</v>
      </c>
      <c r="O110">
        <f t="shared" si="36"/>
        <v>66.609868130351998</v>
      </c>
      <c r="P110">
        <f t="shared" si="37"/>
        <v>4.8179339059817701E-2</v>
      </c>
      <c r="Q110">
        <f t="shared" si="38"/>
        <v>2.1775694577505922</v>
      </c>
      <c r="R110">
        <f t="shared" si="39"/>
        <v>4.7594880866540824E-2</v>
      </c>
      <c r="S110">
        <f t="shared" si="40"/>
        <v>2.979872099835669E-2</v>
      </c>
      <c r="T110">
        <f t="shared" si="41"/>
        <v>276.11491127400001</v>
      </c>
      <c r="U110">
        <f t="shared" si="42"/>
        <v>27.621472982437254</v>
      </c>
      <c r="V110">
        <f t="shared" si="43"/>
        <v>27.621472982437254</v>
      </c>
      <c r="W110">
        <f t="shared" si="44"/>
        <v>3.711901357948904</v>
      </c>
      <c r="X110">
        <f t="shared" si="45"/>
        <v>67.198331200430033</v>
      </c>
      <c r="Y110">
        <f t="shared" si="46"/>
        <v>2.2314441665447999</v>
      </c>
      <c r="Z110">
        <f t="shared" si="47"/>
        <v>3.3206839019396961</v>
      </c>
      <c r="AA110">
        <f t="shared" si="48"/>
        <v>1.480457191404104</v>
      </c>
      <c r="AB110">
        <f t="shared" si="49"/>
        <v>-32.307010248540323</v>
      </c>
      <c r="AC110">
        <f t="shared" si="50"/>
        <v>-222.07696883346264</v>
      </c>
      <c r="AD110">
        <f t="shared" si="51"/>
        <v>-21.938218002483985</v>
      </c>
      <c r="AE110">
        <f t="shared" si="52"/>
        <v>-0.20728581048692263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52565.21273471797</v>
      </c>
      <c r="AK110">
        <f t="shared" si="56"/>
        <v>1800</v>
      </c>
      <c r="AL110">
        <f t="shared" si="57"/>
        <v>1499.1139494000001</v>
      </c>
      <c r="AM110">
        <f t="shared" si="58"/>
        <v>0.83284108300000004</v>
      </c>
      <c r="AN110">
        <f t="shared" si="59"/>
        <v>0.15339717293000002</v>
      </c>
      <c r="AO110">
        <v>31.5</v>
      </c>
      <c r="AP110">
        <v>0.5</v>
      </c>
      <c r="AQ110" t="s">
        <v>331</v>
      </c>
      <c r="AR110">
        <v>2</v>
      </c>
      <c r="AS110">
        <v>1690230625</v>
      </c>
      <c r="AT110">
        <v>671.77800000000002</v>
      </c>
      <c r="AU110">
        <v>800.08699999999999</v>
      </c>
      <c r="AV110">
        <v>22.5047</v>
      </c>
      <c r="AW110">
        <v>14.9922</v>
      </c>
      <c r="AX110">
        <v>671.89499999999998</v>
      </c>
      <c r="AY110">
        <v>22.3261</v>
      </c>
      <c r="AZ110">
        <v>300.26100000000002</v>
      </c>
      <c r="BA110">
        <v>99.054500000000004</v>
      </c>
      <c r="BB110">
        <v>0.10008400000000001</v>
      </c>
      <c r="BC110">
        <v>25.729800000000001</v>
      </c>
      <c r="BD110">
        <v>27.020800000000001</v>
      </c>
      <c r="BE110">
        <v>27.598700000000001</v>
      </c>
      <c r="BF110">
        <v>0</v>
      </c>
      <c r="BG110">
        <v>0</v>
      </c>
      <c r="BH110">
        <v>9993.1200000000008</v>
      </c>
      <c r="BI110">
        <v>1058.42</v>
      </c>
      <c r="BJ110">
        <v>1.4016500000000001</v>
      </c>
      <c r="BK110">
        <v>-128.309</v>
      </c>
      <c r="BL110">
        <v>687.24400000000003</v>
      </c>
      <c r="BM110">
        <v>812.26499999999999</v>
      </c>
      <c r="BN110">
        <v>7.5125299999999999</v>
      </c>
      <c r="BO110">
        <v>800.08699999999999</v>
      </c>
      <c r="BP110">
        <v>14.9922</v>
      </c>
      <c r="BQ110">
        <v>2.2292000000000001</v>
      </c>
      <c r="BR110">
        <v>1.48505</v>
      </c>
      <c r="BS110">
        <v>19.1737</v>
      </c>
      <c r="BT110">
        <v>12.815099999999999</v>
      </c>
      <c r="BU110">
        <v>1800</v>
      </c>
      <c r="BV110">
        <v>0.91001200000000004</v>
      </c>
      <c r="BW110">
        <v>3.3991E-2</v>
      </c>
      <c r="BX110">
        <v>2.1999399999999999E-2</v>
      </c>
      <c r="BY110">
        <v>3.3997100000000002E-2</v>
      </c>
      <c r="BZ110">
        <v>26</v>
      </c>
      <c r="CA110">
        <v>33528.400000000001</v>
      </c>
      <c r="CB110">
        <v>1690229084.0999999</v>
      </c>
      <c r="CC110" t="s">
        <v>332</v>
      </c>
      <c r="CD110">
        <v>1690229084.0999999</v>
      </c>
      <c r="CE110">
        <v>1690229076.5999999</v>
      </c>
      <c r="CF110">
        <v>13</v>
      </c>
      <c r="CG110">
        <v>0.23300000000000001</v>
      </c>
      <c r="CH110">
        <v>-0.13100000000000001</v>
      </c>
      <c r="CI110">
        <v>-0.20599999999999999</v>
      </c>
      <c r="CJ110">
        <v>8.7999999999999995E-2</v>
      </c>
      <c r="CK110">
        <v>799</v>
      </c>
      <c r="CL110">
        <v>16</v>
      </c>
      <c r="CM110">
        <v>0.04</v>
      </c>
      <c r="CN110">
        <v>0.04</v>
      </c>
      <c r="CO110">
        <v>-124.7244</v>
      </c>
      <c r="CP110">
        <v>-18.979902439024091</v>
      </c>
      <c r="CQ110">
        <v>1.8261474310690251</v>
      </c>
      <c r="CR110">
        <v>-1</v>
      </c>
      <c r="CS110">
        <v>7.3255594999999998</v>
      </c>
      <c r="CT110">
        <v>1.0398799249530679</v>
      </c>
      <c r="CU110">
        <v>0.1008465128536927</v>
      </c>
      <c r="CV110">
        <v>-1</v>
      </c>
      <c r="CW110">
        <v>0</v>
      </c>
      <c r="CX110">
        <v>0</v>
      </c>
      <c r="CY110" t="s">
        <v>333</v>
      </c>
      <c r="CZ110">
        <v>2.3645900000000002</v>
      </c>
      <c r="DA110">
        <v>2.71387</v>
      </c>
      <c r="DB110">
        <v>0.130271</v>
      </c>
      <c r="DC110">
        <v>0.14619299999999999</v>
      </c>
      <c r="DD110">
        <v>0.108793</v>
      </c>
      <c r="DE110">
        <v>8.0123299999999995E-2</v>
      </c>
      <c r="DF110">
        <v>31758.3</v>
      </c>
      <c r="DG110">
        <v>27522.7</v>
      </c>
      <c r="DH110">
        <v>31173.3</v>
      </c>
      <c r="DI110">
        <v>28088.5</v>
      </c>
      <c r="DJ110">
        <v>37720.6</v>
      </c>
      <c r="DK110">
        <v>36745.1</v>
      </c>
      <c r="DL110">
        <v>44364.800000000003</v>
      </c>
      <c r="DM110">
        <v>42578.2</v>
      </c>
      <c r="DN110">
        <v>1.4759</v>
      </c>
      <c r="DO110">
        <v>2.0482200000000002</v>
      </c>
      <c r="DP110">
        <v>0.14022699999999999</v>
      </c>
      <c r="DQ110">
        <v>0.18640999999999999</v>
      </c>
      <c r="DR110">
        <v>24.723299999999998</v>
      </c>
      <c r="DS110">
        <v>24.545500000000001</v>
      </c>
      <c r="DT110">
        <v>56.2</v>
      </c>
      <c r="DU110">
        <v>29.2</v>
      </c>
      <c r="DV110">
        <v>23.083600000000001</v>
      </c>
      <c r="DW110">
        <v>61.729799999999997</v>
      </c>
      <c r="DX110">
        <v>36.426299999999998</v>
      </c>
      <c r="DY110">
        <v>1</v>
      </c>
      <c r="DZ110">
        <v>-8.0487799999999998E-2</v>
      </c>
      <c r="EA110">
        <v>1.24085</v>
      </c>
      <c r="EB110">
        <v>20.183399999999999</v>
      </c>
      <c r="EC110">
        <v>5.2409499999999998</v>
      </c>
      <c r="ED110">
        <v>12.039899999999999</v>
      </c>
      <c r="EE110">
        <v>5.0167000000000002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1.8646400000000001</v>
      </c>
      <c r="EM110">
        <v>1.8691800000000001</v>
      </c>
      <c r="EN110">
        <v>1.86724</v>
      </c>
      <c r="EO110">
        <v>1.8633999999999999</v>
      </c>
      <c r="EP110">
        <v>1.8644700000000001</v>
      </c>
      <c r="EQ110">
        <v>1.8701300000000001</v>
      </c>
      <c r="ER110">
        <v>1.86938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-0.11700000000000001</v>
      </c>
      <c r="FG110">
        <v>0.17860000000000001</v>
      </c>
      <c r="FH110">
        <v>0.3448811944559278</v>
      </c>
      <c r="FI110">
        <v>-6.1462078757559423E-4</v>
      </c>
      <c r="FJ110">
        <v>-1.8861989874597051E-7</v>
      </c>
      <c r="FK110">
        <v>1.1980462299894961E-10</v>
      </c>
      <c r="FL110">
        <v>0.17862261546663211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25.7</v>
      </c>
      <c r="FU110">
        <v>25.8</v>
      </c>
      <c r="FV110">
        <v>1.78345</v>
      </c>
      <c r="FW110">
        <v>2.5817899999999998</v>
      </c>
      <c r="FX110">
        <v>1.5490699999999999</v>
      </c>
      <c r="FY110">
        <v>2.3290999999999999</v>
      </c>
      <c r="FZ110">
        <v>1.50146</v>
      </c>
      <c r="GA110">
        <v>2.4060100000000002</v>
      </c>
      <c r="GB110">
        <v>33.986499999999999</v>
      </c>
      <c r="GC110">
        <v>23.982399999999998</v>
      </c>
      <c r="GD110">
        <v>19</v>
      </c>
      <c r="GE110">
        <v>283.41800000000001</v>
      </c>
      <c r="GF110">
        <v>594.83799999999997</v>
      </c>
      <c r="GG110">
        <v>23.3613</v>
      </c>
      <c r="GH110">
        <v>26.334900000000001</v>
      </c>
      <c r="GI110">
        <v>30.000399999999999</v>
      </c>
      <c r="GJ110">
        <v>26.502099999999999</v>
      </c>
      <c r="GK110">
        <v>26.497199999999999</v>
      </c>
      <c r="GL110">
        <v>35.6584</v>
      </c>
      <c r="GM110">
        <v>42.080199999999998</v>
      </c>
      <c r="GN110">
        <v>90.574100000000001</v>
      </c>
      <c r="GO110">
        <v>23.253900000000002</v>
      </c>
      <c r="GP110">
        <v>800</v>
      </c>
      <c r="GQ110">
        <v>14.88</v>
      </c>
      <c r="GR110">
        <v>99.744200000000006</v>
      </c>
      <c r="GS110">
        <v>99.599900000000005</v>
      </c>
    </row>
    <row r="111" spans="1:201" x14ac:dyDescent="0.25">
      <c r="A111">
        <v>95</v>
      </c>
      <c r="B111">
        <v>1690230635</v>
      </c>
      <c r="C111">
        <v>1129.900000095367</v>
      </c>
      <c r="D111" t="s">
        <v>523</v>
      </c>
      <c r="E111" t="s">
        <v>524</v>
      </c>
      <c r="F111" t="s">
        <v>330</v>
      </c>
      <c r="H111">
        <v>1690230635</v>
      </c>
      <c r="I111">
        <f t="shared" si="30"/>
        <v>7.4257604353144993E-4</v>
      </c>
      <c r="J111">
        <f t="shared" si="31"/>
        <v>0.7425760435314499</v>
      </c>
      <c r="K111">
        <f t="shared" si="32"/>
        <v>12.014512505034215</v>
      </c>
      <c r="L111">
        <f t="shared" si="33"/>
        <v>668.68399999999997</v>
      </c>
      <c r="M111">
        <f t="shared" si="34"/>
        <v>259.23059014625034</v>
      </c>
      <c r="N111">
        <f t="shared" si="35"/>
        <v>25.70214452031653</v>
      </c>
      <c r="O111">
        <f t="shared" si="36"/>
        <v>66.298552175987993</v>
      </c>
      <c r="P111">
        <f t="shared" si="37"/>
        <v>4.8810257662925259E-2</v>
      </c>
      <c r="Q111">
        <f t="shared" si="38"/>
        <v>2.1734603977696128</v>
      </c>
      <c r="R111">
        <f t="shared" si="39"/>
        <v>4.8209375969229799E-2</v>
      </c>
      <c r="S111">
        <f t="shared" si="40"/>
        <v>3.0184230440263339E-2</v>
      </c>
      <c r="T111">
        <f t="shared" si="41"/>
        <v>276.11517286799995</v>
      </c>
      <c r="U111">
        <f t="shared" si="42"/>
        <v>27.610625784325176</v>
      </c>
      <c r="V111">
        <f t="shared" si="43"/>
        <v>27.610625784325176</v>
      </c>
      <c r="W111">
        <f t="shared" si="44"/>
        <v>3.7095481513698818</v>
      </c>
      <c r="X111">
        <f t="shared" si="45"/>
        <v>67.139882419903017</v>
      </c>
      <c r="Y111">
        <f t="shared" si="46"/>
        <v>2.2280891780268002</v>
      </c>
      <c r="Z111">
        <f t="shared" si="47"/>
        <v>3.3185777182211793</v>
      </c>
      <c r="AA111">
        <f t="shared" si="48"/>
        <v>1.4814589733430816</v>
      </c>
      <c r="AB111">
        <f t="shared" si="49"/>
        <v>-32.747603519736941</v>
      </c>
      <c r="AC111">
        <f t="shared" si="50"/>
        <v>-221.64066295215122</v>
      </c>
      <c r="AD111">
        <f t="shared" si="51"/>
        <v>-21.934145065107575</v>
      </c>
      <c r="AE111">
        <f t="shared" si="52"/>
        <v>-0.20723866899578525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52396.34042907189</v>
      </c>
      <c r="AK111">
        <f t="shared" si="56"/>
        <v>1800</v>
      </c>
      <c r="AL111">
        <f t="shared" si="57"/>
        <v>1499.1128027999998</v>
      </c>
      <c r="AM111">
        <f t="shared" si="58"/>
        <v>0.83284044599999996</v>
      </c>
      <c r="AN111">
        <f t="shared" si="59"/>
        <v>0.15339731825999997</v>
      </c>
      <c r="AO111">
        <v>31.5</v>
      </c>
      <c r="AP111">
        <v>0.5</v>
      </c>
      <c r="AQ111" t="s">
        <v>331</v>
      </c>
      <c r="AR111">
        <v>2</v>
      </c>
      <c r="AS111">
        <v>1690230635</v>
      </c>
      <c r="AT111">
        <v>668.68399999999997</v>
      </c>
      <c r="AU111">
        <v>799.96</v>
      </c>
      <c r="AV111">
        <v>22.4724</v>
      </c>
      <c r="AW111">
        <v>14.8558</v>
      </c>
      <c r="AX111">
        <v>668.79899999999998</v>
      </c>
      <c r="AY111">
        <v>22.293800000000001</v>
      </c>
      <c r="AZ111">
        <v>300.20600000000002</v>
      </c>
      <c r="BA111">
        <v>99.047799999999995</v>
      </c>
      <c r="BB111">
        <v>0.100007</v>
      </c>
      <c r="BC111">
        <v>25.719100000000001</v>
      </c>
      <c r="BD111">
        <v>26.971900000000002</v>
      </c>
      <c r="BE111">
        <v>27.555099999999999</v>
      </c>
      <c r="BF111">
        <v>0</v>
      </c>
      <c r="BG111">
        <v>0</v>
      </c>
      <c r="BH111">
        <v>9960</v>
      </c>
      <c r="BI111">
        <v>1058.6500000000001</v>
      </c>
      <c r="BJ111">
        <v>1.4016500000000001</v>
      </c>
      <c r="BK111">
        <v>-131.27600000000001</v>
      </c>
      <c r="BL111">
        <v>684.05700000000002</v>
      </c>
      <c r="BM111">
        <v>812.02300000000002</v>
      </c>
      <c r="BN111">
        <v>7.6165599999999998</v>
      </c>
      <c r="BO111">
        <v>799.96</v>
      </c>
      <c r="BP111">
        <v>14.8558</v>
      </c>
      <c r="BQ111">
        <v>2.2258399999999998</v>
      </c>
      <c r="BR111">
        <v>1.4714400000000001</v>
      </c>
      <c r="BS111">
        <v>19.1495</v>
      </c>
      <c r="BT111">
        <v>12.6746</v>
      </c>
      <c r="BU111">
        <v>1800</v>
      </c>
      <c r="BV111">
        <v>0.91000499999999995</v>
      </c>
      <c r="BW111">
        <v>3.4000200000000001E-2</v>
      </c>
      <c r="BX111">
        <v>2.1998799999999999E-2</v>
      </c>
      <c r="BY111">
        <v>3.3996199999999997E-2</v>
      </c>
      <c r="BZ111">
        <v>26</v>
      </c>
      <c r="CA111">
        <v>33528.300000000003</v>
      </c>
      <c r="CB111">
        <v>1690229084.0999999</v>
      </c>
      <c r="CC111" t="s">
        <v>332</v>
      </c>
      <c r="CD111">
        <v>1690229084.0999999</v>
      </c>
      <c r="CE111">
        <v>1690229076.5999999</v>
      </c>
      <c r="CF111">
        <v>13</v>
      </c>
      <c r="CG111">
        <v>0.23300000000000001</v>
      </c>
      <c r="CH111">
        <v>-0.13100000000000001</v>
      </c>
      <c r="CI111">
        <v>-0.20599999999999999</v>
      </c>
      <c r="CJ111">
        <v>8.7999999999999995E-2</v>
      </c>
      <c r="CK111">
        <v>799</v>
      </c>
      <c r="CL111">
        <v>16</v>
      </c>
      <c r="CM111">
        <v>0.04</v>
      </c>
      <c r="CN111">
        <v>0.04</v>
      </c>
      <c r="CO111">
        <v>-127.86257500000001</v>
      </c>
      <c r="CP111">
        <v>-18.75085553470878</v>
      </c>
      <c r="CQ111">
        <v>1.8044464371033579</v>
      </c>
      <c r="CR111">
        <v>-1</v>
      </c>
      <c r="CS111">
        <v>7.4846655000000002</v>
      </c>
      <c r="CT111">
        <v>0.86345673545964718</v>
      </c>
      <c r="CU111">
        <v>8.4015807588512764E-2</v>
      </c>
      <c r="CV111">
        <v>-1</v>
      </c>
      <c r="CW111">
        <v>0</v>
      </c>
      <c r="CX111">
        <v>0</v>
      </c>
      <c r="CY111" t="s">
        <v>333</v>
      </c>
      <c r="CZ111">
        <v>2.36443</v>
      </c>
      <c r="DA111">
        <v>2.7137600000000002</v>
      </c>
      <c r="DB111">
        <v>0.12984899999999999</v>
      </c>
      <c r="DC111">
        <v>0.14616599999999999</v>
      </c>
      <c r="DD111">
        <v>0.10867499999999999</v>
      </c>
      <c r="DE111">
        <v>7.9583500000000001E-2</v>
      </c>
      <c r="DF111">
        <v>31773.9</v>
      </c>
      <c r="DG111">
        <v>27523.599999999999</v>
      </c>
      <c r="DH111">
        <v>31173.4</v>
      </c>
      <c r="DI111">
        <v>28088.6</v>
      </c>
      <c r="DJ111">
        <v>37725.800000000003</v>
      </c>
      <c r="DK111">
        <v>36766.9</v>
      </c>
      <c r="DL111">
        <v>44365</v>
      </c>
      <c r="DM111">
        <v>42578.400000000001</v>
      </c>
      <c r="DN111">
        <v>1.4761299999999999</v>
      </c>
      <c r="DO111">
        <v>2.0482999999999998</v>
      </c>
      <c r="DP111">
        <v>0.136934</v>
      </c>
      <c r="DQ111">
        <v>0.18340000000000001</v>
      </c>
      <c r="DR111">
        <v>24.728200000000001</v>
      </c>
      <c r="DS111">
        <v>24.551100000000002</v>
      </c>
      <c r="DT111">
        <v>56.1</v>
      </c>
      <c r="DU111">
        <v>29.2</v>
      </c>
      <c r="DV111">
        <v>23.048999999999999</v>
      </c>
      <c r="DW111">
        <v>62.079799999999999</v>
      </c>
      <c r="DX111">
        <v>35.865400000000001</v>
      </c>
      <c r="DY111">
        <v>1</v>
      </c>
      <c r="DZ111">
        <v>-8.0810499999999993E-2</v>
      </c>
      <c r="EA111">
        <v>0.74738000000000004</v>
      </c>
      <c r="EB111">
        <v>20.187000000000001</v>
      </c>
      <c r="EC111">
        <v>5.2398999999999996</v>
      </c>
      <c r="ED111">
        <v>12.039899999999999</v>
      </c>
      <c r="EE111">
        <v>5.0166500000000003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1.86463</v>
      </c>
      <c r="EM111">
        <v>1.8691899999999999</v>
      </c>
      <c r="EN111">
        <v>1.8672200000000001</v>
      </c>
      <c r="EO111">
        <v>1.8633999999999999</v>
      </c>
      <c r="EP111">
        <v>1.8644799999999999</v>
      </c>
      <c r="EQ111">
        <v>1.8701399999999999</v>
      </c>
      <c r="ER111">
        <v>1.86941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-0.115</v>
      </c>
      <c r="FG111">
        <v>0.17860000000000001</v>
      </c>
      <c r="FH111">
        <v>0.3448811944559278</v>
      </c>
      <c r="FI111">
        <v>-6.1462078757559423E-4</v>
      </c>
      <c r="FJ111">
        <v>-1.8861989874597051E-7</v>
      </c>
      <c r="FK111">
        <v>1.1980462299894961E-10</v>
      </c>
      <c r="FL111">
        <v>0.17862261546663211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25.8</v>
      </c>
      <c r="FU111">
        <v>26</v>
      </c>
      <c r="FV111">
        <v>1.78345</v>
      </c>
      <c r="FW111">
        <v>2.5915499999999998</v>
      </c>
      <c r="FX111">
        <v>1.5490699999999999</v>
      </c>
      <c r="FY111">
        <v>2.3290999999999999</v>
      </c>
      <c r="FZ111">
        <v>1.50146</v>
      </c>
      <c r="GA111">
        <v>2.2802699999999998</v>
      </c>
      <c r="GB111">
        <v>33.963900000000002</v>
      </c>
      <c r="GC111">
        <v>23.982399999999998</v>
      </c>
      <c r="GD111">
        <v>19</v>
      </c>
      <c r="GE111">
        <v>283.5</v>
      </c>
      <c r="GF111">
        <v>594.85900000000004</v>
      </c>
      <c r="GG111">
        <v>23.213899999999999</v>
      </c>
      <c r="GH111">
        <v>26.331</v>
      </c>
      <c r="GI111">
        <v>30.0001</v>
      </c>
      <c r="GJ111">
        <v>26.498699999999999</v>
      </c>
      <c r="GK111">
        <v>26.493600000000001</v>
      </c>
      <c r="GL111">
        <v>35.6601</v>
      </c>
      <c r="GM111">
        <v>42.372700000000002</v>
      </c>
      <c r="GN111">
        <v>90.1995</v>
      </c>
      <c r="GO111">
        <v>23.241900000000001</v>
      </c>
      <c r="GP111">
        <v>800</v>
      </c>
      <c r="GQ111">
        <v>14.765499999999999</v>
      </c>
      <c r="GR111">
        <v>99.744699999999995</v>
      </c>
      <c r="GS111">
        <v>99.600300000000004</v>
      </c>
    </row>
    <row r="112" spans="1:201" x14ac:dyDescent="0.25">
      <c r="A112">
        <v>96</v>
      </c>
      <c r="B112">
        <v>1690230645</v>
      </c>
      <c r="C112">
        <v>1139.900000095367</v>
      </c>
      <c r="D112" t="s">
        <v>525</v>
      </c>
      <c r="E112" t="s">
        <v>526</v>
      </c>
      <c r="F112" t="s">
        <v>330</v>
      </c>
      <c r="H112">
        <v>1690230645</v>
      </c>
      <c r="I112">
        <f t="shared" si="30"/>
        <v>7.5145043004534815E-4</v>
      </c>
      <c r="J112">
        <f t="shared" si="31"/>
        <v>0.75145043004534817</v>
      </c>
      <c r="K112">
        <f t="shared" si="32"/>
        <v>12.310783939497961</v>
      </c>
      <c r="L112">
        <f t="shared" si="33"/>
        <v>665.59900000000005</v>
      </c>
      <c r="M112">
        <f t="shared" si="34"/>
        <v>252.33157189022361</v>
      </c>
      <c r="N112">
        <f t="shared" si="35"/>
        <v>25.017465170696884</v>
      </c>
      <c r="O112">
        <f t="shared" si="36"/>
        <v>65.990948637195999</v>
      </c>
      <c r="P112">
        <f t="shared" si="37"/>
        <v>4.9526798900141007E-2</v>
      </c>
      <c r="Q112">
        <f t="shared" si="38"/>
        <v>2.179127559760909</v>
      </c>
      <c r="R112">
        <f t="shared" si="39"/>
        <v>4.8909853205555111E-2</v>
      </c>
      <c r="S112">
        <f t="shared" si="40"/>
        <v>3.0623448014963254E-2</v>
      </c>
      <c r="T112">
        <f t="shared" si="41"/>
        <v>276.115149234</v>
      </c>
      <c r="U112">
        <f t="shared" si="42"/>
        <v>27.593026974930645</v>
      </c>
      <c r="V112">
        <f t="shared" si="43"/>
        <v>27.593026974930645</v>
      </c>
      <c r="W112">
        <f t="shared" si="44"/>
        <v>3.7057330100571897</v>
      </c>
      <c r="X112">
        <f t="shared" si="45"/>
        <v>67.178940874055797</v>
      </c>
      <c r="Y112">
        <f t="shared" si="46"/>
        <v>2.2280505114103999</v>
      </c>
      <c r="Z112">
        <f t="shared" si="47"/>
        <v>3.316590708965558</v>
      </c>
      <c r="AA112">
        <f t="shared" si="48"/>
        <v>1.4776824986467898</v>
      </c>
      <c r="AB112">
        <f t="shared" si="49"/>
        <v>-33.138963964999853</v>
      </c>
      <c r="AC112">
        <f t="shared" si="50"/>
        <v>-221.33760854864701</v>
      </c>
      <c r="AD112">
        <f t="shared" si="51"/>
        <v>-21.844158172241638</v>
      </c>
      <c r="AE112">
        <f t="shared" si="52"/>
        <v>-0.20558145188849153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52633.455863152485</v>
      </c>
      <c r="AK112">
        <f t="shared" si="56"/>
        <v>1800</v>
      </c>
      <c r="AL112">
        <f t="shared" si="57"/>
        <v>1499.1107274000001</v>
      </c>
      <c r="AM112">
        <f t="shared" si="58"/>
        <v>0.83283929300000004</v>
      </c>
      <c r="AN112">
        <f t="shared" si="59"/>
        <v>0.15339730512999999</v>
      </c>
      <c r="AO112">
        <v>31.5</v>
      </c>
      <c r="AP112">
        <v>0.5</v>
      </c>
      <c r="AQ112" t="s">
        <v>331</v>
      </c>
      <c r="AR112">
        <v>2</v>
      </c>
      <c r="AS112">
        <v>1690230645</v>
      </c>
      <c r="AT112">
        <v>665.59900000000005</v>
      </c>
      <c r="AU112">
        <v>800.02300000000002</v>
      </c>
      <c r="AV112">
        <v>22.4726</v>
      </c>
      <c r="AW112">
        <v>14.764900000000001</v>
      </c>
      <c r="AX112">
        <v>665.71199999999999</v>
      </c>
      <c r="AY112">
        <v>22.294</v>
      </c>
      <c r="AZ112">
        <v>300.20299999999997</v>
      </c>
      <c r="BA112">
        <v>99.045199999999994</v>
      </c>
      <c r="BB112">
        <v>0.100004</v>
      </c>
      <c r="BC112">
        <v>25.709</v>
      </c>
      <c r="BD112">
        <v>26.992000000000001</v>
      </c>
      <c r="BE112">
        <v>27.553899999999999</v>
      </c>
      <c r="BF112">
        <v>0</v>
      </c>
      <c r="BG112">
        <v>0</v>
      </c>
      <c r="BH112">
        <v>10006.9</v>
      </c>
      <c r="BI112">
        <v>1058.72</v>
      </c>
      <c r="BJ112">
        <v>1.4016500000000001</v>
      </c>
      <c r="BK112">
        <v>-134.42400000000001</v>
      </c>
      <c r="BL112">
        <v>680.90099999999995</v>
      </c>
      <c r="BM112">
        <v>812.01199999999994</v>
      </c>
      <c r="BN112">
        <v>7.7076900000000004</v>
      </c>
      <c r="BO112">
        <v>800.02300000000002</v>
      </c>
      <c r="BP112">
        <v>14.764900000000001</v>
      </c>
      <c r="BQ112">
        <v>2.2258</v>
      </c>
      <c r="BR112">
        <v>1.4623900000000001</v>
      </c>
      <c r="BS112">
        <v>19.1492</v>
      </c>
      <c r="BT112">
        <v>12.580500000000001</v>
      </c>
      <c r="BU112">
        <v>1800</v>
      </c>
      <c r="BV112">
        <v>0.909999</v>
      </c>
      <c r="BW112">
        <v>3.4007000000000003E-2</v>
      </c>
      <c r="BX112">
        <v>2.1998400000000001E-2</v>
      </c>
      <c r="BY112">
        <v>3.3995499999999998E-2</v>
      </c>
      <c r="BZ112">
        <v>26</v>
      </c>
      <c r="CA112">
        <v>33528.400000000001</v>
      </c>
      <c r="CB112">
        <v>1690229084.0999999</v>
      </c>
      <c r="CC112" t="s">
        <v>332</v>
      </c>
      <c r="CD112">
        <v>1690229084.0999999</v>
      </c>
      <c r="CE112">
        <v>1690229076.5999999</v>
      </c>
      <c r="CF112">
        <v>13</v>
      </c>
      <c r="CG112">
        <v>0.23300000000000001</v>
      </c>
      <c r="CH112">
        <v>-0.13100000000000001</v>
      </c>
      <c r="CI112">
        <v>-0.20599999999999999</v>
      </c>
      <c r="CJ112">
        <v>8.7999999999999995E-2</v>
      </c>
      <c r="CK112">
        <v>799</v>
      </c>
      <c r="CL112">
        <v>16</v>
      </c>
      <c r="CM112">
        <v>0.04</v>
      </c>
      <c r="CN112">
        <v>0.04</v>
      </c>
      <c r="CO112">
        <v>-130.96145000000001</v>
      </c>
      <c r="CP112">
        <v>-18.584307692307181</v>
      </c>
      <c r="CQ112">
        <v>1.7883468476500879</v>
      </c>
      <c r="CR112">
        <v>-1</v>
      </c>
      <c r="CS112">
        <v>7.598267250000001</v>
      </c>
      <c r="CT112">
        <v>0.56716378986867266</v>
      </c>
      <c r="CU112">
        <v>5.6202148712816119E-2</v>
      </c>
      <c r="CV112">
        <v>-1</v>
      </c>
      <c r="CW112">
        <v>0</v>
      </c>
      <c r="CX112">
        <v>0</v>
      </c>
      <c r="CY112" t="s">
        <v>333</v>
      </c>
      <c r="CZ112">
        <v>2.36442</v>
      </c>
      <c r="DA112">
        <v>2.7138</v>
      </c>
      <c r="DB112">
        <v>0.12943199999999999</v>
      </c>
      <c r="DC112">
        <v>0.14616899999999999</v>
      </c>
      <c r="DD112">
        <v>0.10867400000000001</v>
      </c>
      <c r="DE112">
        <v>7.92239E-2</v>
      </c>
      <c r="DF112">
        <v>31788.7</v>
      </c>
      <c r="DG112">
        <v>27524</v>
      </c>
      <c r="DH112">
        <v>31173</v>
      </c>
      <c r="DI112">
        <v>28089.1</v>
      </c>
      <c r="DJ112">
        <v>37725.699999999997</v>
      </c>
      <c r="DK112">
        <v>36782</v>
      </c>
      <c r="DL112">
        <v>44364.9</v>
      </c>
      <c r="DM112">
        <v>42579.199999999997</v>
      </c>
      <c r="DN112">
        <v>1.47627</v>
      </c>
      <c r="DO112">
        <v>2.0480200000000002</v>
      </c>
      <c r="DP112">
        <v>0.13802600000000001</v>
      </c>
      <c r="DQ112">
        <v>0.18315000000000001</v>
      </c>
      <c r="DR112">
        <v>24.730499999999999</v>
      </c>
      <c r="DS112">
        <v>24.553999999999998</v>
      </c>
      <c r="DT112">
        <v>56</v>
      </c>
      <c r="DU112">
        <v>29.2</v>
      </c>
      <c r="DV112">
        <v>23.0032</v>
      </c>
      <c r="DW112">
        <v>62.009799999999998</v>
      </c>
      <c r="DX112">
        <v>36.334099999999999</v>
      </c>
      <c r="DY112">
        <v>1</v>
      </c>
      <c r="DZ112">
        <v>-8.1813999999999998E-2</v>
      </c>
      <c r="EA112">
        <v>0.491923</v>
      </c>
      <c r="EB112">
        <v>20.188700000000001</v>
      </c>
      <c r="EC112">
        <v>5.2404999999999999</v>
      </c>
      <c r="ED112">
        <v>12.039899999999999</v>
      </c>
      <c r="EE112">
        <v>5.0165499999999996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1.8646400000000001</v>
      </c>
      <c r="EM112">
        <v>1.8691800000000001</v>
      </c>
      <c r="EN112">
        <v>1.8672200000000001</v>
      </c>
      <c r="EO112">
        <v>1.8633900000000001</v>
      </c>
      <c r="EP112">
        <v>1.8644700000000001</v>
      </c>
      <c r="EQ112">
        <v>1.87015</v>
      </c>
      <c r="ER112">
        <v>1.8694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-0.113</v>
      </c>
      <c r="FG112">
        <v>0.17860000000000001</v>
      </c>
      <c r="FH112">
        <v>0.3448811944559278</v>
      </c>
      <c r="FI112">
        <v>-6.1462078757559423E-4</v>
      </c>
      <c r="FJ112">
        <v>-1.8861989874597051E-7</v>
      </c>
      <c r="FK112">
        <v>1.1980462299894961E-10</v>
      </c>
      <c r="FL112">
        <v>0.17862261546663211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26</v>
      </c>
      <c r="FU112">
        <v>26.1</v>
      </c>
      <c r="FV112">
        <v>1.78345</v>
      </c>
      <c r="FW112">
        <v>2.5891099999999998</v>
      </c>
      <c r="FX112">
        <v>1.5490699999999999</v>
      </c>
      <c r="FY112">
        <v>2.3290999999999999</v>
      </c>
      <c r="FZ112">
        <v>1.50146</v>
      </c>
      <c r="GA112">
        <v>2.3718300000000001</v>
      </c>
      <c r="GB112">
        <v>33.963900000000002</v>
      </c>
      <c r="GC112">
        <v>23.982399999999998</v>
      </c>
      <c r="GD112">
        <v>19</v>
      </c>
      <c r="GE112">
        <v>283.54899999999998</v>
      </c>
      <c r="GF112">
        <v>594.60299999999995</v>
      </c>
      <c r="GG112">
        <v>23.241800000000001</v>
      </c>
      <c r="GH112">
        <v>26.328600000000002</v>
      </c>
      <c r="GI112">
        <v>29.9998</v>
      </c>
      <c r="GJ112">
        <v>26.4954</v>
      </c>
      <c r="GK112">
        <v>26.491399999999999</v>
      </c>
      <c r="GL112">
        <v>35.653599999999997</v>
      </c>
      <c r="GM112">
        <v>42.920499999999997</v>
      </c>
      <c r="GN112">
        <v>89.826599999999999</v>
      </c>
      <c r="GO112">
        <v>23.277100000000001</v>
      </c>
      <c r="GP112">
        <v>800</v>
      </c>
      <c r="GQ112">
        <v>14.6244</v>
      </c>
      <c r="GR112">
        <v>99.743899999999996</v>
      </c>
      <c r="GS112">
        <v>99.602099999999993</v>
      </c>
    </row>
    <row r="113" spans="1:201" x14ac:dyDescent="0.25">
      <c r="A113">
        <v>97</v>
      </c>
      <c r="B113">
        <v>1690230655</v>
      </c>
      <c r="C113">
        <v>1149.900000095367</v>
      </c>
      <c r="D113" t="s">
        <v>527</v>
      </c>
      <c r="E113" t="s">
        <v>528</v>
      </c>
      <c r="F113" t="s">
        <v>330</v>
      </c>
      <c r="H113">
        <v>1690230655</v>
      </c>
      <c r="I113">
        <f t="shared" si="30"/>
        <v>7.7205207699305295E-4</v>
      </c>
      <c r="J113">
        <f t="shared" si="31"/>
        <v>0.772052076993053</v>
      </c>
      <c r="K113">
        <f t="shared" si="32"/>
        <v>12.594408850639725</v>
      </c>
      <c r="L113">
        <f t="shared" si="33"/>
        <v>662.54700000000003</v>
      </c>
      <c r="M113">
        <f t="shared" si="34"/>
        <v>252.33574059636217</v>
      </c>
      <c r="N113">
        <f t="shared" si="35"/>
        <v>25.017528488245205</v>
      </c>
      <c r="O113">
        <f t="shared" si="36"/>
        <v>65.687438521899011</v>
      </c>
      <c r="P113">
        <f t="shared" si="37"/>
        <v>5.1062743137683407E-2</v>
      </c>
      <c r="Q113">
        <f t="shared" si="38"/>
        <v>2.1822112277321657</v>
      </c>
      <c r="R113">
        <f t="shared" si="39"/>
        <v>5.0408124819618219E-2</v>
      </c>
      <c r="S113">
        <f t="shared" si="40"/>
        <v>3.1563193632237391E-2</v>
      </c>
      <c r="T113">
        <f t="shared" si="41"/>
        <v>276.11525010600002</v>
      </c>
      <c r="U113">
        <f t="shared" si="42"/>
        <v>27.584365246923365</v>
      </c>
      <c r="V113">
        <f t="shared" si="43"/>
        <v>27.584365246923365</v>
      </c>
      <c r="W113">
        <f t="shared" si="44"/>
        <v>3.7038565431646941</v>
      </c>
      <c r="X113">
        <f t="shared" si="45"/>
        <v>67.259109181368501</v>
      </c>
      <c r="Y113">
        <f t="shared" si="46"/>
        <v>2.2308151975536004</v>
      </c>
      <c r="Z113">
        <f t="shared" si="47"/>
        <v>3.3167480579293191</v>
      </c>
      <c r="AA113">
        <f t="shared" si="48"/>
        <v>1.4730413456110938</v>
      </c>
      <c r="AB113">
        <f t="shared" si="49"/>
        <v>-34.047496595393632</v>
      </c>
      <c r="AC113">
        <f t="shared" si="50"/>
        <v>-220.53767439849713</v>
      </c>
      <c r="AD113">
        <f t="shared" si="51"/>
        <v>-21.733597652020489</v>
      </c>
      <c r="AE113">
        <f t="shared" si="52"/>
        <v>-0.20351853991121516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52761.643456008598</v>
      </c>
      <c r="AK113">
        <f t="shared" si="56"/>
        <v>1800</v>
      </c>
      <c r="AL113">
        <f t="shared" si="57"/>
        <v>1499.1108515999997</v>
      </c>
      <c r="AM113">
        <f t="shared" si="58"/>
        <v>0.83283936199999986</v>
      </c>
      <c r="AN113">
        <f t="shared" si="59"/>
        <v>0.15339736117</v>
      </c>
      <c r="AO113">
        <v>31.5</v>
      </c>
      <c r="AP113">
        <v>0.5</v>
      </c>
      <c r="AQ113" t="s">
        <v>331</v>
      </c>
      <c r="AR113">
        <v>2</v>
      </c>
      <c r="AS113">
        <v>1690230655</v>
      </c>
      <c r="AT113">
        <v>662.54700000000003</v>
      </c>
      <c r="AU113">
        <v>800.06299999999999</v>
      </c>
      <c r="AV113">
        <v>22.500800000000002</v>
      </c>
      <c r="AW113">
        <v>14.5822</v>
      </c>
      <c r="AX113">
        <v>662.65700000000004</v>
      </c>
      <c r="AY113">
        <v>22.322199999999999</v>
      </c>
      <c r="AZ113">
        <v>300.20999999999998</v>
      </c>
      <c r="BA113">
        <v>99.043800000000005</v>
      </c>
      <c r="BB113">
        <v>0.10001699999999999</v>
      </c>
      <c r="BC113">
        <v>25.709800000000001</v>
      </c>
      <c r="BD113">
        <v>26.971499999999999</v>
      </c>
      <c r="BE113">
        <v>27.531300000000002</v>
      </c>
      <c r="BF113">
        <v>0</v>
      </c>
      <c r="BG113">
        <v>0</v>
      </c>
      <c r="BH113">
        <v>10032.5</v>
      </c>
      <c r="BI113">
        <v>1058.9100000000001</v>
      </c>
      <c r="BJ113">
        <v>1.4016500000000001</v>
      </c>
      <c r="BK113">
        <v>-137.51599999999999</v>
      </c>
      <c r="BL113">
        <v>677.798</v>
      </c>
      <c r="BM113">
        <v>811.90300000000002</v>
      </c>
      <c r="BN113">
        <v>7.91859</v>
      </c>
      <c r="BO113">
        <v>800.06299999999999</v>
      </c>
      <c r="BP113">
        <v>14.5822</v>
      </c>
      <c r="BQ113">
        <v>2.2285599999999999</v>
      </c>
      <c r="BR113">
        <v>1.44428</v>
      </c>
      <c r="BS113">
        <v>19.1691</v>
      </c>
      <c r="BT113">
        <v>12.390599999999999</v>
      </c>
      <c r="BU113">
        <v>1800</v>
      </c>
      <c r="BV113">
        <v>0.90999799999999997</v>
      </c>
      <c r="BW113">
        <v>3.40091E-2</v>
      </c>
      <c r="BX113">
        <v>2.19981E-2</v>
      </c>
      <c r="BY113">
        <v>3.39951E-2</v>
      </c>
      <c r="BZ113">
        <v>26</v>
      </c>
      <c r="CA113">
        <v>33528.300000000003</v>
      </c>
      <c r="CB113">
        <v>1690229084.0999999</v>
      </c>
      <c r="CC113" t="s">
        <v>332</v>
      </c>
      <c r="CD113">
        <v>1690229084.0999999</v>
      </c>
      <c r="CE113">
        <v>1690229076.5999999</v>
      </c>
      <c r="CF113">
        <v>13</v>
      </c>
      <c r="CG113">
        <v>0.23300000000000001</v>
      </c>
      <c r="CH113">
        <v>-0.13100000000000001</v>
      </c>
      <c r="CI113">
        <v>-0.20599999999999999</v>
      </c>
      <c r="CJ113">
        <v>8.7999999999999995E-2</v>
      </c>
      <c r="CK113">
        <v>799</v>
      </c>
      <c r="CL113">
        <v>16</v>
      </c>
      <c r="CM113">
        <v>0.04</v>
      </c>
      <c r="CN113">
        <v>0.04</v>
      </c>
      <c r="CO113">
        <v>-134.059225</v>
      </c>
      <c r="CP113">
        <v>-18.81810506566595</v>
      </c>
      <c r="CQ113">
        <v>1.810637408310948</v>
      </c>
      <c r="CR113">
        <v>-1</v>
      </c>
      <c r="CS113">
        <v>7.7114247500000008</v>
      </c>
      <c r="CT113">
        <v>0.8281775234521398</v>
      </c>
      <c r="CU113">
        <v>8.1438747257908423E-2</v>
      </c>
      <c r="CV113">
        <v>-1</v>
      </c>
      <c r="CW113">
        <v>0</v>
      </c>
      <c r="CX113">
        <v>0</v>
      </c>
      <c r="CY113" t="s">
        <v>333</v>
      </c>
      <c r="CZ113">
        <v>2.3644500000000002</v>
      </c>
      <c r="DA113">
        <v>2.7138399999999998</v>
      </c>
      <c r="DB113">
        <v>0.129021</v>
      </c>
      <c r="DC113">
        <v>0.14616899999999999</v>
      </c>
      <c r="DD113">
        <v>0.10877000000000001</v>
      </c>
      <c r="DE113">
        <v>7.8501600000000005E-2</v>
      </c>
      <c r="DF113">
        <v>31804.1</v>
      </c>
      <c r="DG113">
        <v>27524</v>
      </c>
      <c r="DH113">
        <v>31173.4</v>
      </c>
      <c r="DI113">
        <v>28089.1</v>
      </c>
      <c r="DJ113">
        <v>37721.800000000003</v>
      </c>
      <c r="DK113">
        <v>36810.699999999997</v>
      </c>
      <c r="DL113">
        <v>44365.2</v>
      </c>
      <c r="DM113">
        <v>42579</v>
      </c>
      <c r="DN113">
        <v>1.47665</v>
      </c>
      <c r="DO113">
        <v>2.04765</v>
      </c>
      <c r="DP113">
        <v>0.13653199999999999</v>
      </c>
      <c r="DQ113">
        <v>0.181641</v>
      </c>
      <c r="DR113">
        <v>24.734500000000001</v>
      </c>
      <c r="DS113">
        <v>24.556100000000001</v>
      </c>
      <c r="DT113">
        <v>56</v>
      </c>
      <c r="DU113">
        <v>29.2</v>
      </c>
      <c r="DV113">
        <v>23.0061</v>
      </c>
      <c r="DW113">
        <v>61.4298</v>
      </c>
      <c r="DX113">
        <v>35.729199999999999</v>
      </c>
      <c r="DY113">
        <v>1</v>
      </c>
      <c r="DZ113">
        <v>-8.20935E-2</v>
      </c>
      <c r="EA113">
        <v>0.47380699999999998</v>
      </c>
      <c r="EB113">
        <v>20.188600000000001</v>
      </c>
      <c r="EC113">
        <v>5.2408000000000001</v>
      </c>
      <c r="ED113">
        <v>12.039899999999999</v>
      </c>
      <c r="EE113">
        <v>5.0165499999999996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1.86463</v>
      </c>
      <c r="EM113">
        <v>1.8691800000000001</v>
      </c>
      <c r="EN113">
        <v>1.8672200000000001</v>
      </c>
      <c r="EO113">
        <v>1.8633999999999999</v>
      </c>
      <c r="EP113">
        <v>1.8644799999999999</v>
      </c>
      <c r="EQ113">
        <v>1.8701399999999999</v>
      </c>
      <c r="ER113">
        <v>1.8694299999999999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-0.11</v>
      </c>
      <c r="FG113">
        <v>0.17860000000000001</v>
      </c>
      <c r="FH113">
        <v>0.3448811944559278</v>
      </c>
      <c r="FI113">
        <v>-6.1462078757559423E-4</v>
      </c>
      <c r="FJ113">
        <v>-1.8861989874597051E-7</v>
      </c>
      <c r="FK113">
        <v>1.1980462299894961E-10</v>
      </c>
      <c r="FL113">
        <v>0.17862261546663211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26.2</v>
      </c>
      <c r="FU113">
        <v>26.3</v>
      </c>
      <c r="FV113">
        <v>1.78345</v>
      </c>
      <c r="FW113">
        <v>2.5891099999999998</v>
      </c>
      <c r="FX113">
        <v>1.5490699999999999</v>
      </c>
      <c r="FY113">
        <v>2.3290999999999999</v>
      </c>
      <c r="FZ113">
        <v>1.50146</v>
      </c>
      <c r="GA113">
        <v>2.2827099999999998</v>
      </c>
      <c r="GB113">
        <v>33.986499999999999</v>
      </c>
      <c r="GC113">
        <v>23.982399999999998</v>
      </c>
      <c r="GD113">
        <v>19</v>
      </c>
      <c r="GE113">
        <v>283.69600000000003</v>
      </c>
      <c r="GF113">
        <v>594.25400000000002</v>
      </c>
      <c r="GG113">
        <v>23.29</v>
      </c>
      <c r="GH113">
        <v>26.326000000000001</v>
      </c>
      <c r="GI113">
        <v>29.9999</v>
      </c>
      <c r="GJ113">
        <v>26.4925</v>
      </c>
      <c r="GK113">
        <v>26.488399999999999</v>
      </c>
      <c r="GL113">
        <v>35.647199999999998</v>
      </c>
      <c r="GM113">
        <v>43.474800000000002</v>
      </c>
      <c r="GN113">
        <v>89.454400000000007</v>
      </c>
      <c r="GO113">
        <v>23.313099999999999</v>
      </c>
      <c r="GP113">
        <v>800</v>
      </c>
      <c r="GQ113">
        <v>14.4658</v>
      </c>
      <c r="GR113">
        <v>99.744900000000001</v>
      </c>
      <c r="GS113">
        <v>99.601799999999997</v>
      </c>
    </row>
    <row r="114" spans="1:201" x14ac:dyDescent="0.25">
      <c r="A114">
        <v>98</v>
      </c>
      <c r="B114">
        <v>1690230665</v>
      </c>
      <c r="C114">
        <v>1159.900000095367</v>
      </c>
      <c r="D114" t="s">
        <v>529</v>
      </c>
      <c r="E114" t="s">
        <v>530</v>
      </c>
      <c r="F114" t="s">
        <v>330</v>
      </c>
      <c r="H114">
        <v>1690230665</v>
      </c>
      <c r="I114">
        <f t="shared" si="30"/>
        <v>7.8858392848313113E-4</v>
      </c>
      <c r="J114">
        <f t="shared" si="31"/>
        <v>0.78858392848313108</v>
      </c>
      <c r="K114">
        <f t="shared" si="32"/>
        <v>12.876720673953475</v>
      </c>
      <c r="L114">
        <f t="shared" si="33"/>
        <v>659.53599999999994</v>
      </c>
      <c r="M114">
        <f t="shared" si="34"/>
        <v>249.12555769393319</v>
      </c>
      <c r="N114">
        <f t="shared" si="35"/>
        <v>24.699410419494889</v>
      </c>
      <c r="O114">
        <f t="shared" si="36"/>
        <v>65.389318146335995</v>
      </c>
      <c r="P114">
        <f t="shared" si="37"/>
        <v>5.2183917709027222E-2</v>
      </c>
      <c r="Q114">
        <f t="shared" si="38"/>
        <v>2.1807780550447529</v>
      </c>
      <c r="R114">
        <f t="shared" si="39"/>
        <v>5.1500001819658275E-2</v>
      </c>
      <c r="S114">
        <f t="shared" si="40"/>
        <v>3.2248201459009938E-2</v>
      </c>
      <c r="T114">
        <f t="shared" si="41"/>
        <v>276.11664632484639</v>
      </c>
      <c r="U114">
        <f t="shared" si="42"/>
        <v>27.589233494471181</v>
      </c>
      <c r="V114">
        <f t="shared" si="43"/>
        <v>27.589233494471181</v>
      </c>
      <c r="W114">
        <f t="shared" si="44"/>
        <v>3.7049110926926234</v>
      </c>
      <c r="X114">
        <f t="shared" si="45"/>
        <v>67.264464003898638</v>
      </c>
      <c r="Y114">
        <f t="shared" si="46"/>
        <v>2.2322367513899999</v>
      </c>
      <c r="Z114">
        <f t="shared" si="47"/>
        <v>3.3185973967779181</v>
      </c>
      <c r="AA114">
        <f t="shared" si="48"/>
        <v>1.4726743413026235</v>
      </c>
      <c r="AB114">
        <f t="shared" si="49"/>
        <v>-34.776551246106081</v>
      </c>
      <c r="AC114">
        <f t="shared" si="50"/>
        <v>-219.86003711022491</v>
      </c>
      <c r="AD114">
        <f t="shared" si="51"/>
        <v>-21.682604361920948</v>
      </c>
      <c r="AE114">
        <f t="shared" si="52"/>
        <v>-0.20254639340552671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52700.317747099478</v>
      </c>
      <c r="AK114">
        <f t="shared" si="56"/>
        <v>1800.01</v>
      </c>
      <c r="AL114">
        <f t="shared" si="57"/>
        <v>1499.1199035976401</v>
      </c>
      <c r="AM114">
        <f t="shared" si="58"/>
        <v>0.83283976400000004</v>
      </c>
      <c r="AN114">
        <f t="shared" si="59"/>
        <v>0.15339728463999999</v>
      </c>
      <c r="AO114">
        <v>31.5</v>
      </c>
      <c r="AP114">
        <v>0.5</v>
      </c>
      <c r="AQ114" t="s">
        <v>331</v>
      </c>
      <c r="AR114">
        <v>2</v>
      </c>
      <c r="AS114">
        <v>1690230665</v>
      </c>
      <c r="AT114">
        <v>659.53599999999994</v>
      </c>
      <c r="AU114">
        <v>800.1</v>
      </c>
      <c r="AV114">
        <v>22.515000000000001</v>
      </c>
      <c r="AW114">
        <v>14.427199999999999</v>
      </c>
      <c r="AX114">
        <v>659.64400000000001</v>
      </c>
      <c r="AY114">
        <v>22.336300000000001</v>
      </c>
      <c r="AZ114">
        <v>300.21899999999999</v>
      </c>
      <c r="BA114">
        <v>99.044399999999996</v>
      </c>
      <c r="BB114">
        <v>0.100026</v>
      </c>
      <c r="BC114">
        <v>25.719200000000001</v>
      </c>
      <c r="BD114">
        <v>26.936599999999999</v>
      </c>
      <c r="BE114">
        <v>27.5459</v>
      </c>
      <c r="BF114">
        <v>0</v>
      </c>
      <c r="BG114">
        <v>0</v>
      </c>
      <c r="BH114">
        <v>10020.6</v>
      </c>
      <c r="BI114">
        <v>1058.93</v>
      </c>
      <c r="BJ114">
        <v>1.4016500000000001</v>
      </c>
      <c r="BK114">
        <v>-140.56399999999999</v>
      </c>
      <c r="BL114">
        <v>674.72699999999998</v>
      </c>
      <c r="BM114">
        <v>811.81200000000001</v>
      </c>
      <c r="BN114">
        <v>8.0877199999999991</v>
      </c>
      <c r="BO114">
        <v>800.1</v>
      </c>
      <c r="BP114">
        <v>14.427199999999999</v>
      </c>
      <c r="BQ114">
        <v>2.2299799999999999</v>
      </c>
      <c r="BR114">
        <v>1.4289400000000001</v>
      </c>
      <c r="BS114">
        <v>19.179300000000001</v>
      </c>
      <c r="BT114">
        <v>12.228199999999999</v>
      </c>
      <c r="BU114">
        <v>1800.01</v>
      </c>
      <c r="BV114">
        <v>0.91000199999999998</v>
      </c>
      <c r="BW114">
        <v>3.4007599999999999E-2</v>
      </c>
      <c r="BX114">
        <v>2.1997200000000001E-2</v>
      </c>
      <c r="BY114">
        <v>3.3993599999999999E-2</v>
      </c>
      <c r="BZ114">
        <v>26</v>
      </c>
      <c r="CA114">
        <v>33528.5</v>
      </c>
      <c r="CB114">
        <v>1690229084.0999999</v>
      </c>
      <c r="CC114" t="s">
        <v>332</v>
      </c>
      <c r="CD114">
        <v>1690229084.0999999</v>
      </c>
      <c r="CE114">
        <v>1690229076.5999999</v>
      </c>
      <c r="CF114">
        <v>13</v>
      </c>
      <c r="CG114">
        <v>0.23300000000000001</v>
      </c>
      <c r="CH114">
        <v>-0.13100000000000001</v>
      </c>
      <c r="CI114">
        <v>-0.20599999999999999</v>
      </c>
      <c r="CJ114">
        <v>8.7999999999999995E-2</v>
      </c>
      <c r="CK114">
        <v>799</v>
      </c>
      <c r="CL114">
        <v>16</v>
      </c>
      <c r="CM114">
        <v>0.04</v>
      </c>
      <c r="CN114">
        <v>0.04</v>
      </c>
      <c r="CO114">
        <v>-137.20456097560981</v>
      </c>
      <c r="CP114">
        <v>-18.227979094076549</v>
      </c>
      <c r="CQ114">
        <v>1.798092255274214</v>
      </c>
      <c r="CR114">
        <v>-1</v>
      </c>
      <c r="CS114">
        <v>7.8797246341463429</v>
      </c>
      <c r="CT114">
        <v>1.1025416027874451</v>
      </c>
      <c r="CU114">
        <v>0.1092421883593928</v>
      </c>
      <c r="CV114">
        <v>-1</v>
      </c>
      <c r="CW114">
        <v>0</v>
      </c>
      <c r="CX114">
        <v>0</v>
      </c>
      <c r="CY114" t="s">
        <v>333</v>
      </c>
      <c r="CZ114">
        <v>2.36449</v>
      </c>
      <c r="DA114">
        <v>2.7138399999999998</v>
      </c>
      <c r="DB114">
        <v>0.12861700000000001</v>
      </c>
      <c r="DC114">
        <v>0.146173</v>
      </c>
      <c r="DD114">
        <v>0.10882</v>
      </c>
      <c r="DE114">
        <v>7.7887899999999996E-2</v>
      </c>
      <c r="DF114">
        <v>31818.6</v>
      </c>
      <c r="DG114">
        <v>27524.3</v>
      </c>
      <c r="DH114">
        <v>31173.1</v>
      </c>
      <c r="DI114">
        <v>28089.5</v>
      </c>
      <c r="DJ114">
        <v>37719.199999999997</v>
      </c>
      <c r="DK114">
        <v>36836</v>
      </c>
      <c r="DL114">
        <v>44364.7</v>
      </c>
      <c r="DM114">
        <v>42579.8</v>
      </c>
      <c r="DN114">
        <v>1.4765999999999999</v>
      </c>
      <c r="DO114">
        <v>2.0477799999999999</v>
      </c>
      <c r="DP114">
        <v>0.134274</v>
      </c>
      <c r="DQ114">
        <v>0.182532</v>
      </c>
      <c r="DR114">
        <v>24.736499999999999</v>
      </c>
      <c r="DS114">
        <v>24.556100000000001</v>
      </c>
      <c r="DT114">
        <v>55.9</v>
      </c>
      <c r="DU114">
        <v>29.2</v>
      </c>
      <c r="DV114">
        <v>22.962700000000002</v>
      </c>
      <c r="DW114">
        <v>61.569800000000001</v>
      </c>
      <c r="DX114">
        <v>36.322099999999999</v>
      </c>
      <c r="DY114">
        <v>1</v>
      </c>
      <c r="DZ114">
        <v>-8.2129099999999997E-2</v>
      </c>
      <c r="EA114">
        <v>0.429954</v>
      </c>
      <c r="EB114">
        <v>20.189</v>
      </c>
      <c r="EC114">
        <v>5.2411000000000003</v>
      </c>
      <c r="ED114">
        <v>12.039899999999999</v>
      </c>
      <c r="EE114">
        <v>5.0164999999999997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1.86463</v>
      </c>
      <c r="EM114">
        <v>1.8692</v>
      </c>
      <c r="EN114">
        <v>1.8672299999999999</v>
      </c>
      <c r="EO114">
        <v>1.8633900000000001</v>
      </c>
      <c r="EP114">
        <v>1.8644799999999999</v>
      </c>
      <c r="EQ114">
        <v>1.8701700000000001</v>
      </c>
      <c r="ER114">
        <v>1.8694200000000001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-0.108</v>
      </c>
      <c r="FG114">
        <v>0.1787</v>
      </c>
      <c r="FH114">
        <v>0.3448811944559278</v>
      </c>
      <c r="FI114">
        <v>-6.1462078757559423E-4</v>
      </c>
      <c r="FJ114">
        <v>-1.8861989874597051E-7</v>
      </c>
      <c r="FK114">
        <v>1.1980462299894961E-10</v>
      </c>
      <c r="FL114">
        <v>0.17862261546663211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26.3</v>
      </c>
      <c r="FU114">
        <v>26.5</v>
      </c>
      <c r="FV114">
        <v>1.78223</v>
      </c>
      <c r="FW114">
        <v>2.5878899999999998</v>
      </c>
      <c r="FX114">
        <v>1.5490699999999999</v>
      </c>
      <c r="FY114">
        <v>2.3290999999999999</v>
      </c>
      <c r="FZ114">
        <v>1.50146</v>
      </c>
      <c r="GA114">
        <v>2.3913600000000002</v>
      </c>
      <c r="GB114">
        <v>33.986499999999999</v>
      </c>
      <c r="GC114">
        <v>23.991199999999999</v>
      </c>
      <c r="GD114">
        <v>19</v>
      </c>
      <c r="GE114">
        <v>283.66500000000002</v>
      </c>
      <c r="GF114">
        <v>594.32000000000005</v>
      </c>
      <c r="GG114">
        <v>23.335100000000001</v>
      </c>
      <c r="GH114">
        <v>26.322700000000001</v>
      </c>
      <c r="GI114">
        <v>30.0001</v>
      </c>
      <c r="GJ114">
        <v>26.490200000000002</v>
      </c>
      <c r="GK114">
        <v>26.484999999999999</v>
      </c>
      <c r="GL114">
        <v>35.638300000000001</v>
      </c>
      <c r="GM114">
        <v>43.762300000000003</v>
      </c>
      <c r="GN114">
        <v>89.072900000000004</v>
      </c>
      <c r="GO114">
        <v>23.368099999999998</v>
      </c>
      <c r="GP114">
        <v>800</v>
      </c>
      <c r="GQ114">
        <v>14.315200000000001</v>
      </c>
      <c r="GR114">
        <v>99.744</v>
      </c>
      <c r="GS114">
        <v>99.6036</v>
      </c>
    </row>
    <row r="115" spans="1:201" x14ac:dyDescent="0.25">
      <c r="A115">
        <v>99</v>
      </c>
      <c r="B115">
        <v>1690230675</v>
      </c>
      <c r="C115">
        <v>1169.900000095367</v>
      </c>
      <c r="D115" t="s">
        <v>531</v>
      </c>
      <c r="E115" t="s">
        <v>532</v>
      </c>
      <c r="F115" t="s">
        <v>330</v>
      </c>
      <c r="H115">
        <v>1690230675</v>
      </c>
      <c r="I115">
        <f t="shared" si="30"/>
        <v>8.0392050183814609E-4</v>
      </c>
      <c r="J115">
        <f t="shared" si="31"/>
        <v>0.80392050183814612</v>
      </c>
      <c r="K115">
        <f t="shared" si="32"/>
        <v>13.146781445061585</v>
      </c>
      <c r="L115">
        <f t="shared" si="33"/>
        <v>656.57799999999997</v>
      </c>
      <c r="M115">
        <f t="shared" si="34"/>
        <v>245.65351736816447</v>
      </c>
      <c r="N115">
        <f t="shared" si="35"/>
        <v>24.355287837780089</v>
      </c>
      <c r="O115">
        <f t="shared" si="36"/>
        <v>65.096345247879398</v>
      </c>
      <c r="P115">
        <f t="shared" si="37"/>
        <v>5.3211231768259794E-2</v>
      </c>
      <c r="Q115">
        <f t="shared" si="38"/>
        <v>2.1804825829550971</v>
      </c>
      <c r="R115">
        <f t="shared" si="39"/>
        <v>5.2500225994036004E-2</v>
      </c>
      <c r="S115">
        <f t="shared" si="40"/>
        <v>3.2875730756285124E-2</v>
      </c>
      <c r="T115">
        <f t="shared" si="41"/>
        <v>276.11501430600003</v>
      </c>
      <c r="U115">
        <f t="shared" si="42"/>
        <v>27.596290203053421</v>
      </c>
      <c r="V115">
        <f t="shared" si="43"/>
        <v>27.596290203053421</v>
      </c>
      <c r="W115">
        <f t="shared" si="44"/>
        <v>3.7064401671952578</v>
      </c>
      <c r="X115">
        <f t="shared" si="45"/>
        <v>67.261606555863295</v>
      </c>
      <c r="Y115">
        <f t="shared" si="46"/>
        <v>2.2337440000567303</v>
      </c>
      <c r="Z115">
        <f t="shared" si="47"/>
        <v>3.320979254638412</v>
      </c>
      <c r="AA115">
        <f t="shared" si="48"/>
        <v>1.4726961671385275</v>
      </c>
      <c r="AB115">
        <f t="shared" si="49"/>
        <v>-35.452894131062244</v>
      </c>
      <c r="AC115">
        <f t="shared" si="50"/>
        <v>-219.2373884559008</v>
      </c>
      <c r="AD115">
        <f t="shared" si="51"/>
        <v>-21.62620111284809</v>
      </c>
      <c r="AE115">
        <f t="shared" si="52"/>
        <v>-0.20146939381109519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52685.898267536286</v>
      </c>
      <c r="AK115">
        <f t="shared" si="56"/>
        <v>1800</v>
      </c>
      <c r="AL115">
        <f t="shared" si="57"/>
        <v>1499.1111575999998</v>
      </c>
      <c r="AM115">
        <f t="shared" si="58"/>
        <v>0.83283953199999994</v>
      </c>
      <c r="AN115">
        <f t="shared" si="59"/>
        <v>0.15339723017000001</v>
      </c>
      <c r="AO115">
        <v>31.5</v>
      </c>
      <c r="AP115">
        <v>0.5</v>
      </c>
      <c r="AQ115" t="s">
        <v>331</v>
      </c>
      <c r="AR115">
        <v>2</v>
      </c>
      <c r="AS115">
        <v>1690230675</v>
      </c>
      <c r="AT115">
        <v>656.57799999999997</v>
      </c>
      <c r="AU115">
        <v>800.07299999999998</v>
      </c>
      <c r="AV115">
        <v>22.530100000000001</v>
      </c>
      <c r="AW115">
        <v>14.2842</v>
      </c>
      <c r="AX115">
        <v>656.68399999999997</v>
      </c>
      <c r="AY115">
        <v>22.351500000000001</v>
      </c>
      <c r="AZ115">
        <v>300.185</v>
      </c>
      <c r="BA115">
        <v>99.045000000000002</v>
      </c>
      <c r="BB115">
        <v>9.9877300000000002E-2</v>
      </c>
      <c r="BC115">
        <v>25.731300000000001</v>
      </c>
      <c r="BD115">
        <v>26.979900000000001</v>
      </c>
      <c r="BE115">
        <v>27.567599999999999</v>
      </c>
      <c r="BF115">
        <v>0</v>
      </c>
      <c r="BG115">
        <v>0</v>
      </c>
      <c r="BH115">
        <v>10018.1</v>
      </c>
      <c r="BI115">
        <v>1059.1600000000001</v>
      </c>
      <c r="BJ115">
        <v>1.4016500000000001</v>
      </c>
      <c r="BK115">
        <v>-143.495</v>
      </c>
      <c r="BL115">
        <v>671.71199999999999</v>
      </c>
      <c r="BM115">
        <v>811.66700000000003</v>
      </c>
      <c r="BN115">
        <v>8.2459299999999995</v>
      </c>
      <c r="BO115">
        <v>800.07299999999998</v>
      </c>
      <c r="BP115">
        <v>14.2842</v>
      </c>
      <c r="BQ115">
        <v>2.23149</v>
      </c>
      <c r="BR115">
        <v>1.4147799999999999</v>
      </c>
      <c r="BS115">
        <v>19.190200000000001</v>
      </c>
      <c r="BT115">
        <v>12.0769</v>
      </c>
      <c r="BU115">
        <v>1800</v>
      </c>
      <c r="BV115">
        <v>0.91000199999999998</v>
      </c>
      <c r="BW115">
        <v>3.4007500000000003E-2</v>
      </c>
      <c r="BX115">
        <v>2.1997099999999999E-2</v>
      </c>
      <c r="BY115">
        <v>3.3993500000000003E-2</v>
      </c>
      <c r="BZ115">
        <v>26</v>
      </c>
      <c r="CA115">
        <v>33528.400000000001</v>
      </c>
      <c r="CB115">
        <v>1690229084.0999999</v>
      </c>
      <c r="CC115" t="s">
        <v>332</v>
      </c>
      <c r="CD115">
        <v>1690229084.0999999</v>
      </c>
      <c r="CE115">
        <v>1690229076.5999999</v>
      </c>
      <c r="CF115">
        <v>13</v>
      </c>
      <c r="CG115">
        <v>0.23300000000000001</v>
      </c>
      <c r="CH115">
        <v>-0.13100000000000001</v>
      </c>
      <c r="CI115">
        <v>-0.20599999999999999</v>
      </c>
      <c r="CJ115">
        <v>8.7999999999999995E-2</v>
      </c>
      <c r="CK115">
        <v>799</v>
      </c>
      <c r="CL115">
        <v>16</v>
      </c>
      <c r="CM115">
        <v>0.04</v>
      </c>
      <c r="CN115">
        <v>0.04</v>
      </c>
      <c r="CO115">
        <v>-140.21512195121949</v>
      </c>
      <c r="CP115">
        <v>-17.911567944251111</v>
      </c>
      <c r="CQ115">
        <v>1.766849382722097</v>
      </c>
      <c r="CR115">
        <v>-1</v>
      </c>
      <c r="CS115">
        <v>8.0626202439024386</v>
      </c>
      <c r="CT115">
        <v>1.006543066202102</v>
      </c>
      <c r="CU115">
        <v>9.9866151849895432E-2</v>
      </c>
      <c r="CV115">
        <v>-1</v>
      </c>
      <c r="CW115">
        <v>0</v>
      </c>
      <c r="CX115">
        <v>0</v>
      </c>
      <c r="CY115" t="s">
        <v>333</v>
      </c>
      <c r="CZ115">
        <v>2.3643700000000001</v>
      </c>
      <c r="DA115">
        <v>2.7136800000000001</v>
      </c>
      <c r="DB115">
        <v>0.128219</v>
      </c>
      <c r="DC115">
        <v>0.14616799999999999</v>
      </c>
      <c r="DD115">
        <v>0.108874</v>
      </c>
      <c r="DE115">
        <v>7.7318999999999999E-2</v>
      </c>
      <c r="DF115">
        <v>31833.7</v>
      </c>
      <c r="DG115">
        <v>27524.7</v>
      </c>
      <c r="DH115">
        <v>31173.7</v>
      </c>
      <c r="DI115">
        <v>28089.8</v>
      </c>
      <c r="DJ115">
        <v>37717.800000000003</v>
      </c>
      <c r="DK115">
        <v>36858.9</v>
      </c>
      <c r="DL115">
        <v>44365.8</v>
      </c>
      <c r="DM115">
        <v>42579.9</v>
      </c>
      <c r="DN115">
        <v>1.47668</v>
      </c>
      <c r="DO115">
        <v>2.0476000000000001</v>
      </c>
      <c r="DP115">
        <v>0.136793</v>
      </c>
      <c r="DQ115">
        <v>0.18368999999999999</v>
      </c>
      <c r="DR115">
        <v>24.738600000000002</v>
      </c>
      <c r="DS115">
        <v>24.558900000000001</v>
      </c>
      <c r="DT115">
        <v>55.8</v>
      </c>
      <c r="DU115">
        <v>29.2</v>
      </c>
      <c r="DV115">
        <v>22.9209</v>
      </c>
      <c r="DW115">
        <v>61.259799999999998</v>
      </c>
      <c r="DX115">
        <v>35.857399999999998</v>
      </c>
      <c r="DY115">
        <v>1</v>
      </c>
      <c r="DZ115">
        <v>-8.2360299999999997E-2</v>
      </c>
      <c r="EA115">
        <v>0.33118999999999998</v>
      </c>
      <c r="EB115">
        <v>20.189</v>
      </c>
      <c r="EC115">
        <v>5.2409499999999998</v>
      </c>
      <c r="ED115">
        <v>12.039899999999999</v>
      </c>
      <c r="EE115">
        <v>5.0165499999999996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1.8646400000000001</v>
      </c>
      <c r="EM115">
        <v>1.8691800000000001</v>
      </c>
      <c r="EN115">
        <v>1.8672299999999999</v>
      </c>
      <c r="EO115">
        <v>1.8633999999999999</v>
      </c>
      <c r="EP115">
        <v>1.8644700000000001</v>
      </c>
      <c r="EQ115">
        <v>1.87016</v>
      </c>
      <c r="ER115">
        <v>1.8693900000000001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-0.106</v>
      </c>
      <c r="FG115">
        <v>0.17860000000000001</v>
      </c>
      <c r="FH115">
        <v>0.3448811944559278</v>
      </c>
      <c r="FI115">
        <v>-6.1462078757559423E-4</v>
      </c>
      <c r="FJ115">
        <v>-1.8861989874597051E-7</v>
      </c>
      <c r="FK115">
        <v>1.1980462299894961E-10</v>
      </c>
      <c r="FL115">
        <v>0.17862261546663211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26.5</v>
      </c>
      <c r="FU115">
        <v>26.6</v>
      </c>
      <c r="FV115">
        <v>1.78223</v>
      </c>
      <c r="FW115">
        <v>2.5866699999999998</v>
      </c>
      <c r="FX115">
        <v>1.5490699999999999</v>
      </c>
      <c r="FY115">
        <v>2.3290999999999999</v>
      </c>
      <c r="FZ115">
        <v>1.50146</v>
      </c>
      <c r="GA115">
        <v>2.2936999999999999</v>
      </c>
      <c r="GB115">
        <v>33.986499999999999</v>
      </c>
      <c r="GC115">
        <v>23.982399999999998</v>
      </c>
      <c r="GD115">
        <v>19</v>
      </c>
      <c r="GE115">
        <v>283.68299999999999</v>
      </c>
      <c r="GF115">
        <v>594.14400000000001</v>
      </c>
      <c r="GG115">
        <v>23.400500000000001</v>
      </c>
      <c r="GH115">
        <v>26.319700000000001</v>
      </c>
      <c r="GI115">
        <v>29.9999</v>
      </c>
      <c r="GJ115">
        <v>26.487100000000002</v>
      </c>
      <c r="GK115">
        <v>26.482500000000002</v>
      </c>
      <c r="GL115">
        <v>35.638800000000003</v>
      </c>
      <c r="GM115">
        <v>44.326900000000002</v>
      </c>
      <c r="GN115">
        <v>88.701599999999999</v>
      </c>
      <c r="GO115">
        <v>23.4255</v>
      </c>
      <c r="GP115">
        <v>800</v>
      </c>
      <c r="GQ115">
        <v>14.1639</v>
      </c>
      <c r="GR115">
        <v>99.745999999999995</v>
      </c>
      <c r="GS115">
        <v>99.604100000000003</v>
      </c>
    </row>
    <row r="116" spans="1:201" x14ac:dyDescent="0.25">
      <c r="A116">
        <v>100</v>
      </c>
      <c r="B116">
        <v>1690230685</v>
      </c>
      <c r="C116">
        <v>1179.900000095367</v>
      </c>
      <c r="D116" t="s">
        <v>533</v>
      </c>
      <c r="E116" t="s">
        <v>534</v>
      </c>
      <c r="F116" t="s">
        <v>330</v>
      </c>
      <c r="H116">
        <v>1690230685</v>
      </c>
      <c r="I116">
        <f t="shared" si="30"/>
        <v>8.1916734599486913E-4</v>
      </c>
      <c r="J116">
        <f t="shared" si="31"/>
        <v>0.81916734599486918</v>
      </c>
      <c r="K116">
        <f t="shared" si="32"/>
        <v>13.422894087169334</v>
      </c>
      <c r="L116">
        <f t="shared" si="33"/>
        <v>653.61800000000005</v>
      </c>
      <c r="M116">
        <f t="shared" si="34"/>
        <v>241.88868188595387</v>
      </c>
      <c r="N116">
        <f t="shared" si="35"/>
        <v>23.982827288420587</v>
      </c>
      <c r="O116">
        <f t="shared" si="36"/>
        <v>64.805047860790992</v>
      </c>
      <c r="P116">
        <f t="shared" si="37"/>
        <v>5.4220423003716565E-2</v>
      </c>
      <c r="Q116">
        <f t="shared" si="38"/>
        <v>2.1812121371385413</v>
      </c>
      <c r="R116">
        <f t="shared" si="39"/>
        <v>5.3482636887414829E-2</v>
      </c>
      <c r="S116">
        <f t="shared" si="40"/>
        <v>3.3492098804851884E-2</v>
      </c>
      <c r="T116">
        <f t="shared" si="41"/>
        <v>276.11324565100216</v>
      </c>
      <c r="U116">
        <f t="shared" si="42"/>
        <v>27.603178117899887</v>
      </c>
      <c r="V116">
        <f t="shared" si="43"/>
        <v>27.603178117899887</v>
      </c>
      <c r="W116">
        <f t="shared" si="44"/>
        <v>3.7079331978974768</v>
      </c>
      <c r="X116">
        <f t="shared" si="45"/>
        <v>67.24395873405733</v>
      </c>
      <c r="Y116">
        <f t="shared" si="46"/>
        <v>2.2348400760097999</v>
      </c>
      <c r="Z116">
        <f t="shared" si="47"/>
        <v>3.3234808272492606</v>
      </c>
      <c r="AA116">
        <f t="shared" si="48"/>
        <v>1.4730931218876768</v>
      </c>
      <c r="AB116">
        <f t="shared" si="49"/>
        <v>-36.125279958373731</v>
      </c>
      <c r="AC116">
        <f t="shared" si="50"/>
        <v>-218.62727825166752</v>
      </c>
      <c r="AD116">
        <f t="shared" si="51"/>
        <v>-21.560917460848739</v>
      </c>
      <c r="AE116">
        <f t="shared" si="52"/>
        <v>-0.20023001988784017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52714.096394928973</v>
      </c>
      <c r="AK116">
        <f t="shared" si="56"/>
        <v>1799.99</v>
      </c>
      <c r="AL116">
        <f t="shared" si="57"/>
        <v>1499.10214880846</v>
      </c>
      <c r="AM116">
        <f t="shared" si="58"/>
        <v>0.83283915399999997</v>
      </c>
      <c r="AN116">
        <f t="shared" si="59"/>
        <v>0.15339709979000002</v>
      </c>
      <c r="AO116">
        <v>31.5</v>
      </c>
      <c r="AP116">
        <v>0.5</v>
      </c>
      <c r="AQ116" t="s">
        <v>331</v>
      </c>
      <c r="AR116">
        <v>2</v>
      </c>
      <c r="AS116">
        <v>1690230685</v>
      </c>
      <c r="AT116">
        <v>653.61800000000005</v>
      </c>
      <c r="AU116">
        <v>800.09</v>
      </c>
      <c r="AV116">
        <v>22.540400000000002</v>
      </c>
      <c r="AW116">
        <v>14.138199999999999</v>
      </c>
      <c r="AX116">
        <v>653.72199999999998</v>
      </c>
      <c r="AY116">
        <v>22.361799999999999</v>
      </c>
      <c r="AZ116">
        <v>300.185</v>
      </c>
      <c r="BA116">
        <v>99.048199999999994</v>
      </c>
      <c r="BB116">
        <v>9.9999500000000005E-2</v>
      </c>
      <c r="BC116">
        <v>25.744</v>
      </c>
      <c r="BD116">
        <v>26.984100000000002</v>
      </c>
      <c r="BE116">
        <v>27.5715</v>
      </c>
      <c r="BF116">
        <v>0</v>
      </c>
      <c r="BG116">
        <v>0</v>
      </c>
      <c r="BH116">
        <v>10023.799999999999</v>
      </c>
      <c r="BI116">
        <v>1059.26</v>
      </c>
      <c r="BJ116">
        <v>1.4016500000000001</v>
      </c>
      <c r="BK116">
        <v>-146.47300000000001</v>
      </c>
      <c r="BL116">
        <v>668.69</v>
      </c>
      <c r="BM116">
        <v>811.56500000000005</v>
      </c>
      <c r="BN116">
        <v>8.4021899999999992</v>
      </c>
      <c r="BO116">
        <v>800.09</v>
      </c>
      <c r="BP116">
        <v>14.138199999999999</v>
      </c>
      <c r="BQ116">
        <v>2.2325900000000001</v>
      </c>
      <c r="BR116">
        <v>1.4003699999999999</v>
      </c>
      <c r="BS116">
        <v>19.1981</v>
      </c>
      <c r="BT116">
        <v>11.9216</v>
      </c>
      <c r="BU116">
        <v>1799.99</v>
      </c>
      <c r="BV116">
        <v>0.91000300000000001</v>
      </c>
      <c r="BW116">
        <v>3.40069E-2</v>
      </c>
      <c r="BX116">
        <v>2.1996700000000001E-2</v>
      </c>
      <c r="BY116">
        <v>3.39929E-2</v>
      </c>
      <c r="BZ116">
        <v>26</v>
      </c>
      <c r="CA116">
        <v>33528.199999999997</v>
      </c>
      <c r="CB116">
        <v>1690229084.0999999</v>
      </c>
      <c r="CC116" t="s">
        <v>332</v>
      </c>
      <c r="CD116">
        <v>1690229084.0999999</v>
      </c>
      <c r="CE116">
        <v>1690229076.5999999</v>
      </c>
      <c r="CF116">
        <v>13</v>
      </c>
      <c r="CG116">
        <v>0.23300000000000001</v>
      </c>
      <c r="CH116">
        <v>-0.13100000000000001</v>
      </c>
      <c r="CI116">
        <v>-0.20599999999999999</v>
      </c>
      <c r="CJ116">
        <v>8.7999999999999995E-2</v>
      </c>
      <c r="CK116">
        <v>799</v>
      </c>
      <c r="CL116">
        <v>16</v>
      </c>
      <c r="CM116">
        <v>0.04</v>
      </c>
      <c r="CN116">
        <v>0.04</v>
      </c>
      <c r="CO116">
        <v>-143.11994999999999</v>
      </c>
      <c r="CP116">
        <v>-17.822949343339729</v>
      </c>
      <c r="CQ116">
        <v>1.715307216652459</v>
      </c>
      <c r="CR116">
        <v>-1</v>
      </c>
      <c r="CS116">
        <v>8.2276002500000001</v>
      </c>
      <c r="CT116">
        <v>0.98736056285177221</v>
      </c>
      <c r="CU116">
        <v>9.5815282274997873E-2</v>
      </c>
      <c r="CV116">
        <v>-1</v>
      </c>
      <c r="CW116">
        <v>0</v>
      </c>
      <c r="CX116">
        <v>0</v>
      </c>
      <c r="CY116" t="s">
        <v>333</v>
      </c>
      <c r="CZ116">
        <v>2.3643800000000001</v>
      </c>
      <c r="DA116">
        <v>2.7138100000000001</v>
      </c>
      <c r="DB116">
        <v>0.12782299999999999</v>
      </c>
      <c r="DC116">
        <v>0.146173</v>
      </c>
      <c r="DD116">
        <v>0.108914</v>
      </c>
      <c r="DE116">
        <v>7.6738500000000001E-2</v>
      </c>
      <c r="DF116">
        <v>31848.2</v>
      </c>
      <c r="DG116">
        <v>27524.7</v>
      </c>
      <c r="DH116">
        <v>31173.8</v>
      </c>
      <c r="DI116">
        <v>28090</v>
      </c>
      <c r="DJ116">
        <v>37716.199999999997</v>
      </c>
      <c r="DK116">
        <v>36882.199999999997</v>
      </c>
      <c r="DL116">
        <v>44366</v>
      </c>
      <c r="DM116">
        <v>42580.1</v>
      </c>
      <c r="DN116">
        <v>1.47695</v>
      </c>
      <c r="DO116">
        <v>2.0470999999999999</v>
      </c>
      <c r="DP116">
        <v>0.136796</v>
      </c>
      <c r="DQ116">
        <v>0.18370500000000001</v>
      </c>
      <c r="DR116">
        <v>24.742799999999999</v>
      </c>
      <c r="DS116">
        <v>24.5625</v>
      </c>
      <c r="DT116">
        <v>55.7</v>
      </c>
      <c r="DU116">
        <v>29.2</v>
      </c>
      <c r="DV116">
        <v>22.881</v>
      </c>
      <c r="DW116">
        <v>61.309800000000003</v>
      </c>
      <c r="DX116">
        <v>36.462299999999999</v>
      </c>
      <c r="DY116">
        <v>1</v>
      </c>
      <c r="DZ116">
        <v>-8.2809999999999995E-2</v>
      </c>
      <c r="EA116">
        <v>0.41753499999999999</v>
      </c>
      <c r="EB116">
        <v>20.1891</v>
      </c>
      <c r="EC116">
        <v>5.2408000000000001</v>
      </c>
      <c r="ED116">
        <v>12.039899999999999</v>
      </c>
      <c r="EE116">
        <v>5.0164499999999999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1.86463</v>
      </c>
      <c r="EM116">
        <v>1.8692</v>
      </c>
      <c r="EN116">
        <v>1.8672299999999999</v>
      </c>
      <c r="EO116">
        <v>1.8633999999999999</v>
      </c>
      <c r="EP116">
        <v>1.8644799999999999</v>
      </c>
      <c r="EQ116">
        <v>1.87018</v>
      </c>
      <c r="ER116">
        <v>1.8694500000000001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-0.104</v>
      </c>
      <c r="FG116">
        <v>0.17860000000000001</v>
      </c>
      <c r="FH116">
        <v>0.3448811944559278</v>
      </c>
      <c r="FI116">
        <v>-6.1462078757559423E-4</v>
      </c>
      <c r="FJ116">
        <v>-1.8861989874597051E-7</v>
      </c>
      <c r="FK116">
        <v>1.1980462299894961E-10</v>
      </c>
      <c r="FL116">
        <v>0.17862261546663211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26.7</v>
      </c>
      <c r="FU116">
        <v>26.8</v>
      </c>
      <c r="FV116">
        <v>1.78223</v>
      </c>
      <c r="FW116">
        <v>2.5842299999999998</v>
      </c>
      <c r="FX116">
        <v>1.5490699999999999</v>
      </c>
      <c r="FY116">
        <v>2.3290999999999999</v>
      </c>
      <c r="FZ116">
        <v>1.50146</v>
      </c>
      <c r="GA116">
        <v>2.3962400000000001</v>
      </c>
      <c r="GB116">
        <v>33.986499999999999</v>
      </c>
      <c r="GC116">
        <v>23.991199999999999</v>
      </c>
      <c r="GD116">
        <v>19</v>
      </c>
      <c r="GE116">
        <v>283.78500000000003</v>
      </c>
      <c r="GF116">
        <v>593.68399999999997</v>
      </c>
      <c r="GG116">
        <v>23.441199999999998</v>
      </c>
      <c r="GH116">
        <v>26.317399999999999</v>
      </c>
      <c r="GI116">
        <v>29.9999</v>
      </c>
      <c r="GJ116">
        <v>26.483599999999999</v>
      </c>
      <c r="GK116">
        <v>26.478999999999999</v>
      </c>
      <c r="GL116">
        <v>35.630200000000002</v>
      </c>
      <c r="GM116">
        <v>44.626399999999997</v>
      </c>
      <c r="GN116">
        <v>87.932199999999995</v>
      </c>
      <c r="GO116">
        <v>23.439</v>
      </c>
      <c r="GP116">
        <v>800</v>
      </c>
      <c r="GQ116">
        <v>14.0098</v>
      </c>
      <c r="GR116">
        <v>99.746499999999997</v>
      </c>
      <c r="GS116">
        <v>99.604600000000005</v>
      </c>
    </row>
    <row r="117" spans="1:201" x14ac:dyDescent="0.25">
      <c r="A117">
        <v>101</v>
      </c>
      <c r="B117">
        <v>1690230695</v>
      </c>
      <c r="C117">
        <v>1189.900000095367</v>
      </c>
      <c r="D117" t="s">
        <v>535</v>
      </c>
      <c r="E117" t="s">
        <v>536</v>
      </c>
      <c r="F117" t="s">
        <v>330</v>
      </c>
      <c r="H117">
        <v>1690230695</v>
      </c>
      <c r="I117">
        <f t="shared" si="30"/>
        <v>8.3661339733916412E-4</v>
      </c>
      <c r="J117">
        <f t="shared" si="31"/>
        <v>0.83661339733916407</v>
      </c>
      <c r="K117">
        <f t="shared" si="32"/>
        <v>13.683045928191634</v>
      </c>
      <c r="L117">
        <f t="shared" si="33"/>
        <v>650.75599999999997</v>
      </c>
      <c r="M117">
        <f t="shared" si="34"/>
        <v>239.66419350723638</v>
      </c>
      <c r="N117">
        <f t="shared" si="35"/>
        <v>23.762163145165164</v>
      </c>
      <c r="O117">
        <f t="shared" si="36"/>
        <v>64.520986691440001</v>
      </c>
      <c r="P117">
        <f t="shared" si="37"/>
        <v>5.5366970381220591E-2</v>
      </c>
      <c r="Q117">
        <f t="shared" si="38"/>
        <v>2.1748283533737442</v>
      </c>
      <c r="R117">
        <f t="shared" si="39"/>
        <v>5.459566692307298E-2</v>
      </c>
      <c r="S117">
        <f t="shared" si="40"/>
        <v>3.4190695211566549E-2</v>
      </c>
      <c r="T117">
        <f t="shared" si="41"/>
        <v>276.11330186468979</v>
      </c>
      <c r="U117">
        <f t="shared" si="42"/>
        <v>27.608561894218482</v>
      </c>
      <c r="V117">
        <f t="shared" si="43"/>
        <v>27.608561894218482</v>
      </c>
      <c r="W117">
        <f t="shared" si="44"/>
        <v>3.7091005555609824</v>
      </c>
      <c r="X117">
        <f t="shared" si="45"/>
        <v>67.233048448439007</v>
      </c>
      <c r="Y117">
        <f t="shared" si="46"/>
        <v>2.2353254573960002</v>
      </c>
      <c r="Z117">
        <f t="shared" si="47"/>
        <v>3.3247420858958527</v>
      </c>
      <c r="AA117">
        <f t="shared" si="48"/>
        <v>1.4737750981649822</v>
      </c>
      <c r="AB117">
        <f t="shared" si="49"/>
        <v>-36.894650822657141</v>
      </c>
      <c r="AC117">
        <f t="shared" si="50"/>
        <v>-217.86826720687313</v>
      </c>
      <c r="AD117">
        <f t="shared" si="51"/>
        <v>-21.550403122979446</v>
      </c>
      <c r="AE117">
        <f t="shared" si="52"/>
        <v>-0.20001928781991296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52447.603438606297</v>
      </c>
      <c r="AK117">
        <f t="shared" si="56"/>
        <v>1799.99</v>
      </c>
      <c r="AL117">
        <f t="shared" si="57"/>
        <v>1499.1033962015301</v>
      </c>
      <c r="AM117">
        <f t="shared" si="58"/>
        <v>0.83283984700000002</v>
      </c>
      <c r="AN117">
        <f t="shared" si="59"/>
        <v>0.15339713101999999</v>
      </c>
      <c r="AO117">
        <v>31.5</v>
      </c>
      <c r="AP117">
        <v>0.5</v>
      </c>
      <c r="AQ117" t="s">
        <v>331</v>
      </c>
      <c r="AR117">
        <v>2</v>
      </c>
      <c r="AS117">
        <v>1690230695</v>
      </c>
      <c r="AT117">
        <v>650.75599999999997</v>
      </c>
      <c r="AU117">
        <v>800.04200000000003</v>
      </c>
      <c r="AV117">
        <v>22.545400000000001</v>
      </c>
      <c r="AW117">
        <v>13.9649</v>
      </c>
      <c r="AX117">
        <v>650.85799999999995</v>
      </c>
      <c r="AY117">
        <v>22.366800000000001</v>
      </c>
      <c r="AZ117">
        <v>300.20600000000002</v>
      </c>
      <c r="BA117">
        <v>99.047700000000006</v>
      </c>
      <c r="BB117">
        <v>0.10004</v>
      </c>
      <c r="BC117">
        <v>25.750399999999999</v>
      </c>
      <c r="BD117">
        <v>27.0122</v>
      </c>
      <c r="BE117">
        <v>27.570599999999999</v>
      </c>
      <c r="BF117">
        <v>0</v>
      </c>
      <c r="BG117">
        <v>0</v>
      </c>
      <c r="BH117">
        <v>9971.25</v>
      </c>
      <c r="BI117">
        <v>1059.46</v>
      </c>
      <c r="BJ117">
        <v>1.4016500000000001</v>
      </c>
      <c r="BK117">
        <v>-149.286</v>
      </c>
      <c r="BL117">
        <v>665.76599999999996</v>
      </c>
      <c r="BM117">
        <v>811.37199999999996</v>
      </c>
      <c r="BN117">
        <v>8.5805100000000003</v>
      </c>
      <c r="BO117">
        <v>800.04200000000003</v>
      </c>
      <c r="BP117">
        <v>13.9649</v>
      </c>
      <c r="BQ117">
        <v>2.2330700000000001</v>
      </c>
      <c r="BR117">
        <v>1.3831899999999999</v>
      </c>
      <c r="BS117">
        <v>19.201599999999999</v>
      </c>
      <c r="BT117">
        <v>11.7346</v>
      </c>
      <c r="BU117">
        <v>1799.99</v>
      </c>
      <c r="BV117">
        <v>0.91000599999999998</v>
      </c>
      <c r="BW117">
        <v>3.4006000000000002E-2</v>
      </c>
      <c r="BX117">
        <v>2.1996100000000001E-2</v>
      </c>
      <c r="BY117">
        <v>3.3992000000000001E-2</v>
      </c>
      <c r="BZ117">
        <v>26</v>
      </c>
      <c r="CA117">
        <v>33528.300000000003</v>
      </c>
      <c r="CB117">
        <v>1690229084.0999999</v>
      </c>
      <c r="CC117" t="s">
        <v>332</v>
      </c>
      <c r="CD117">
        <v>1690229084.0999999</v>
      </c>
      <c r="CE117">
        <v>1690229076.5999999</v>
      </c>
      <c r="CF117">
        <v>13</v>
      </c>
      <c r="CG117">
        <v>0.23300000000000001</v>
      </c>
      <c r="CH117">
        <v>-0.13100000000000001</v>
      </c>
      <c r="CI117">
        <v>-0.20599999999999999</v>
      </c>
      <c r="CJ117">
        <v>8.7999999999999995E-2</v>
      </c>
      <c r="CK117">
        <v>799</v>
      </c>
      <c r="CL117">
        <v>16</v>
      </c>
      <c r="CM117">
        <v>0.04</v>
      </c>
      <c r="CN117">
        <v>0.04</v>
      </c>
      <c r="CO117">
        <v>-146.35557499999999</v>
      </c>
      <c r="CP117">
        <v>-17.57024015009306</v>
      </c>
      <c r="CQ117">
        <v>1.690847197228357</v>
      </c>
      <c r="CR117">
        <v>-1</v>
      </c>
      <c r="CS117">
        <v>8.4014679999999995</v>
      </c>
      <c r="CT117">
        <v>0.96430694183863053</v>
      </c>
      <c r="CU117">
        <v>9.3478982643158959E-2</v>
      </c>
      <c r="CV117">
        <v>-1</v>
      </c>
      <c r="CW117">
        <v>0</v>
      </c>
      <c r="CX117">
        <v>0</v>
      </c>
      <c r="CY117" t="s">
        <v>333</v>
      </c>
      <c r="CZ117">
        <v>2.3644500000000002</v>
      </c>
      <c r="DA117">
        <v>2.7138100000000001</v>
      </c>
      <c r="DB117">
        <v>0.12743499999999999</v>
      </c>
      <c r="DC117">
        <v>0.14616399999999999</v>
      </c>
      <c r="DD117">
        <v>0.108931</v>
      </c>
      <c r="DE117">
        <v>7.6042600000000002E-2</v>
      </c>
      <c r="DF117">
        <v>31862.2</v>
      </c>
      <c r="DG117">
        <v>27525.200000000001</v>
      </c>
      <c r="DH117">
        <v>31173.599999999999</v>
      </c>
      <c r="DI117">
        <v>28090.2</v>
      </c>
      <c r="DJ117">
        <v>37715.1</v>
      </c>
      <c r="DK117">
        <v>36910.5</v>
      </c>
      <c r="DL117">
        <v>44365.599999999999</v>
      </c>
      <c r="DM117">
        <v>42580.6</v>
      </c>
      <c r="DN117">
        <v>1.4769300000000001</v>
      </c>
      <c r="DO117">
        <v>2.0469499999999998</v>
      </c>
      <c r="DP117">
        <v>0.13824600000000001</v>
      </c>
      <c r="DQ117">
        <v>0.18340000000000001</v>
      </c>
      <c r="DR117">
        <v>24.747199999999999</v>
      </c>
      <c r="DS117">
        <v>24.566700000000001</v>
      </c>
      <c r="DT117">
        <v>55.6</v>
      </c>
      <c r="DU117">
        <v>29.2</v>
      </c>
      <c r="DV117">
        <v>22.839400000000001</v>
      </c>
      <c r="DW117">
        <v>61.3598</v>
      </c>
      <c r="DX117">
        <v>35.709099999999999</v>
      </c>
      <c r="DY117">
        <v>1</v>
      </c>
      <c r="DZ117">
        <v>-8.2700700000000002E-2</v>
      </c>
      <c r="EA117">
        <v>0.42513899999999999</v>
      </c>
      <c r="EB117">
        <v>20.188800000000001</v>
      </c>
      <c r="EC117">
        <v>5.24125</v>
      </c>
      <c r="ED117">
        <v>12.039899999999999</v>
      </c>
      <c r="EE117">
        <v>5.0164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1.86463</v>
      </c>
      <c r="EM117">
        <v>1.8691899999999999</v>
      </c>
      <c r="EN117">
        <v>1.8672299999999999</v>
      </c>
      <c r="EO117">
        <v>1.8633999999999999</v>
      </c>
      <c r="EP117">
        <v>1.8644799999999999</v>
      </c>
      <c r="EQ117">
        <v>1.87016</v>
      </c>
      <c r="ER117">
        <v>1.86944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-0.10199999999999999</v>
      </c>
      <c r="FG117">
        <v>0.17860000000000001</v>
      </c>
      <c r="FH117">
        <v>0.3448811944559278</v>
      </c>
      <c r="FI117">
        <v>-6.1462078757559423E-4</v>
      </c>
      <c r="FJ117">
        <v>-1.8861989874597051E-7</v>
      </c>
      <c r="FK117">
        <v>1.1980462299894961E-10</v>
      </c>
      <c r="FL117">
        <v>0.17862261546663211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26.8</v>
      </c>
      <c r="FU117">
        <v>27</v>
      </c>
      <c r="FV117">
        <v>1.78223</v>
      </c>
      <c r="FW117">
        <v>2.5903299999999998</v>
      </c>
      <c r="FX117">
        <v>1.5490699999999999</v>
      </c>
      <c r="FY117">
        <v>2.3278799999999999</v>
      </c>
      <c r="FZ117">
        <v>1.50146</v>
      </c>
      <c r="GA117">
        <v>2.2802699999999998</v>
      </c>
      <c r="GB117">
        <v>33.986499999999999</v>
      </c>
      <c r="GC117">
        <v>23.982399999999998</v>
      </c>
      <c r="GD117">
        <v>19</v>
      </c>
      <c r="GE117">
        <v>283.76499999999999</v>
      </c>
      <c r="GF117">
        <v>593.52300000000002</v>
      </c>
      <c r="GG117">
        <v>23.451699999999999</v>
      </c>
      <c r="GH117">
        <v>26.314299999999999</v>
      </c>
      <c r="GI117">
        <v>30.0001</v>
      </c>
      <c r="GJ117">
        <v>26.481300000000001</v>
      </c>
      <c r="GK117">
        <v>26.475899999999999</v>
      </c>
      <c r="GL117">
        <v>35.625900000000001</v>
      </c>
      <c r="GM117">
        <v>44.929299999999998</v>
      </c>
      <c r="GN117">
        <v>87.548199999999994</v>
      </c>
      <c r="GO117">
        <v>23.346800000000002</v>
      </c>
      <c r="GP117">
        <v>800</v>
      </c>
      <c r="GQ117">
        <v>13.858000000000001</v>
      </c>
      <c r="GR117">
        <v>99.745699999999999</v>
      </c>
      <c r="GS117">
        <v>99.605599999999995</v>
      </c>
    </row>
    <row r="118" spans="1:201" x14ac:dyDescent="0.25">
      <c r="A118">
        <v>102</v>
      </c>
      <c r="B118">
        <v>1690230705</v>
      </c>
      <c r="C118">
        <v>1199.900000095367</v>
      </c>
      <c r="D118" t="s">
        <v>537</v>
      </c>
      <c r="E118" t="s">
        <v>538</v>
      </c>
      <c r="F118" t="s">
        <v>330</v>
      </c>
      <c r="H118">
        <v>1690230705</v>
      </c>
      <c r="I118">
        <f t="shared" si="30"/>
        <v>8.4758393048393475E-4</v>
      </c>
      <c r="J118">
        <f t="shared" si="31"/>
        <v>0.84758393048393477</v>
      </c>
      <c r="K118">
        <f t="shared" si="32"/>
        <v>13.950177738874483</v>
      </c>
      <c r="L118">
        <f t="shared" si="33"/>
        <v>647.94899999999996</v>
      </c>
      <c r="M118">
        <f t="shared" si="34"/>
        <v>234.06449303498587</v>
      </c>
      <c r="N118">
        <f t="shared" si="35"/>
        <v>23.20568750653262</v>
      </c>
      <c r="O118">
        <f t="shared" si="36"/>
        <v>64.239141183719994</v>
      </c>
      <c r="P118">
        <f t="shared" si="37"/>
        <v>5.6051453556985861E-2</v>
      </c>
      <c r="Q118">
        <f t="shared" si="38"/>
        <v>2.1765844527769818</v>
      </c>
      <c r="R118">
        <f t="shared" si="39"/>
        <v>5.5261736244631862E-2</v>
      </c>
      <c r="S118">
        <f t="shared" si="40"/>
        <v>3.4608611169077964E-2</v>
      </c>
      <c r="T118">
        <f t="shared" si="41"/>
        <v>276.11461989000009</v>
      </c>
      <c r="U118">
        <f t="shared" si="42"/>
        <v>27.609740961369372</v>
      </c>
      <c r="V118">
        <f t="shared" si="43"/>
        <v>27.609740961369372</v>
      </c>
      <c r="W118">
        <f t="shared" si="44"/>
        <v>3.7093562540602978</v>
      </c>
      <c r="X118">
        <f t="shared" si="45"/>
        <v>67.178010379448025</v>
      </c>
      <c r="Y118">
        <f t="shared" si="46"/>
        <v>2.2343299074480001</v>
      </c>
      <c r="Z118">
        <f t="shared" si="47"/>
        <v>3.3259840457132017</v>
      </c>
      <c r="AA118">
        <f t="shared" si="48"/>
        <v>1.4750263466122977</v>
      </c>
      <c r="AB118">
        <f t="shared" si="49"/>
        <v>-37.37845133434152</v>
      </c>
      <c r="AC118">
        <f t="shared" si="50"/>
        <v>-217.44327751835141</v>
      </c>
      <c r="AD118">
        <f t="shared" si="51"/>
        <v>-21.491815474124479</v>
      </c>
      <c r="AE118">
        <f t="shared" si="52"/>
        <v>-0.19892443681732175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52519.290945208966</v>
      </c>
      <c r="AK118">
        <f t="shared" si="56"/>
        <v>1800</v>
      </c>
      <c r="AL118">
        <f t="shared" si="57"/>
        <v>1499.1114599999999</v>
      </c>
      <c r="AM118">
        <f t="shared" si="58"/>
        <v>0.83283969999999996</v>
      </c>
      <c r="AN118">
        <f t="shared" si="59"/>
        <v>0.15339701105000003</v>
      </c>
      <c r="AO118">
        <v>31.5</v>
      </c>
      <c r="AP118">
        <v>0.5</v>
      </c>
      <c r="AQ118" t="s">
        <v>331</v>
      </c>
      <c r="AR118">
        <v>2</v>
      </c>
      <c r="AS118">
        <v>1690230705</v>
      </c>
      <c r="AT118">
        <v>647.94899999999996</v>
      </c>
      <c r="AU118">
        <v>800.09500000000003</v>
      </c>
      <c r="AV118">
        <v>22.5366</v>
      </c>
      <c r="AW118">
        <v>13.8431</v>
      </c>
      <c r="AX118">
        <v>648.04899999999998</v>
      </c>
      <c r="AY118">
        <v>22.358000000000001</v>
      </c>
      <c r="AZ118">
        <v>300.19200000000001</v>
      </c>
      <c r="BA118">
        <v>99.042199999999994</v>
      </c>
      <c r="BB118">
        <v>0.10008</v>
      </c>
      <c r="BC118">
        <v>25.756699999999999</v>
      </c>
      <c r="BD118">
        <v>26.9986</v>
      </c>
      <c r="BE118">
        <v>27.593699999999998</v>
      </c>
      <c r="BF118">
        <v>0</v>
      </c>
      <c r="BG118">
        <v>0</v>
      </c>
      <c r="BH118">
        <v>9986.25</v>
      </c>
      <c r="BI118">
        <v>1059.49</v>
      </c>
      <c r="BJ118">
        <v>1.4016500000000001</v>
      </c>
      <c r="BK118">
        <v>-152.14599999999999</v>
      </c>
      <c r="BL118">
        <v>662.88800000000003</v>
      </c>
      <c r="BM118">
        <v>811.327</v>
      </c>
      <c r="BN118">
        <v>8.6935500000000001</v>
      </c>
      <c r="BO118">
        <v>800.09500000000003</v>
      </c>
      <c r="BP118">
        <v>13.8431</v>
      </c>
      <c r="BQ118">
        <v>2.2320799999999998</v>
      </c>
      <c r="BR118">
        <v>1.3710500000000001</v>
      </c>
      <c r="BS118">
        <v>19.194400000000002</v>
      </c>
      <c r="BT118">
        <v>11.6012</v>
      </c>
      <c r="BU118">
        <v>1800</v>
      </c>
      <c r="BV118">
        <v>0.91000800000000004</v>
      </c>
      <c r="BW118">
        <v>3.4005100000000003E-2</v>
      </c>
      <c r="BX118">
        <v>2.1995500000000001E-2</v>
      </c>
      <c r="BY118">
        <v>3.3991100000000003E-2</v>
      </c>
      <c r="BZ118">
        <v>26</v>
      </c>
      <c r="CA118">
        <v>33528.5</v>
      </c>
      <c r="CB118">
        <v>1690229084.0999999</v>
      </c>
      <c r="CC118" t="s">
        <v>332</v>
      </c>
      <c r="CD118">
        <v>1690229084.0999999</v>
      </c>
      <c r="CE118">
        <v>1690229076.5999999</v>
      </c>
      <c r="CF118">
        <v>13</v>
      </c>
      <c r="CG118">
        <v>0.23300000000000001</v>
      </c>
      <c r="CH118">
        <v>-0.13100000000000001</v>
      </c>
      <c r="CI118">
        <v>-0.20599999999999999</v>
      </c>
      <c r="CJ118">
        <v>8.7999999999999995E-2</v>
      </c>
      <c r="CK118">
        <v>799</v>
      </c>
      <c r="CL118">
        <v>16</v>
      </c>
      <c r="CM118">
        <v>0.04</v>
      </c>
      <c r="CN118">
        <v>0.04</v>
      </c>
      <c r="CO118">
        <v>-149.237075</v>
      </c>
      <c r="CP118">
        <v>-17.235275797373241</v>
      </c>
      <c r="CQ118">
        <v>1.658514989192138</v>
      </c>
      <c r="CR118">
        <v>-1</v>
      </c>
      <c r="CS118">
        <v>8.5562174999999989</v>
      </c>
      <c r="CT118">
        <v>0.91745831144461998</v>
      </c>
      <c r="CU118">
        <v>8.8850172390097182E-2</v>
      </c>
      <c r="CV118">
        <v>-1</v>
      </c>
      <c r="CW118">
        <v>0</v>
      </c>
      <c r="CX118">
        <v>0</v>
      </c>
      <c r="CY118" t="s">
        <v>333</v>
      </c>
      <c r="CZ118">
        <v>2.36443</v>
      </c>
      <c r="DA118">
        <v>2.7138599999999999</v>
      </c>
      <c r="DB118">
        <v>0.12704699999999999</v>
      </c>
      <c r="DC118">
        <v>0.14616100000000001</v>
      </c>
      <c r="DD118">
        <v>0.10889600000000001</v>
      </c>
      <c r="DE118">
        <v>7.5547699999999995E-2</v>
      </c>
      <c r="DF118">
        <v>31876.799999999999</v>
      </c>
      <c r="DG118">
        <v>27525.599999999999</v>
      </c>
      <c r="DH118">
        <v>31174</v>
      </c>
      <c r="DI118">
        <v>28090.5</v>
      </c>
      <c r="DJ118">
        <v>37716.9</v>
      </c>
      <c r="DK118">
        <v>36930.699999999997</v>
      </c>
      <c r="DL118">
        <v>44366.1</v>
      </c>
      <c r="DM118">
        <v>42581</v>
      </c>
      <c r="DN118">
        <v>1.4770300000000001</v>
      </c>
      <c r="DO118">
        <v>2.0466700000000002</v>
      </c>
      <c r="DP118">
        <v>0.13706099999999999</v>
      </c>
      <c r="DQ118">
        <v>0.18437600000000001</v>
      </c>
      <c r="DR118">
        <v>24.753</v>
      </c>
      <c r="DS118">
        <v>24.573899999999998</v>
      </c>
      <c r="DT118">
        <v>55.5</v>
      </c>
      <c r="DU118">
        <v>29.2</v>
      </c>
      <c r="DV118">
        <v>22.7957</v>
      </c>
      <c r="DW118">
        <v>61.829799999999999</v>
      </c>
      <c r="DX118">
        <v>36.726799999999997</v>
      </c>
      <c r="DY118">
        <v>1</v>
      </c>
      <c r="DZ118">
        <v>-8.2769300000000004E-2</v>
      </c>
      <c r="EA118">
        <v>0.66651400000000005</v>
      </c>
      <c r="EB118">
        <v>20.1875</v>
      </c>
      <c r="EC118">
        <v>5.2404999999999999</v>
      </c>
      <c r="ED118">
        <v>12.039899999999999</v>
      </c>
      <c r="EE118">
        <v>5.0166000000000004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1.8646400000000001</v>
      </c>
      <c r="EM118">
        <v>1.8691899999999999</v>
      </c>
      <c r="EN118">
        <v>1.8672299999999999</v>
      </c>
      <c r="EO118">
        <v>1.8633999999999999</v>
      </c>
      <c r="EP118">
        <v>1.8645</v>
      </c>
      <c r="EQ118">
        <v>1.87015</v>
      </c>
      <c r="ER118">
        <v>1.8694500000000001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</v>
      </c>
      <c r="FG118">
        <v>0.17860000000000001</v>
      </c>
      <c r="FH118">
        <v>0.3448811944559278</v>
      </c>
      <c r="FI118">
        <v>-6.1462078757559423E-4</v>
      </c>
      <c r="FJ118">
        <v>-1.8861989874597051E-7</v>
      </c>
      <c r="FK118">
        <v>1.1980462299894961E-10</v>
      </c>
      <c r="FL118">
        <v>0.17862261546663211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27</v>
      </c>
      <c r="FU118">
        <v>27.1</v>
      </c>
      <c r="FV118">
        <v>1.78101</v>
      </c>
      <c r="FW118">
        <v>2.5866699999999998</v>
      </c>
      <c r="FX118">
        <v>1.5490699999999999</v>
      </c>
      <c r="FY118">
        <v>2.3278799999999999</v>
      </c>
      <c r="FZ118">
        <v>1.50146</v>
      </c>
      <c r="GA118">
        <v>2.4084500000000002</v>
      </c>
      <c r="GB118">
        <v>33.986499999999999</v>
      </c>
      <c r="GC118">
        <v>23.991199999999999</v>
      </c>
      <c r="GD118">
        <v>19</v>
      </c>
      <c r="GE118">
        <v>283.79199999999997</v>
      </c>
      <c r="GF118">
        <v>593.26499999999999</v>
      </c>
      <c r="GG118">
        <v>23.339500000000001</v>
      </c>
      <c r="GH118">
        <v>26.311599999999999</v>
      </c>
      <c r="GI118">
        <v>30</v>
      </c>
      <c r="GJ118">
        <v>26.477599999999999</v>
      </c>
      <c r="GK118">
        <v>26.473400000000002</v>
      </c>
      <c r="GL118">
        <v>35.615600000000001</v>
      </c>
      <c r="GM118">
        <v>45.2121</v>
      </c>
      <c r="GN118">
        <v>87.155799999999999</v>
      </c>
      <c r="GO118">
        <v>23.3431</v>
      </c>
      <c r="GP118">
        <v>800</v>
      </c>
      <c r="GQ118">
        <v>13.8063</v>
      </c>
      <c r="GR118">
        <v>99.746799999999993</v>
      </c>
      <c r="GS118">
        <v>99.6066</v>
      </c>
    </row>
    <row r="119" spans="1:201" x14ac:dyDescent="0.25">
      <c r="A119">
        <v>103</v>
      </c>
      <c r="B119">
        <v>1690230715</v>
      </c>
      <c r="C119">
        <v>1209.900000095367</v>
      </c>
      <c r="D119" t="s">
        <v>539</v>
      </c>
      <c r="E119" t="s">
        <v>540</v>
      </c>
      <c r="F119" t="s">
        <v>330</v>
      </c>
      <c r="H119">
        <v>1690230715</v>
      </c>
      <c r="I119">
        <f t="shared" si="30"/>
        <v>8.520077201253258E-4</v>
      </c>
      <c r="J119">
        <f t="shared" si="31"/>
        <v>0.85200772012532577</v>
      </c>
      <c r="K119">
        <f t="shared" si="32"/>
        <v>14.215903706327959</v>
      </c>
      <c r="L119">
        <f t="shared" si="33"/>
        <v>645.07000000000005</v>
      </c>
      <c r="M119">
        <f t="shared" si="34"/>
        <v>227.00527715206252</v>
      </c>
      <c r="N119">
        <f t="shared" si="35"/>
        <v>22.506383790076306</v>
      </c>
      <c r="O119">
        <f t="shared" si="36"/>
        <v>63.955310526721007</v>
      </c>
      <c r="P119">
        <f t="shared" si="37"/>
        <v>5.6515204052214184E-2</v>
      </c>
      <c r="Q119">
        <f t="shared" si="38"/>
        <v>2.1829855014443535</v>
      </c>
      <c r="R119">
        <f t="shared" si="39"/>
        <v>5.5714783764079338E-2</v>
      </c>
      <c r="S119">
        <f t="shared" si="40"/>
        <v>3.4892710012190686E-2</v>
      </c>
      <c r="T119">
        <f t="shared" si="41"/>
        <v>276.11474516999999</v>
      </c>
      <c r="U119">
        <f t="shared" si="42"/>
        <v>27.588006708789994</v>
      </c>
      <c r="V119">
        <f t="shared" si="43"/>
        <v>27.588006708789994</v>
      </c>
      <c r="W119">
        <f t="shared" si="44"/>
        <v>3.7046453242721795</v>
      </c>
      <c r="X119">
        <f t="shared" si="45"/>
        <v>67.226034646431785</v>
      </c>
      <c r="Y119">
        <f t="shared" si="46"/>
        <v>2.2338999956515098</v>
      </c>
      <c r="Z119">
        <f t="shared" si="47"/>
        <v>3.322968560321117</v>
      </c>
      <c r="AA119">
        <f t="shared" si="48"/>
        <v>1.4707453286206698</v>
      </c>
      <c r="AB119">
        <f t="shared" si="49"/>
        <v>-37.573540457526867</v>
      </c>
      <c r="AC119">
        <f t="shared" si="50"/>
        <v>-217.32550811740555</v>
      </c>
      <c r="AD119">
        <f t="shared" si="51"/>
        <v>-21.413218968408216</v>
      </c>
      <c r="AE119">
        <f t="shared" si="52"/>
        <v>-0.19752237334063238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52788.341258966269</v>
      </c>
      <c r="AK119">
        <f t="shared" si="56"/>
        <v>1800</v>
      </c>
      <c r="AL119">
        <f t="shared" si="57"/>
        <v>1499.1129989999999</v>
      </c>
      <c r="AM119">
        <f t="shared" si="58"/>
        <v>0.83284055499999998</v>
      </c>
      <c r="AN119">
        <f t="shared" si="59"/>
        <v>0.15339708064999999</v>
      </c>
      <c r="AO119">
        <v>31.5</v>
      </c>
      <c r="AP119">
        <v>0.5</v>
      </c>
      <c r="AQ119" t="s">
        <v>331</v>
      </c>
      <c r="AR119">
        <v>2</v>
      </c>
      <c r="AS119">
        <v>1690230715</v>
      </c>
      <c r="AT119">
        <v>645.07000000000005</v>
      </c>
      <c r="AU119">
        <v>800.01900000000001</v>
      </c>
      <c r="AV119">
        <v>22.531700000000001</v>
      </c>
      <c r="AW119">
        <v>13.792199999999999</v>
      </c>
      <c r="AX119">
        <v>645.16800000000001</v>
      </c>
      <c r="AY119">
        <v>22.353000000000002</v>
      </c>
      <c r="AZ119">
        <v>300.17200000000003</v>
      </c>
      <c r="BA119">
        <v>99.044799999999995</v>
      </c>
      <c r="BB119">
        <v>9.9960300000000002E-2</v>
      </c>
      <c r="BC119">
        <v>25.741399999999999</v>
      </c>
      <c r="BD119">
        <v>26.986499999999999</v>
      </c>
      <c r="BE119">
        <v>27.559799999999999</v>
      </c>
      <c r="BF119">
        <v>0</v>
      </c>
      <c r="BG119">
        <v>0</v>
      </c>
      <c r="BH119">
        <v>10038.799999999999</v>
      </c>
      <c r="BI119">
        <v>1059.5999999999999</v>
      </c>
      <c r="BJ119">
        <v>1.4016500000000001</v>
      </c>
      <c r="BK119">
        <v>-154.94900000000001</v>
      </c>
      <c r="BL119">
        <v>659.94</v>
      </c>
      <c r="BM119">
        <v>811.20799999999997</v>
      </c>
      <c r="BN119">
        <v>8.73949</v>
      </c>
      <c r="BO119">
        <v>800.01900000000001</v>
      </c>
      <c r="BP119">
        <v>13.792199999999999</v>
      </c>
      <c r="BQ119">
        <v>2.2316400000000001</v>
      </c>
      <c r="BR119">
        <v>1.3660399999999999</v>
      </c>
      <c r="BS119">
        <v>19.191299999999998</v>
      </c>
      <c r="BT119">
        <v>11.5458</v>
      </c>
      <c r="BU119">
        <v>1800</v>
      </c>
      <c r="BV119">
        <v>0.91001100000000001</v>
      </c>
      <c r="BW119">
        <v>3.4004199999999998E-2</v>
      </c>
      <c r="BX119">
        <v>2.1995000000000001E-2</v>
      </c>
      <c r="BY119">
        <v>3.3990300000000001E-2</v>
      </c>
      <c r="BZ119">
        <v>26</v>
      </c>
      <c r="CA119">
        <v>33528.400000000001</v>
      </c>
      <c r="CB119">
        <v>1690229084.0999999</v>
      </c>
      <c r="CC119" t="s">
        <v>332</v>
      </c>
      <c r="CD119">
        <v>1690229084.0999999</v>
      </c>
      <c r="CE119">
        <v>1690229076.5999999</v>
      </c>
      <c r="CF119">
        <v>13</v>
      </c>
      <c r="CG119">
        <v>0.23300000000000001</v>
      </c>
      <c r="CH119">
        <v>-0.13100000000000001</v>
      </c>
      <c r="CI119">
        <v>-0.20599999999999999</v>
      </c>
      <c r="CJ119">
        <v>8.7999999999999995E-2</v>
      </c>
      <c r="CK119">
        <v>799</v>
      </c>
      <c r="CL119">
        <v>16</v>
      </c>
      <c r="CM119">
        <v>0.04</v>
      </c>
      <c r="CN119">
        <v>0.04</v>
      </c>
      <c r="CO119">
        <v>-151.74562499999999</v>
      </c>
      <c r="CP119">
        <v>-16.425962476547369</v>
      </c>
      <c r="CQ119">
        <v>1.580928962469534</v>
      </c>
      <c r="CR119">
        <v>-1</v>
      </c>
      <c r="CS119">
        <v>8.6644172499999996</v>
      </c>
      <c r="CT119">
        <v>0.49361009380859971</v>
      </c>
      <c r="CU119">
        <v>4.9023692944712947E-2</v>
      </c>
      <c r="CV119">
        <v>-1</v>
      </c>
      <c r="CW119">
        <v>0</v>
      </c>
      <c r="CX119">
        <v>0</v>
      </c>
      <c r="CY119" t="s">
        <v>333</v>
      </c>
      <c r="CZ119">
        <v>2.36435</v>
      </c>
      <c r="DA119">
        <v>2.7137899999999999</v>
      </c>
      <c r="DB119">
        <v>0.12665899999999999</v>
      </c>
      <c r="DC119">
        <v>0.14615500000000001</v>
      </c>
      <c r="DD119">
        <v>0.10888200000000001</v>
      </c>
      <c r="DE119">
        <v>7.5344099999999997E-2</v>
      </c>
      <c r="DF119">
        <v>31891.200000000001</v>
      </c>
      <c r="DG119">
        <v>27526</v>
      </c>
      <c r="DH119">
        <v>31174.2</v>
      </c>
      <c r="DI119">
        <v>28090.7</v>
      </c>
      <c r="DJ119">
        <v>37718</v>
      </c>
      <c r="DK119">
        <v>36939.1</v>
      </c>
      <c r="DL119">
        <v>44366.7</v>
      </c>
      <c r="DM119">
        <v>42581.3</v>
      </c>
      <c r="DN119">
        <v>1.4769300000000001</v>
      </c>
      <c r="DO119">
        <v>2.0467300000000002</v>
      </c>
      <c r="DP119">
        <v>0.13605500000000001</v>
      </c>
      <c r="DQ119">
        <v>0.181891</v>
      </c>
      <c r="DR119">
        <v>24.757400000000001</v>
      </c>
      <c r="DS119">
        <v>24.5806</v>
      </c>
      <c r="DT119">
        <v>55.4</v>
      </c>
      <c r="DU119">
        <v>29.2</v>
      </c>
      <c r="DV119">
        <v>22.755299999999998</v>
      </c>
      <c r="DW119">
        <v>61.729799999999997</v>
      </c>
      <c r="DX119">
        <v>35.6691</v>
      </c>
      <c r="DY119">
        <v>1</v>
      </c>
      <c r="DZ119">
        <v>-8.3084400000000003E-2</v>
      </c>
      <c r="EA119">
        <v>0.49461899999999998</v>
      </c>
      <c r="EB119">
        <v>20.188300000000002</v>
      </c>
      <c r="EC119">
        <v>5.2403500000000003</v>
      </c>
      <c r="ED119">
        <v>12.039899999999999</v>
      </c>
      <c r="EE119">
        <v>5.0166500000000003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1.86463</v>
      </c>
      <c r="EM119">
        <v>1.8692</v>
      </c>
      <c r="EN119">
        <v>1.8672299999999999</v>
      </c>
      <c r="EO119">
        <v>1.8633999999999999</v>
      </c>
      <c r="EP119">
        <v>1.8644799999999999</v>
      </c>
      <c r="EQ119">
        <v>1.87015</v>
      </c>
      <c r="ER119">
        <v>1.86941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-9.8000000000000004E-2</v>
      </c>
      <c r="FG119">
        <v>0.1787</v>
      </c>
      <c r="FH119">
        <v>0.3448811944559278</v>
      </c>
      <c r="FI119">
        <v>-6.1462078757559423E-4</v>
      </c>
      <c r="FJ119">
        <v>-1.8861989874597051E-7</v>
      </c>
      <c r="FK119">
        <v>1.1980462299894961E-10</v>
      </c>
      <c r="FL119">
        <v>0.17862261546663211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27.2</v>
      </c>
      <c r="FU119">
        <v>27.3</v>
      </c>
      <c r="FV119">
        <v>1.78101</v>
      </c>
      <c r="FW119">
        <v>2.5903299999999998</v>
      </c>
      <c r="FX119">
        <v>1.5490699999999999</v>
      </c>
      <c r="FY119">
        <v>2.3278799999999999</v>
      </c>
      <c r="FZ119">
        <v>1.50146</v>
      </c>
      <c r="GA119">
        <v>2.2985799999999998</v>
      </c>
      <c r="GB119">
        <v>33.963900000000002</v>
      </c>
      <c r="GC119">
        <v>23.982399999999998</v>
      </c>
      <c r="GD119">
        <v>19</v>
      </c>
      <c r="GE119">
        <v>283.73599999999999</v>
      </c>
      <c r="GF119">
        <v>593.28099999999995</v>
      </c>
      <c r="GG119">
        <v>23.341699999999999</v>
      </c>
      <c r="GH119">
        <v>26.308599999999998</v>
      </c>
      <c r="GI119">
        <v>30</v>
      </c>
      <c r="GJ119">
        <v>26.474699999999999</v>
      </c>
      <c r="GK119">
        <v>26.4712</v>
      </c>
      <c r="GL119">
        <v>35.618699999999997</v>
      </c>
      <c r="GM119">
        <v>45.497799999999998</v>
      </c>
      <c r="GN119">
        <v>86.765799999999999</v>
      </c>
      <c r="GO119">
        <v>23.3719</v>
      </c>
      <c r="GP119">
        <v>800</v>
      </c>
      <c r="GQ119">
        <v>13.683299999999999</v>
      </c>
      <c r="GR119">
        <v>99.747900000000001</v>
      </c>
      <c r="GS119">
        <v>99.607399999999998</v>
      </c>
    </row>
    <row r="120" spans="1:201" x14ac:dyDescent="0.25">
      <c r="A120">
        <v>104</v>
      </c>
      <c r="B120">
        <v>1690230725</v>
      </c>
      <c r="C120">
        <v>1219.900000095367</v>
      </c>
      <c r="D120" t="s">
        <v>541</v>
      </c>
      <c r="E120" t="s">
        <v>542</v>
      </c>
      <c r="F120" t="s">
        <v>330</v>
      </c>
      <c r="H120">
        <v>1690230725</v>
      </c>
      <c r="I120">
        <f t="shared" si="30"/>
        <v>8.6650670374418832E-4</v>
      </c>
      <c r="J120">
        <f t="shared" si="31"/>
        <v>0.86650670374418837</v>
      </c>
      <c r="K120">
        <f t="shared" si="32"/>
        <v>14.473945324642811</v>
      </c>
      <c r="L120">
        <f t="shared" si="33"/>
        <v>642.28499999999997</v>
      </c>
      <c r="M120">
        <f t="shared" si="34"/>
        <v>224.00788576010979</v>
      </c>
      <c r="N120">
        <f t="shared" si="35"/>
        <v>22.210638362144081</v>
      </c>
      <c r="O120">
        <f t="shared" si="36"/>
        <v>63.683293166325001</v>
      </c>
      <c r="P120">
        <f t="shared" si="37"/>
        <v>5.7514322116006697E-2</v>
      </c>
      <c r="Q120">
        <f t="shared" si="38"/>
        <v>2.178435668387996</v>
      </c>
      <c r="R120">
        <f t="shared" si="39"/>
        <v>5.6683870617852135E-2</v>
      </c>
      <c r="S120">
        <f t="shared" si="40"/>
        <v>3.5501032964918515E-2</v>
      </c>
      <c r="T120">
        <f t="shared" si="41"/>
        <v>276.11448213600005</v>
      </c>
      <c r="U120">
        <f t="shared" si="42"/>
        <v>27.593646844542199</v>
      </c>
      <c r="V120">
        <f t="shared" si="43"/>
        <v>27.593646844542199</v>
      </c>
      <c r="W120">
        <f t="shared" si="44"/>
        <v>3.7058673297071216</v>
      </c>
      <c r="X120">
        <f t="shared" si="45"/>
        <v>67.248598125944767</v>
      </c>
      <c r="Y120">
        <f t="shared" si="46"/>
        <v>2.2355906116585</v>
      </c>
      <c r="Z120">
        <f t="shared" si="47"/>
        <v>3.3243676061047887</v>
      </c>
      <c r="AA120">
        <f t="shared" si="48"/>
        <v>1.4702767180486216</v>
      </c>
      <c r="AB120">
        <f t="shared" si="49"/>
        <v>-38.212945635118707</v>
      </c>
      <c r="AC120">
        <f t="shared" si="50"/>
        <v>-216.70110081090991</v>
      </c>
      <c r="AD120">
        <f t="shared" si="51"/>
        <v>-21.397654590802038</v>
      </c>
      <c r="AE120">
        <f t="shared" si="52"/>
        <v>-0.19721890083059179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52597.854699573858</v>
      </c>
      <c r="AK120">
        <f t="shared" si="56"/>
        <v>1800</v>
      </c>
      <c r="AL120">
        <f t="shared" si="57"/>
        <v>1499.1121836</v>
      </c>
      <c r="AM120">
        <f t="shared" si="58"/>
        <v>0.83284010200000003</v>
      </c>
      <c r="AN120">
        <f t="shared" si="59"/>
        <v>0.15339693452000003</v>
      </c>
      <c r="AO120">
        <v>31.5</v>
      </c>
      <c r="AP120">
        <v>0.5</v>
      </c>
      <c r="AQ120" t="s">
        <v>331</v>
      </c>
      <c r="AR120">
        <v>2</v>
      </c>
      <c r="AS120">
        <v>1690230725</v>
      </c>
      <c r="AT120">
        <v>642.28499999999997</v>
      </c>
      <c r="AU120">
        <v>800.03099999999995</v>
      </c>
      <c r="AV120">
        <v>22.5473</v>
      </c>
      <c r="AW120">
        <v>13.658300000000001</v>
      </c>
      <c r="AX120">
        <v>642.38099999999997</v>
      </c>
      <c r="AY120">
        <v>22.368600000000001</v>
      </c>
      <c r="AZ120">
        <v>300.14100000000002</v>
      </c>
      <c r="BA120">
        <v>99.051100000000005</v>
      </c>
      <c r="BB120">
        <v>0.100045</v>
      </c>
      <c r="BC120">
        <v>25.7485</v>
      </c>
      <c r="BD120">
        <v>26.977399999999999</v>
      </c>
      <c r="BE120">
        <v>27.549800000000001</v>
      </c>
      <c r="BF120">
        <v>0</v>
      </c>
      <c r="BG120">
        <v>0</v>
      </c>
      <c r="BH120">
        <v>10000.6</v>
      </c>
      <c r="BI120">
        <v>1059.68</v>
      </c>
      <c r="BJ120">
        <v>1.4016500000000001</v>
      </c>
      <c r="BK120">
        <v>-157.74600000000001</v>
      </c>
      <c r="BL120">
        <v>657.101</v>
      </c>
      <c r="BM120">
        <v>811.11</v>
      </c>
      <c r="BN120">
        <v>8.8889800000000001</v>
      </c>
      <c r="BO120">
        <v>800.03099999999995</v>
      </c>
      <c r="BP120">
        <v>13.658300000000001</v>
      </c>
      <c r="BQ120">
        <v>2.23333</v>
      </c>
      <c r="BR120">
        <v>1.35287</v>
      </c>
      <c r="BS120">
        <v>19.203399999999998</v>
      </c>
      <c r="BT120">
        <v>11.3994</v>
      </c>
      <c r="BU120">
        <v>1800</v>
      </c>
      <c r="BV120">
        <v>0.91001200000000004</v>
      </c>
      <c r="BW120">
        <v>3.4003600000000002E-2</v>
      </c>
      <c r="BX120">
        <v>2.19946E-2</v>
      </c>
      <c r="BY120">
        <v>3.3989600000000002E-2</v>
      </c>
      <c r="BZ120">
        <v>26</v>
      </c>
      <c r="CA120">
        <v>33528.5</v>
      </c>
      <c r="CB120">
        <v>1690229084.0999999</v>
      </c>
      <c r="CC120" t="s">
        <v>332</v>
      </c>
      <c r="CD120">
        <v>1690229084.0999999</v>
      </c>
      <c r="CE120">
        <v>1690229076.5999999</v>
      </c>
      <c r="CF120">
        <v>13</v>
      </c>
      <c r="CG120">
        <v>0.23300000000000001</v>
      </c>
      <c r="CH120">
        <v>-0.13100000000000001</v>
      </c>
      <c r="CI120">
        <v>-0.20599999999999999</v>
      </c>
      <c r="CJ120">
        <v>8.7999999999999995E-2</v>
      </c>
      <c r="CK120">
        <v>799</v>
      </c>
      <c r="CL120">
        <v>16</v>
      </c>
      <c r="CM120">
        <v>0.04</v>
      </c>
      <c r="CN120">
        <v>0.04</v>
      </c>
      <c r="CO120">
        <v>-154.6353658536585</v>
      </c>
      <c r="CP120">
        <v>-17.189770034843281</v>
      </c>
      <c r="CQ120">
        <v>1.696180210111969</v>
      </c>
      <c r="CR120">
        <v>-1</v>
      </c>
      <c r="CS120">
        <v>8.7588012195121951</v>
      </c>
      <c r="CT120">
        <v>0.61533407665505246</v>
      </c>
      <c r="CU120">
        <v>6.4671436798150531E-2</v>
      </c>
      <c r="CV120">
        <v>-1</v>
      </c>
      <c r="CW120">
        <v>0</v>
      </c>
      <c r="CX120">
        <v>0</v>
      </c>
      <c r="CY120" t="s">
        <v>333</v>
      </c>
      <c r="CZ120">
        <v>2.3642599999999998</v>
      </c>
      <c r="DA120">
        <v>2.7138399999999998</v>
      </c>
      <c r="DB120">
        <v>0.12628700000000001</v>
      </c>
      <c r="DC120">
        <v>0.14616399999999999</v>
      </c>
      <c r="DD120">
        <v>0.108943</v>
      </c>
      <c r="DE120">
        <v>7.4807200000000004E-2</v>
      </c>
      <c r="DF120">
        <v>31905</v>
      </c>
      <c r="DG120">
        <v>27526</v>
      </c>
      <c r="DH120">
        <v>31174.400000000001</v>
      </c>
      <c r="DI120">
        <v>28091</v>
      </c>
      <c r="DJ120">
        <v>37715.599999999999</v>
      </c>
      <c r="DK120">
        <v>36961.1</v>
      </c>
      <c r="DL120">
        <v>44366.9</v>
      </c>
      <c r="DM120">
        <v>42581.9</v>
      </c>
      <c r="DN120">
        <v>1.47685</v>
      </c>
      <c r="DO120">
        <v>2.04623</v>
      </c>
      <c r="DP120">
        <v>0.13536999999999999</v>
      </c>
      <c r="DQ120">
        <v>0.181086</v>
      </c>
      <c r="DR120">
        <v>24.759499999999999</v>
      </c>
      <c r="DS120">
        <v>24.5837</v>
      </c>
      <c r="DT120">
        <v>55.3</v>
      </c>
      <c r="DU120">
        <v>29.2</v>
      </c>
      <c r="DV120">
        <v>22.715900000000001</v>
      </c>
      <c r="DW120">
        <v>61.719799999999999</v>
      </c>
      <c r="DX120">
        <v>36.762799999999999</v>
      </c>
      <c r="DY120">
        <v>1</v>
      </c>
      <c r="DZ120">
        <v>-8.3450200000000002E-2</v>
      </c>
      <c r="EA120">
        <v>0.44475199999999998</v>
      </c>
      <c r="EB120">
        <v>20.188600000000001</v>
      </c>
      <c r="EC120">
        <v>5.2404999999999999</v>
      </c>
      <c r="ED120">
        <v>12.039899999999999</v>
      </c>
      <c r="EE120">
        <v>5.0169499999999996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1.8689100000000001</v>
      </c>
      <c r="EL120">
        <v>1.8646400000000001</v>
      </c>
      <c r="EM120">
        <v>1.8691899999999999</v>
      </c>
      <c r="EN120">
        <v>1.8672299999999999</v>
      </c>
      <c r="EO120">
        <v>1.8633999999999999</v>
      </c>
      <c r="EP120">
        <v>1.8645</v>
      </c>
      <c r="EQ120">
        <v>1.87015</v>
      </c>
      <c r="ER120">
        <v>1.8694599999999999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-9.6000000000000002E-2</v>
      </c>
      <c r="FG120">
        <v>0.1787</v>
      </c>
      <c r="FH120">
        <v>0.3448811944559278</v>
      </c>
      <c r="FI120">
        <v>-6.1462078757559423E-4</v>
      </c>
      <c r="FJ120">
        <v>-1.8861989874597051E-7</v>
      </c>
      <c r="FK120">
        <v>1.1980462299894961E-10</v>
      </c>
      <c r="FL120">
        <v>0.17862261546663211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27.3</v>
      </c>
      <c r="FU120">
        <v>27.5</v>
      </c>
      <c r="FV120">
        <v>1.78101</v>
      </c>
      <c r="FW120">
        <v>2.5842299999999998</v>
      </c>
      <c r="FX120">
        <v>1.5490699999999999</v>
      </c>
      <c r="FY120">
        <v>2.3278799999999999</v>
      </c>
      <c r="FZ120">
        <v>1.50146</v>
      </c>
      <c r="GA120">
        <v>2.3901400000000002</v>
      </c>
      <c r="GB120">
        <v>33.963900000000002</v>
      </c>
      <c r="GC120">
        <v>23.991199999999999</v>
      </c>
      <c r="GD120">
        <v>19</v>
      </c>
      <c r="GE120">
        <v>283.69299999999998</v>
      </c>
      <c r="GF120">
        <v>592.81500000000005</v>
      </c>
      <c r="GG120">
        <v>23.380700000000001</v>
      </c>
      <c r="GH120">
        <v>26.3064</v>
      </c>
      <c r="GI120">
        <v>30</v>
      </c>
      <c r="GJ120">
        <v>26.4724</v>
      </c>
      <c r="GK120">
        <v>26.467099999999999</v>
      </c>
      <c r="GL120">
        <v>35.613100000000003</v>
      </c>
      <c r="GM120">
        <v>45.768999999999998</v>
      </c>
      <c r="GN120">
        <v>85.985100000000003</v>
      </c>
      <c r="GO120">
        <v>23.398900000000001</v>
      </c>
      <c r="GP120">
        <v>800</v>
      </c>
      <c r="GQ120">
        <v>13.5449</v>
      </c>
      <c r="GR120">
        <v>99.748500000000007</v>
      </c>
      <c r="GS120">
        <v>99.608500000000006</v>
      </c>
    </row>
    <row r="121" spans="1:201" x14ac:dyDescent="0.25">
      <c r="A121">
        <v>105</v>
      </c>
      <c r="B121">
        <v>1690230735</v>
      </c>
      <c r="C121">
        <v>1229.900000095367</v>
      </c>
      <c r="D121" t="s">
        <v>543</v>
      </c>
      <c r="E121" t="s">
        <v>544</v>
      </c>
      <c r="F121" t="s">
        <v>330</v>
      </c>
      <c r="H121">
        <v>1690230735</v>
      </c>
      <c r="I121">
        <f t="shared" si="30"/>
        <v>8.8200643379610707E-4</v>
      </c>
      <c r="J121">
        <f t="shared" si="31"/>
        <v>0.8820064337961071</v>
      </c>
      <c r="K121">
        <f t="shared" si="32"/>
        <v>14.734742072007037</v>
      </c>
      <c r="L121">
        <f t="shared" si="33"/>
        <v>639.56799999999998</v>
      </c>
      <c r="M121">
        <f t="shared" si="34"/>
        <v>221.97722780195357</v>
      </c>
      <c r="N121">
        <f t="shared" si="35"/>
        <v>22.008019265497989</v>
      </c>
      <c r="O121">
        <f t="shared" si="36"/>
        <v>63.410220070655996</v>
      </c>
      <c r="P121">
        <f t="shared" si="37"/>
        <v>5.8653418492920405E-2</v>
      </c>
      <c r="Q121">
        <f t="shared" si="38"/>
        <v>2.1770026161340614</v>
      </c>
      <c r="R121">
        <f t="shared" si="39"/>
        <v>5.7789453255331934E-2</v>
      </c>
      <c r="S121">
        <f t="shared" si="40"/>
        <v>3.6194971956426708E-2</v>
      </c>
      <c r="T121">
        <f t="shared" si="41"/>
        <v>276.11453835000003</v>
      </c>
      <c r="U121">
        <f t="shared" si="42"/>
        <v>27.591844973418272</v>
      </c>
      <c r="V121">
        <f t="shared" si="43"/>
        <v>27.591844973418272</v>
      </c>
      <c r="W121">
        <f t="shared" si="44"/>
        <v>3.705476893725836</v>
      </c>
      <c r="X121">
        <f t="shared" si="45"/>
        <v>67.300434031478275</v>
      </c>
      <c r="Y121">
        <f t="shared" si="46"/>
        <v>2.2376321811263997</v>
      </c>
      <c r="Z121">
        <f t="shared" si="47"/>
        <v>3.3248406393334657</v>
      </c>
      <c r="AA121">
        <f t="shared" si="48"/>
        <v>1.4678447125994363</v>
      </c>
      <c r="AB121">
        <f t="shared" si="49"/>
        <v>-38.89648373040832</v>
      </c>
      <c r="AC121">
        <f t="shared" si="50"/>
        <v>-216.06538795963345</v>
      </c>
      <c r="AD121">
        <f t="shared" si="51"/>
        <v>-21.34898965671275</v>
      </c>
      <c r="AE121">
        <f t="shared" si="52"/>
        <v>-0.19632299675450327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52537.748331176866</v>
      </c>
      <c r="AK121">
        <f t="shared" si="56"/>
        <v>1800</v>
      </c>
      <c r="AL121">
        <f t="shared" si="57"/>
        <v>1499.113431</v>
      </c>
      <c r="AM121">
        <f t="shared" si="58"/>
        <v>0.83284079499999997</v>
      </c>
      <c r="AN121">
        <f t="shared" si="59"/>
        <v>0.15339696575</v>
      </c>
      <c r="AO121">
        <v>31.5</v>
      </c>
      <c r="AP121">
        <v>0.5</v>
      </c>
      <c r="AQ121" t="s">
        <v>331</v>
      </c>
      <c r="AR121">
        <v>2</v>
      </c>
      <c r="AS121">
        <v>1690230735</v>
      </c>
      <c r="AT121">
        <v>639.56799999999998</v>
      </c>
      <c r="AU121">
        <v>800.04700000000003</v>
      </c>
      <c r="AV121">
        <v>22.569199999999999</v>
      </c>
      <c r="AW121">
        <v>13.5261</v>
      </c>
      <c r="AX121">
        <v>639.66200000000003</v>
      </c>
      <c r="AY121">
        <v>22.390599999999999</v>
      </c>
      <c r="AZ121">
        <v>300.29700000000003</v>
      </c>
      <c r="BA121">
        <v>99.045299999999997</v>
      </c>
      <c r="BB121">
        <v>0.100092</v>
      </c>
      <c r="BC121">
        <v>25.750900000000001</v>
      </c>
      <c r="BD121">
        <v>26.964700000000001</v>
      </c>
      <c r="BE121">
        <v>27.538900000000002</v>
      </c>
      <c r="BF121">
        <v>0</v>
      </c>
      <c r="BG121">
        <v>0</v>
      </c>
      <c r="BH121">
        <v>9989.3799999999992</v>
      </c>
      <c r="BI121">
        <v>1059.75</v>
      </c>
      <c r="BJ121">
        <v>1.4016500000000001</v>
      </c>
      <c r="BK121">
        <v>-160.47900000000001</v>
      </c>
      <c r="BL121">
        <v>654.33600000000001</v>
      </c>
      <c r="BM121">
        <v>811.01700000000005</v>
      </c>
      <c r="BN121">
        <v>9.04312</v>
      </c>
      <c r="BO121">
        <v>800.04700000000003</v>
      </c>
      <c r="BP121">
        <v>13.5261</v>
      </c>
      <c r="BQ121">
        <v>2.2353700000000001</v>
      </c>
      <c r="BR121">
        <v>1.33969</v>
      </c>
      <c r="BS121">
        <v>19.2181</v>
      </c>
      <c r="BT121">
        <v>11.2517</v>
      </c>
      <c r="BU121">
        <v>1800</v>
      </c>
      <c r="BV121">
        <v>0.91001500000000002</v>
      </c>
      <c r="BW121">
        <v>3.4002699999999997E-2</v>
      </c>
      <c r="BX121">
        <v>2.1994E-2</v>
      </c>
      <c r="BY121">
        <v>3.3988699999999997E-2</v>
      </c>
      <c r="BZ121">
        <v>26</v>
      </c>
      <c r="CA121">
        <v>33528.400000000001</v>
      </c>
      <c r="CB121">
        <v>1690229084.0999999</v>
      </c>
      <c r="CC121" t="s">
        <v>332</v>
      </c>
      <c r="CD121">
        <v>1690229084.0999999</v>
      </c>
      <c r="CE121">
        <v>1690229076.5999999</v>
      </c>
      <c r="CF121">
        <v>13</v>
      </c>
      <c r="CG121">
        <v>0.23300000000000001</v>
      </c>
      <c r="CH121">
        <v>-0.13100000000000001</v>
      </c>
      <c r="CI121">
        <v>-0.20599999999999999</v>
      </c>
      <c r="CJ121">
        <v>8.7999999999999995E-2</v>
      </c>
      <c r="CK121">
        <v>799</v>
      </c>
      <c r="CL121">
        <v>16</v>
      </c>
      <c r="CM121">
        <v>0.04</v>
      </c>
      <c r="CN121">
        <v>0.04</v>
      </c>
      <c r="CO121">
        <v>-157.68780000000001</v>
      </c>
      <c r="CP121">
        <v>-16.619369606003559</v>
      </c>
      <c r="CQ121">
        <v>1.5992998655661781</v>
      </c>
      <c r="CR121">
        <v>-1</v>
      </c>
      <c r="CS121">
        <v>8.8889005000000001</v>
      </c>
      <c r="CT121">
        <v>0.87950409005624175</v>
      </c>
      <c r="CU121">
        <v>8.5328110196757526E-2</v>
      </c>
      <c r="CV121">
        <v>-1</v>
      </c>
      <c r="CW121">
        <v>0</v>
      </c>
      <c r="CX121">
        <v>0</v>
      </c>
      <c r="CY121" t="s">
        <v>333</v>
      </c>
      <c r="CZ121">
        <v>2.3647900000000002</v>
      </c>
      <c r="DA121">
        <v>2.7138800000000001</v>
      </c>
      <c r="DB121">
        <v>0.12590899999999999</v>
      </c>
      <c r="DC121">
        <v>0.14615600000000001</v>
      </c>
      <c r="DD121">
        <v>0.109013</v>
      </c>
      <c r="DE121">
        <v>7.4265600000000001E-2</v>
      </c>
      <c r="DF121">
        <v>31919.3</v>
      </c>
      <c r="DG121">
        <v>27526.7</v>
      </c>
      <c r="DH121">
        <v>31174.9</v>
      </c>
      <c r="DI121">
        <v>28091.5</v>
      </c>
      <c r="DJ121">
        <v>37713</v>
      </c>
      <c r="DK121">
        <v>36983.300000000003</v>
      </c>
      <c r="DL121">
        <v>44367.4</v>
      </c>
      <c r="DM121">
        <v>42582.5</v>
      </c>
      <c r="DN121">
        <v>1.4776499999999999</v>
      </c>
      <c r="DO121">
        <v>2.0461</v>
      </c>
      <c r="DP121">
        <v>0.13459099999999999</v>
      </c>
      <c r="DQ121">
        <v>0.180341</v>
      </c>
      <c r="DR121">
        <v>24.759499999999999</v>
      </c>
      <c r="DS121">
        <v>24.585000000000001</v>
      </c>
      <c r="DT121">
        <v>55.2</v>
      </c>
      <c r="DU121">
        <v>29.2</v>
      </c>
      <c r="DV121">
        <v>22.671900000000001</v>
      </c>
      <c r="DW121">
        <v>61.469799999999999</v>
      </c>
      <c r="DX121">
        <v>35.665100000000002</v>
      </c>
      <c r="DY121">
        <v>1</v>
      </c>
      <c r="DZ121">
        <v>-8.3363800000000002E-2</v>
      </c>
      <c r="EA121">
        <v>0.44026999999999999</v>
      </c>
      <c r="EB121">
        <v>20.188700000000001</v>
      </c>
      <c r="EC121">
        <v>5.2409499999999998</v>
      </c>
      <c r="ED121">
        <v>12.039899999999999</v>
      </c>
      <c r="EE121">
        <v>5.0170000000000003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1.8646199999999999</v>
      </c>
      <c r="EM121">
        <v>1.8692</v>
      </c>
      <c r="EN121">
        <v>1.8672299999999999</v>
      </c>
      <c r="EO121">
        <v>1.8633900000000001</v>
      </c>
      <c r="EP121">
        <v>1.86449</v>
      </c>
      <c r="EQ121">
        <v>1.87016</v>
      </c>
      <c r="ER121">
        <v>1.8694599999999999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-9.4E-2</v>
      </c>
      <c r="FG121">
        <v>0.17860000000000001</v>
      </c>
      <c r="FH121">
        <v>0.3448811944559278</v>
      </c>
      <c r="FI121">
        <v>-6.1462078757559423E-4</v>
      </c>
      <c r="FJ121">
        <v>-1.8861989874597051E-7</v>
      </c>
      <c r="FK121">
        <v>1.1980462299894961E-10</v>
      </c>
      <c r="FL121">
        <v>0.17862261546663211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27.5</v>
      </c>
      <c r="FU121">
        <v>27.6</v>
      </c>
      <c r="FV121">
        <v>1.78101</v>
      </c>
      <c r="FW121">
        <v>2.5878899999999998</v>
      </c>
      <c r="FX121">
        <v>1.5490699999999999</v>
      </c>
      <c r="FY121">
        <v>2.3278799999999999</v>
      </c>
      <c r="FZ121">
        <v>1.50146</v>
      </c>
      <c r="GA121">
        <v>2.34375</v>
      </c>
      <c r="GB121">
        <v>33.986499999999999</v>
      </c>
      <c r="GC121">
        <v>23.982399999999998</v>
      </c>
      <c r="GD121">
        <v>19</v>
      </c>
      <c r="GE121">
        <v>284.02600000000001</v>
      </c>
      <c r="GF121">
        <v>592.68499999999995</v>
      </c>
      <c r="GG121">
        <v>23.410599999999999</v>
      </c>
      <c r="GH121">
        <v>26.304200000000002</v>
      </c>
      <c r="GI121">
        <v>30.0002</v>
      </c>
      <c r="GJ121">
        <v>26.470199999999998</v>
      </c>
      <c r="GK121">
        <v>26.4648</v>
      </c>
      <c r="GL121">
        <v>35.603200000000001</v>
      </c>
      <c r="GM121">
        <v>46.324199999999998</v>
      </c>
      <c r="GN121">
        <v>85.610699999999994</v>
      </c>
      <c r="GO121">
        <v>23.4253</v>
      </c>
      <c r="GP121">
        <v>800</v>
      </c>
      <c r="GQ121">
        <v>13.3964</v>
      </c>
      <c r="GR121">
        <v>99.749799999999993</v>
      </c>
      <c r="GS121">
        <v>99.610100000000003</v>
      </c>
    </row>
    <row r="122" spans="1:201" x14ac:dyDescent="0.25">
      <c r="A122">
        <v>106</v>
      </c>
      <c r="B122">
        <v>1690230745</v>
      </c>
      <c r="C122">
        <v>1239.900000095367</v>
      </c>
      <c r="D122" t="s">
        <v>545</v>
      </c>
      <c r="E122" t="s">
        <v>546</v>
      </c>
      <c r="F122" t="s">
        <v>330</v>
      </c>
      <c r="H122">
        <v>1690230745</v>
      </c>
      <c r="I122">
        <f t="shared" si="30"/>
        <v>8.9882645563317304E-4</v>
      </c>
      <c r="J122">
        <f t="shared" si="31"/>
        <v>0.89882645563317309</v>
      </c>
      <c r="K122">
        <f t="shared" si="32"/>
        <v>14.978433209279233</v>
      </c>
      <c r="L122">
        <f t="shared" si="33"/>
        <v>636.82600000000002</v>
      </c>
      <c r="M122">
        <f t="shared" si="34"/>
        <v>220.69467056308164</v>
      </c>
      <c r="N122">
        <f t="shared" si="35"/>
        <v>21.880841969713948</v>
      </c>
      <c r="O122">
        <f t="shared" si="36"/>
        <v>63.138312459712004</v>
      </c>
      <c r="P122">
        <f t="shared" si="37"/>
        <v>5.9844780845809624E-2</v>
      </c>
      <c r="Q122">
        <f t="shared" si="38"/>
        <v>2.1765458870617076</v>
      </c>
      <c r="R122">
        <f t="shared" si="39"/>
        <v>5.89454660661618E-2</v>
      </c>
      <c r="S122">
        <f t="shared" si="40"/>
        <v>3.6920590339943257E-2</v>
      </c>
      <c r="T122">
        <f t="shared" si="41"/>
        <v>276.11423396999999</v>
      </c>
      <c r="U122">
        <f t="shared" si="42"/>
        <v>27.592526839349524</v>
      </c>
      <c r="V122">
        <f t="shared" si="43"/>
        <v>27.592526839349524</v>
      </c>
      <c r="W122">
        <f t="shared" si="44"/>
        <v>3.7056246386911087</v>
      </c>
      <c r="X122">
        <f t="shared" si="45"/>
        <v>67.321356093973719</v>
      </c>
      <c r="Y122">
        <f t="shared" si="46"/>
        <v>2.2391373843328002</v>
      </c>
      <c r="Z122">
        <f t="shared" si="47"/>
        <v>3.3260431967638824</v>
      </c>
      <c r="AA122">
        <f t="shared" si="48"/>
        <v>1.4664872543583085</v>
      </c>
      <c r="AB122">
        <f t="shared" si="49"/>
        <v>-39.638246693422929</v>
      </c>
      <c r="AC122">
        <f t="shared" si="50"/>
        <v>-215.3842836714249</v>
      </c>
      <c r="AD122">
        <f t="shared" si="51"/>
        <v>-21.286878292058233</v>
      </c>
      <c r="AE122">
        <f t="shared" si="52"/>
        <v>-0.19517468690608553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52517.702976428307</v>
      </c>
      <c r="AK122">
        <f t="shared" si="56"/>
        <v>1800</v>
      </c>
      <c r="AL122">
        <f t="shared" si="57"/>
        <v>1499.112468</v>
      </c>
      <c r="AM122">
        <f t="shared" si="58"/>
        <v>0.83284026</v>
      </c>
      <c r="AN122">
        <f t="shared" si="59"/>
        <v>0.15339679665</v>
      </c>
      <c r="AO122">
        <v>31.5</v>
      </c>
      <c r="AP122">
        <v>0.5</v>
      </c>
      <c r="AQ122" t="s">
        <v>331</v>
      </c>
      <c r="AR122">
        <v>2</v>
      </c>
      <c r="AS122">
        <v>1690230745</v>
      </c>
      <c r="AT122">
        <v>636.82600000000002</v>
      </c>
      <c r="AU122">
        <v>800.03300000000002</v>
      </c>
      <c r="AV122">
        <v>22.584399999999999</v>
      </c>
      <c r="AW122">
        <v>13.3642</v>
      </c>
      <c r="AX122">
        <v>636.91800000000001</v>
      </c>
      <c r="AY122">
        <v>22.405799999999999</v>
      </c>
      <c r="AZ122">
        <v>300.14100000000002</v>
      </c>
      <c r="BA122">
        <v>99.045299999999997</v>
      </c>
      <c r="BB122">
        <v>0.100012</v>
      </c>
      <c r="BC122">
        <v>25.757000000000001</v>
      </c>
      <c r="BD122">
        <v>26.973299999999998</v>
      </c>
      <c r="BE122">
        <v>27.554600000000001</v>
      </c>
      <c r="BF122">
        <v>0</v>
      </c>
      <c r="BG122">
        <v>0</v>
      </c>
      <c r="BH122">
        <v>9985.6200000000008</v>
      </c>
      <c r="BI122">
        <v>1059.95</v>
      </c>
      <c r="BJ122">
        <v>1.4016500000000001</v>
      </c>
      <c r="BK122">
        <v>-163.208</v>
      </c>
      <c r="BL122">
        <v>651.54</v>
      </c>
      <c r="BM122">
        <v>810.87</v>
      </c>
      <c r="BN122">
        <v>9.2202300000000008</v>
      </c>
      <c r="BO122">
        <v>800.03300000000002</v>
      </c>
      <c r="BP122">
        <v>13.3642</v>
      </c>
      <c r="BQ122">
        <v>2.2368800000000002</v>
      </c>
      <c r="BR122">
        <v>1.3236600000000001</v>
      </c>
      <c r="BS122">
        <v>19.228899999999999</v>
      </c>
      <c r="BT122">
        <v>11.0702</v>
      </c>
      <c r="BU122">
        <v>1800</v>
      </c>
      <c r="BV122">
        <v>0.91001600000000005</v>
      </c>
      <c r="BW122">
        <v>3.4001999999999998E-2</v>
      </c>
      <c r="BX122">
        <v>2.1993499999999999E-2</v>
      </c>
      <c r="BY122">
        <v>3.39881E-2</v>
      </c>
      <c r="BZ122">
        <v>26</v>
      </c>
      <c r="CA122">
        <v>33528.5</v>
      </c>
      <c r="CB122">
        <v>1690229084.0999999</v>
      </c>
      <c r="CC122" t="s">
        <v>332</v>
      </c>
      <c r="CD122">
        <v>1690229084.0999999</v>
      </c>
      <c r="CE122">
        <v>1690229076.5999999</v>
      </c>
      <c r="CF122">
        <v>13</v>
      </c>
      <c r="CG122">
        <v>0.23300000000000001</v>
      </c>
      <c r="CH122">
        <v>-0.13100000000000001</v>
      </c>
      <c r="CI122">
        <v>-0.20599999999999999</v>
      </c>
      <c r="CJ122">
        <v>8.7999999999999995E-2</v>
      </c>
      <c r="CK122">
        <v>799</v>
      </c>
      <c r="CL122">
        <v>16</v>
      </c>
      <c r="CM122">
        <v>0.04</v>
      </c>
      <c r="CN122">
        <v>0.04</v>
      </c>
      <c r="CO122">
        <v>-160.4136</v>
      </c>
      <c r="CP122">
        <v>-16.220465290806342</v>
      </c>
      <c r="CQ122">
        <v>1.560802178368548</v>
      </c>
      <c r="CR122">
        <v>-1</v>
      </c>
      <c r="CS122">
        <v>9.0463190000000004</v>
      </c>
      <c r="CT122">
        <v>1.0603663789868489</v>
      </c>
      <c r="CU122">
        <v>0.1022482718142463</v>
      </c>
      <c r="CV122">
        <v>-1</v>
      </c>
      <c r="CW122">
        <v>0</v>
      </c>
      <c r="CX122">
        <v>0</v>
      </c>
      <c r="CY122" t="s">
        <v>333</v>
      </c>
      <c r="CZ122">
        <v>2.36429</v>
      </c>
      <c r="DA122">
        <v>2.7137899999999999</v>
      </c>
      <c r="DB122">
        <v>0.12553400000000001</v>
      </c>
      <c r="DC122">
        <v>0.146152</v>
      </c>
      <c r="DD122">
        <v>0.109066</v>
      </c>
      <c r="DE122">
        <v>7.3605100000000007E-2</v>
      </c>
      <c r="DF122">
        <v>31933.200000000001</v>
      </c>
      <c r="DG122">
        <v>27526.7</v>
      </c>
      <c r="DH122">
        <v>31175</v>
      </c>
      <c r="DI122">
        <v>28091.3</v>
      </c>
      <c r="DJ122">
        <v>37711</v>
      </c>
      <c r="DK122">
        <v>37009.599999999999</v>
      </c>
      <c r="DL122">
        <v>44367.8</v>
      </c>
      <c r="DM122">
        <v>42582.2</v>
      </c>
      <c r="DN122">
        <v>1.4771700000000001</v>
      </c>
      <c r="DO122">
        <v>2.0458799999999999</v>
      </c>
      <c r="DP122">
        <v>0.135072</v>
      </c>
      <c r="DQ122">
        <v>0.18130599999999999</v>
      </c>
      <c r="DR122">
        <v>24.760200000000001</v>
      </c>
      <c r="DS122">
        <v>24.585000000000001</v>
      </c>
      <c r="DT122">
        <v>55.1</v>
      </c>
      <c r="DU122">
        <v>29.2</v>
      </c>
      <c r="DV122">
        <v>22.638100000000001</v>
      </c>
      <c r="DW122">
        <v>61.879800000000003</v>
      </c>
      <c r="DX122">
        <v>36.450299999999999</v>
      </c>
      <c r="DY122">
        <v>1</v>
      </c>
      <c r="DZ122">
        <v>-8.3691600000000005E-2</v>
      </c>
      <c r="EA122">
        <v>0.39872000000000002</v>
      </c>
      <c r="EB122">
        <v>20.188700000000001</v>
      </c>
      <c r="EC122">
        <v>5.2408000000000001</v>
      </c>
      <c r="ED122">
        <v>12.039899999999999</v>
      </c>
      <c r="EE122">
        <v>5.0169499999999996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1.8646400000000001</v>
      </c>
      <c r="EM122">
        <v>1.8691899999999999</v>
      </c>
      <c r="EN122">
        <v>1.8672200000000001</v>
      </c>
      <c r="EO122">
        <v>1.8633999999999999</v>
      </c>
      <c r="EP122">
        <v>1.86449</v>
      </c>
      <c r="EQ122">
        <v>1.87015</v>
      </c>
      <c r="ER122">
        <v>1.8694299999999999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-9.1999999999999998E-2</v>
      </c>
      <c r="FG122">
        <v>0.17860000000000001</v>
      </c>
      <c r="FH122">
        <v>0.3448811944559278</v>
      </c>
      <c r="FI122">
        <v>-6.1462078757559423E-4</v>
      </c>
      <c r="FJ122">
        <v>-1.8861989874597051E-7</v>
      </c>
      <c r="FK122">
        <v>1.1980462299894961E-10</v>
      </c>
      <c r="FL122">
        <v>0.17862261546663211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27.7</v>
      </c>
      <c r="FU122">
        <v>27.8</v>
      </c>
      <c r="FV122">
        <v>1.78101</v>
      </c>
      <c r="FW122">
        <v>2.5817899999999998</v>
      </c>
      <c r="FX122">
        <v>1.5490699999999999</v>
      </c>
      <c r="FY122">
        <v>2.3278799999999999</v>
      </c>
      <c r="FZ122">
        <v>1.50146</v>
      </c>
      <c r="GA122">
        <v>2.34009</v>
      </c>
      <c r="GB122">
        <v>33.986499999999999</v>
      </c>
      <c r="GC122">
        <v>23.991199999999999</v>
      </c>
      <c r="GD122">
        <v>19</v>
      </c>
      <c r="GE122">
        <v>283.80900000000003</v>
      </c>
      <c r="GF122">
        <v>592.46900000000005</v>
      </c>
      <c r="GG122">
        <v>23.441700000000001</v>
      </c>
      <c r="GH122">
        <v>26.300999999999998</v>
      </c>
      <c r="GI122">
        <v>30.0001</v>
      </c>
      <c r="GJ122">
        <v>26.466999999999999</v>
      </c>
      <c r="GK122">
        <v>26.462399999999999</v>
      </c>
      <c r="GL122">
        <v>35.601100000000002</v>
      </c>
      <c r="GM122">
        <v>46.606299999999997</v>
      </c>
      <c r="GN122">
        <v>85.232600000000005</v>
      </c>
      <c r="GO122">
        <v>23.459199999999999</v>
      </c>
      <c r="GP122">
        <v>800</v>
      </c>
      <c r="GQ122">
        <v>13.252700000000001</v>
      </c>
      <c r="GR122">
        <v>99.750500000000002</v>
      </c>
      <c r="GS122">
        <v>99.609499999999997</v>
      </c>
    </row>
    <row r="123" spans="1:201" x14ac:dyDescent="0.25">
      <c r="A123">
        <v>107</v>
      </c>
      <c r="B123">
        <v>1690230755</v>
      </c>
      <c r="C123">
        <v>1249.900000095367</v>
      </c>
      <c r="D123" t="s">
        <v>547</v>
      </c>
      <c r="E123" t="s">
        <v>548</v>
      </c>
      <c r="F123" t="s">
        <v>330</v>
      </c>
      <c r="H123">
        <v>1690230755</v>
      </c>
      <c r="I123">
        <f t="shared" si="30"/>
        <v>9.1520472684988895E-4</v>
      </c>
      <c r="J123">
        <f t="shared" si="31"/>
        <v>0.91520472684988896</v>
      </c>
      <c r="K123">
        <f t="shared" si="32"/>
        <v>15.2378736284313</v>
      </c>
      <c r="L123">
        <f t="shared" si="33"/>
        <v>634.18600000000004</v>
      </c>
      <c r="M123">
        <f t="shared" si="34"/>
        <v>219.11993058952265</v>
      </c>
      <c r="N123">
        <f t="shared" si="35"/>
        <v>21.72552059565303</v>
      </c>
      <c r="O123">
        <f t="shared" si="36"/>
        <v>62.878903655209605</v>
      </c>
      <c r="P123">
        <f t="shared" si="37"/>
        <v>6.1045989333696198E-2</v>
      </c>
      <c r="Q123">
        <f t="shared" si="38"/>
        <v>2.1798530229123454</v>
      </c>
      <c r="R123">
        <f t="shared" si="39"/>
        <v>6.0111910095176177E-2</v>
      </c>
      <c r="S123">
        <f t="shared" si="40"/>
        <v>3.7652676503262941E-2</v>
      </c>
      <c r="T123">
        <f t="shared" si="41"/>
        <v>276.11431216200003</v>
      </c>
      <c r="U123">
        <f t="shared" si="42"/>
        <v>27.586987879495002</v>
      </c>
      <c r="V123">
        <f t="shared" si="43"/>
        <v>27.586987879495002</v>
      </c>
      <c r="W123">
        <f t="shared" si="44"/>
        <v>3.7044246197570474</v>
      </c>
      <c r="X123">
        <f t="shared" si="45"/>
        <v>67.340901044841104</v>
      </c>
      <c r="Y123">
        <f t="shared" si="46"/>
        <v>2.24013270180096</v>
      </c>
      <c r="Z123">
        <f t="shared" si="47"/>
        <v>3.3265558776965216</v>
      </c>
      <c r="AA123">
        <f t="shared" si="48"/>
        <v>1.4642919179560874</v>
      </c>
      <c r="AB123">
        <f t="shared" si="49"/>
        <v>-40.360528454080104</v>
      </c>
      <c r="AC123">
        <f t="shared" si="50"/>
        <v>-214.75505517473317</v>
      </c>
      <c r="AD123">
        <f t="shared" si="51"/>
        <v>-21.192176049067225</v>
      </c>
      <c r="AE123">
        <f t="shared" si="52"/>
        <v>-0.1934475158804787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52654.800135850383</v>
      </c>
      <c r="AK123">
        <f t="shared" si="56"/>
        <v>1800</v>
      </c>
      <c r="AL123">
        <f t="shared" si="57"/>
        <v>1499.1134562</v>
      </c>
      <c r="AM123">
        <f t="shared" si="58"/>
        <v>0.83284080900000002</v>
      </c>
      <c r="AN123">
        <f t="shared" si="59"/>
        <v>0.15339684009000001</v>
      </c>
      <c r="AO123">
        <v>31.5</v>
      </c>
      <c r="AP123">
        <v>0.5</v>
      </c>
      <c r="AQ123" t="s">
        <v>331</v>
      </c>
      <c r="AR123">
        <v>2</v>
      </c>
      <c r="AS123">
        <v>1690230755</v>
      </c>
      <c r="AT123">
        <v>634.18600000000004</v>
      </c>
      <c r="AU123">
        <v>800.14300000000003</v>
      </c>
      <c r="AV123">
        <v>22.593599999999999</v>
      </c>
      <c r="AW123">
        <v>13.2087</v>
      </c>
      <c r="AX123">
        <v>634.27599999999995</v>
      </c>
      <c r="AY123">
        <v>22.414999999999999</v>
      </c>
      <c r="AZ123">
        <v>300.24400000000003</v>
      </c>
      <c r="BA123">
        <v>99.049000000000007</v>
      </c>
      <c r="BB123">
        <v>9.9993600000000002E-2</v>
      </c>
      <c r="BC123">
        <v>25.759599999999999</v>
      </c>
      <c r="BD123">
        <v>26.972000000000001</v>
      </c>
      <c r="BE123">
        <v>27.574000000000002</v>
      </c>
      <c r="BF123">
        <v>0</v>
      </c>
      <c r="BG123">
        <v>0</v>
      </c>
      <c r="BH123">
        <v>10012.5</v>
      </c>
      <c r="BI123">
        <v>1060.0899999999999</v>
      </c>
      <c r="BJ123">
        <v>1.4016500000000001</v>
      </c>
      <c r="BK123">
        <v>-165.95699999999999</v>
      </c>
      <c r="BL123">
        <v>648.846</v>
      </c>
      <c r="BM123">
        <v>810.85400000000004</v>
      </c>
      <c r="BN123">
        <v>9.3849400000000003</v>
      </c>
      <c r="BO123">
        <v>800.14300000000003</v>
      </c>
      <c r="BP123">
        <v>13.2087</v>
      </c>
      <c r="BQ123">
        <v>2.2378800000000001</v>
      </c>
      <c r="BR123">
        <v>1.3083100000000001</v>
      </c>
      <c r="BS123">
        <v>19.2361</v>
      </c>
      <c r="BT123">
        <v>10.894600000000001</v>
      </c>
      <c r="BU123">
        <v>1800</v>
      </c>
      <c r="BV123">
        <v>0.91001799999999999</v>
      </c>
      <c r="BW123">
        <v>3.4001400000000001E-2</v>
      </c>
      <c r="BX123">
        <v>2.1993200000000001E-2</v>
      </c>
      <c r="BY123">
        <v>3.3987499999999997E-2</v>
      </c>
      <c r="BZ123">
        <v>26</v>
      </c>
      <c r="CA123">
        <v>33528.5</v>
      </c>
      <c r="CB123">
        <v>1690229084.0999999</v>
      </c>
      <c r="CC123" t="s">
        <v>332</v>
      </c>
      <c r="CD123">
        <v>1690229084.0999999</v>
      </c>
      <c r="CE123">
        <v>1690229076.5999999</v>
      </c>
      <c r="CF123">
        <v>13</v>
      </c>
      <c r="CG123">
        <v>0.23300000000000001</v>
      </c>
      <c r="CH123">
        <v>-0.13100000000000001</v>
      </c>
      <c r="CI123">
        <v>-0.20599999999999999</v>
      </c>
      <c r="CJ123">
        <v>8.7999999999999995E-2</v>
      </c>
      <c r="CK123">
        <v>799</v>
      </c>
      <c r="CL123">
        <v>16</v>
      </c>
      <c r="CM123">
        <v>0.04</v>
      </c>
      <c r="CN123">
        <v>0.04</v>
      </c>
      <c r="CO123">
        <v>-163.13305</v>
      </c>
      <c r="CP123">
        <v>-16.403031894934081</v>
      </c>
      <c r="CQ123">
        <v>1.578335166401607</v>
      </c>
      <c r="CR123">
        <v>-1</v>
      </c>
      <c r="CS123">
        <v>9.2082575000000002</v>
      </c>
      <c r="CT123">
        <v>0.92597808630390566</v>
      </c>
      <c r="CU123">
        <v>8.9770596125624463E-2</v>
      </c>
      <c r="CV123">
        <v>-1</v>
      </c>
      <c r="CW123">
        <v>0</v>
      </c>
      <c r="CX123">
        <v>0</v>
      </c>
      <c r="CY123" t="s">
        <v>333</v>
      </c>
      <c r="CZ123">
        <v>2.3646600000000002</v>
      </c>
      <c r="DA123">
        <v>2.7138</v>
      </c>
      <c r="DB123">
        <v>0.12517600000000001</v>
      </c>
      <c r="DC123">
        <v>0.14616899999999999</v>
      </c>
      <c r="DD123">
        <v>0.10910300000000001</v>
      </c>
      <c r="DE123">
        <v>7.2970599999999997E-2</v>
      </c>
      <c r="DF123">
        <v>31946.2</v>
      </c>
      <c r="DG123">
        <v>27526.6</v>
      </c>
      <c r="DH123">
        <v>31175</v>
      </c>
      <c r="DI123">
        <v>28091.7</v>
      </c>
      <c r="DJ123">
        <v>37709.4</v>
      </c>
      <c r="DK123">
        <v>37035.300000000003</v>
      </c>
      <c r="DL123">
        <v>44367.8</v>
      </c>
      <c r="DM123">
        <v>42582.6</v>
      </c>
      <c r="DN123">
        <v>1.4775799999999999</v>
      </c>
      <c r="DO123">
        <v>2.0457299999999998</v>
      </c>
      <c r="DP123">
        <v>0.13489999999999999</v>
      </c>
      <c r="DQ123">
        <v>0.18238299999999999</v>
      </c>
      <c r="DR123">
        <v>24.761800000000001</v>
      </c>
      <c r="DS123">
        <v>24.5868</v>
      </c>
      <c r="DT123">
        <v>54.9</v>
      </c>
      <c r="DU123">
        <v>29.2</v>
      </c>
      <c r="DV123">
        <v>22.550899999999999</v>
      </c>
      <c r="DW123">
        <v>61.509799999999998</v>
      </c>
      <c r="DX123">
        <v>36.253999999999998</v>
      </c>
      <c r="DY123">
        <v>1</v>
      </c>
      <c r="DZ123">
        <v>-8.4021899999999997E-2</v>
      </c>
      <c r="EA123">
        <v>0.36398999999999998</v>
      </c>
      <c r="EB123">
        <v>20.1891</v>
      </c>
      <c r="EC123">
        <v>5.2408000000000001</v>
      </c>
      <c r="ED123">
        <v>12.039899999999999</v>
      </c>
      <c r="EE123">
        <v>5.0170000000000003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1.8646400000000001</v>
      </c>
      <c r="EM123">
        <v>1.8692</v>
      </c>
      <c r="EN123">
        <v>1.8672500000000001</v>
      </c>
      <c r="EO123">
        <v>1.8633900000000001</v>
      </c>
      <c r="EP123">
        <v>1.86449</v>
      </c>
      <c r="EQ123">
        <v>1.87015</v>
      </c>
      <c r="ER123">
        <v>1.8694200000000001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-0.09</v>
      </c>
      <c r="FG123">
        <v>0.17860000000000001</v>
      </c>
      <c r="FH123">
        <v>0.3448811944559278</v>
      </c>
      <c r="FI123">
        <v>-6.1462078757559423E-4</v>
      </c>
      <c r="FJ123">
        <v>-1.8861989874597051E-7</v>
      </c>
      <c r="FK123">
        <v>1.1980462299894961E-10</v>
      </c>
      <c r="FL123">
        <v>0.17862261546663211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27.8</v>
      </c>
      <c r="FU123">
        <v>28</v>
      </c>
      <c r="FV123">
        <v>1.78101</v>
      </c>
      <c r="FW123">
        <v>2.5842299999999998</v>
      </c>
      <c r="FX123">
        <v>1.5490699999999999</v>
      </c>
      <c r="FY123">
        <v>2.3278799999999999</v>
      </c>
      <c r="FZ123">
        <v>1.50146</v>
      </c>
      <c r="GA123">
        <v>2.3901400000000002</v>
      </c>
      <c r="GB123">
        <v>33.963900000000002</v>
      </c>
      <c r="GC123">
        <v>23.982399999999998</v>
      </c>
      <c r="GD123">
        <v>19</v>
      </c>
      <c r="GE123">
        <v>283.96499999999997</v>
      </c>
      <c r="GF123">
        <v>592.298</v>
      </c>
      <c r="GG123">
        <v>23.4801</v>
      </c>
      <c r="GH123">
        <v>26.298200000000001</v>
      </c>
      <c r="GI123">
        <v>30</v>
      </c>
      <c r="GJ123">
        <v>26.463699999999999</v>
      </c>
      <c r="GK123">
        <v>26.458500000000001</v>
      </c>
      <c r="GL123">
        <v>35.595199999999998</v>
      </c>
      <c r="GM123">
        <v>46.887700000000002</v>
      </c>
      <c r="GN123">
        <v>84.454400000000007</v>
      </c>
      <c r="GO123">
        <v>23.507899999999999</v>
      </c>
      <c r="GP123">
        <v>800</v>
      </c>
      <c r="GQ123">
        <v>13.1113</v>
      </c>
      <c r="GR123">
        <v>99.750500000000002</v>
      </c>
      <c r="GS123">
        <v>99.610600000000005</v>
      </c>
    </row>
    <row r="124" spans="1:201" x14ac:dyDescent="0.25">
      <c r="A124">
        <v>108</v>
      </c>
      <c r="B124">
        <v>1690230765</v>
      </c>
      <c r="C124">
        <v>1259.900000095367</v>
      </c>
      <c r="D124" t="s">
        <v>549</v>
      </c>
      <c r="E124" t="s">
        <v>550</v>
      </c>
      <c r="F124" t="s">
        <v>330</v>
      </c>
      <c r="H124">
        <v>1690230765</v>
      </c>
      <c r="I124">
        <f t="shared" si="30"/>
        <v>9.2654374039459594E-4</v>
      </c>
      <c r="J124">
        <f t="shared" si="31"/>
        <v>0.92654374039459597</v>
      </c>
      <c r="K124">
        <f t="shared" si="32"/>
        <v>15.472958706284292</v>
      </c>
      <c r="L124">
        <f t="shared" si="33"/>
        <v>631.56399999999996</v>
      </c>
      <c r="M124">
        <f t="shared" si="34"/>
        <v>214.81047790403426</v>
      </c>
      <c r="N124">
        <f t="shared" si="35"/>
        <v>21.297398665590254</v>
      </c>
      <c r="O124">
        <f t="shared" si="36"/>
        <v>62.616453452721601</v>
      </c>
      <c r="P124">
        <f t="shared" si="37"/>
        <v>6.1728647735348197E-2</v>
      </c>
      <c r="Q124">
        <f t="shared" si="38"/>
        <v>2.180108213275727</v>
      </c>
      <c r="R124">
        <f t="shared" si="39"/>
        <v>6.0773846737635327E-2</v>
      </c>
      <c r="S124">
        <f t="shared" si="40"/>
        <v>3.8068209030989092E-2</v>
      </c>
      <c r="T124">
        <f t="shared" si="41"/>
        <v>276.11422324200004</v>
      </c>
      <c r="U124">
        <f t="shared" si="42"/>
        <v>27.599190151740729</v>
      </c>
      <c r="V124">
        <f t="shared" si="43"/>
        <v>27.599190151740729</v>
      </c>
      <c r="W124">
        <f t="shared" si="44"/>
        <v>3.7070686987638268</v>
      </c>
      <c r="X124">
        <f t="shared" si="45"/>
        <v>67.297914786575959</v>
      </c>
      <c r="Y124">
        <f t="shared" si="46"/>
        <v>2.2408668310623603</v>
      </c>
      <c r="Z124">
        <f t="shared" si="47"/>
        <v>3.3297715659822349</v>
      </c>
      <c r="AA124">
        <f t="shared" si="48"/>
        <v>1.4662018677014665</v>
      </c>
      <c r="AB124">
        <f t="shared" si="49"/>
        <v>-40.860578951401678</v>
      </c>
      <c r="AC124">
        <f t="shared" si="50"/>
        <v>-214.29857374423477</v>
      </c>
      <c r="AD124">
        <f t="shared" si="51"/>
        <v>-21.147670675547847</v>
      </c>
      <c r="AE124">
        <f t="shared" si="52"/>
        <v>-0.19260012918425673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52662.458666593513</v>
      </c>
      <c r="AK124">
        <f t="shared" si="56"/>
        <v>1800</v>
      </c>
      <c r="AL124">
        <f t="shared" si="57"/>
        <v>1499.1137351999998</v>
      </c>
      <c r="AM124">
        <f t="shared" si="58"/>
        <v>0.83284096399999996</v>
      </c>
      <c r="AN124">
        <f t="shared" si="59"/>
        <v>0.15339679069000003</v>
      </c>
      <c r="AO124">
        <v>31.5</v>
      </c>
      <c r="AP124">
        <v>0.5</v>
      </c>
      <c r="AQ124" t="s">
        <v>331</v>
      </c>
      <c r="AR124">
        <v>2</v>
      </c>
      <c r="AS124">
        <v>1690230765</v>
      </c>
      <c r="AT124">
        <v>631.56399999999996</v>
      </c>
      <c r="AU124">
        <v>800.08</v>
      </c>
      <c r="AV124">
        <v>22.601900000000001</v>
      </c>
      <c r="AW124">
        <v>13.0984</v>
      </c>
      <c r="AX124">
        <v>631.65200000000004</v>
      </c>
      <c r="AY124">
        <v>22.423200000000001</v>
      </c>
      <c r="AZ124">
        <v>300.16800000000001</v>
      </c>
      <c r="BA124">
        <v>99.045100000000005</v>
      </c>
      <c r="BB124">
        <v>9.9964399999999995E-2</v>
      </c>
      <c r="BC124">
        <v>25.7759</v>
      </c>
      <c r="BD124">
        <v>26.9893</v>
      </c>
      <c r="BE124">
        <v>27.5657</v>
      </c>
      <c r="BF124">
        <v>0</v>
      </c>
      <c r="BG124">
        <v>0</v>
      </c>
      <c r="BH124">
        <v>10015</v>
      </c>
      <c r="BI124">
        <v>1060.3</v>
      </c>
      <c r="BJ124">
        <v>1.4016500000000001</v>
      </c>
      <c r="BK124">
        <v>-168.51599999999999</v>
      </c>
      <c r="BL124">
        <v>646.16800000000001</v>
      </c>
      <c r="BM124">
        <v>810.69899999999996</v>
      </c>
      <c r="BN124">
        <v>9.5034700000000001</v>
      </c>
      <c r="BO124">
        <v>800.08</v>
      </c>
      <c r="BP124">
        <v>13.0984</v>
      </c>
      <c r="BQ124">
        <v>2.2385999999999999</v>
      </c>
      <c r="BR124">
        <v>1.2973300000000001</v>
      </c>
      <c r="BS124">
        <v>19.241299999999999</v>
      </c>
      <c r="BT124">
        <v>10.768000000000001</v>
      </c>
      <c r="BU124">
        <v>1800</v>
      </c>
      <c r="BV124">
        <v>0.91002000000000005</v>
      </c>
      <c r="BW124">
        <v>3.4000700000000002E-2</v>
      </c>
      <c r="BX124">
        <v>2.19927E-2</v>
      </c>
      <c r="BY124">
        <v>3.3986700000000002E-2</v>
      </c>
      <c r="BZ124">
        <v>26</v>
      </c>
      <c r="CA124">
        <v>33528.5</v>
      </c>
      <c r="CB124">
        <v>1690229084.0999999</v>
      </c>
      <c r="CC124" t="s">
        <v>332</v>
      </c>
      <c r="CD124">
        <v>1690229084.0999999</v>
      </c>
      <c r="CE124">
        <v>1690229076.5999999</v>
      </c>
      <c r="CF124">
        <v>13</v>
      </c>
      <c r="CG124">
        <v>0.23300000000000001</v>
      </c>
      <c r="CH124">
        <v>-0.13100000000000001</v>
      </c>
      <c r="CI124">
        <v>-0.20599999999999999</v>
      </c>
      <c r="CJ124">
        <v>8.7999999999999995E-2</v>
      </c>
      <c r="CK124">
        <v>799</v>
      </c>
      <c r="CL124">
        <v>16</v>
      </c>
      <c r="CM124">
        <v>0.04</v>
      </c>
      <c r="CN124">
        <v>0.04</v>
      </c>
      <c r="CO124">
        <v>-165.62290243902439</v>
      </c>
      <c r="CP124">
        <v>-15.8363414634147</v>
      </c>
      <c r="CQ124">
        <v>1.5619561188814259</v>
      </c>
      <c r="CR124">
        <v>-1</v>
      </c>
      <c r="CS124">
        <v>9.3523899999999998</v>
      </c>
      <c r="CT124">
        <v>0.92307365853659273</v>
      </c>
      <c r="CU124">
        <v>9.1884868708405967E-2</v>
      </c>
      <c r="CV124">
        <v>-1</v>
      </c>
      <c r="CW124">
        <v>0</v>
      </c>
      <c r="CX124">
        <v>0</v>
      </c>
      <c r="CY124" t="s">
        <v>333</v>
      </c>
      <c r="CZ124">
        <v>2.3643900000000002</v>
      </c>
      <c r="DA124">
        <v>2.7137699999999998</v>
      </c>
      <c r="DB124">
        <v>0.12481100000000001</v>
      </c>
      <c r="DC124">
        <v>0.14615400000000001</v>
      </c>
      <c r="DD124">
        <v>0.109127</v>
      </c>
      <c r="DE124">
        <v>7.2514099999999998E-2</v>
      </c>
      <c r="DF124">
        <v>31960</v>
      </c>
      <c r="DG124">
        <v>27527.4</v>
      </c>
      <c r="DH124">
        <v>31175.4</v>
      </c>
      <c r="DI124">
        <v>28092.1</v>
      </c>
      <c r="DJ124">
        <v>37708.699999999997</v>
      </c>
      <c r="DK124">
        <v>37054.400000000001</v>
      </c>
      <c r="DL124">
        <v>44368.3</v>
      </c>
      <c r="DM124">
        <v>42583.5</v>
      </c>
      <c r="DN124">
        <v>1.4774700000000001</v>
      </c>
      <c r="DO124">
        <v>2.0457000000000001</v>
      </c>
      <c r="DP124">
        <v>0.135768</v>
      </c>
      <c r="DQ124">
        <v>0.18185399999999999</v>
      </c>
      <c r="DR124">
        <v>24.764900000000001</v>
      </c>
      <c r="DS124">
        <v>24.5871</v>
      </c>
      <c r="DT124">
        <v>54.8</v>
      </c>
      <c r="DU124">
        <v>29.2</v>
      </c>
      <c r="DV124">
        <v>22.511199999999999</v>
      </c>
      <c r="DW124">
        <v>61.439799999999998</v>
      </c>
      <c r="DX124">
        <v>35.865400000000001</v>
      </c>
      <c r="DY124">
        <v>1</v>
      </c>
      <c r="DZ124">
        <v>-8.4108199999999994E-2</v>
      </c>
      <c r="EA124">
        <v>0.358794</v>
      </c>
      <c r="EB124">
        <v>20.188800000000001</v>
      </c>
      <c r="EC124">
        <v>5.2406499999999996</v>
      </c>
      <c r="ED124">
        <v>12.039899999999999</v>
      </c>
      <c r="EE124">
        <v>5.0168999999999997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1.86463</v>
      </c>
      <c r="EM124">
        <v>1.8691899999999999</v>
      </c>
      <c r="EN124">
        <v>1.8672200000000001</v>
      </c>
      <c r="EO124">
        <v>1.8633999999999999</v>
      </c>
      <c r="EP124">
        <v>1.86449</v>
      </c>
      <c r="EQ124">
        <v>1.8701300000000001</v>
      </c>
      <c r="ER124">
        <v>1.8693900000000001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-8.7999999999999995E-2</v>
      </c>
      <c r="FG124">
        <v>0.1787</v>
      </c>
      <c r="FH124">
        <v>0.3448811944559278</v>
      </c>
      <c r="FI124">
        <v>-6.1462078757559423E-4</v>
      </c>
      <c r="FJ124">
        <v>-1.8861989874597051E-7</v>
      </c>
      <c r="FK124">
        <v>1.1980462299894961E-10</v>
      </c>
      <c r="FL124">
        <v>0.17862261546663211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28</v>
      </c>
      <c r="FU124">
        <v>28.1</v>
      </c>
      <c r="FV124">
        <v>1.77979</v>
      </c>
      <c r="FW124">
        <v>2.5891099999999998</v>
      </c>
      <c r="FX124">
        <v>1.5490699999999999</v>
      </c>
      <c r="FY124">
        <v>2.3278799999999999</v>
      </c>
      <c r="FZ124">
        <v>1.50146</v>
      </c>
      <c r="GA124">
        <v>2.2790499999999998</v>
      </c>
      <c r="GB124">
        <v>33.963900000000002</v>
      </c>
      <c r="GC124">
        <v>23.982399999999998</v>
      </c>
      <c r="GD124">
        <v>19</v>
      </c>
      <c r="GE124">
        <v>283.911</v>
      </c>
      <c r="GF124">
        <v>592.24900000000002</v>
      </c>
      <c r="GG124">
        <v>23.523700000000002</v>
      </c>
      <c r="GH124">
        <v>26.295300000000001</v>
      </c>
      <c r="GI124">
        <v>30</v>
      </c>
      <c r="GJ124">
        <v>26.461300000000001</v>
      </c>
      <c r="GK124">
        <v>26.456</v>
      </c>
      <c r="GL124">
        <v>35.592199999999998</v>
      </c>
      <c r="GM124">
        <v>47.1967</v>
      </c>
      <c r="GN124">
        <v>84.063299999999998</v>
      </c>
      <c r="GO124">
        <v>23.533300000000001</v>
      </c>
      <c r="GP124">
        <v>800</v>
      </c>
      <c r="GQ124">
        <v>12.966900000000001</v>
      </c>
      <c r="GR124">
        <v>99.751599999999996</v>
      </c>
      <c r="GS124">
        <v>99.612499999999997</v>
      </c>
    </row>
    <row r="125" spans="1:201" x14ac:dyDescent="0.25">
      <c r="A125">
        <v>109</v>
      </c>
      <c r="B125">
        <v>1690230775</v>
      </c>
      <c r="C125">
        <v>1269.900000095367</v>
      </c>
      <c r="D125" t="s">
        <v>551</v>
      </c>
      <c r="E125" t="s">
        <v>552</v>
      </c>
      <c r="F125" t="s">
        <v>330</v>
      </c>
      <c r="H125">
        <v>1690230775</v>
      </c>
      <c r="I125">
        <f t="shared" si="30"/>
        <v>9.4419678031907868E-4</v>
      </c>
      <c r="J125">
        <f t="shared" si="31"/>
        <v>0.94419678031907872</v>
      </c>
      <c r="K125">
        <f t="shared" si="32"/>
        <v>15.721741003391601</v>
      </c>
      <c r="L125">
        <f t="shared" si="33"/>
        <v>628.92100000000005</v>
      </c>
      <c r="M125">
        <f t="shared" si="34"/>
        <v>213.42247846681374</v>
      </c>
      <c r="N125">
        <f t="shared" si="35"/>
        <v>21.160090246010348</v>
      </c>
      <c r="O125">
        <f t="shared" si="36"/>
        <v>62.355311461160902</v>
      </c>
      <c r="P125">
        <f t="shared" si="37"/>
        <v>6.2924651359548028E-2</v>
      </c>
      <c r="Q125">
        <f t="shared" si="38"/>
        <v>2.1781548370571233</v>
      </c>
      <c r="R125">
        <f t="shared" si="39"/>
        <v>6.1931939185475599E-2</v>
      </c>
      <c r="S125">
        <f t="shared" si="40"/>
        <v>3.8795348643014843E-2</v>
      </c>
      <c r="T125">
        <f t="shared" si="41"/>
        <v>276.11422324200004</v>
      </c>
      <c r="U125">
        <f t="shared" si="42"/>
        <v>27.604325182305061</v>
      </c>
      <c r="V125">
        <f t="shared" si="43"/>
        <v>27.604325182305061</v>
      </c>
      <c r="W125">
        <f t="shared" si="44"/>
        <v>3.7081818875948001</v>
      </c>
      <c r="X125">
        <f t="shared" si="45"/>
        <v>67.292640674027027</v>
      </c>
      <c r="Y125">
        <f t="shared" si="46"/>
        <v>2.2419798146491199</v>
      </c>
      <c r="Z125">
        <f t="shared" si="47"/>
        <v>3.3316864848706373</v>
      </c>
      <c r="AA125">
        <f t="shared" si="48"/>
        <v>1.4662020729456802</v>
      </c>
      <c r="AB125">
        <f t="shared" si="49"/>
        <v>-41.639078012071373</v>
      </c>
      <c r="AC125">
        <f t="shared" si="50"/>
        <v>-213.57050394355585</v>
      </c>
      <c r="AD125">
        <f t="shared" si="51"/>
        <v>-21.096288665572359</v>
      </c>
      <c r="AE125">
        <f t="shared" si="52"/>
        <v>-0.19164737919953723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52579.550437710554</v>
      </c>
      <c r="AK125">
        <f t="shared" si="56"/>
        <v>1800</v>
      </c>
      <c r="AL125">
        <f t="shared" si="57"/>
        <v>1499.1137351999998</v>
      </c>
      <c r="AM125">
        <f t="shared" si="58"/>
        <v>0.83284096399999996</v>
      </c>
      <c r="AN125">
        <f t="shared" si="59"/>
        <v>0.15339679069000003</v>
      </c>
      <c r="AO125">
        <v>31.5</v>
      </c>
      <c r="AP125">
        <v>0.5</v>
      </c>
      <c r="AQ125" t="s">
        <v>331</v>
      </c>
      <c r="AR125">
        <v>2</v>
      </c>
      <c r="AS125">
        <v>1690230775</v>
      </c>
      <c r="AT125">
        <v>628.92100000000005</v>
      </c>
      <c r="AU125">
        <v>800.13400000000001</v>
      </c>
      <c r="AV125">
        <v>22.6128</v>
      </c>
      <c r="AW125">
        <v>12.928599999999999</v>
      </c>
      <c r="AX125">
        <v>629.00699999999995</v>
      </c>
      <c r="AY125">
        <v>22.434100000000001</v>
      </c>
      <c r="AZ125">
        <v>300.17599999999999</v>
      </c>
      <c r="BA125">
        <v>99.046499999999995</v>
      </c>
      <c r="BB125">
        <v>9.9992899999999996E-2</v>
      </c>
      <c r="BC125">
        <v>25.785599999999999</v>
      </c>
      <c r="BD125">
        <v>26.9741</v>
      </c>
      <c r="BE125">
        <v>27.584499999999998</v>
      </c>
      <c r="BF125">
        <v>0</v>
      </c>
      <c r="BG125">
        <v>0</v>
      </c>
      <c r="BH125">
        <v>9998.75</v>
      </c>
      <c r="BI125">
        <v>1060.3699999999999</v>
      </c>
      <c r="BJ125">
        <v>1.4016500000000001</v>
      </c>
      <c r="BK125">
        <v>-171.21299999999999</v>
      </c>
      <c r="BL125">
        <v>643.471</v>
      </c>
      <c r="BM125">
        <v>810.61400000000003</v>
      </c>
      <c r="BN125">
        <v>9.6841799999999996</v>
      </c>
      <c r="BO125">
        <v>800.13400000000001</v>
      </c>
      <c r="BP125">
        <v>12.928599999999999</v>
      </c>
      <c r="BQ125">
        <v>2.2397100000000001</v>
      </c>
      <c r="BR125">
        <v>1.2805299999999999</v>
      </c>
      <c r="BS125">
        <v>19.249199999999998</v>
      </c>
      <c r="BT125">
        <v>10.5723</v>
      </c>
      <c r="BU125">
        <v>1800</v>
      </c>
      <c r="BV125">
        <v>0.91002000000000005</v>
      </c>
      <c r="BW125">
        <v>3.4000700000000002E-2</v>
      </c>
      <c r="BX125">
        <v>2.19927E-2</v>
      </c>
      <c r="BY125">
        <v>3.3986700000000002E-2</v>
      </c>
      <c r="BZ125">
        <v>26</v>
      </c>
      <c r="CA125">
        <v>33528.5</v>
      </c>
      <c r="CB125">
        <v>1690229084.0999999</v>
      </c>
      <c r="CC125" t="s">
        <v>332</v>
      </c>
      <c r="CD125">
        <v>1690229084.0999999</v>
      </c>
      <c r="CE125">
        <v>1690229076.5999999</v>
      </c>
      <c r="CF125">
        <v>13</v>
      </c>
      <c r="CG125">
        <v>0.23300000000000001</v>
      </c>
      <c r="CH125">
        <v>-0.13100000000000001</v>
      </c>
      <c r="CI125">
        <v>-0.20599999999999999</v>
      </c>
      <c r="CJ125">
        <v>8.7999999999999995E-2</v>
      </c>
      <c r="CK125">
        <v>799</v>
      </c>
      <c r="CL125">
        <v>16</v>
      </c>
      <c r="CM125">
        <v>0.04</v>
      </c>
      <c r="CN125">
        <v>0.04</v>
      </c>
      <c r="CO125">
        <v>-168.45112499999999</v>
      </c>
      <c r="CP125">
        <v>-15.71262664165093</v>
      </c>
      <c r="CQ125">
        <v>1.51208426001166</v>
      </c>
      <c r="CR125">
        <v>-1</v>
      </c>
      <c r="CS125">
        <v>9.5176452499999993</v>
      </c>
      <c r="CT125">
        <v>0.88331358348965072</v>
      </c>
      <c r="CU125">
        <v>8.6093233938199162E-2</v>
      </c>
      <c r="CV125">
        <v>-1</v>
      </c>
      <c r="CW125">
        <v>0</v>
      </c>
      <c r="CX125">
        <v>0</v>
      </c>
      <c r="CY125" t="s">
        <v>333</v>
      </c>
      <c r="CZ125">
        <v>2.3644099999999999</v>
      </c>
      <c r="DA125">
        <v>2.7137799999999999</v>
      </c>
      <c r="DB125">
        <v>0.124449</v>
      </c>
      <c r="DC125">
        <v>0.14616100000000001</v>
      </c>
      <c r="DD125">
        <v>0.109167</v>
      </c>
      <c r="DE125">
        <v>7.1813699999999994E-2</v>
      </c>
      <c r="DF125">
        <v>31973.200000000001</v>
      </c>
      <c r="DG125">
        <v>27527.8</v>
      </c>
      <c r="DH125">
        <v>31175.4</v>
      </c>
      <c r="DI125">
        <v>28092.7</v>
      </c>
      <c r="DJ125">
        <v>37707.1</v>
      </c>
      <c r="DK125">
        <v>37083.1</v>
      </c>
      <c r="DL125">
        <v>44368.4</v>
      </c>
      <c r="DM125">
        <v>42584.3</v>
      </c>
      <c r="DN125">
        <v>1.4777</v>
      </c>
      <c r="DO125">
        <v>2.0452699999999999</v>
      </c>
      <c r="DP125">
        <v>0.13478799999999999</v>
      </c>
      <c r="DQ125">
        <v>0.18305299999999999</v>
      </c>
      <c r="DR125">
        <v>24.765699999999999</v>
      </c>
      <c r="DS125">
        <v>24.586300000000001</v>
      </c>
      <c r="DT125">
        <v>54.7</v>
      </c>
      <c r="DU125">
        <v>29.2</v>
      </c>
      <c r="DV125">
        <v>22.4693</v>
      </c>
      <c r="DW125">
        <v>61.459800000000001</v>
      </c>
      <c r="DX125">
        <v>36.9071</v>
      </c>
      <c r="DY125">
        <v>1</v>
      </c>
      <c r="DZ125">
        <v>-8.4593500000000002E-2</v>
      </c>
      <c r="EA125">
        <v>0.34886200000000001</v>
      </c>
      <c r="EB125">
        <v>20.1889</v>
      </c>
      <c r="EC125">
        <v>5.2409499999999998</v>
      </c>
      <c r="ED125">
        <v>12.039899999999999</v>
      </c>
      <c r="EE125">
        <v>5.0171999999999999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1.8646400000000001</v>
      </c>
      <c r="EM125">
        <v>1.8691800000000001</v>
      </c>
      <c r="EN125">
        <v>1.8672200000000001</v>
      </c>
      <c r="EO125">
        <v>1.8633999999999999</v>
      </c>
      <c r="EP125">
        <v>1.8644799999999999</v>
      </c>
      <c r="EQ125">
        <v>1.8701300000000001</v>
      </c>
      <c r="ER125">
        <v>1.8694200000000001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-8.5999999999999993E-2</v>
      </c>
      <c r="FG125">
        <v>0.1787</v>
      </c>
      <c r="FH125">
        <v>0.3448811944559278</v>
      </c>
      <c r="FI125">
        <v>-6.1462078757559423E-4</v>
      </c>
      <c r="FJ125">
        <v>-1.8861989874597051E-7</v>
      </c>
      <c r="FK125">
        <v>1.1980462299894961E-10</v>
      </c>
      <c r="FL125">
        <v>0.17862261546663211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28.2</v>
      </c>
      <c r="FU125">
        <v>28.3</v>
      </c>
      <c r="FV125">
        <v>1.77979</v>
      </c>
      <c r="FW125">
        <v>2.5830099999999998</v>
      </c>
      <c r="FX125">
        <v>1.5490699999999999</v>
      </c>
      <c r="FY125">
        <v>2.3278799999999999</v>
      </c>
      <c r="FZ125">
        <v>1.50146</v>
      </c>
      <c r="GA125">
        <v>2.4023400000000001</v>
      </c>
      <c r="GB125">
        <v>33.963900000000002</v>
      </c>
      <c r="GC125">
        <v>23.982399999999998</v>
      </c>
      <c r="GD125">
        <v>19</v>
      </c>
      <c r="GE125">
        <v>283.99599999999998</v>
      </c>
      <c r="GF125">
        <v>591.85299999999995</v>
      </c>
      <c r="GG125">
        <v>23.549600000000002</v>
      </c>
      <c r="GH125">
        <v>26.293099999999999</v>
      </c>
      <c r="GI125">
        <v>30</v>
      </c>
      <c r="GJ125">
        <v>26.4587</v>
      </c>
      <c r="GK125">
        <v>26.452400000000001</v>
      </c>
      <c r="GL125">
        <v>35.584400000000002</v>
      </c>
      <c r="GM125">
        <v>47.780200000000001</v>
      </c>
      <c r="GN125">
        <v>83.6768</v>
      </c>
      <c r="GO125">
        <v>23.559200000000001</v>
      </c>
      <c r="GP125">
        <v>800</v>
      </c>
      <c r="GQ125">
        <v>12.822800000000001</v>
      </c>
      <c r="GR125">
        <v>99.751800000000003</v>
      </c>
      <c r="GS125">
        <v>99.614400000000003</v>
      </c>
    </row>
    <row r="126" spans="1:201" x14ac:dyDescent="0.25">
      <c r="A126">
        <v>110</v>
      </c>
      <c r="B126">
        <v>1690230785</v>
      </c>
      <c r="C126">
        <v>1279.900000095367</v>
      </c>
      <c r="D126" t="s">
        <v>553</v>
      </c>
      <c r="E126" t="s">
        <v>554</v>
      </c>
      <c r="F126" t="s">
        <v>330</v>
      </c>
      <c r="H126">
        <v>1690230785</v>
      </c>
      <c r="I126">
        <f t="shared" si="30"/>
        <v>9.575062931781893E-4</v>
      </c>
      <c r="J126">
        <f t="shared" si="31"/>
        <v>0.95750629317818925</v>
      </c>
      <c r="K126">
        <f t="shared" si="32"/>
        <v>15.969716408159981</v>
      </c>
      <c r="L126">
        <f t="shared" si="33"/>
        <v>626.32299999999998</v>
      </c>
      <c r="M126">
        <f t="shared" si="34"/>
        <v>210.29415709290626</v>
      </c>
      <c r="N126">
        <f t="shared" si="35"/>
        <v>20.84956846599702</v>
      </c>
      <c r="O126">
        <f t="shared" si="36"/>
        <v>62.096657609747488</v>
      </c>
      <c r="P126">
        <f t="shared" si="37"/>
        <v>6.3834447037698985E-2</v>
      </c>
      <c r="Q126">
        <f t="shared" si="38"/>
        <v>2.1791954148962396</v>
      </c>
      <c r="R126">
        <f t="shared" si="39"/>
        <v>6.281355158352013E-2</v>
      </c>
      <c r="S126">
        <f t="shared" si="40"/>
        <v>3.9348833100652077E-2</v>
      </c>
      <c r="T126">
        <f t="shared" si="41"/>
        <v>276.11424198000003</v>
      </c>
      <c r="U126">
        <f t="shared" si="42"/>
        <v>27.603875578060183</v>
      </c>
      <c r="V126">
        <f t="shared" si="43"/>
        <v>27.603875578060183</v>
      </c>
      <c r="W126">
        <f t="shared" si="44"/>
        <v>3.7080844092557186</v>
      </c>
      <c r="X126">
        <f t="shared" si="45"/>
        <v>67.276997920920309</v>
      </c>
      <c r="Y126">
        <f t="shared" si="46"/>
        <v>2.24210968384625</v>
      </c>
      <c r="Z126">
        <f t="shared" si="47"/>
        <v>3.3326541806780714</v>
      </c>
      <c r="AA126">
        <f t="shared" si="48"/>
        <v>1.4659747254094686</v>
      </c>
      <c r="AB126">
        <f t="shared" si="49"/>
        <v>-42.226027529158145</v>
      </c>
      <c r="AC126">
        <f t="shared" si="50"/>
        <v>-213.04403666287553</v>
      </c>
      <c r="AD126">
        <f t="shared" si="51"/>
        <v>-21.034703365348491</v>
      </c>
      <c r="AE126">
        <f t="shared" si="52"/>
        <v>-0.19052557738214659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52621.912175285528</v>
      </c>
      <c r="AK126">
        <f t="shared" si="56"/>
        <v>1800</v>
      </c>
      <c r="AL126">
        <f t="shared" si="57"/>
        <v>1499.1141509999998</v>
      </c>
      <c r="AM126">
        <f t="shared" si="58"/>
        <v>0.83284119499999987</v>
      </c>
      <c r="AN126">
        <f t="shared" si="59"/>
        <v>0.15339680110000001</v>
      </c>
      <c r="AO126">
        <v>31.5</v>
      </c>
      <c r="AP126">
        <v>0.5</v>
      </c>
      <c r="AQ126" t="s">
        <v>331</v>
      </c>
      <c r="AR126">
        <v>2</v>
      </c>
      <c r="AS126">
        <v>1690230785</v>
      </c>
      <c r="AT126">
        <v>626.32299999999998</v>
      </c>
      <c r="AU126">
        <v>800.19299999999998</v>
      </c>
      <c r="AV126">
        <v>22.6145</v>
      </c>
      <c r="AW126">
        <v>12.7942</v>
      </c>
      <c r="AX126">
        <v>626.40700000000004</v>
      </c>
      <c r="AY126">
        <v>22.4359</v>
      </c>
      <c r="AZ126">
        <v>300.18799999999999</v>
      </c>
      <c r="BA126">
        <v>99.044799999999995</v>
      </c>
      <c r="BB126">
        <v>9.9982500000000002E-2</v>
      </c>
      <c r="BC126">
        <v>25.790500000000002</v>
      </c>
      <c r="BD126">
        <v>26.973700000000001</v>
      </c>
      <c r="BE126">
        <v>27.5959</v>
      </c>
      <c r="BF126">
        <v>0</v>
      </c>
      <c r="BG126">
        <v>0</v>
      </c>
      <c r="BH126">
        <v>10007.5</v>
      </c>
      <c r="BI126">
        <v>1060.55</v>
      </c>
      <c r="BJ126">
        <v>1.4016500000000001</v>
      </c>
      <c r="BK126">
        <v>-173.87</v>
      </c>
      <c r="BL126">
        <v>640.81399999999996</v>
      </c>
      <c r="BM126">
        <v>810.56399999999996</v>
      </c>
      <c r="BN126">
        <v>9.8202800000000003</v>
      </c>
      <c r="BO126">
        <v>800.19299999999998</v>
      </c>
      <c r="BP126">
        <v>12.7942</v>
      </c>
      <c r="BQ126">
        <v>2.2398500000000001</v>
      </c>
      <c r="BR126">
        <v>1.2672000000000001</v>
      </c>
      <c r="BS126">
        <v>19.2502</v>
      </c>
      <c r="BT126">
        <v>10.4154</v>
      </c>
      <c r="BU126">
        <v>1800</v>
      </c>
      <c r="BV126">
        <v>0.91002099999999997</v>
      </c>
      <c r="BW126">
        <v>3.40004E-2</v>
      </c>
      <c r="BX126">
        <v>2.1992500000000002E-2</v>
      </c>
      <c r="BY126">
        <v>3.39864E-2</v>
      </c>
      <c r="BZ126">
        <v>26</v>
      </c>
      <c r="CA126">
        <v>33528.5</v>
      </c>
      <c r="CB126">
        <v>1690229084.0999999</v>
      </c>
      <c r="CC126" t="s">
        <v>332</v>
      </c>
      <c r="CD126">
        <v>1690229084.0999999</v>
      </c>
      <c r="CE126">
        <v>1690229076.5999999</v>
      </c>
      <c r="CF126">
        <v>13</v>
      </c>
      <c r="CG126">
        <v>0.23300000000000001</v>
      </c>
      <c r="CH126">
        <v>-0.13100000000000001</v>
      </c>
      <c r="CI126">
        <v>-0.20599999999999999</v>
      </c>
      <c r="CJ126">
        <v>8.7999999999999995E-2</v>
      </c>
      <c r="CK126">
        <v>799</v>
      </c>
      <c r="CL126">
        <v>16</v>
      </c>
      <c r="CM126">
        <v>0.04</v>
      </c>
      <c r="CN126">
        <v>0.04</v>
      </c>
      <c r="CO126">
        <v>-170.7945</v>
      </c>
      <c r="CP126">
        <v>-15.42598874296405</v>
      </c>
      <c r="CQ126">
        <v>1.4847772728594679</v>
      </c>
      <c r="CR126">
        <v>-1</v>
      </c>
      <c r="CS126">
        <v>9.648317500000001</v>
      </c>
      <c r="CT126">
        <v>0.91503579737334761</v>
      </c>
      <c r="CU126">
        <v>8.8749731288325612E-2</v>
      </c>
      <c r="CV126">
        <v>-1</v>
      </c>
      <c r="CW126">
        <v>0</v>
      </c>
      <c r="CX126">
        <v>0</v>
      </c>
      <c r="CY126" t="s">
        <v>333</v>
      </c>
      <c r="CZ126">
        <v>2.36449</v>
      </c>
      <c r="DA126">
        <v>2.7137799999999999</v>
      </c>
      <c r="DB126">
        <v>0.124088</v>
      </c>
      <c r="DC126">
        <v>0.14616399999999999</v>
      </c>
      <c r="DD126">
        <v>0.10917200000000001</v>
      </c>
      <c r="DE126">
        <v>7.1255299999999994E-2</v>
      </c>
      <c r="DF126">
        <v>31986.3</v>
      </c>
      <c r="DG126">
        <v>27527.7</v>
      </c>
      <c r="DH126">
        <v>31175.4</v>
      </c>
      <c r="DI126">
        <v>28092.6</v>
      </c>
      <c r="DJ126">
        <v>37706.800000000003</v>
      </c>
      <c r="DK126">
        <v>37105.4</v>
      </c>
      <c r="DL126">
        <v>44368.4</v>
      </c>
      <c r="DM126">
        <v>42584.2</v>
      </c>
      <c r="DN126">
        <v>1.4778199999999999</v>
      </c>
      <c r="DO126">
        <v>2.0453800000000002</v>
      </c>
      <c r="DP126">
        <v>0.134766</v>
      </c>
      <c r="DQ126">
        <v>0.18371999999999999</v>
      </c>
      <c r="DR126">
        <v>24.765699999999999</v>
      </c>
      <c r="DS126">
        <v>24.5868</v>
      </c>
      <c r="DT126">
        <v>54.5</v>
      </c>
      <c r="DU126">
        <v>29.2</v>
      </c>
      <c r="DV126">
        <v>22.386700000000001</v>
      </c>
      <c r="DW126">
        <v>61.3598</v>
      </c>
      <c r="DX126">
        <v>35.701099999999997</v>
      </c>
      <c r="DY126">
        <v>1</v>
      </c>
      <c r="DZ126">
        <v>-8.4690000000000001E-2</v>
      </c>
      <c r="EA126">
        <v>0.36108899999999999</v>
      </c>
      <c r="EB126">
        <v>20.1889</v>
      </c>
      <c r="EC126">
        <v>5.2406499999999996</v>
      </c>
      <c r="ED126">
        <v>12.039899999999999</v>
      </c>
      <c r="EE126">
        <v>5.01715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1.8646400000000001</v>
      </c>
      <c r="EM126">
        <v>1.8691899999999999</v>
      </c>
      <c r="EN126">
        <v>1.8672299999999999</v>
      </c>
      <c r="EO126">
        <v>1.8633999999999999</v>
      </c>
      <c r="EP126">
        <v>1.8644700000000001</v>
      </c>
      <c r="EQ126">
        <v>1.8701300000000001</v>
      </c>
      <c r="ER126">
        <v>1.8694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-8.4000000000000005E-2</v>
      </c>
      <c r="FG126">
        <v>0.17860000000000001</v>
      </c>
      <c r="FH126">
        <v>0.3448811944559278</v>
      </c>
      <c r="FI126">
        <v>-6.1462078757559423E-4</v>
      </c>
      <c r="FJ126">
        <v>-1.8861989874597051E-7</v>
      </c>
      <c r="FK126">
        <v>1.1980462299894961E-10</v>
      </c>
      <c r="FL126">
        <v>0.17862261546663211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28.3</v>
      </c>
      <c r="FU126">
        <v>28.5</v>
      </c>
      <c r="FV126">
        <v>1.77979</v>
      </c>
      <c r="FW126">
        <v>2.5915499999999998</v>
      </c>
      <c r="FX126">
        <v>1.5490699999999999</v>
      </c>
      <c r="FY126">
        <v>2.3278799999999999</v>
      </c>
      <c r="FZ126">
        <v>1.50146</v>
      </c>
      <c r="GA126">
        <v>2.3071299999999999</v>
      </c>
      <c r="GB126">
        <v>33.963900000000002</v>
      </c>
      <c r="GC126">
        <v>23.973700000000001</v>
      </c>
      <c r="GD126">
        <v>19</v>
      </c>
      <c r="GE126">
        <v>284.03199999999998</v>
      </c>
      <c r="GF126">
        <v>591.90099999999995</v>
      </c>
      <c r="GG126">
        <v>23.570599999999999</v>
      </c>
      <c r="GH126">
        <v>26.290500000000002</v>
      </c>
      <c r="GI126">
        <v>30</v>
      </c>
      <c r="GJ126">
        <v>26.454799999999999</v>
      </c>
      <c r="GK126">
        <v>26.449300000000001</v>
      </c>
      <c r="GL126">
        <v>35.577500000000001</v>
      </c>
      <c r="GM126">
        <v>48.075299999999999</v>
      </c>
      <c r="GN126">
        <v>82.924300000000002</v>
      </c>
      <c r="GO126">
        <v>23.575700000000001</v>
      </c>
      <c r="GP126">
        <v>800</v>
      </c>
      <c r="GQ126">
        <v>12.678800000000001</v>
      </c>
      <c r="GR126">
        <v>99.7517</v>
      </c>
      <c r="GS126">
        <v>99.614099999999993</v>
      </c>
    </row>
    <row r="127" spans="1:201" x14ac:dyDescent="0.25">
      <c r="A127">
        <v>111</v>
      </c>
      <c r="B127">
        <v>1690230795</v>
      </c>
      <c r="C127">
        <v>1289.900000095367</v>
      </c>
      <c r="D127" t="s">
        <v>555</v>
      </c>
      <c r="E127" t="s">
        <v>556</v>
      </c>
      <c r="F127" t="s">
        <v>330</v>
      </c>
      <c r="H127">
        <v>1690230795</v>
      </c>
      <c r="I127">
        <f t="shared" si="30"/>
        <v>9.7066831465351445E-4</v>
      </c>
      <c r="J127">
        <f t="shared" si="31"/>
        <v>0.97066831465351444</v>
      </c>
      <c r="K127">
        <f t="shared" si="32"/>
        <v>16.192396157130219</v>
      </c>
      <c r="L127">
        <f t="shared" si="33"/>
        <v>623.72199999999998</v>
      </c>
      <c r="M127">
        <f t="shared" si="34"/>
        <v>207.64514179111242</v>
      </c>
      <c r="N127">
        <f t="shared" si="35"/>
        <v>20.587668999672978</v>
      </c>
      <c r="O127">
        <f t="shared" si="36"/>
        <v>61.840994559515593</v>
      </c>
      <c r="P127">
        <f t="shared" si="37"/>
        <v>6.471870199120329E-2</v>
      </c>
      <c r="Q127">
        <f t="shared" si="38"/>
        <v>2.1802213510467192</v>
      </c>
      <c r="R127">
        <f t="shared" si="39"/>
        <v>6.3670062748094267E-2</v>
      </c>
      <c r="S127">
        <f t="shared" si="40"/>
        <v>3.9886589943410773E-2</v>
      </c>
      <c r="T127">
        <f t="shared" si="41"/>
        <v>276.11419842000004</v>
      </c>
      <c r="U127">
        <f t="shared" si="42"/>
        <v>27.60548842284399</v>
      </c>
      <c r="V127">
        <f t="shared" si="43"/>
        <v>27.60548842284399</v>
      </c>
      <c r="W127">
        <f t="shared" si="44"/>
        <v>3.7084340992288105</v>
      </c>
      <c r="X127">
        <f t="shared" si="45"/>
        <v>67.253682607007548</v>
      </c>
      <c r="Y127">
        <f t="shared" si="46"/>
        <v>2.2422493932599799</v>
      </c>
      <c r="Z127">
        <f t="shared" si="47"/>
        <v>3.3340172706413953</v>
      </c>
      <c r="AA127">
        <f t="shared" si="48"/>
        <v>1.4661847059688307</v>
      </c>
      <c r="AB127">
        <f t="shared" si="49"/>
        <v>-42.80647267621999</v>
      </c>
      <c r="AC127">
        <f t="shared" si="50"/>
        <v>-212.52288223690459</v>
      </c>
      <c r="AD127">
        <f t="shared" si="51"/>
        <v>-20.974266193458611</v>
      </c>
      <c r="AE127">
        <f t="shared" si="52"/>
        <v>-0.18942268658315697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52663.448602400051</v>
      </c>
      <c r="AK127">
        <f t="shared" si="56"/>
        <v>1800</v>
      </c>
      <c r="AL127">
        <f t="shared" si="57"/>
        <v>1499.1137819999999</v>
      </c>
      <c r="AM127">
        <f t="shared" si="58"/>
        <v>0.83284099</v>
      </c>
      <c r="AN127">
        <f t="shared" si="59"/>
        <v>0.15339677690000003</v>
      </c>
      <c r="AO127">
        <v>31.5</v>
      </c>
      <c r="AP127">
        <v>0.5</v>
      </c>
      <c r="AQ127" t="s">
        <v>331</v>
      </c>
      <c r="AR127">
        <v>2</v>
      </c>
      <c r="AS127">
        <v>1690230795</v>
      </c>
      <c r="AT127">
        <v>623.72199999999998</v>
      </c>
      <c r="AU127">
        <v>800.05799999999999</v>
      </c>
      <c r="AV127">
        <v>22.615100000000002</v>
      </c>
      <c r="AW127">
        <v>12.655900000000001</v>
      </c>
      <c r="AX127">
        <v>623.80499999999995</v>
      </c>
      <c r="AY127">
        <v>22.436399999999999</v>
      </c>
      <c r="AZ127">
        <v>300.07</v>
      </c>
      <c r="BA127">
        <v>99.048400000000001</v>
      </c>
      <c r="BB127">
        <v>9.9929799999999999E-2</v>
      </c>
      <c r="BC127">
        <v>25.7974</v>
      </c>
      <c r="BD127">
        <v>27.017399999999999</v>
      </c>
      <c r="BE127">
        <v>27.613499999999998</v>
      </c>
      <c r="BF127">
        <v>0</v>
      </c>
      <c r="BG127">
        <v>0</v>
      </c>
      <c r="BH127">
        <v>10015.6</v>
      </c>
      <c r="BI127">
        <v>1060.7</v>
      </c>
      <c r="BJ127">
        <v>1.4016500000000001</v>
      </c>
      <c r="BK127">
        <v>-176.33600000000001</v>
      </c>
      <c r="BL127">
        <v>638.154</v>
      </c>
      <c r="BM127">
        <v>810.31399999999996</v>
      </c>
      <c r="BN127">
        <v>9.9591799999999999</v>
      </c>
      <c r="BO127">
        <v>800.05799999999999</v>
      </c>
      <c r="BP127">
        <v>12.655900000000001</v>
      </c>
      <c r="BQ127">
        <v>2.2399900000000001</v>
      </c>
      <c r="BR127">
        <v>1.2535499999999999</v>
      </c>
      <c r="BS127">
        <v>19.251200000000001</v>
      </c>
      <c r="BT127">
        <v>10.2531</v>
      </c>
      <c r="BU127">
        <v>1800</v>
      </c>
      <c r="BV127">
        <v>0.91001900000000002</v>
      </c>
      <c r="BW127">
        <v>3.3999700000000001E-2</v>
      </c>
      <c r="BX127">
        <v>2.1992000000000001E-2</v>
      </c>
      <c r="BY127">
        <v>3.3989600000000002E-2</v>
      </c>
      <c r="BZ127">
        <v>26</v>
      </c>
      <c r="CA127">
        <v>33528.5</v>
      </c>
      <c r="CB127">
        <v>1690229084.0999999</v>
      </c>
      <c r="CC127" t="s">
        <v>332</v>
      </c>
      <c r="CD127">
        <v>1690229084.0999999</v>
      </c>
      <c r="CE127">
        <v>1690229076.5999999</v>
      </c>
      <c r="CF127">
        <v>13</v>
      </c>
      <c r="CG127">
        <v>0.23300000000000001</v>
      </c>
      <c r="CH127">
        <v>-0.13100000000000001</v>
      </c>
      <c r="CI127">
        <v>-0.20599999999999999</v>
      </c>
      <c r="CJ127">
        <v>8.7999999999999995E-2</v>
      </c>
      <c r="CK127">
        <v>799</v>
      </c>
      <c r="CL127">
        <v>16</v>
      </c>
      <c r="CM127">
        <v>0.04</v>
      </c>
      <c r="CN127">
        <v>0.04</v>
      </c>
      <c r="CO127">
        <v>-173.394575</v>
      </c>
      <c r="CP127">
        <v>-15.39724953095657</v>
      </c>
      <c r="CQ127">
        <v>1.483166846438726</v>
      </c>
      <c r="CR127">
        <v>-1</v>
      </c>
      <c r="CS127">
        <v>9.8018959999999993</v>
      </c>
      <c r="CT127">
        <v>0.88497298311443107</v>
      </c>
      <c r="CU127">
        <v>8.6076531871352779E-2</v>
      </c>
      <c r="CV127">
        <v>-1</v>
      </c>
      <c r="CW127">
        <v>0</v>
      </c>
      <c r="CX127">
        <v>0</v>
      </c>
      <c r="CY127" t="s">
        <v>333</v>
      </c>
      <c r="CZ127">
        <v>2.3641100000000002</v>
      </c>
      <c r="DA127">
        <v>2.71373</v>
      </c>
      <c r="DB127">
        <v>0.123733</v>
      </c>
      <c r="DC127">
        <v>0.14615</v>
      </c>
      <c r="DD127">
        <v>0.109178</v>
      </c>
      <c r="DE127">
        <v>7.0681499999999994E-2</v>
      </c>
      <c r="DF127">
        <v>31999.5</v>
      </c>
      <c r="DG127">
        <v>27528.2</v>
      </c>
      <c r="DH127">
        <v>31175.5</v>
      </c>
      <c r="DI127">
        <v>28092.799999999999</v>
      </c>
      <c r="DJ127">
        <v>37706.699999999997</v>
      </c>
      <c r="DK127">
        <v>37128.400000000001</v>
      </c>
      <c r="DL127">
        <v>44368.7</v>
      </c>
      <c r="DM127">
        <v>42584.3</v>
      </c>
      <c r="DN127">
        <v>1.4778</v>
      </c>
      <c r="DO127">
        <v>2.0450499999999998</v>
      </c>
      <c r="DP127">
        <v>0.137355</v>
      </c>
      <c r="DQ127">
        <v>0.184674</v>
      </c>
      <c r="DR127">
        <v>24.766999999999999</v>
      </c>
      <c r="DS127">
        <v>24.588899999999999</v>
      </c>
      <c r="DT127">
        <v>54.4</v>
      </c>
      <c r="DU127">
        <v>29.2</v>
      </c>
      <c r="DV127">
        <v>22.346399999999999</v>
      </c>
      <c r="DW127">
        <v>61.409799999999997</v>
      </c>
      <c r="DX127">
        <v>36.770800000000001</v>
      </c>
      <c r="DY127">
        <v>1</v>
      </c>
      <c r="DZ127">
        <v>-8.5284600000000002E-2</v>
      </c>
      <c r="EA127">
        <v>0.35506799999999999</v>
      </c>
      <c r="EB127">
        <v>20.188800000000001</v>
      </c>
      <c r="EC127">
        <v>5.2409499999999998</v>
      </c>
      <c r="ED127">
        <v>12.039899999999999</v>
      </c>
      <c r="EE127">
        <v>5.0168499999999998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1.8646199999999999</v>
      </c>
      <c r="EM127">
        <v>1.8691899999999999</v>
      </c>
      <c r="EN127">
        <v>1.8672299999999999</v>
      </c>
      <c r="EO127">
        <v>1.8633999999999999</v>
      </c>
      <c r="EP127">
        <v>1.86449</v>
      </c>
      <c r="EQ127">
        <v>1.8701399999999999</v>
      </c>
      <c r="ER127">
        <v>1.86941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-8.3000000000000004E-2</v>
      </c>
      <c r="FG127">
        <v>0.1787</v>
      </c>
      <c r="FH127">
        <v>0.3448811944559278</v>
      </c>
      <c r="FI127">
        <v>-6.1462078757559423E-4</v>
      </c>
      <c r="FJ127">
        <v>-1.8861989874597051E-7</v>
      </c>
      <c r="FK127">
        <v>1.1980462299894961E-10</v>
      </c>
      <c r="FL127">
        <v>0.17862261546663211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28.5</v>
      </c>
      <c r="FU127">
        <v>28.6</v>
      </c>
      <c r="FV127">
        <v>1.7785599999999999</v>
      </c>
      <c r="FW127">
        <v>2.5817899999999998</v>
      </c>
      <c r="FX127">
        <v>1.5490699999999999</v>
      </c>
      <c r="FY127">
        <v>2.3278799999999999</v>
      </c>
      <c r="FZ127">
        <v>1.50146</v>
      </c>
      <c r="GA127">
        <v>2.3889200000000002</v>
      </c>
      <c r="GB127">
        <v>33.963900000000002</v>
      </c>
      <c r="GC127">
        <v>23.982399999999998</v>
      </c>
      <c r="GD127">
        <v>19</v>
      </c>
      <c r="GE127">
        <v>284.01100000000002</v>
      </c>
      <c r="GF127">
        <v>591.601</v>
      </c>
      <c r="GG127">
        <v>23.585599999999999</v>
      </c>
      <c r="GH127">
        <v>26.2864</v>
      </c>
      <c r="GI127">
        <v>29.9999</v>
      </c>
      <c r="GJ127">
        <v>26.452400000000001</v>
      </c>
      <c r="GK127">
        <v>26.446899999999999</v>
      </c>
      <c r="GL127">
        <v>35.575899999999997</v>
      </c>
      <c r="GM127">
        <v>48.364400000000003</v>
      </c>
      <c r="GN127">
        <v>82.548100000000005</v>
      </c>
      <c r="GO127">
        <v>23.464400000000001</v>
      </c>
      <c r="GP127">
        <v>800</v>
      </c>
      <c r="GQ127">
        <v>12.5379</v>
      </c>
      <c r="GR127">
        <v>99.752300000000005</v>
      </c>
      <c r="GS127">
        <v>99.614500000000007</v>
      </c>
    </row>
    <row r="128" spans="1:201" x14ac:dyDescent="0.25">
      <c r="A128">
        <v>112</v>
      </c>
      <c r="B128">
        <v>1690230805</v>
      </c>
      <c r="C128">
        <v>1299.900000095367</v>
      </c>
      <c r="D128" t="s">
        <v>557</v>
      </c>
      <c r="E128" t="s">
        <v>558</v>
      </c>
      <c r="F128" t="s">
        <v>330</v>
      </c>
      <c r="H128">
        <v>1690230805</v>
      </c>
      <c r="I128">
        <f t="shared" si="30"/>
        <v>9.8626349026895393E-4</v>
      </c>
      <c r="J128">
        <f t="shared" si="31"/>
        <v>0.98626349026895388</v>
      </c>
      <c r="K128">
        <f t="shared" si="32"/>
        <v>16.428512892451398</v>
      </c>
      <c r="L128">
        <f t="shared" si="33"/>
        <v>621.27300000000002</v>
      </c>
      <c r="M128">
        <f t="shared" si="34"/>
        <v>205.86019521023312</v>
      </c>
      <c r="N128">
        <f t="shared" si="35"/>
        <v>20.409674490129305</v>
      </c>
      <c r="O128">
        <f t="shared" si="36"/>
        <v>61.595101892120404</v>
      </c>
      <c r="P128">
        <f t="shared" si="37"/>
        <v>6.5776503431657529E-2</v>
      </c>
      <c r="Q128">
        <f t="shared" si="38"/>
        <v>2.1802327868718101</v>
      </c>
      <c r="R128">
        <f t="shared" si="39"/>
        <v>6.4693619632356564E-2</v>
      </c>
      <c r="S128">
        <f t="shared" si="40"/>
        <v>4.0529320074725858E-2</v>
      </c>
      <c r="T128">
        <f t="shared" si="41"/>
        <v>276.11413154999997</v>
      </c>
      <c r="U128">
        <f t="shared" si="42"/>
        <v>27.601147774427897</v>
      </c>
      <c r="V128">
        <f t="shared" si="43"/>
        <v>27.601147774427897</v>
      </c>
      <c r="W128">
        <f t="shared" si="44"/>
        <v>3.7074930442547451</v>
      </c>
      <c r="X128">
        <f t="shared" si="45"/>
        <v>67.223737512318507</v>
      </c>
      <c r="Y128">
        <f t="shared" si="46"/>
        <v>2.2413838457910003</v>
      </c>
      <c r="Z128">
        <f t="shared" si="47"/>
        <v>3.3342148603092396</v>
      </c>
      <c r="AA128">
        <f t="shared" si="48"/>
        <v>1.4661091984637449</v>
      </c>
      <c r="AB128">
        <f t="shared" si="49"/>
        <v>-43.494219920860871</v>
      </c>
      <c r="AC128">
        <f t="shared" si="50"/>
        <v>-211.89625336769024</v>
      </c>
      <c r="AD128">
        <f t="shared" si="51"/>
        <v>-20.911962600974167</v>
      </c>
      <c r="AE128">
        <f t="shared" si="52"/>
        <v>-0.18830433952530257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52663.638453453736</v>
      </c>
      <c r="AK128">
        <f t="shared" si="56"/>
        <v>1800</v>
      </c>
      <c r="AL128">
        <f t="shared" si="57"/>
        <v>1499.111586</v>
      </c>
      <c r="AM128">
        <f t="shared" si="58"/>
        <v>0.83283976999999998</v>
      </c>
      <c r="AN128">
        <f t="shared" si="59"/>
        <v>0.15339673974999998</v>
      </c>
      <c r="AO128">
        <v>31.5</v>
      </c>
      <c r="AP128">
        <v>0.5</v>
      </c>
      <c r="AQ128" t="s">
        <v>331</v>
      </c>
      <c r="AR128">
        <v>2</v>
      </c>
      <c r="AS128">
        <v>1690230805</v>
      </c>
      <c r="AT128">
        <v>621.27300000000002</v>
      </c>
      <c r="AU128">
        <v>800.07799999999997</v>
      </c>
      <c r="AV128">
        <v>22.607500000000002</v>
      </c>
      <c r="AW128">
        <v>12.4931</v>
      </c>
      <c r="AX128">
        <v>621.35400000000004</v>
      </c>
      <c r="AY128">
        <v>22.428899999999999</v>
      </c>
      <c r="AZ128">
        <v>300.21499999999997</v>
      </c>
      <c r="BA128">
        <v>99.043400000000005</v>
      </c>
      <c r="BB128">
        <v>9.9974800000000003E-2</v>
      </c>
      <c r="BC128">
        <v>25.798400000000001</v>
      </c>
      <c r="BD128">
        <v>27.0002</v>
      </c>
      <c r="BE128">
        <v>27.589500000000001</v>
      </c>
      <c r="BF128">
        <v>0</v>
      </c>
      <c r="BG128">
        <v>0</v>
      </c>
      <c r="BH128">
        <v>10016.200000000001</v>
      </c>
      <c r="BI128">
        <v>1060.82</v>
      </c>
      <c r="BJ128">
        <v>1.4016500000000001</v>
      </c>
      <c r="BK128">
        <v>-178.80500000000001</v>
      </c>
      <c r="BL128">
        <v>635.64300000000003</v>
      </c>
      <c r="BM128">
        <v>810.2</v>
      </c>
      <c r="BN128">
        <v>10.1144</v>
      </c>
      <c r="BO128">
        <v>800.07799999999997</v>
      </c>
      <c r="BP128">
        <v>12.4931</v>
      </c>
      <c r="BQ128">
        <v>2.2391299999999998</v>
      </c>
      <c r="BR128">
        <v>1.23736</v>
      </c>
      <c r="BS128">
        <v>19.245000000000001</v>
      </c>
      <c r="BT128">
        <v>10.0588</v>
      </c>
      <c r="BU128">
        <v>1800</v>
      </c>
      <c r="BV128">
        <v>0.91000899999999996</v>
      </c>
      <c r="BW128">
        <v>3.3998899999999999E-2</v>
      </c>
      <c r="BX128">
        <v>2.1991500000000001E-2</v>
      </c>
      <c r="BY128">
        <v>3.4000500000000003E-2</v>
      </c>
      <c r="BZ128">
        <v>26</v>
      </c>
      <c r="CA128">
        <v>33528.5</v>
      </c>
      <c r="CB128">
        <v>1690229084.0999999</v>
      </c>
      <c r="CC128" t="s">
        <v>332</v>
      </c>
      <c r="CD128">
        <v>1690229084.0999999</v>
      </c>
      <c r="CE128">
        <v>1690229076.5999999</v>
      </c>
      <c r="CF128">
        <v>13</v>
      </c>
      <c r="CG128">
        <v>0.23300000000000001</v>
      </c>
      <c r="CH128">
        <v>-0.13100000000000001</v>
      </c>
      <c r="CI128">
        <v>-0.20599999999999999</v>
      </c>
      <c r="CJ128">
        <v>8.7999999999999995E-2</v>
      </c>
      <c r="CK128">
        <v>799</v>
      </c>
      <c r="CL128">
        <v>16</v>
      </c>
      <c r="CM128">
        <v>0.04</v>
      </c>
      <c r="CN128">
        <v>0.04</v>
      </c>
      <c r="CO128">
        <v>-176.04178048780491</v>
      </c>
      <c r="CP128">
        <v>-15.142954703833</v>
      </c>
      <c r="CQ128">
        <v>1.4945434005757869</v>
      </c>
      <c r="CR128">
        <v>-1</v>
      </c>
      <c r="CS128">
        <v>9.9515739024390246</v>
      </c>
      <c r="CT128">
        <v>0.82869909407665687</v>
      </c>
      <c r="CU128">
        <v>8.2624045277035971E-2</v>
      </c>
      <c r="CV128">
        <v>-1</v>
      </c>
      <c r="CW128">
        <v>0</v>
      </c>
      <c r="CX128">
        <v>0</v>
      </c>
      <c r="CY128" t="s">
        <v>333</v>
      </c>
      <c r="CZ128">
        <v>2.3645900000000002</v>
      </c>
      <c r="DA128">
        <v>2.7137799999999999</v>
      </c>
      <c r="DB128">
        <v>0.123387</v>
      </c>
      <c r="DC128">
        <v>0.146144</v>
      </c>
      <c r="DD128">
        <v>0.109148</v>
      </c>
      <c r="DE128">
        <v>6.9997299999999998E-2</v>
      </c>
      <c r="DF128">
        <v>32012.2</v>
      </c>
      <c r="DG128">
        <v>27528.3</v>
      </c>
      <c r="DH128">
        <v>31175.599999999999</v>
      </c>
      <c r="DI128">
        <v>28092.6</v>
      </c>
      <c r="DJ128">
        <v>37707.9</v>
      </c>
      <c r="DK128">
        <v>37155.699999999997</v>
      </c>
      <c r="DL128">
        <v>44368.7</v>
      </c>
      <c r="DM128">
        <v>42584.2</v>
      </c>
      <c r="DN128">
        <v>1.4779800000000001</v>
      </c>
      <c r="DO128">
        <v>2.0450499999999998</v>
      </c>
      <c r="DP128">
        <v>0.13613</v>
      </c>
      <c r="DQ128">
        <v>0.18323200000000001</v>
      </c>
      <c r="DR128">
        <v>24.7699</v>
      </c>
      <c r="DS128">
        <v>24.5884</v>
      </c>
      <c r="DT128">
        <v>54.3</v>
      </c>
      <c r="DU128">
        <v>29.2</v>
      </c>
      <c r="DV128">
        <v>22.305800000000001</v>
      </c>
      <c r="DW128">
        <v>61.219799999999999</v>
      </c>
      <c r="DX128">
        <v>35.869399999999999</v>
      </c>
      <c r="DY128">
        <v>1</v>
      </c>
      <c r="DZ128">
        <v>-8.5083800000000001E-2</v>
      </c>
      <c r="EA128">
        <v>0.70183600000000002</v>
      </c>
      <c r="EB128">
        <v>20.187100000000001</v>
      </c>
      <c r="EC128">
        <v>5.2406499999999996</v>
      </c>
      <c r="ED128">
        <v>12.039899999999999</v>
      </c>
      <c r="EE128">
        <v>5.0168999999999997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1.86463</v>
      </c>
      <c r="EM128">
        <v>1.8691899999999999</v>
      </c>
      <c r="EN128">
        <v>1.8672299999999999</v>
      </c>
      <c r="EO128">
        <v>1.8633999999999999</v>
      </c>
      <c r="EP128">
        <v>1.86449</v>
      </c>
      <c r="EQ128">
        <v>1.8701399999999999</v>
      </c>
      <c r="ER128">
        <v>1.86941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-8.1000000000000003E-2</v>
      </c>
      <c r="FG128">
        <v>0.17860000000000001</v>
      </c>
      <c r="FH128">
        <v>0.3448811944559278</v>
      </c>
      <c r="FI128">
        <v>-6.1462078757559423E-4</v>
      </c>
      <c r="FJ128">
        <v>-1.8861989874597051E-7</v>
      </c>
      <c r="FK128">
        <v>1.1980462299894961E-10</v>
      </c>
      <c r="FL128">
        <v>0.17862261546663211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28.7</v>
      </c>
      <c r="FU128">
        <v>28.8</v>
      </c>
      <c r="FV128">
        <v>1.77979</v>
      </c>
      <c r="FW128">
        <v>2.5903299999999998</v>
      </c>
      <c r="FX128">
        <v>1.5490699999999999</v>
      </c>
      <c r="FY128">
        <v>2.3278799999999999</v>
      </c>
      <c r="FZ128">
        <v>1.50146</v>
      </c>
      <c r="GA128">
        <v>2.36084</v>
      </c>
      <c r="GB128">
        <v>33.963900000000002</v>
      </c>
      <c r="GC128">
        <v>23.982399999999998</v>
      </c>
      <c r="GD128">
        <v>19</v>
      </c>
      <c r="GE128">
        <v>284.072</v>
      </c>
      <c r="GF128">
        <v>591.55700000000002</v>
      </c>
      <c r="GG128">
        <v>23.442</v>
      </c>
      <c r="GH128">
        <v>26.284199999999998</v>
      </c>
      <c r="GI128">
        <v>30.0001</v>
      </c>
      <c r="GJ128">
        <v>26.449300000000001</v>
      </c>
      <c r="GK128">
        <v>26.443000000000001</v>
      </c>
      <c r="GL128">
        <v>35.570999999999998</v>
      </c>
      <c r="GM128">
        <v>48.660899999999998</v>
      </c>
      <c r="GN128">
        <v>81.784099999999995</v>
      </c>
      <c r="GO128">
        <v>23.424600000000002</v>
      </c>
      <c r="GP128">
        <v>800</v>
      </c>
      <c r="GQ128">
        <v>12.408099999999999</v>
      </c>
      <c r="GR128">
        <v>99.752399999999994</v>
      </c>
      <c r="GS128">
        <v>99.614099999999993</v>
      </c>
    </row>
    <row r="129" spans="1:201" x14ac:dyDescent="0.25">
      <c r="A129">
        <v>113</v>
      </c>
      <c r="B129">
        <v>1690230815</v>
      </c>
      <c r="C129">
        <v>1309.900000095367</v>
      </c>
      <c r="D129" t="s">
        <v>559</v>
      </c>
      <c r="E129" t="s">
        <v>560</v>
      </c>
      <c r="F129" t="s">
        <v>330</v>
      </c>
      <c r="H129">
        <v>1690230815</v>
      </c>
      <c r="I129">
        <f t="shared" si="30"/>
        <v>9.948969666606518E-4</v>
      </c>
      <c r="J129">
        <f t="shared" si="31"/>
        <v>0.99489696666065186</v>
      </c>
      <c r="K129">
        <f t="shared" si="32"/>
        <v>16.646564824398869</v>
      </c>
      <c r="L129">
        <f t="shared" si="33"/>
        <v>618.77599999999995</v>
      </c>
      <c r="M129">
        <f t="shared" si="34"/>
        <v>201.9308149848209</v>
      </c>
      <c r="N129">
        <f t="shared" si="35"/>
        <v>20.02063278441587</v>
      </c>
      <c r="O129">
        <f t="shared" si="36"/>
        <v>61.349165914776002</v>
      </c>
      <c r="P129">
        <f t="shared" si="37"/>
        <v>6.641231495041397E-2</v>
      </c>
      <c r="Q129">
        <f t="shared" si="38"/>
        <v>2.1748075348164275</v>
      </c>
      <c r="R129">
        <f t="shared" si="39"/>
        <v>6.5305880598104993E-2</v>
      </c>
      <c r="S129">
        <f t="shared" si="40"/>
        <v>4.0914048663296648E-2</v>
      </c>
      <c r="T129">
        <f t="shared" si="41"/>
        <v>276.11414863199997</v>
      </c>
      <c r="U129">
        <f t="shared" si="42"/>
        <v>27.587909442570769</v>
      </c>
      <c r="V129">
        <f t="shared" si="43"/>
        <v>27.587909442570769</v>
      </c>
      <c r="W129">
        <f t="shared" si="44"/>
        <v>3.7046242534229052</v>
      </c>
      <c r="X129">
        <f t="shared" si="45"/>
        <v>67.223689911564492</v>
      </c>
      <c r="Y129">
        <f t="shared" si="46"/>
        <v>2.2394702121876002</v>
      </c>
      <c r="Z129">
        <f t="shared" si="47"/>
        <v>3.331370555727772</v>
      </c>
      <c r="AA129">
        <f t="shared" si="48"/>
        <v>1.465154041235305</v>
      </c>
      <c r="AB129">
        <f t="shared" si="49"/>
        <v>-43.874956229734742</v>
      </c>
      <c r="AC129">
        <f t="shared" si="50"/>
        <v>-211.5051780681793</v>
      </c>
      <c r="AD129">
        <f t="shared" si="51"/>
        <v>-20.922543785539315</v>
      </c>
      <c r="AE129">
        <f t="shared" si="52"/>
        <v>-0.18852945145340527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52440.805319847925</v>
      </c>
      <c r="AK129">
        <f t="shared" si="56"/>
        <v>1800</v>
      </c>
      <c r="AL129">
        <f t="shared" si="57"/>
        <v>1499.1118271999999</v>
      </c>
      <c r="AM129">
        <f t="shared" si="58"/>
        <v>0.83283990399999996</v>
      </c>
      <c r="AN129">
        <f t="shared" si="59"/>
        <v>0.15339674923999999</v>
      </c>
      <c r="AO129">
        <v>31.5</v>
      </c>
      <c r="AP129">
        <v>0.5</v>
      </c>
      <c r="AQ129" t="s">
        <v>331</v>
      </c>
      <c r="AR129">
        <v>2</v>
      </c>
      <c r="AS129">
        <v>1690230815</v>
      </c>
      <c r="AT129">
        <v>618.77599999999995</v>
      </c>
      <c r="AU129">
        <v>799.94799999999998</v>
      </c>
      <c r="AV129">
        <v>22.587599999999998</v>
      </c>
      <c r="AW129">
        <v>12.3817</v>
      </c>
      <c r="AX129">
        <v>618.85599999999999</v>
      </c>
      <c r="AY129">
        <v>22.408999999999999</v>
      </c>
      <c r="AZ129">
        <v>300.13400000000001</v>
      </c>
      <c r="BA129">
        <v>99.046000000000006</v>
      </c>
      <c r="BB129">
        <v>0.10000100000000001</v>
      </c>
      <c r="BC129">
        <v>25.783999999999999</v>
      </c>
      <c r="BD129">
        <v>26.965</v>
      </c>
      <c r="BE129">
        <v>27.594999999999999</v>
      </c>
      <c r="BF129">
        <v>0</v>
      </c>
      <c r="BG129">
        <v>0</v>
      </c>
      <c r="BH129">
        <v>9971.25</v>
      </c>
      <c r="BI129">
        <v>1060.81</v>
      </c>
      <c r="BJ129">
        <v>1.4016500000000001</v>
      </c>
      <c r="BK129">
        <v>-181.172</v>
      </c>
      <c r="BL129">
        <v>633.07600000000002</v>
      </c>
      <c r="BM129">
        <v>809.97699999999998</v>
      </c>
      <c r="BN129">
        <v>10.2059</v>
      </c>
      <c r="BO129">
        <v>799.94799999999998</v>
      </c>
      <c r="BP129">
        <v>12.3817</v>
      </c>
      <c r="BQ129">
        <v>2.2372100000000001</v>
      </c>
      <c r="BR129">
        <v>1.2263599999999999</v>
      </c>
      <c r="BS129">
        <v>19.231300000000001</v>
      </c>
      <c r="BT129">
        <v>9.9254599999999993</v>
      </c>
      <c r="BU129">
        <v>1800</v>
      </c>
      <c r="BV129">
        <v>0.91000899999999996</v>
      </c>
      <c r="BW129">
        <v>3.3998500000000001E-2</v>
      </c>
      <c r="BX129">
        <v>2.1991199999999999E-2</v>
      </c>
      <c r="BY129">
        <v>3.4001400000000001E-2</v>
      </c>
      <c r="BZ129">
        <v>26</v>
      </c>
      <c r="CA129">
        <v>33528.5</v>
      </c>
      <c r="CB129">
        <v>1690229084.0999999</v>
      </c>
      <c r="CC129" t="s">
        <v>332</v>
      </c>
      <c r="CD129">
        <v>1690229084.0999999</v>
      </c>
      <c r="CE129">
        <v>1690229076.5999999</v>
      </c>
      <c r="CF129">
        <v>13</v>
      </c>
      <c r="CG129">
        <v>0.23300000000000001</v>
      </c>
      <c r="CH129">
        <v>-0.13100000000000001</v>
      </c>
      <c r="CI129">
        <v>-0.20599999999999999</v>
      </c>
      <c r="CJ129">
        <v>8.7999999999999995E-2</v>
      </c>
      <c r="CK129">
        <v>799</v>
      </c>
      <c r="CL129">
        <v>16</v>
      </c>
      <c r="CM129">
        <v>0.04</v>
      </c>
      <c r="CN129">
        <v>0.04</v>
      </c>
      <c r="CO129">
        <v>-178.55736585365861</v>
      </c>
      <c r="CP129">
        <v>-14.886250871080289</v>
      </c>
      <c r="CQ129">
        <v>1.46833278204705</v>
      </c>
      <c r="CR129">
        <v>-1</v>
      </c>
      <c r="CS129">
        <v>10.0793056097561</v>
      </c>
      <c r="CT129">
        <v>0.72191435540073134</v>
      </c>
      <c r="CU129">
        <v>7.2409453299049631E-2</v>
      </c>
      <c r="CV129">
        <v>-1</v>
      </c>
      <c r="CW129">
        <v>0</v>
      </c>
      <c r="CX129">
        <v>0</v>
      </c>
      <c r="CY129" t="s">
        <v>333</v>
      </c>
      <c r="CZ129">
        <v>2.36436</v>
      </c>
      <c r="DA129">
        <v>2.7137699999999998</v>
      </c>
      <c r="DB129">
        <v>0.123044</v>
      </c>
      <c r="DC129">
        <v>0.14613000000000001</v>
      </c>
      <c r="DD129">
        <v>0.109083</v>
      </c>
      <c r="DE129">
        <v>6.9531200000000001E-2</v>
      </c>
      <c r="DF129">
        <v>32025.1</v>
      </c>
      <c r="DG129">
        <v>27528.9</v>
      </c>
      <c r="DH129">
        <v>31176</v>
      </c>
      <c r="DI129">
        <v>28092.799999999999</v>
      </c>
      <c r="DJ129">
        <v>37711.300000000003</v>
      </c>
      <c r="DK129">
        <v>37174.6</v>
      </c>
      <c r="DL129">
        <v>44369.4</v>
      </c>
      <c r="DM129">
        <v>42584.4</v>
      </c>
      <c r="DN129">
        <v>1.4781200000000001</v>
      </c>
      <c r="DO129">
        <v>2.04495</v>
      </c>
      <c r="DP129">
        <v>0.133801</v>
      </c>
      <c r="DQ129">
        <v>0.18364900000000001</v>
      </c>
      <c r="DR129">
        <v>24.7727</v>
      </c>
      <c r="DS129">
        <v>24.5871</v>
      </c>
      <c r="DT129">
        <v>54.1</v>
      </c>
      <c r="DU129">
        <v>29.2</v>
      </c>
      <c r="DV129">
        <v>22.222799999999999</v>
      </c>
      <c r="DW129">
        <v>61.509799999999998</v>
      </c>
      <c r="DX129">
        <v>36.149799999999999</v>
      </c>
      <c r="DY129">
        <v>1</v>
      </c>
      <c r="DZ129">
        <v>-8.5477600000000001E-2</v>
      </c>
      <c r="EA129">
        <v>0.47473900000000002</v>
      </c>
      <c r="EB129">
        <v>20.188300000000002</v>
      </c>
      <c r="EC129">
        <v>5.2403500000000003</v>
      </c>
      <c r="ED129">
        <v>12.039899999999999</v>
      </c>
      <c r="EE129">
        <v>5.01715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1.8692</v>
      </c>
      <c r="EN129">
        <v>1.8672299999999999</v>
      </c>
      <c r="EO129">
        <v>1.8633999999999999</v>
      </c>
      <c r="EP129">
        <v>1.86449</v>
      </c>
      <c r="EQ129">
        <v>1.87015</v>
      </c>
      <c r="ER129">
        <v>1.8694299999999999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-0.08</v>
      </c>
      <c r="FG129">
        <v>0.17860000000000001</v>
      </c>
      <c r="FH129">
        <v>0.3448811944559278</v>
      </c>
      <c r="FI129">
        <v>-6.1462078757559423E-4</v>
      </c>
      <c r="FJ129">
        <v>-1.8861989874597051E-7</v>
      </c>
      <c r="FK129">
        <v>1.1980462299894961E-10</v>
      </c>
      <c r="FL129">
        <v>0.17862261546663211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28.8</v>
      </c>
      <c r="FU129">
        <v>29</v>
      </c>
      <c r="FV129">
        <v>1.7785599999999999</v>
      </c>
      <c r="FW129">
        <v>2.5842299999999998</v>
      </c>
      <c r="FX129">
        <v>1.5490699999999999</v>
      </c>
      <c r="FY129">
        <v>2.3278799999999999</v>
      </c>
      <c r="FZ129">
        <v>1.50146</v>
      </c>
      <c r="GA129">
        <v>2.33521</v>
      </c>
      <c r="GB129">
        <v>33.963900000000002</v>
      </c>
      <c r="GC129">
        <v>23.982399999999998</v>
      </c>
      <c r="GD129">
        <v>19</v>
      </c>
      <c r="GE129">
        <v>284.12099999999998</v>
      </c>
      <c r="GF129">
        <v>591.44200000000001</v>
      </c>
      <c r="GG129">
        <v>23.418099999999999</v>
      </c>
      <c r="GH129">
        <v>26.2805</v>
      </c>
      <c r="GI129">
        <v>29.9998</v>
      </c>
      <c r="GJ129">
        <v>26.445799999999998</v>
      </c>
      <c r="GK129">
        <v>26.440200000000001</v>
      </c>
      <c r="GL129">
        <v>35.569499999999998</v>
      </c>
      <c r="GM129">
        <v>48.937199999999997</v>
      </c>
      <c r="GN129">
        <v>81.378799999999998</v>
      </c>
      <c r="GO129">
        <v>23.456600000000002</v>
      </c>
      <c r="GP129">
        <v>800</v>
      </c>
      <c r="GQ129">
        <v>12.282</v>
      </c>
      <c r="GR129">
        <v>99.753799999999998</v>
      </c>
      <c r="GS129">
        <v>99.614599999999996</v>
      </c>
    </row>
    <row r="130" spans="1:201" x14ac:dyDescent="0.25">
      <c r="A130">
        <v>114</v>
      </c>
      <c r="B130">
        <v>1690230825</v>
      </c>
      <c r="C130">
        <v>1319.900000095367</v>
      </c>
      <c r="D130" t="s">
        <v>561</v>
      </c>
      <c r="E130" t="s">
        <v>562</v>
      </c>
      <c r="F130" t="s">
        <v>330</v>
      </c>
      <c r="H130">
        <v>1690230825</v>
      </c>
      <c r="I130">
        <f t="shared" si="30"/>
        <v>1.013409973394283E-3</v>
      </c>
      <c r="J130">
        <f t="shared" si="31"/>
        <v>1.013409973394283</v>
      </c>
      <c r="K130">
        <f t="shared" si="32"/>
        <v>16.881433188164447</v>
      </c>
      <c r="L130">
        <f t="shared" si="33"/>
        <v>616.30200000000002</v>
      </c>
      <c r="M130">
        <f t="shared" si="34"/>
        <v>202.13208265657738</v>
      </c>
      <c r="N130">
        <f t="shared" si="35"/>
        <v>20.040068230175095</v>
      </c>
      <c r="O130">
        <f t="shared" si="36"/>
        <v>61.1022949354224</v>
      </c>
      <c r="P130">
        <f t="shared" si="37"/>
        <v>6.7804896859123095E-2</v>
      </c>
      <c r="Q130">
        <f t="shared" si="38"/>
        <v>2.1802340121873081</v>
      </c>
      <c r="R130">
        <f t="shared" si="39"/>
        <v>6.6654826166829134E-2</v>
      </c>
      <c r="S130">
        <f t="shared" si="40"/>
        <v>4.1760970787233141E-2</v>
      </c>
      <c r="T130">
        <f t="shared" si="41"/>
        <v>276.11419280400008</v>
      </c>
      <c r="U130">
        <f t="shared" si="42"/>
        <v>27.577692411421868</v>
      </c>
      <c r="V130">
        <f t="shared" si="43"/>
        <v>27.577692411421868</v>
      </c>
      <c r="W130">
        <f t="shared" si="44"/>
        <v>3.7024115131753508</v>
      </c>
      <c r="X130">
        <f t="shared" si="45"/>
        <v>67.245554049274148</v>
      </c>
      <c r="Y130">
        <f t="shared" si="46"/>
        <v>2.2402251427089599</v>
      </c>
      <c r="Z130">
        <f t="shared" si="47"/>
        <v>3.331410045439489</v>
      </c>
      <c r="AA130">
        <f t="shared" si="48"/>
        <v>1.4621863704663909</v>
      </c>
      <c r="AB130">
        <f t="shared" si="49"/>
        <v>-44.691379826687879</v>
      </c>
      <c r="AC130">
        <f t="shared" si="50"/>
        <v>-210.80848990529043</v>
      </c>
      <c r="AD130">
        <f t="shared" si="51"/>
        <v>-20.800677331159683</v>
      </c>
      <c r="AE130">
        <f t="shared" si="52"/>
        <v>-0.18635425913791437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52666.194517193333</v>
      </c>
      <c r="AK130">
        <f t="shared" si="56"/>
        <v>1800</v>
      </c>
      <c r="AL130">
        <f t="shared" si="57"/>
        <v>1499.1111414</v>
      </c>
      <c r="AM130">
        <f t="shared" si="58"/>
        <v>0.83283952299999997</v>
      </c>
      <c r="AN130">
        <f t="shared" si="59"/>
        <v>0.15339677378000005</v>
      </c>
      <c r="AO130">
        <v>31.5</v>
      </c>
      <c r="AP130">
        <v>0.5</v>
      </c>
      <c r="AQ130" t="s">
        <v>331</v>
      </c>
      <c r="AR130">
        <v>2</v>
      </c>
      <c r="AS130">
        <v>1690230825</v>
      </c>
      <c r="AT130">
        <v>616.30200000000002</v>
      </c>
      <c r="AU130">
        <v>800.00599999999997</v>
      </c>
      <c r="AV130">
        <v>22.595800000000001</v>
      </c>
      <c r="AW130">
        <v>12.201599999999999</v>
      </c>
      <c r="AX130">
        <v>616.37900000000002</v>
      </c>
      <c r="AY130">
        <v>22.417100000000001</v>
      </c>
      <c r="AZ130">
        <v>300.178</v>
      </c>
      <c r="BA130">
        <v>99.043499999999995</v>
      </c>
      <c r="BB130">
        <v>9.9931199999999998E-2</v>
      </c>
      <c r="BC130">
        <v>25.784199999999998</v>
      </c>
      <c r="BD130">
        <v>26.979600000000001</v>
      </c>
      <c r="BE130">
        <v>27.546099999999999</v>
      </c>
      <c r="BF130">
        <v>0</v>
      </c>
      <c r="BG130">
        <v>0</v>
      </c>
      <c r="BH130">
        <v>10016.200000000001</v>
      </c>
      <c r="BI130">
        <v>1060.97</v>
      </c>
      <c r="BJ130">
        <v>1.4016500000000001</v>
      </c>
      <c r="BK130">
        <v>-183.70400000000001</v>
      </c>
      <c r="BL130">
        <v>630.54999999999995</v>
      </c>
      <c r="BM130">
        <v>809.88800000000003</v>
      </c>
      <c r="BN130">
        <v>10.3941</v>
      </c>
      <c r="BO130">
        <v>800.00599999999997</v>
      </c>
      <c r="BP130">
        <v>12.201599999999999</v>
      </c>
      <c r="BQ130">
        <v>2.2379600000000002</v>
      </c>
      <c r="BR130">
        <v>1.2084900000000001</v>
      </c>
      <c r="BS130">
        <v>19.236699999999999</v>
      </c>
      <c r="BT130">
        <v>9.70655</v>
      </c>
      <c r="BU130">
        <v>1800</v>
      </c>
      <c r="BV130">
        <v>0.91000400000000004</v>
      </c>
      <c r="BW130">
        <v>3.3997899999999998E-2</v>
      </c>
      <c r="BX130">
        <v>2.1990900000000001E-2</v>
      </c>
      <c r="BY130">
        <v>3.40074E-2</v>
      </c>
      <c r="BZ130">
        <v>26</v>
      </c>
      <c r="CA130">
        <v>33528.5</v>
      </c>
      <c r="CB130">
        <v>1690229084.0999999</v>
      </c>
      <c r="CC130" t="s">
        <v>332</v>
      </c>
      <c r="CD130">
        <v>1690229084.0999999</v>
      </c>
      <c r="CE130">
        <v>1690229076.5999999</v>
      </c>
      <c r="CF130">
        <v>13</v>
      </c>
      <c r="CG130">
        <v>0.23300000000000001</v>
      </c>
      <c r="CH130">
        <v>-0.13100000000000001</v>
      </c>
      <c r="CI130">
        <v>-0.20599999999999999</v>
      </c>
      <c r="CJ130">
        <v>8.7999999999999995E-2</v>
      </c>
      <c r="CK130">
        <v>799</v>
      </c>
      <c r="CL130">
        <v>16</v>
      </c>
      <c r="CM130">
        <v>0.04</v>
      </c>
      <c r="CN130">
        <v>0.04</v>
      </c>
      <c r="CO130">
        <v>-181.211975</v>
      </c>
      <c r="CP130">
        <v>-14.98163977485911</v>
      </c>
      <c r="CQ130">
        <v>1.4423394795868969</v>
      </c>
      <c r="CR130">
        <v>-1</v>
      </c>
      <c r="CS130">
        <v>10.2108525</v>
      </c>
      <c r="CT130">
        <v>0.78184953095683773</v>
      </c>
      <c r="CU130">
        <v>7.6701489514545987E-2</v>
      </c>
      <c r="CV130">
        <v>-1</v>
      </c>
      <c r="CW130">
        <v>0</v>
      </c>
      <c r="CX130">
        <v>0</v>
      </c>
      <c r="CY130" t="s">
        <v>333</v>
      </c>
      <c r="CZ130">
        <v>2.36449</v>
      </c>
      <c r="DA130">
        <v>2.71374</v>
      </c>
      <c r="DB130">
        <v>0.122696</v>
      </c>
      <c r="DC130">
        <v>0.14613100000000001</v>
      </c>
      <c r="DD130">
        <v>0.109109</v>
      </c>
      <c r="DE130">
        <v>6.87696E-2</v>
      </c>
      <c r="DF130">
        <v>32037.7</v>
      </c>
      <c r="DG130">
        <v>27529.5</v>
      </c>
      <c r="DH130">
        <v>31175.9</v>
      </c>
      <c r="DI130">
        <v>28093.4</v>
      </c>
      <c r="DJ130">
        <v>37710.1</v>
      </c>
      <c r="DK130">
        <v>37205.9</v>
      </c>
      <c r="DL130">
        <v>44369.3</v>
      </c>
      <c r="DM130">
        <v>42585.4</v>
      </c>
      <c r="DN130">
        <v>1.4780500000000001</v>
      </c>
      <c r="DO130">
        <v>2.0445199999999999</v>
      </c>
      <c r="DP130">
        <v>0.13472899999999999</v>
      </c>
      <c r="DQ130">
        <v>0.18083299999999999</v>
      </c>
      <c r="DR130">
        <v>24.772200000000002</v>
      </c>
      <c r="DS130">
        <v>24.584199999999999</v>
      </c>
      <c r="DT130">
        <v>54</v>
      </c>
      <c r="DU130">
        <v>29.2</v>
      </c>
      <c r="DV130">
        <v>22.182099999999998</v>
      </c>
      <c r="DW130">
        <v>61.589799999999997</v>
      </c>
      <c r="DX130">
        <v>36.630600000000001</v>
      </c>
      <c r="DY130">
        <v>1</v>
      </c>
      <c r="DZ130">
        <v>-8.5767300000000005E-2</v>
      </c>
      <c r="EA130">
        <v>0.34186499999999997</v>
      </c>
      <c r="EB130">
        <v>20.188700000000001</v>
      </c>
      <c r="EC130">
        <v>5.2406499999999996</v>
      </c>
      <c r="ED130">
        <v>12.039899999999999</v>
      </c>
      <c r="EE130">
        <v>5.0168499999999998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1.8691599999999999</v>
      </c>
      <c r="EN130">
        <v>1.86724</v>
      </c>
      <c r="EO130">
        <v>1.8633999999999999</v>
      </c>
      <c r="EP130">
        <v>1.8644799999999999</v>
      </c>
      <c r="EQ130">
        <v>1.8701399999999999</v>
      </c>
      <c r="ER130">
        <v>1.8694200000000001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-7.6999999999999999E-2</v>
      </c>
      <c r="FG130">
        <v>0.1787</v>
      </c>
      <c r="FH130">
        <v>0.3448811944559278</v>
      </c>
      <c r="FI130">
        <v>-6.1462078757559423E-4</v>
      </c>
      <c r="FJ130">
        <v>-1.8861989874597051E-7</v>
      </c>
      <c r="FK130">
        <v>1.1980462299894961E-10</v>
      </c>
      <c r="FL130">
        <v>0.17862261546663211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29</v>
      </c>
      <c r="FU130">
        <v>29.1</v>
      </c>
      <c r="FV130">
        <v>1.7785599999999999</v>
      </c>
      <c r="FW130">
        <v>2.5842299999999998</v>
      </c>
      <c r="FX130">
        <v>1.5490699999999999</v>
      </c>
      <c r="FY130">
        <v>2.3278799999999999</v>
      </c>
      <c r="FZ130">
        <v>1.50146</v>
      </c>
      <c r="GA130">
        <v>2.3767100000000001</v>
      </c>
      <c r="GB130">
        <v>33.963900000000002</v>
      </c>
      <c r="GC130">
        <v>23.982399999999998</v>
      </c>
      <c r="GD130">
        <v>19</v>
      </c>
      <c r="GE130">
        <v>284.07799999999997</v>
      </c>
      <c r="GF130">
        <v>591.04300000000001</v>
      </c>
      <c r="GG130">
        <v>23.473199999999999</v>
      </c>
      <c r="GH130">
        <v>26.2775</v>
      </c>
      <c r="GI130">
        <v>30.0001</v>
      </c>
      <c r="GJ130">
        <v>26.443200000000001</v>
      </c>
      <c r="GK130">
        <v>26.436399999999999</v>
      </c>
      <c r="GL130">
        <v>35.564100000000003</v>
      </c>
      <c r="GM130">
        <v>49.237499999999997</v>
      </c>
      <c r="GN130">
        <v>80.983500000000006</v>
      </c>
      <c r="GO130">
        <v>23.5091</v>
      </c>
      <c r="GP130">
        <v>800</v>
      </c>
      <c r="GQ130">
        <v>12.136799999999999</v>
      </c>
      <c r="GR130">
        <v>99.753699999999995</v>
      </c>
      <c r="GS130">
        <v>99.616900000000001</v>
      </c>
    </row>
    <row r="131" spans="1:201" x14ac:dyDescent="0.25">
      <c r="A131">
        <v>115</v>
      </c>
      <c r="B131">
        <v>1690230835</v>
      </c>
      <c r="C131">
        <v>1329.900000095367</v>
      </c>
      <c r="D131" t="s">
        <v>563</v>
      </c>
      <c r="E131" t="s">
        <v>564</v>
      </c>
      <c r="F131" t="s">
        <v>330</v>
      </c>
      <c r="H131">
        <v>1690230835</v>
      </c>
      <c r="I131">
        <f t="shared" si="30"/>
        <v>1.0214791472140435E-3</v>
      </c>
      <c r="J131">
        <f t="shared" si="31"/>
        <v>1.0214791472140434</v>
      </c>
      <c r="K131">
        <f t="shared" si="32"/>
        <v>17.11561971660856</v>
      </c>
      <c r="L131">
        <f t="shared" si="33"/>
        <v>613.947</v>
      </c>
      <c r="M131">
        <f t="shared" si="34"/>
        <v>197.37163366983307</v>
      </c>
      <c r="N131">
        <f t="shared" si="35"/>
        <v>19.568234367326735</v>
      </c>
      <c r="O131">
        <f t="shared" si="36"/>
        <v>60.869227060329003</v>
      </c>
      <c r="P131">
        <f t="shared" si="37"/>
        <v>6.8335725545003251E-2</v>
      </c>
      <c r="Q131">
        <f t="shared" si="38"/>
        <v>2.173490584718377</v>
      </c>
      <c r="R131">
        <f t="shared" si="39"/>
        <v>6.7164187510508025E-2</v>
      </c>
      <c r="S131">
        <f t="shared" si="40"/>
        <v>4.2081202266133752E-2</v>
      </c>
      <c r="T131">
        <f t="shared" si="41"/>
        <v>276.11404947</v>
      </c>
      <c r="U131">
        <f t="shared" si="42"/>
        <v>27.581790208010805</v>
      </c>
      <c r="V131">
        <f t="shared" si="43"/>
        <v>27.581790208010805</v>
      </c>
      <c r="W131">
        <f t="shared" si="44"/>
        <v>3.7032988495850656</v>
      </c>
      <c r="X131">
        <f t="shared" si="45"/>
        <v>67.251039220108368</v>
      </c>
      <c r="Y131">
        <f t="shared" si="46"/>
        <v>2.2406469037893002</v>
      </c>
      <c r="Z131">
        <f t="shared" si="47"/>
        <v>3.3317654712454416</v>
      </c>
      <c r="AA131">
        <f t="shared" si="48"/>
        <v>1.4626519457957654</v>
      </c>
      <c r="AB131">
        <f t="shared" si="49"/>
        <v>-45.047230392139319</v>
      </c>
      <c r="AC131">
        <f t="shared" si="50"/>
        <v>-210.42571218539743</v>
      </c>
      <c r="AD131">
        <f t="shared" si="51"/>
        <v>-20.827942169812694</v>
      </c>
      <c r="AE131">
        <f t="shared" si="52"/>
        <v>-0.18683527734944505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52385.78231732783</v>
      </c>
      <c r="AK131">
        <f t="shared" si="56"/>
        <v>1800</v>
      </c>
      <c r="AL131">
        <f t="shared" si="57"/>
        <v>1499.109156</v>
      </c>
      <c r="AM131">
        <f t="shared" si="58"/>
        <v>0.83283841999999997</v>
      </c>
      <c r="AN131">
        <f t="shared" si="59"/>
        <v>0.15339669414999998</v>
      </c>
      <c r="AO131">
        <v>31.5</v>
      </c>
      <c r="AP131">
        <v>0.5</v>
      </c>
      <c r="AQ131" t="s">
        <v>331</v>
      </c>
      <c r="AR131">
        <v>2</v>
      </c>
      <c r="AS131">
        <v>1690230835</v>
      </c>
      <c r="AT131">
        <v>613.947</v>
      </c>
      <c r="AU131">
        <v>800.12800000000004</v>
      </c>
      <c r="AV131">
        <v>22.599900000000002</v>
      </c>
      <c r="AW131">
        <v>12.1234</v>
      </c>
      <c r="AX131">
        <v>614.02300000000002</v>
      </c>
      <c r="AY131">
        <v>22.421199999999999</v>
      </c>
      <c r="AZ131">
        <v>300.19</v>
      </c>
      <c r="BA131">
        <v>99.0441</v>
      </c>
      <c r="BB131">
        <v>0.100007</v>
      </c>
      <c r="BC131">
        <v>25.786000000000001</v>
      </c>
      <c r="BD131">
        <v>26.945</v>
      </c>
      <c r="BE131">
        <v>27.572299999999998</v>
      </c>
      <c r="BF131">
        <v>0</v>
      </c>
      <c r="BG131">
        <v>0</v>
      </c>
      <c r="BH131">
        <v>9960.6200000000008</v>
      </c>
      <c r="BI131">
        <v>1060.94</v>
      </c>
      <c r="BJ131">
        <v>1.4016500000000001</v>
      </c>
      <c r="BK131">
        <v>-186.18100000000001</v>
      </c>
      <c r="BL131">
        <v>628.14300000000003</v>
      </c>
      <c r="BM131">
        <v>809.947</v>
      </c>
      <c r="BN131">
        <v>10.4764</v>
      </c>
      <c r="BO131">
        <v>800.12800000000004</v>
      </c>
      <c r="BP131">
        <v>12.1234</v>
      </c>
      <c r="BQ131">
        <v>2.2383799999999998</v>
      </c>
      <c r="BR131">
        <v>1.20075</v>
      </c>
      <c r="BS131">
        <v>19.239699999999999</v>
      </c>
      <c r="BT131">
        <v>9.6109100000000005</v>
      </c>
      <c r="BU131">
        <v>1800</v>
      </c>
      <c r="BV131">
        <v>0.90999699999999994</v>
      </c>
      <c r="BW131">
        <v>3.3997399999999997E-2</v>
      </c>
      <c r="BX131">
        <v>2.19905E-2</v>
      </c>
      <c r="BY131">
        <v>3.4014700000000002E-2</v>
      </c>
      <c r="BZ131">
        <v>26</v>
      </c>
      <c r="CA131">
        <v>33528.5</v>
      </c>
      <c r="CB131">
        <v>1690229084.0999999</v>
      </c>
      <c r="CC131" t="s">
        <v>332</v>
      </c>
      <c r="CD131">
        <v>1690229084.0999999</v>
      </c>
      <c r="CE131">
        <v>1690229076.5999999</v>
      </c>
      <c r="CF131">
        <v>13</v>
      </c>
      <c r="CG131">
        <v>0.23300000000000001</v>
      </c>
      <c r="CH131">
        <v>-0.13100000000000001</v>
      </c>
      <c r="CI131">
        <v>-0.20599999999999999</v>
      </c>
      <c r="CJ131">
        <v>8.7999999999999995E-2</v>
      </c>
      <c r="CK131">
        <v>799</v>
      </c>
      <c r="CL131">
        <v>16</v>
      </c>
      <c r="CM131">
        <v>0.04</v>
      </c>
      <c r="CN131">
        <v>0.04</v>
      </c>
      <c r="CO131">
        <v>-183.66012499999999</v>
      </c>
      <c r="CP131">
        <v>-14.65214634146349</v>
      </c>
      <c r="CQ131">
        <v>1.41127325822287</v>
      </c>
      <c r="CR131">
        <v>-1</v>
      </c>
      <c r="CS131">
        <v>10.355245</v>
      </c>
      <c r="CT131">
        <v>0.90423489681048252</v>
      </c>
      <c r="CU131">
        <v>8.8814086579776269E-2</v>
      </c>
      <c r="CV131">
        <v>-1</v>
      </c>
      <c r="CW131">
        <v>0</v>
      </c>
      <c r="CX131">
        <v>0</v>
      </c>
      <c r="CY131" t="s">
        <v>333</v>
      </c>
      <c r="CZ131">
        <v>2.3645100000000001</v>
      </c>
      <c r="DA131">
        <v>2.7137600000000002</v>
      </c>
      <c r="DB131">
        <v>0.12236900000000001</v>
      </c>
      <c r="DC131">
        <v>0.146146</v>
      </c>
      <c r="DD131">
        <v>0.109125</v>
      </c>
      <c r="DE131">
        <v>6.8439100000000003E-2</v>
      </c>
      <c r="DF131">
        <v>32050.1</v>
      </c>
      <c r="DG131">
        <v>27529.3</v>
      </c>
      <c r="DH131">
        <v>31176.3</v>
      </c>
      <c r="DI131">
        <v>28093.7</v>
      </c>
      <c r="DJ131">
        <v>37709.800000000003</v>
      </c>
      <c r="DK131">
        <v>37219.699999999997</v>
      </c>
      <c r="DL131">
        <v>44369.9</v>
      </c>
      <c r="DM131">
        <v>42585.9</v>
      </c>
      <c r="DN131">
        <v>1.4784299999999999</v>
      </c>
      <c r="DO131">
        <v>2.0443500000000001</v>
      </c>
      <c r="DP131">
        <v>0.132803</v>
      </c>
      <c r="DQ131">
        <v>0.18268799999999999</v>
      </c>
      <c r="DR131">
        <v>24.769100000000002</v>
      </c>
      <c r="DS131">
        <v>24.580100000000002</v>
      </c>
      <c r="DT131">
        <v>53.8</v>
      </c>
      <c r="DU131">
        <v>29.2</v>
      </c>
      <c r="DV131">
        <v>22.0989</v>
      </c>
      <c r="DW131">
        <v>61.819800000000001</v>
      </c>
      <c r="DX131">
        <v>35.681100000000001</v>
      </c>
      <c r="DY131">
        <v>1</v>
      </c>
      <c r="DZ131">
        <v>-8.6590399999999998E-2</v>
      </c>
      <c r="EA131">
        <v>0.32170799999999999</v>
      </c>
      <c r="EB131">
        <v>20.1889</v>
      </c>
      <c r="EC131">
        <v>5.2404999999999999</v>
      </c>
      <c r="ED131">
        <v>12.039899999999999</v>
      </c>
      <c r="EE131">
        <v>5.0168499999999998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1.8646199999999999</v>
      </c>
      <c r="EM131">
        <v>1.86917</v>
      </c>
      <c r="EN131">
        <v>1.8672599999999999</v>
      </c>
      <c r="EO131">
        <v>1.8633999999999999</v>
      </c>
      <c r="EP131">
        <v>1.8644799999999999</v>
      </c>
      <c r="EQ131">
        <v>1.8701399999999999</v>
      </c>
      <c r="ER131">
        <v>1.86941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-7.5999999999999998E-2</v>
      </c>
      <c r="FG131">
        <v>0.1787</v>
      </c>
      <c r="FH131">
        <v>0.3448811944559278</v>
      </c>
      <c r="FI131">
        <v>-6.1462078757559423E-4</v>
      </c>
      <c r="FJ131">
        <v>-1.8861989874597051E-7</v>
      </c>
      <c r="FK131">
        <v>1.1980462299894961E-10</v>
      </c>
      <c r="FL131">
        <v>0.17862261546663211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29.2</v>
      </c>
      <c r="FU131">
        <v>29.3</v>
      </c>
      <c r="FV131">
        <v>1.7785599999999999</v>
      </c>
      <c r="FW131">
        <v>2.5952099999999998</v>
      </c>
      <c r="FX131">
        <v>1.5490699999999999</v>
      </c>
      <c r="FY131">
        <v>2.3278799999999999</v>
      </c>
      <c r="FZ131">
        <v>1.50146</v>
      </c>
      <c r="GA131">
        <v>2.3107899999999999</v>
      </c>
      <c r="GB131">
        <v>33.963900000000002</v>
      </c>
      <c r="GC131">
        <v>23.982399999999998</v>
      </c>
      <c r="GD131">
        <v>19</v>
      </c>
      <c r="GE131">
        <v>284.21899999999999</v>
      </c>
      <c r="GF131">
        <v>590.86699999999996</v>
      </c>
      <c r="GG131">
        <v>23.5305</v>
      </c>
      <c r="GH131">
        <v>26.274999999999999</v>
      </c>
      <c r="GI131">
        <v>29.9998</v>
      </c>
      <c r="GJ131">
        <v>26.4391</v>
      </c>
      <c r="GK131">
        <v>26.433900000000001</v>
      </c>
      <c r="GL131">
        <v>35.556899999999999</v>
      </c>
      <c r="GM131">
        <v>49.514600000000002</v>
      </c>
      <c r="GN131">
        <v>80.199399999999997</v>
      </c>
      <c r="GO131">
        <v>23.562000000000001</v>
      </c>
      <c r="GP131">
        <v>800</v>
      </c>
      <c r="GQ131">
        <v>12.000400000000001</v>
      </c>
      <c r="GR131">
        <v>99.754900000000006</v>
      </c>
      <c r="GS131">
        <v>99.618099999999998</v>
      </c>
    </row>
    <row r="132" spans="1:201" x14ac:dyDescent="0.25">
      <c r="A132">
        <v>116</v>
      </c>
      <c r="B132">
        <v>1690230845</v>
      </c>
      <c r="C132">
        <v>1339.900000095367</v>
      </c>
      <c r="D132" t="s">
        <v>565</v>
      </c>
      <c r="E132" t="s">
        <v>566</v>
      </c>
      <c r="F132" t="s">
        <v>330</v>
      </c>
      <c r="H132">
        <v>1690230845</v>
      </c>
      <c r="I132">
        <f t="shared" si="30"/>
        <v>1.0398803424602418E-3</v>
      </c>
      <c r="J132">
        <f t="shared" si="31"/>
        <v>1.0398803424602419</v>
      </c>
      <c r="K132">
        <f t="shared" si="32"/>
        <v>17.325777069657587</v>
      </c>
      <c r="L132">
        <f t="shared" si="33"/>
        <v>611.54</v>
      </c>
      <c r="M132">
        <f t="shared" si="34"/>
        <v>197.88087828379599</v>
      </c>
      <c r="N132">
        <f t="shared" si="35"/>
        <v>19.619227566062271</v>
      </c>
      <c r="O132">
        <f t="shared" si="36"/>
        <v>60.632146621779995</v>
      </c>
      <c r="P132">
        <f t="shared" si="37"/>
        <v>6.9683798408558109E-2</v>
      </c>
      <c r="Q132">
        <f t="shared" si="38"/>
        <v>2.1825492076258386</v>
      </c>
      <c r="R132">
        <f t="shared" si="39"/>
        <v>6.8470985599813378E-2</v>
      </c>
      <c r="S132">
        <f t="shared" si="40"/>
        <v>4.2901574190076723E-2</v>
      </c>
      <c r="T132">
        <f t="shared" si="41"/>
        <v>276.11260393656727</v>
      </c>
      <c r="U132">
        <f t="shared" si="42"/>
        <v>27.576892996331075</v>
      </c>
      <c r="V132">
        <f t="shared" si="43"/>
        <v>27.576892996331075</v>
      </c>
      <c r="W132">
        <f t="shared" si="44"/>
        <v>3.7022384295518118</v>
      </c>
      <c r="X132">
        <f t="shared" si="45"/>
        <v>67.247457089932055</v>
      </c>
      <c r="Y132">
        <f t="shared" si="46"/>
        <v>2.2416166827787003</v>
      </c>
      <c r="Z132">
        <f t="shared" si="47"/>
        <v>3.3333850524353932</v>
      </c>
      <c r="AA132">
        <f t="shared" si="48"/>
        <v>1.4606217467731115</v>
      </c>
      <c r="AB132">
        <f t="shared" si="49"/>
        <v>-45.858723102496661</v>
      </c>
      <c r="AC132">
        <f t="shared" si="50"/>
        <v>-209.76162833903686</v>
      </c>
      <c r="AD132">
        <f t="shared" si="51"/>
        <v>-20.676377135058356</v>
      </c>
      <c r="AE132">
        <f t="shared" si="52"/>
        <v>-0.18412464002460638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52760.88074958809</v>
      </c>
      <c r="AK132">
        <f t="shared" si="56"/>
        <v>1799.99</v>
      </c>
      <c r="AL132">
        <f t="shared" si="57"/>
        <v>1499.10152601192</v>
      </c>
      <c r="AM132">
        <f t="shared" si="58"/>
        <v>0.83283880799999999</v>
      </c>
      <c r="AN132">
        <f t="shared" si="59"/>
        <v>0.15339674328000003</v>
      </c>
      <c r="AO132">
        <v>31.5</v>
      </c>
      <c r="AP132">
        <v>0.5</v>
      </c>
      <c r="AQ132" t="s">
        <v>331</v>
      </c>
      <c r="AR132">
        <v>2</v>
      </c>
      <c r="AS132">
        <v>1690230845</v>
      </c>
      <c r="AT132">
        <v>611.54</v>
      </c>
      <c r="AU132">
        <v>800.08699999999999</v>
      </c>
      <c r="AV132">
        <v>22.609100000000002</v>
      </c>
      <c r="AW132">
        <v>11.940099999999999</v>
      </c>
      <c r="AX132">
        <v>611.61400000000003</v>
      </c>
      <c r="AY132">
        <v>22.430499999999999</v>
      </c>
      <c r="AZ132">
        <v>300.08100000000002</v>
      </c>
      <c r="BA132">
        <v>99.046700000000001</v>
      </c>
      <c r="BB132">
        <v>9.9957000000000004E-2</v>
      </c>
      <c r="BC132">
        <v>25.7942</v>
      </c>
      <c r="BD132">
        <v>26.948</v>
      </c>
      <c r="BE132">
        <v>27.581099999999999</v>
      </c>
      <c r="BF132">
        <v>0</v>
      </c>
      <c r="BG132">
        <v>0</v>
      </c>
      <c r="BH132">
        <v>10035</v>
      </c>
      <c r="BI132">
        <v>1061.0999999999999</v>
      </c>
      <c r="BJ132">
        <v>1.4016500000000001</v>
      </c>
      <c r="BK132">
        <v>-188.548</v>
      </c>
      <c r="BL132">
        <v>625.68600000000004</v>
      </c>
      <c r="BM132">
        <v>809.75599999999997</v>
      </c>
      <c r="BN132">
        <v>10.6691</v>
      </c>
      <c r="BO132">
        <v>800.08699999999999</v>
      </c>
      <c r="BP132">
        <v>11.940099999999999</v>
      </c>
      <c r="BQ132">
        <v>2.23936</v>
      </c>
      <c r="BR132">
        <v>1.1826300000000001</v>
      </c>
      <c r="BS132">
        <v>19.246700000000001</v>
      </c>
      <c r="BT132">
        <v>9.3846299999999996</v>
      </c>
      <c r="BU132">
        <v>1799.99</v>
      </c>
      <c r="BV132">
        <v>0.90999799999999997</v>
      </c>
      <c r="BW132">
        <v>3.3997199999999998E-2</v>
      </c>
      <c r="BX132">
        <v>2.19904E-2</v>
      </c>
      <c r="BY132">
        <v>3.40144E-2</v>
      </c>
      <c r="BZ132">
        <v>26</v>
      </c>
      <c r="CA132">
        <v>33528.400000000001</v>
      </c>
      <c r="CB132">
        <v>1690229084.0999999</v>
      </c>
      <c r="CC132" t="s">
        <v>332</v>
      </c>
      <c r="CD132">
        <v>1690229084.0999999</v>
      </c>
      <c r="CE132">
        <v>1690229076.5999999</v>
      </c>
      <c r="CF132">
        <v>13</v>
      </c>
      <c r="CG132">
        <v>0.23300000000000001</v>
      </c>
      <c r="CH132">
        <v>-0.13100000000000001</v>
      </c>
      <c r="CI132">
        <v>-0.20599999999999999</v>
      </c>
      <c r="CJ132">
        <v>8.7999999999999995E-2</v>
      </c>
      <c r="CK132">
        <v>799</v>
      </c>
      <c r="CL132">
        <v>16</v>
      </c>
      <c r="CM132">
        <v>0.04</v>
      </c>
      <c r="CN132">
        <v>0.04</v>
      </c>
      <c r="CO132">
        <v>-185.91399999999999</v>
      </c>
      <c r="CP132">
        <v>-14.52727526132422</v>
      </c>
      <c r="CQ132">
        <v>1.434281599727568</v>
      </c>
      <c r="CR132">
        <v>-1</v>
      </c>
      <c r="CS132">
        <v>10.49022926829268</v>
      </c>
      <c r="CT132">
        <v>0.75024878048781662</v>
      </c>
      <c r="CU132">
        <v>7.5124658171057651E-2</v>
      </c>
      <c r="CV132">
        <v>-1</v>
      </c>
      <c r="CW132">
        <v>0</v>
      </c>
      <c r="CX132">
        <v>0</v>
      </c>
      <c r="CY132" t="s">
        <v>333</v>
      </c>
      <c r="CZ132">
        <v>2.3641800000000002</v>
      </c>
      <c r="DA132">
        <v>2.7137799999999999</v>
      </c>
      <c r="DB132">
        <v>0.12203600000000001</v>
      </c>
      <c r="DC132">
        <v>0.146143</v>
      </c>
      <c r="DD132">
        <v>0.10915999999999999</v>
      </c>
      <c r="DE132">
        <v>6.7661200000000005E-2</v>
      </c>
      <c r="DF132">
        <v>32062.799999999999</v>
      </c>
      <c r="DG132">
        <v>27529.1</v>
      </c>
      <c r="DH132">
        <v>31176.799999999999</v>
      </c>
      <c r="DI132">
        <v>28093.4</v>
      </c>
      <c r="DJ132">
        <v>37708.800000000003</v>
      </c>
      <c r="DK132">
        <v>37250.199999999997</v>
      </c>
      <c r="DL132">
        <v>44370.6</v>
      </c>
      <c r="DM132">
        <v>42585.2</v>
      </c>
      <c r="DN132">
        <v>1.4781</v>
      </c>
      <c r="DO132">
        <v>2.0440200000000002</v>
      </c>
      <c r="DP132">
        <v>0.13306699999999999</v>
      </c>
      <c r="DQ132">
        <v>0.18342600000000001</v>
      </c>
      <c r="DR132">
        <v>24.767800000000001</v>
      </c>
      <c r="DS132">
        <v>24.576799999999999</v>
      </c>
      <c r="DT132">
        <v>53.6</v>
      </c>
      <c r="DU132">
        <v>29.1</v>
      </c>
      <c r="DV132">
        <v>21.887799999999999</v>
      </c>
      <c r="DW132">
        <v>61.419800000000002</v>
      </c>
      <c r="DX132">
        <v>37.0032</v>
      </c>
      <c r="DY132">
        <v>1</v>
      </c>
      <c r="DZ132">
        <v>-8.6748000000000006E-2</v>
      </c>
      <c r="EA132">
        <v>0.24968099999999999</v>
      </c>
      <c r="EB132">
        <v>20.1892</v>
      </c>
      <c r="EC132">
        <v>5.2408000000000001</v>
      </c>
      <c r="ED132">
        <v>12.039899999999999</v>
      </c>
      <c r="EE132">
        <v>5.0170000000000003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1.86463</v>
      </c>
      <c r="EM132">
        <v>1.86917</v>
      </c>
      <c r="EN132">
        <v>1.8672299999999999</v>
      </c>
      <c r="EO132">
        <v>1.8633999999999999</v>
      </c>
      <c r="EP132">
        <v>1.86449</v>
      </c>
      <c r="EQ132">
        <v>1.8701700000000001</v>
      </c>
      <c r="ER132">
        <v>1.8694200000000001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-7.3999999999999996E-2</v>
      </c>
      <c r="FG132">
        <v>0.17860000000000001</v>
      </c>
      <c r="FH132">
        <v>0.3448811944559278</v>
      </c>
      <c r="FI132">
        <v>-6.1462078757559423E-4</v>
      </c>
      <c r="FJ132">
        <v>-1.8861989874597051E-7</v>
      </c>
      <c r="FK132">
        <v>1.1980462299894961E-10</v>
      </c>
      <c r="FL132">
        <v>0.17862261546663211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29.3</v>
      </c>
      <c r="FU132">
        <v>29.5</v>
      </c>
      <c r="FV132">
        <v>1.7773399999999999</v>
      </c>
      <c r="FW132">
        <v>2.5830099999999998</v>
      </c>
      <c r="FX132">
        <v>1.5490699999999999</v>
      </c>
      <c r="FY132">
        <v>2.3278799999999999</v>
      </c>
      <c r="FZ132">
        <v>1.50146</v>
      </c>
      <c r="GA132">
        <v>2.3779300000000001</v>
      </c>
      <c r="GB132">
        <v>33.963900000000002</v>
      </c>
      <c r="GC132">
        <v>23.982399999999998</v>
      </c>
      <c r="GD132">
        <v>19</v>
      </c>
      <c r="GE132">
        <v>284.06900000000002</v>
      </c>
      <c r="GF132">
        <v>590.54899999999998</v>
      </c>
      <c r="GG132">
        <v>23.594200000000001</v>
      </c>
      <c r="GH132">
        <v>26.271000000000001</v>
      </c>
      <c r="GI132">
        <v>29.9998</v>
      </c>
      <c r="GJ132">
        <v>26.436499999999999</v>
      </c>
      <c r="GK132">
        <v>26.4297</v>
      </c>
      <c r="GL132">
        <v>35.546999999999997</v>
      </c>
      <c r="GM132">
        <v>49.801000000000002</v>
      </c>
      <c r="GN132">
        <v>79.803700000000006</v>
      </c>
      <c r="GO132">
        <v>23.635200000000001</v>
      </c>
      <c r="GP132">
        <v>800</v>
      </c>
      <c r="GQ132">
        <v>11.854699999999999</v>
      </c>
      <c r="GR132">
        <v>99.756500000000003</v>
      </c>
      <c r="GS132">
        <v>99.616600000000005</v>
      </c>
    </row>
    <row r="133" spans="1:201" x14ac:dyDescent="0.25">
      <c r="A133">
        <v>117</v>
      </c>
      <c r="B133">
        <v>1690230855</v>
      </c>
      <c r="C133">
        <v>1349.900000095367</v>
      </c>
      <c r="D133" t="s">
        <v>567</v>
      </c>
      <c r="E133" t="s">
        <v>568</v>
      </c>
      <c r="F133" t="s">
        <v>330</v>
      </c>
      <c r="H133">
        <v>1690230855</v>
      </c>
      <c r="I133">
        <f t="shared" si="30"/>
        <v>1.0526851142314887E-3</v>
      </c>
      <c r="J133">
        <f t="shared" si="31"/>
        <v>1.0526851142314886</v>
      </c>
      <c r="K133">
        <f t="shared" si="32"/>
        <v>17.539285793989766</v>
      </c>
      <c r="L133">
        <f t="shared" si="33"/>
        <v>609.16600000000005</v>
      </c>
      <c r="M133">
        <f t="shared" si="34"/>
        <v>194.86039072893837</v>
      </c>
      <c r="N133">
        <f t="shared" si="35"/>
        <v>19.319385113443694</v>
      </c>
      <c r="O133">
        <f t="shared" si="36"/>
        <v>60.39561199683201</v>
      </c>
      <c r="P133">
        <f t="shared" si="37"/>
        <v>7.0436254157253089E-2</v>
      </c>
      <c r="Q133">
        <f t="shared" si="38"/>
        <v>2.1751723086528152</v>
      </c>
      <c r="R133">
        <f t="shared" si="39"/>
        <v>6.9193236996284907E-2</v>
      </c>
      <c r="S133">
        <f t="shared" si="40"/>
        <v>4.335562613327431E-2</v>
      </c>
      <c r="T133">
        <f t="shared" si="41"/>
        <v>276.11405859600001</v>
      </c>
      <c r="U133">
        <f t="shared" si="42"/>
        <v>27.590105552163401</v>
      </c>
      <c r="V133">
        <f t="shared" si="43"/>
        <v>27.590105552163401</v>
      </c>
      <c r="W133">
        <f t="shared" si="44"/>
        <v>3.7051000236609761</v>
      </c>
      <c r="X133">
        <f t="shared" si="45"/>
        <v>67.210147986107799</v>
      </c>
      <c r="Y133">
        <f t="shared" si="46"/>
        <v>2.2419801059264</v>
      </c>
      <c r="Z133">
        <f t="shared" si="47"/>
        <v>3.3357761783083895</v>
      </c>
      <c r="AA133">
        <f t="shared" si="48"/>
        <v>1.4631199177345762</v>
      </c>
      <c r="AB133">
        <f t="shared" si="49"/>
        <v>-46.423413537608653</v>
      </c>
      <c r="AC133">
        <f t="shared" si="50"/>
        <v>-209.18311238788093</v>
      </c>
      <c r="AD133">
        <f t="shared" si="51"/>
        <v>-20.691902561005453</v>
      </c>
      <c r="AE133">
        <f t="shared" si="52"/>
        <v>-0.18436989049504859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52452.001188937342</v>
      </c>
      <c r="AK133">
        <f t="shared" si="56"/>
        <v>1800</v>
      </c>
      <c r="AL133">
        <f t="shared" si="57"/>
        <v>1499.1098525999998</v>
      </c>
      <c r="AM133">
        <f t="shared" si="58"/>
        <v>0.8328388069999999</v>
      </c>
      <c r="AN133">
        <f t="shared" si="59"/>
        <v>0.15339669922000002</v>
      </c>
      <c r="AO133">
        <v>31.5</v>
      </c>
      <c r="AP133">
        <v>0.5</v>
      </c>
      <c r="AQ133" t="s">
        <v>331</v>
      </c>
      <c r="AR133">
        <v>2</v>
      </c>
      <c r="AS133">
        <v>1690230855</v>
      </c>
      <c r="AT133">
        <v>609.16600000000005</v>
      </c>
      <c r="AU133">
        <v>799.93899999999996</v>
      </c>
      <c r="AV133">
        <v>22.613199999999999</v>
      </c>
      <c r="AW133">
        <v>11.8169</v>
      </c>
      <c r="AX133">
        <v>609.23800000000006</v>
      </c>
      <c r="AY133">
        <v>22.4345</v>
      </c>
      <c r="AZ133">
        <v>300.19299999999998</v>
      </c>
      <c r="BA133">
        <v>99.044700000000006</v>
      </c>
      <c r="BB133">
        <v>0.100052</v>
      </c>
      <c r="BC133">
        <v>25.8063</v>
      </c>
      <c r="BD133">
        <v>26.9939</v>
      </c>
      <c r="BE133">
        <v>27.569700000000001</v>
      </c>
      <c r="BF133">
        <v>0</v>
      </c>
      <c r="BG133">
        <v>0</v>
      </c>
      <c r="BH133">
        <v>9974.3799999999992</v>
      </c>
      <c r="BI133">
        <v>1061.22</v>
      </c>
      <c r="BJ133">
        <v>1.4016500000000001</v>
      </c>
      <c r="BK133">
        <v>-190.773</v>
      </c>
      <c r="BL133">
        <v>623.26</v>
      </c>
      <c r="BM133">
        <v>809.505</v>
      </c>
      <c r="BN133">
        <v>10.7963</v>
      </c>
      <c r="BO133">
        <v>799.93899999999996</v>
      </c>
      <c r="BP133">
        <v>11.8169</v>
      </c>
      <c r="BQ133">
        <v>2.2397100000000001</v>
      </c>
      <c r="BR133">
        <v>1.1704000000000001</v>
      </c>
      <c r="BS133">
        <v>19.249199999999998</v>
      </c>
      <c r="BT133">
        <v>9.2302499999999998</v>
      </c>
      <c r="BU133">
        <v>1800</v>
      </c>
      <c r="BV133">
        <v>0.909999</v>
      </c>
      <c r="BW133">
        <v>3.3996800000000001E-2</v>
      </c>
      <c r="BX133">
        <v>2.1990099999999999E-2</v>
      </c>
      <c r="BY133">
        <v>3.4014000000000003E-2</v>
      </c>
      <c r="BZ133">
        <v>26</v>
      </c>
      <c r="CA133">
        <v>33528.5</v>
      </c>
      <c r="CB133">
        <v>1690229084.0999999</v>
      </c>
      <c r="CC133" t="s">
        <v>332</v>
      </c>
      <c r="CD133">
        <v>1690229084.0999999</v>
      </c>
      <c r="CE133">
        <v>1690229076.5999999</v>
      </c>
      <c r="CF133">
        <v>13</v>
      </c>
      <c r="CG133">
        <v>0.23300000000000001</v>
      </c>
      <c r="CH133">
        <v>-0.13100000000000001</v>
      </c>
      <c r="CI133">
        <v>-0.20599999999999999</v>
      </c>
      <c r="CJ133">
        <v>8.7999999999999995E-2</v>
      </c>
      <c r="CK133">
        <v>799</v>
      </c>
      <c r="CL133">
        <v>16</v>
      </c>
      <c r="CM133">
        <v>0.04</v>
      </c>
      <c r="CN133">
        <v>0.04</v>
      </c>
      <c r="CO133">
        <v>-188.2973170731708</v>
      </c>
      <c r="CP133">
        <v>-13.908188153310171</v>
      </c>
      <c r="CQ133">
        <v>1.373000798305497</v>
      </c>
      <c r="CR133">
        <v>-1</v>
      </c>
      <c r="CS133">
        <v>10.643112195121949</v>
      </c>
      <c r="CT133">
        <v>1.042837630662041</v>
      </c>
      <c r="CU133">
        <v>0.1037438665718559</v>
      </c>
      <c r="CV133">
        <v>-1</v>
      </c>
      <c r="CW133">
        <v>0</v>
      </c>
      <c r="CX133">
        <v>0</v>
      </c>
      <c r="CY133" t="s">
        <v>333</v>
      </c>
      <c r="CZ133">
        <v>2.3645700000000001</v>
      </c>
      <c r="DA133">
        <v>2.7138200000000001</v>
      </c>
      <c r="DB133">
        <v>0.121702</v>
      </c>
      <c r="DC133">
        <v>0.14612</v>
      </c>
      <c r="DD133">
        <v>0.10917300000000001</v>
      </c>
      <c r="DE133">
        <v>6.7133700000000004E-2</v>
      </c>
      <c r="DF133">
        <v>32075.1</v>
      </c>
      <c r="DG133">
        <v>27530.400000000001</v>
      </c>
      <c r="DH133">
        <v>31177</v>
      </c>
      <c r="DI133">
        <v>28094</v>
      </c>
      <c r="DJ133">
        <v>37708.400000000001</v>
      </c>
      <c r="DK133">
        <v>37272.199999999997</v>
      </c>
      <c r="DL133">
        <v>44370.7</v>
      </c>
      <c r="DM133">
        <v>42586.2</v>
      </c>
      <c r="DN133">
        <v>1.47875</v>
      </c>
      <c r="DO133">
        <v>2.0442200000000001</v>
      </c>
      <c r="DP133">
        <v>0.13586899999999999</v>
      </c>
      <c r="DQ133">
        <v>0.18285999999999999</v>
      </c>
      <c r="DR133">
        <v>24.767800000000001</v>
      </c>
      <c r="DS133">
        <v>24.5747</v>
      </c>
      <c r="DT133">
        <v>53.4</v>
      </c>
      <c r="DU133">
        <v>29.1</v>
      </c>
      <c r="DV133">
        <v>21.808299999999999</v>
      </c>
      <c r="DW133">
        <v>61.829799999999999</v>
      </c>
      <c r="DX133">
        <v>36.025599999999997</v>
      </c>
      <c r="DY133">
        <v>1</v>
      </c>
      <c r="DZ133">
        <v>-8.7736300000000003E-2</v>
      </c>
      <c r="EA133">
        <v>0.20169400000000001</v>
      </c>
      <c r="EB133">
        <v>20.189299999999999</v>
      </c>
      <c r="EC133">
        <v>5.2409499999999998</v>
      </c>
      <c r="ED133">
        <v>12.039899999999999</v>
      </c>
      <c r="EE133">
        <v>5.0169499999999996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1.86917</v>
      </c>
      <c r="EN133">
        <v>1.8672299999999999</v>
      </c>
      <c r="EO133">
        <v>1.8633999999999999</v>
      </c>
      <c r="EP133">
        <v>1.8644700000000001</v>
      </c>
      <c r="EQ133">
        <v>1.8701399999999999</v>
      </c>
      <c r="ER133">
        <v>1.8694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-7.1999999999999995E-2</v>
      </c>
      <c r="FG133">
        <v>0.1787</v>
      </c>
      <c r="FH133">
        <v>0.3448811944559278</v>
      </c>
      <c r="FI133">
        <v>-6.1462078757559423E-4</v>
      </c>
      <c r="FJ133">
        <v>-1.8861989874597051E-7</v>
      </c>
      <c r="FK133">
        <v>1.1980462299894961E-10</v>
      </c>
      <c r="FL133">
        <v>0.17862261546663211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29.5</v>
      </c>
      <c r="FU133">
        <v>29.6</v>
      </c>
      <c r="FV133">
        <v>1.7785599999999999</v>
      </c>
      <c r="FW133">
        <v>2.5878899999999998</v>
      </c>
      <c r="FX133">
        <v>1.5490699999999999</v>
      </c>
      <c r="FY133">
        <v>2.3278799999999999</v>
      </c>
      <c r="FZ133">
        <v>1.50146</v>
      </c>
      <c r="GA133">
        <v>2.36572</v>
      </c>
      <c r="GB133">
        <v>33.963900000000002</v>
      </c>
      <c r="GC133">
        <v>23.982399999999998</v>
      </c>
      <c r="GD133">
        <v>19</v>
      </c>
      <c r="GE133">
        <v>284.32900000000001</v>
      </c>
      <c r="GF133">
        <v>590.67899999999997</v>
      </c>
      <c r="GG133">
        <v>23.666399999999999</v>
      </c>
      <c r="GH133">
        <v>26.268599999999999</v>
      </c>
      <c r="GI133">
        <v>29.999700000000001</v>
      </c>
      <c r="GJ133">
        <v>26.432500000000001</v>
      </c>
      <c r="GK133">
        <v>26.426400000000001</v>
      </c>
      <c r="GL133">
        <v>35.549700000000001</v>
      </c>
      <c r="GM133">
        <v>49.801000000000002</v>
      </c>
      <c r="GN133">
        <v>79.028199999999998</v>
      </c>
      <c r="GO133">
        <v>23.686</v>
      </c>
      <c r="GP133">
        <v>800</v>
      </c>
      <c r="GQ133">
        <v>11.712400000000001</v>
      </c>
      <c r="GR133">
        <v>99.756900000000002</v>
      </c>
      <c r="GS133">
        <v>99.618799999999993</v>
      </c>
    </row>
    <row r="134" spans="1:201" x14ac:dyDescent="0.25">
      <c r="A134">
        <v>118</v>
      </c>
      <c r="B134">
        <v>1690230865</v>
      </c>
      <c r="C134">
        <v>1359.900000095367</v>
      </c>
      <c r="D134" t="s">
        <v>569</v>
      </c>
      <c r="E134" t="s">
        <v>570</v>
      </c>
      <c r="F134" t="s">
        <v>330</v>
      </c>
      <c r="H134">
        <v>1690230865</v>
      </c>
      <c r="I134">
        <f t="shared" si="30"/>
        <v>1.065775721426994E-3</v>
      </c>
      <c r="J134">
        <f t="shared" si="31"/>
        <v>1.0657757214269941</v>
      </c>
      <c r="K134">
        <f t="shared" si="32"/>
        <v>17.759148751071081</v>
      </c>
      <c r="L134">
        <f t="shared" si="33"/>
        <v>606.85</v>
      </c>
      <c r="M134">
        <f t="shared" si="34"/>
        <v>192.60643428634657</v>
      </c>
      <c r="N134">
        <f t="shared" si="35"/>
        <v>19.095734570024426</v>
      </c>
      <c r="O134">
        <f t="shared" si="36"/>
        <v>60.165417457400004</v>
      </c>
      <c r="P134">
        <f t="shared" si="37"/>
        <v>7.1332422063833861E-2</v>
      </c>
      <c r="Q134">
        <f t="shared" si="38"/>
        <v>2.1781217607920427</v>
      </c>
      <c r="R134">
        <f t="shared" si="39"/>
        <v>7.0059574780907685E-2</v>
      </c>
      <c r="S134">
        <f t="shared" si="40"/>
        <v>4.3899702699648206E-2</v>
      </c>
      <c r="T134">
        <f t="shared" si="41"/>
        <v>276.11426214000005</v>
      </c>
      <c r="U134">
        <f t="shared" si="42"/>
        <v>27.591316641091783</v>
      </c>
      <c r="V134">
        <f t="shared" si="43"/>
        <v>27.591316641091783</v>
      </c>
      <c r="W134">
        <f t="shared" si="44"/>
        <v>3.7053624195637833</v>
      </c>
      <c r="X134">
        <f t="shared" si="45"/>
        <v>67.190823834212239</v>
      </c>
      <c r="Y134">
        <f t="shared" si="46"/>
        <v>2.2423849869700003</v>
      </c>
      <c r="Z134">
        <f t="shared" si="47"/>
        <v>3.3373381348960662</v>
      </c>
      <c r="AA134">
        <f t="shared" si="48"/>
        <v>1.462977432593783</v>
      </c>
      <c r="AB134">
        <f t="shared" si="49"/>
        <v>-47.00070931493044</v>
      </c>
      <c r="AC134">
        <f t="shared" si="50"/>
        <v>-208.6812987554809</v>
      </c>
      <c r="AD134">
        <f t="shared" si="51"/>
        <v>-20.615250781343089</v>
      </c>
      <c r="AE134">
        <f t="shared" si="52"/>
        <v>-0.18299671175438448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52573.084784873143</v>
      </c>
      <c r="AK134">
        <f t="shared" si="56"/>
        <v>1800</v>
      </c>
      <c r="AL134">
        <f t="shared" si="57"/>
        <v>1499.109543</v>
      </c>
      <c r="AM134">
        <f t="shared" si="58"/>
        <v>0.83283863499999999</v>
      </c>
      <c r="AN134">
        <f t="shared" si="59"/>
        <v>0.15339681230000002</v>
      </c>
      <c r="AO134">
        <v>31.5</v>
      </c>
      <c r="AP134">
        <v>0.5</v>
      </c>
      <c r="AQ134" t="s">
        <v>331</v>
      </c>
      <c r="AR134">
        <v>2</v>
      </c>
      <c r="AS134">
        <v>1690230865</v>
      </c>
      <c r="AT134">
        <v>606.85</v>
      </c>
      <c r="AU134">
        <v>799.99300000000005</v>
      </c>
      <c r="AV134">
        <v>22.6175</v>
      </c>
      <c r="AW134">
        <v>11.6867</v>
      </c>
      <c r="AX134">
        <v>606.92100000000005</v>
      </c>
      <c r="AY134">
        <v>22.4389</v>
      </c>
      <c r="AZ134">
        <v>300.185</v>
      </c>
      <c r="BA134">
        <v>99.043800000000005</v>
      </c>
      <c r="BB134">
        <v>0.100004</v>
      </c>
      <c r="BC134">
        <v>25.8142</v>
      </c>
      <c r="BD134">
        <v>26.9878</v>
      </c>
      <c r="BE134">
        <v>27.584</v>
      </c>
      <c r="BF134">
        <v>0</v>
      </c>
      <c r="BG134">
        <v>0</v>
      </c>
      <c r="BH134">
        <v>9998.75</v>
      </c>
      <c r="BI134">
        <v>1061.3599999999999</v>
      </c>
      <c r="BJ134">
        <v>1.4016500000000001</v>
      </c>
      <c r="BK134">
        <v>-193.143</v>
      </c>
      <c r="BL134">
        <v>620.89300000000003</v>
      </c>
      <c r="BM134">
        <v>809.45299999999997</v>
      </c>
      <c r="BN134">
        <v>10.9308</v>
      </c>
      <c r="BO134">
        <v>799.99300000000005</v>
      </c>
      <c r="BP134">
        <v>11.6867</v>
      </c>
      <c r="BQ134">
        <v>2.2401200000000001</v>
      </c>
      <c r="BR134">
        <v>1.1574899999999999</v>
      </c>
      <c r="BS134">
        <v>19.252199999999998</v>
      </c>
      <c r="BT134">
        <v>9.0658100000000008</v>
      </c>
      <c r="BU134">
        <v>1800</v>
      </c>
      <c r="BV134">
        <v>0.90999699999999994</v>
      </c>
      <c r="BW134">
        <v>3.3996400000000003E-2</v>
      </c>
      <c r="BX134">
        <v>2.1992500000000002E-2</v>
      </c>
      <c r="BY134">
        <v>3.4013599999999998E-2</v>
      </c>
      <c r="BZ134">
        <v>26</v>
      </c>
      <c r="CA134">
        <v>33528.400000000001</v>
      </c>
      <c r="CB134">
        <v>1690229084.0999999</v>
      </c>
      <c r="CC134" t="s">
        <v>332</v>
      </c>
      <c r="CD134">
        <v>1690229084.0999999</v>
      </c>
      <c r="CE134">
        <v>1690229076.5999999</v>
      </c>
      <c r="CF134">
        <v>13</v>
      </c>
      <c r="CG134">
        <v>0.23300000000000001</v>
      </c>
      <c r="CH134">
        <v>-0.13100000000000001</v>
      </c>
      <c r="CI134">
        <v>-0.20599999999999999</v>
      </c>
      <c r="CJ134">
        <v>8.7999999999999995E-2</v>
      </c>
      <c r="CK134">
        <v>799</v>
      </c>
      <c r="CL134">
        <v>16</v>
      </c>
      <c r="CM134">
        <v>0.04</v>
      </c>
      <c r="CN134">
        <v>0.04</v>
      </c>
      <c r="CO134">
        <v>-190.58167499999999</v>
      </c>
      <c r="CP134">
        <v>-14.08488180112562</v>
      </c>
      <c r="CQ134">
        <v>1.3565356498724981</v>
      </c>
      <c r="CR134">
        <v>-1</v>
      </c>
      <c r="CS134">
        <v>10.790535</v>
      </c>
      <c r="CT134">
        <v>0.751929455909914</v>
      </c>
      <c r="CU134">
        <v>7.3208478163393112E-2</v>
      </c>
      <c r="CV134">
        <v>-1</v>
      </c>
      <c r="CW134">
        <v>0</v>
      </c>
      <c r="CX134">
        <v>0</v>
      </c>
      <c r="CY134" t="s">
        <v>333</v>
      </c>
      <c r="CZ134">
        <v>2.3645399999999999</v>
      </c>
      <c r="DA134">
        <v>2.7137899999999999</v>
      </c>
      <c r="DB134">
        <v>0.121376</v>
      </c>
      <c r="DC134">
        <v>0.146124</v>
      </c>
      <c r="DD134">
        <v>0.10918799999999999</v>
      </c>
      <c r="DE134">
        <v>6.6574900000000006E-2</v>
      </c>
      <c r="DF134">
        <v>32087.5</v>
      </c>
      <c r="DG134">
        <v>27530.400000000001</v>
      </c>
      <c r="DH134">
        <v>31177.3</v>
      </c>
      <c r="DI134">
        <v>28094.1</v>
      </c>
      <c r="DJ134">
        <v>37708.1</v>
      </c>
      <c r="DK134">
        <v>37294.800000000003</v>
      </c>
      <c r="DL134">
        <v>44371.199999999997</v>
      </c>
      <c r="DM134">
        <v>42586.5</v>
      </c>
      <c r="DN134">
        <v>1.47865</v>
      </c>
      <c r="DO134">
        <v>2.0437799999999999</v>
      </c>
      <c r="DP134">
        <v>0.13550000000000001</v>
      </c>
      <c r="DQ134">
        <v>0.18373500000000001</v>
      </c>
      <c r="DR134">
        <v>24.767800000000001</v>
      </c>
      <c r="DS134">
        <v>24.5747</v>
      </c>
      <c r="DT134">
        <v>53.2</v>
      </c>
      <c r="DU134">
        <v>29.2</v>
      </c>
      <c r="DV134">
        <v>21.856100000000001</v>
      </c>
      <c r="DW134">
        <v>61.729700000000001</v>
      </c>
      <c r="DX134">
        <v>35.897399999999998</v>
      </c>
      <c r="DY134">
        <v>1</v>
      </c>
      <c r="DZ134">
        <v>-8.7286600000000006E-2</v>
      </c>
      <c r="EA134">
        <v>0.76123600000000002</v>
      </c>
      <c r="EB134">
        <v>20.186699999999998</v>
      </c>
      <c r="EC134">
        <v>5.2406499999999996</v>
      </c>
      <c r="ED134">
        <v>12.039899999999999</v>
      </c>
      <c r="EE134">
        <v>5.0168999999999997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1.8691599999999999</v>
      </c>
      <c r="EN134">
        <v>1.8672299999999999</v>
      </c>
      <c r="EO134">
        <v>1.8633999999999999</v>
      </c>
      <c r="EP134">
        <v>1.86449</v>
      </c>
      <c r="EQ134">
        <v>1.87016</v>
      </c>
      <c r="ER134">
        <v>1.86941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-7.0999999999999994E-2</v>
      </c>
      <c r="FG134">
        <v>0.17860000000000001</v>
      </c>
      <c r="FH134">
        <v>0.3448811944559278</v>
      </c>
      <c r="FI134">
        <v>-6.1462078757559423E-4</v>
      </c>
      <c r="FJ134">
        <v>-1.8861989874597051E-7</v>
      </c>
      <c r="FK134">
        <v>1.1980462299894961E-10</v>
      </c>
      <c r="FL134">
        <v>0.17862261546663211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29.7</v>
      </c>
      <c r="FU134">
        <v>29.8</v>
      </c>
      <c r="FV134">
        <v>1.7773399999999999</v>
      </c>
      <c r="FW134">
        <v>2.5903299999999998</v>
      </c>
      <c r="FX134">
        <v>1.5490699999999999</v>
      </c>
      <c r="FY134">
        <v>2.3278799999999999</v>
      </c>
      <c r="FZ134">
        <v>1.50146</v>
      </c>
      <c r="GA134">
        <v>2.2936999999999999</v>
      </c>
      <c r="GB134">
        <v>33.963900000000002</v>
      </c>
      <c r="GC134">
        <v>23.982399999999998</v>
      </c>
      <c r="GD134">
        <v>19</v>
      </c>
      <c r="GE134">
        <v>284.27199999999999</v>
      </c>
      <c r="GF134">
        <v>590.26199999999994</v>
      </c>
      <c r="GG134">
        <v>23.622599999999998</v>
      </c>
      <c r="GH134">
        <v>26.264900000000001</v>
      </c>
      <c r="GI134">
        <v>30.000299999999999</v>
      </c>
      <c r="GJ134">
        <v>26.429300000000001</v>
      </c>
      <c r="GK134">
        <v>26.422799999999999</v>
      </c>
      <c r="GL134">
        <v>35.544499999999999</v>
      </c>
      <c r="GM134">
        <v>50.360500000000002</v>
      </c>
      <c r="GN134">
        <v>78.630799999999994</v>
      </c>
      <c r="GO134">
        <v>23.593900000000001</v>
      </c>
      <c r="GP134">
        <v>800</v>
      </c>
      <c r="GQ134">
        <v>11.569699999999999</v>
      </c>
      <c r="GR134">
        <v>99.757999999999996</v>
      </c>
      <c r="GS134">
        <v>99.619399999999999</v>
      </c>
    </row>
    <row r="135" spans="1:201" x14ac:dyDescent="0.25">
      <c r="A135">
        <v>119</v>
      </c>
      <c r="B135">
        <v>1690230875</v>
      </c>
      <c r="C135">
        <v>1369.900000095367</v>
      </c>
      <c r="D135" t="s">
        <v>571</v>
      </c>
      <c r="E135" t="s">
        <v>572</v>
      </c>
      <c r="F135" t="s">
        <v>330</v>
      </c>
      <c r="H135">
        <v>1690230875</v>
      </c>
      <c r="I135">
        <f t="shared" si="30"/>
        <v>1.0810224642325904E-3</v>
      </c>
      <c r="J135">
        <f t="shared" si="31"/>
        <v>1.0810224642325903</v>
      </c>
      <c r="K135">
        <f t="shared" si="32"/>
        <v>17.97524785223716</v>
      </c>
      <c r="L135">
        <f t="shared" si="33"/>
        <v>604.53</v>
      </c>
      <c r="M135">
        <f t="shared" si="34"/>
        <v>191.07186126809509</v>
      </c>
      <c r="N135">
        <f t="shared" si="35"/>
        <v>18.943220675140211</v>
      </c>
      <c r="O135">
        <f t="shared" si="36"/>
        <v>59.934231648449995</v>
      </c>
      <c r="P135">
        <f t="shared" si="37"/>
        <v>7.2349343348755368E-2</v>
      </c>
      <c r="Q135">
        <f t="shared" si="38"/>
        <v>2.1769597436789598</v>
      </c>
      <c r="R135">
        <f t="shared" si="39"/>
        <v>7.1039619576985444E-2</v>
      </c>
      <c r="S135">
        <f t="shared" si="40"/>
        <v>4.4515460866231905E-2</v>
      </c>
      <c r="T135">
        <f t="shared" si="41"/>
        <v>276.11491028400002</v>
      </c>
      <c r="U135">
        <f t="shared" si="42"/>
        <v>27.58397253411222</v>
      </c>
      <c r="V135">
        <f t="shared" si="43"/>
        <v>27.58397253411222</v>
      </c>
      <c r="W135">
        <f t="shared" si="44"/>
        <v>3.7037714859612034</v>
      </c>
      <c r="X135">
        <f t="shared" si="45"/>
        <v>67.141436499179179</v>
      </c>
      <c r="Y135">
        <f t="shared" si="46"/>
        <v>2.2403384659644998</v>
      </c>
      <c r="Z135">
        <f t="shared" si="47"/>
        <v>3.3367449116044581</v>
      </c>
      <c r="AA135">
        <f t="shared" si="48"/>
        <v>1.4634330199967036</v>
      </c>
      <c r="AB135">
        <f t="shared" si="49"/>
        <v>-47.673090672657239</v>
      </c>
      <c r="AC135">
        <f t="shared" si="50"/>
        <v>-208.06012544810156</v>
      </c>
      <c r="AD135">
        <f t="shared" si="51"/>
        <v>-20.563791896409864</v>
      </c>
      <c r="AE135">
        <f t="shared" si="52"/>
        <v>-0.18209773316866062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52525.290060191561</v>
      </c>
      <c r="AK135">
        <f t="shared" si="56"/>
        <v>1800</v>
      </c>
      <c r="AL135">
        <f t="shared" si="57"/>
        <v>1499.1099984</v>
      </c>
      <c r="AM135">
        <f t="shared" si="58"/>
        <v>0.83283888800000005</v>
      </c>
      <c r="AN135">
        <f t="shared" si="59"/>
        <v>0.15339717238</v>
      </c>
      <c r="AO135">
        <v>31.5</v>
      </c>
      <c r="AP135">
        <v>0.5</v>
      </c>
      <c r="AQ135" t="s">
        <v>331</v>
      </c>
      <c r="AR135">
        <v>2</v>
      </c>
      <c r="AS135">
        <v>1690230875</v>
      </c>
      <c r="AT135">
        <v>604.53</v>
      </c>
      <c r="AU135">
        <v>800.029</v>
      </c>
      <c r="AV135">
        <v>22.597300000000001</v>
      </c>
      <c r="AW135">
        <v>11.508900000000001</v>
      </c>
      <c r="AX135">
        <v>604.59900000000005</v>
      </c>
      <c r="AY135">
        <v>22.418600000000001</v>
      </c>
      <c r="AZ135">
        <v>300.15800000000002</v>
      </c>
      <c r="BA135">
        <v>99.041799999999995</v>
      </c>
      <c r="BB135">
        <v>0.100065</v>
      </c>
      <c r="BC135">
        <v>25.811199999999999</v>
      </c>
      <c r="BD135">
        <v>27.003399999999999</v>
      </c>
      <c r="BE135">
        <v>27.585599999999999</v>
      </c>
      <c r="BF135">
        <v>0</v>
      </c>
      <c r="BG135">
        <v>0</v>
      </c>
      <c r="BH135">
        <v>9989.3799999999992</v>
      </c>
      <c r="BI135">
        <v>1061.49</v>
      </c>
      <c r="BJ135">
        <v>1.4016500000000001</v>
      </c>
      <c r="BK135">
        <v>-195.499</v>
      </c>
      <c r="BL135">
        <v>618.50699999999995</v>
      </c>
      <c r="BM135">
        <v>809.34400000000005</v>
      </c>
      <c r="BN135">
        <v>11.0884</v>
      </c>
      <c r="BO135">
        <v>800.029</v>
      </c>
      <c r="BP135">
        <v>11.508900000000001</v>
      </c>
      <c r="BQ135">
        <v>2.23807</v>
      </c>
      <c r="BR135">
        <v>1.1398600000000001</v>
      </c>
      <c r="BS135">
        <v>19.237500000000001</v>
      </c>
      <c r="BT135">
        <v>8.8384300000000007</v>
      </c>
      <c r="BU135">
        <v>1800</v>
      </c>
      <c r="BV135">
        <v>0.90999300000000005</v>
      </c>
      <c r="BW135">
        <v>3.3995900000000003E-2</v>
      </c>
      <c r="BX135">
        <v>2.19974E-2</v>
      </c>
      <c r="BY135">
        <v>3.40132E-2</v>
      </c>
      <c r="BZ135">
        <v>26</v>
      </c>
      <c r="CA135">
        <v>33528.5</v>
      </c>
      <c r="CB135">
        <v>1690229084.0999999</v>
      </c>
      <c r="CC135" t="s">
        <v>332</v>
      </c>
      <c r="CD135">
        <v>1690229084.0999999</v>
      </c>
      <c r="CE135">
        <v>1690229076.5999999</v>
      </c>
      <c r="CF135">
        <v>13</v>
      </c>
      <c r="CG135">
        <v>0.23300000000000001</v>
      </c>
      <c r="CH135">
        <v>-0.13100000000000001</v>
      </c>
      <c r="CI135">
        <v>-0.20599999999999999</v>
      </c>
      <c r="CJ135">
        <v>8.7999999999999995E-2</v>
      </c>
      <c r="CK135">
        <v>799</v>
      </c>
      <c r="CL135">
        <v>16</v>
      </c>
      <c r="CM135">
        <v>0.04</v>
      </c>
      <c r="CN135">
        <v>0.04</v>
      </c>
      <c r="CO135">
        <v>-192.99556097560969</v>
      </c>
      <c r="CP135">
        <v>-14.153372822299509</v>
      </c>
      <c r="CQ135">
        <v>1.397081785213256</v>
      </c>
      <c r="CR135">
        <v>-1</v>
      </c>
      <c r="CS135">
        <v>10.93333414634146</v>
      </c>
      <c r="CT135">
        <v>0.96622578397215153</v>
      </c>
      <c r="CU135">
        <v>9.5732897242876633E-2</v>
      </c>
      <c r="CV135">
        <v>-1</v>
      </c>
      <c r="CW135">
        <v>0</v>
      </c>
      <c r="CX135">
        <v>0</v>
      </c>
      <c r="CY135" t="s">
        <v>333</v>
      </c>
      <c r="CZ135">
        <v>2.3644699999999998</v>
      </c>
      <c r="DA135">
        <v>2.7138499999999999</v>
      </c>
      <c r="DB135">
        <v>0.121048</v>
      </c>
      <c r="DC135">
        <v>0.146123</v>
      </c>
      <c r="DD135">
        <v>0.10911700000000001</v>
      </c>
      <c r="DE135">
        <v>6.5807299999999999E-2</v>
      </c>
      <c r="DF135">
        <v>32099.7</v>
      </c>
      <c r="DG135">
        <v>27530.799999999999</v>
      </c>
      <c r="DH135">
        <v>31177.599999999999</v>
      </c>
      <c r="DI135">
        <v>28094.400000000001</v>
      </c>
      <c r="DJ135">
        <v>37711.5</v>
      </c>
      <c r="DK135">
        <v>37325.9</v>
      </c>
      <c r="DL135">
        <v>44371.6</v>
      </c>
      <c r="DM135">
        <v>42586.9</v>
      </c>
      <c r="DN135">
        <v>1.4787999999999999</v>
      </c>
      <c r="DO135">
        <v>2.0437799999999999</v>
      </c>
      <c r="DP135">
        <v>0.136327</v>
      </c>
      <c r="DQ135">
        <v>0.18382799999999999</v>
      </c>
      <c r="DR135">
        <v>24.7699</v>
      </c>
      <c r="DS135">
        <v>24.5747</v>
      </c>
      <c r="DT135">
        <v>53</v>
      </c>
      <c r="DU135">
        <v>29.1</v>
      </c>
      <c r="DV135">
        <v>21.650600000000001</v>
      </c>
      <c r="DW135">
        <v>61.719700000000003</v>
      </c>
      <c r="DX135">
        <v>36.983199999999997</v>
      </c>
      <c r="DY135">
        <v>1</v>
      </c>
      <c r="DZ135">
        <v>-8.7594000000000005E-2</v>
      </c>
      <c r="EA135">
        <v>0.44084400000000001</v>
      </c>
      <c r="EB135">
        <v>20.188500000000001</v>
      </c>
      <c r="EC135">
        <v>5.2409499999999998</v>
      </c>
      <c r="ED135">
        <v>12.039899999999999</v>
      </c>
      <c r="EE135">
        <v>5.0159500000000001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1.86917</v>
      </c>
      <c r="EN135">
        <v>1.8672299999999999</v>
      </c>
      <c r="EO135">
        <v>1.8633999999999999</v>
      </c>
      <c r="EP135">
        <v>1.8644700000000001</v>
      </c>
      <c r="EQ135">
        <v>1.8701700000000001</v>
      </c>
      <c r="ER135">
        <v>1.8694200000000001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-6.9000000000000006E-2</v>
      </c>
      <c r="FG135">
        <v>0.1787</v>
      </c>
      <c r="FH135">
        <v>0.3448811944559278</v>
      </c>
      <c r="FI135">
        <v>-6.1462078757559423E-4</v>
      </c>
      <c r="FJ135">
        <v>-1.8861989874597051E-7</v>
      </c>
      <c r="FK135">
        <v>1.1980462299894961E-10</v>
      </c>
      <c r="FL135">
        <v>0.17862261546663211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29.8</v>
      </c>
      <c r="FU135">
        <v>30</v>
      </c>
      <c r="FV135">
        <v>1.7773399999999999</v>
      </c>
      <c r="FW135">
        <v>2.5817899999999998</v>
      </c>
      <c r="FX135">
        <v>1.5490699999999999</v>
      </c>
      <c r="FY135">
        <v>2.3278799999999999</v>
      </c>
      <c r="FZ135">
        <v>1.50146</v>
      </c>
      <c r="GA135">
        <v>2.3938000000000001</v>
      </c>
      <c r="GB135">
        <v>33.963900000000002</v>
      </c>
      <c r="GC135">
        <v>23.991199999999999</v>
      </c>
      <c r="GD135">
        <v>19</v>
      </c>
      <c r="GE135">
        <v>284.32100000000003</v>
      </c>
      <c r="GF135">
        <v>590.221</v>
      </c>
      <c r="GG135">
        <v>23.5792</v>
      </c>
      <c r="GH135">
        <v>26.262</v>
      </c>
      <c r="GI135">
        <v>30.0001</v>
      </c>
      <c r="GJ135">
        <v>26.425799999999999</v>
      </c>
      <c r="GK135">
        <v>26.4193</v>
      </c>
      <c r="GL135">
        <v>35.537300000000002</v>
      </c>
      <c r="GM135">
        <v>50.360500000000002</v>
      </c>
      <c r="GN135">
        <v>77.855000000000004</v>
      </c>
      <c r="GO135">
        <v>23.5777</v>
      </c>
      <c r="GP135">
        <v>800</v>
      </c>
      <c r="GQ135">
        <v>11.4458</v>
      </c>
      <c r="GR135">
        <v>99.759</v>
      </c>
      <c r="GS135">
        <v>99.620400000000004</v>
      </c>
    </row>
    <row r="136" spans="1:201" x14ac:dyDescent="0.25">
      <c r="A136">
        <v>120</v>
      </c>
      <c r="B136">
        <v>1690230885</v>
      </c>
      <c r="C136">
        <v>1379.900000095367</v>
      </c>
      <c r="D136" t="s">
        <v>573</v>
      </c>
      <c r="E136" t="s">
        <v>574</v>
      </c>
      <c r="F136" t="s">
        <v>330</v>
      </c>
      <c r="H136">
        <v>1690230885</v>
      </c>
      <c r="I136">
        <f t="shared" si="30"/>
        <v>1.0886962887607693E-3</v>
      </c>
      <c r="J136">
        <f t="shared" si="31"/>
        <v>1.0886962887607694</v>
      </c>
      <c r="K136">
        <f t="shared" si="32"/>
        <v>18.185340030595281</v>
      </c>
      <c r="L136">
        <f t="shared" si="33"/>
        <v>602.23199999999997</v>
      </c>
      <c r="M136">
        <f t="shared" si="34"/>
        <v>187.49806613802298</v>
      </c>
      <c r="N136">
        <f t="shared" si="35"/>
        <v>18.588937116766228</v>
      </c>
      <c r="O136">
        <f t="shared" si="36"/>
        <v>59.706497289756001</v>
      </c>
      <c r="P136">
        <f t="shared" si="37"/>
        <v>7.2956334311557972E-2</v>
      </c>
      <c r="Q136">
        <f t="shared" si="38"/>
        <v>2.182117798304247</v>
      </c>
      <c r="R136">
        <f t="shared" si="39"/>
        <v>7.1627845677346716E-2</v>
      </c>
      <c r="S136">
        <f t="shared" si="40"/>
        <v>4.4884748043920709E-2</v>
      </c>
      <c r="T136">
        <f t="shared" si="41"/>
        <v>276.11511337800005</v>
      </c>
      <c r="U136">
        <f t="shared" si="42"/>
        <v>27.573342810528143</v>
      </c>
      <c r="V136">
        <f t="shared" si="43"/>
        <v>27.573342810528143</v>
      </c>
      <c r="W136">
        <f t="shared" si="44"/>
        <v>3.7014698540828941</v>
      </c>
      <c r="X136">
        <f t="shared" si="45"/>
        <v>67.139828171218909</v>
      </c>
      <c r="Y136">
        <f t="shared" si="46"/>
        <v>2.2397272993175501</v>
      </c>
      <c r="Z136">
        <f t="shared" si="47"/>
        <v>3.3359145537367678</v>
      </c>
      <c r="AA136">
        <f t="shared" si="48"/>
        <v>1.461742554765344</v>
      </c>
      <c r="AB136">
        <f t="shared" si="49"/>
        <v>-48.011506334349924</v>
      </c>
      <c r="AC136">
        <f t="shared" si="50"/>
        <v>-207.79669218559243</v>
      </c>
      <c r="AD136">
        <f t="shared" si="51"/>
        <v>-20.487686412281928</v>
      </c>
      <c r="AE136">
        <f t="shared" si="52"/>
        <v>-0.1807715542242363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52740.552120751163</v>
      </c>
      <c r="AK136">
        <f t="shared" si="56"/>
        <v>1800</v>
      </c>
      <c r="AL136">
        <f t="shared" si="57"/>
        <v>1499.1112187999997</v>
      </c>
      <c r="AM136">
        <f t="shared" si="58"/>
        <v>0.83283956599999986</v>
      </c>
      <c r="AN136">
        <f t="shared" si="59"/>
        <v>0.15339728521000001</v>
      </c>
      <c r="AO136">
        <v>31.5</v>
      </c>
      <c r="AP136">
        <v>0.5</v>
      </c>
      <c r="AQ136" t="s">
        <v>331</v>
      </c>
      <c r="AR136">
        <v>2</v>
      </c>
      <c r="AS136">
        <v>1690230885</v>
      </c>
      <c r="AT136">
        <v>602.23199999999997</v>
      </c>
      <c r="AU136">
        <v>799.97799999999995</v>
      </c>
      <c r="AV136">
        <v>22.591100000000001</v>
      </c>
      <c r="AW136">
        <v>11.422800000000001</v>
      </c>
      <c r="AX136">
        <v>602.29899999999998</v>
      </c>
      <c r="AY136">
        <v>22.412500000000001</v>
      </c>
      <c r="AZ136">
        <v>300.12799999999999</v>
      </c>
      <c r="BA136">
        <v>99.042100000000005</v>
      </c>
      <c r="BB136">
        <v>9.9920499999999995E-2</v>
      </c>
      <c r="BC136">
        <v>25.806999999999999</v>
      </c>
      <c r="BD136">
        <v>26.961099999999998</v>
      </c>
      <c r="BE136">
        <v>27.557500000000001</v>
      </c>
      <c r="BF136">
        <v>0</v>
      </c>
      <c r="BG136">
        <v>0</v>
      </c>
      <c r="BH136">
        <v>10031.9</v>
      </c>
      <c r="BI136">
        <v>1061.69</v>
      </c>
      <c r="BJ136">
        <v>1.4016500000000001</v>
      </c>
      <c r="BK136">
        <v>-197.74600000000001</v>
      </c>
      <c r="BL136">
        <v>616.15099999999995</v>
      </c>
      <c r="BM136">
        <v>809.221</v>
      </c>
      <c r="BN136">
        <v>11.1684</v>
      </c>
      <c r="BO136">
        <v>799.97799999999995</v>
      </c>
      <c r="BP136">
        <v>11.422800000000001</v>
      </c>
      <c r="BQ136">
        <v>2.2374800000000001</v>
      </c>
      <c r="BR136">
        <v>1.13134</v>
      </c>
      <c r="BS136">
        <v>19.2332</v>
      </c>
      <c r="BT136">
        <v>8.7274200000000004</v>
      </c>
      <c r="BU136">
        <v>1800</v>
      </c>
      <c r="BV136">
        <v>0.90999399999999997</v>
      </c>
      <c r="BW136">
        <v>3.3995900000000003E-2</v>
      </c>
      <c r="BX136">
        <v>2.1997300000000001E-2</v>
      </c>
      <c r="BY136">
        <v>3.4013099999999998E-2</v>
      </c>
      <c r="BZ136">
        <v>26</v>
      </c>
      <c r="CA136">
        <v>33528.400000000001</v>
      </c>
      <c r="CB136">
        <v>1690229084.0999999</v>
      </c>
      <c r="CC136" t="s">
        <v>332</v>
      </c>
      <c r="CD136">
        <v>1690229084.0999999</v>
      </c>
      <c r="CE136">
        <v>1690229076.5999999</v>
      </c>
      <c r="CF136">
        <v>13</v>
      </c>
      <c r="CG136">
        <v>0.23300000000000001</v>
      </c>
      <c r="CH136">
        <v>-0.13100000000000001</v>
      </c>
      <c r="CI136">
        <v>-0.20599999999999999</v>
      </c>
      <c r="CJ136">
        <v>8.7999999999999995E-2</v>
      </c>
      <c r="CK136">
        <v>799</v>
      </c>
      <c r="CL136">
        <v>16</v>
      </c>
      <c r="CM136">
        <v>0.04</v>
      </c>
      <c r="CN136">
        <v>0.04</v>
      </c>
      <c r="CO136">
        <v>-195.29590243902439</v>
      </c>
      <c r="CP136">
        <v>-13.75816724738698</v>
      </c>
      <c r="CQ136">
        <v>1.359454137313012</v>
      </c>
      <c r="CR136">
        <v>-1</v>
      </c>
      <c r="CS136">
        <v>11.064953658536581</v>
      </c>
      <c r="CT136">
        <v>0.67147526132404067</v>
      </c>
      <c r="CU136">
        <v>6.8765341871560984E-2</v>
      </c>
      <c r="CV136">
        <v>-1</v>
      </c>
      <c r="CW136">
        <v>0</v>
      </c>
      <c r="CX136">
        <v>0</v>
      </c>
      <c r="CY136" t="s">
        <v>333</v>
      </c>
      <c r="CZ136">
        <v>2.36435</v>
      </c>
      <c r="DA136">
        <v>2.71374</v>
      </c>
      <c r="DB136">
        <v>0.120725</v>
      </c>
      <c r="DC136">
        <v>0.146117</v>
      </c>
      <c r="DD136">
        <v>0.109097</v>
      </c>
      <c r="DE136">
        <v>6.5435099999999996E-2</v>
      </c>
      <c r="DF136">
        <v>32111.3</v>
      </c>
      <c r="DG136">
        <v>27531.5</v>
      </c>
      <c r="DH136">
        <v>31177.4</v>
      </c>
      <c r="DI136">
        <v>28095</v>
      </c>
      <c r="DJ136">
        <v>37712.1</v>
      </c>
      <c r="DK136">
        <v>37341.300000000003</v>
      </c>
      <c r="DL136">
        <v>44371.4</v>
      </c>
      <c r="DM136">
        <v>42587.5</v>
      </c>
      <c r="DN136">
        <v>1.4785699999999999</v>
      </c>
      <c r="DO136">
        <v>2.0433500000000002</v>
      </c>
      <c r="DP136">
        <v>0.13361500000000001</v>
      </c>
      <c r="DQ136">
        <v>0.182111</v>
      </c>
      <c r="DR136">
        <v>24.771899999999999</v>
      </c>
      <c r="DS136">
        <v>24.5747</v>
      </c>
      <c r="DT136">
        <v>52.7</v>
      </c>
      <c r="DU136">
        <v>29.1</v>
      </c>
      <c r="DV136">
        <v>21.526499999999999</v>
      </c>
      <c r="DW136">
        <v>61.799700000000001</v>
      </c>
      <c r="DX136">
        <v>35.933500000000002</v>
      </c>
      <c r="DY136">
        <v>1</v>
      </c>
      <c r="DZ136">
        <v>-8.7507600000000005E-2</v>
      </c>
      <c r="EA136">
        <v>0.40227099999999999</v>
      </c>
      <c r="EB136">
        <v>20.188700000000001</v>
      </c>
      <c r="EC136">
        <v>5.2411000000000003</v>
      </c>
      <c r="ED136">
        <v>12.039899999999999</v>
      </c>
      <c r="EE136">
        <v>5.0163500000000001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1.8691800000000001</v>
      </c>
      <c r="EN136">
        <v>1.8672200000000001</v>
      </c>
      <c r="EO136">
        <v>1.8633999999999999</v>
      </c>
      <c r="EP136">
        <v>1.8644700000000001</v>
      </c>
      <c r="EQ136">
        <v>1.8701300000000001</v>
      </c>
      <c r="ER136">
        <v>1.86941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-6.7000000000000004E-2</v>
      </c>
      <c r="FG136">
        <v>0.17860000000000001</v>
      </c>
      <c r="FH136">
        <v>0.3448811944559278</v>
      </c>
      <c r="FI136">
        <v>-6.1462078757559423E-4</v>
      </c>
      <c r="FJ136">
        <v>-1.8861989874597051E-7</v>
      </c>
      <c r="FK136">
        <v>1.1980462299894961E-10</v>
      </c>
      <c r="FL136">
        <v>0.17862261546663211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30</v>
      </c>
      <c r="FU136">
        <v>30.1</v>
      </c>
      <c r="FV136">
        <v>1.7773399999999999</v>
      </c>
      <c r="FW136">
        <v>2.5903299999999998</v>
      </c>
      <c r="FX136">
        <v>1.5490699999999999</v>
      </c>
      <c r="FY136">
        <v>2.32666</v>
      </c>
      <c r="FZ136">
        <v>1.50146</v>
      </c>
      <c r="GA136">
        <v>2.34497</v>
      </c>
      <c r="GB136">
        <v>33.963900000000002</v>
      </c>
      <c r="GC136">
        <v>23.982399999999998</v>
      </c>
      <c r="GD136">
        <v>19</v>
      </c>
      <c r="GE136">
        <v>284.20600000000002</v>
      </c>
      <c r="GF136">
        <v>589.82899999999995</v>
      </c>
      <c r="GG136">
        <v>23.574999999999999</v>
      </c>
      <c r="GH136">
        <v>26.2576</v>
      </c>
      <c r="GI136">
        <v>30.0002</v>
      </c>
      <c r="GJ136">
        <v>26.421500000000002</v>
      </c>
      <c r="GK136">
        <v>26.415900000000001</v>
      </c>
      <c r="GL136">
        <v>35.535400000000003</v>
      </c>
      <c r="GM136">
        <v>50.6374</v>
      </c>
      <c r="GN136">
        <v>77.477199999999996</v>
      </c>
      <c r="GO136">
        <v>23.598700000000001</v>
      </c>
      <c r="GP136">
        <v>800</v>
      </c>
      <c r="GQ136">
        <v>11.3124</v>
      </c>
      <c r="GR136">
        <v>99.758399999999995</v>
      </c>
      <c r="GS136">
        <v>99.622100000000003</v>
      </c>
    </row>
    <row r="137" spans="1:201" x14ac:dyDescent="0.25">
      <c r="A137">
        <v>121</v>
      </c>
      <c r="B137">
        <v>1690230895</v>
      </c>
      <c r="C137">
        <v>1389.900000095367</v>
      </c>
      <c r="D137" t="s">
        <v>575</v>
      </c>
      <c r="E137" t="s">
        <v>576</v>
      </c>
      <c r="F137" t="s">
        <v>330</v>
      </c>
      <c r="H137">
        <v>1690230895</v>
      </c>
      <c r="I137">
        <f t="shared" si="30"/>
        <v>1.101416241430827E-3</v>
      </c>
      <c r="J137">
        <f t="shared" si="31"/>
        <v>1.1014162414308271</v>
      </c>
      <c r="K137">
        <f t="shared" si="32"/>
        <v>18.397998090966752</v>
      </c>
      <c r="L137">
        <f t="shared" si="33"/>
        <v>600.00900000000001</v>
      </c>
      <c r="M137">
        <f t="shared" si="34"/>
        <v>184.8282747126749</v>
      </c>
      <c r="N137">
        <f t="shared" si="35"/>
        <v>18.324754383117401</v>
      </c>
      <c r="O137">
        <f t="shared" si="36"/>
        <v>59.48774650281301</v>
      </c>
      <c r="P137">
        <f t="shared" si="37"/>
        <v>7.3735660983869078E-2</v>
      </c>
      <c r="Q137">
        <f t="shared" si="38"/>
        <v>2.1748682482909709</v>
      </c>
      <c r="R137">
        <f t="shared" si="39"/>
        <v>7.237449066407721E-2</v>
      </c>
      <c r="S137">
        <f t="shared" si="40"/>
        <v>4.5354259494006517E-2</v>
      </c>
      <c r="T137">
        <f t="shared" si="41"/>
        <v>276.11515033200004</v>
      </c>
      <c r="U137">
        <f t="shared" si="42"/>
        <v>27.582934561761874</v>
      </c>
      <c r="V137">
        <f t="shared" si="43"/>
        <v>27.582934561761874</v>
      </c>
      <c r="W137">
        <f t="shared" si="44"/>
        <v>3.7035466809633748</v>
      </c>
      <c r="X137">
        <f t="shared" si="45"/>
        <v>67.112523861911541</v>
      </c>
      <c r="Y137">
        <f t="shared" si="46"/>
        <v>2.2399576659496003</v>
      </c>
      <c r="Z137">
        <f t="shared" si="47"/>
        <v>3.337615003957326</v>
      </c>
      <c r="AA137">
        <f t="shared" si="48"/>
        <v>1.4635890150137745</v>
      </c>
      <c r="AB137">
        <f t="shared" si="49"/>
        <v>-48.572456247099467</v>
      </c>
      <c r="AC137">
        <f t="shared" si="50"/>
        <v>-207.22262306971098</v>
      </c>
      <c r="AD137">
        <f t="shared" si="51"/>
        <v>-20.501056419575917</v>
      </c>
      <c r="AE137">
        <f t="shared" si="52"/>
        <v>-0.18098540438631971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52437.751200079409</v>
      </c>
      <c r="AK137">
        <f t="shared" si="56"/>
        <v>1800</v>
      </c>
      <c r="AL137">
        <f t="shared" si="57"/>
        <v>1499.1108552000003</v>
      </c>
      <c r="AM137">
        <f t="shared" si="58"/>
        <v>0.83283936400000014</v>
      </c>
      <c r="AN137">
        <f t="shared" si="59"/>
        <v>0.15339730574000002</v>
      </c>
      <c r="AO137">
        <v>31.5</v>
      </c>
      <c r="AP137">
        <v>0.5</v>
      </c>
      <c r="AQ137" t="s">
        <v>331</v>
      </c>
      <c r="AR137">
        <v>2</v>
      </c>
      <c r="AS137">
        <v>1690230895</v>
      </c>
      <c r="AT137">
        <v>600.00900000000001</v>
      </c>
      <c r="AU137">
        <v>800.02099999999996</v>
      </c>
      <c r="AV137">
        <v>22.5928</v>
      </c>
      <c r="AW137">
        <v>11.295199999999999</v>
      </c>
      <c r="AX137">
        <v>600.07500000000005</v>
      </c>
      <c r="AY137">
        <v>22.414200000000001</v>
      </c>
      <c r="AZ137">
        <v>300.15899999999999</v>
      </c>
      <c r="BA137">
        <v>99.044700000000006</v>
      </c>
      <c r="BB137">
        <v>0.10005699999999999</v>
      </c>
      <c r="BC137">
        <v>25.8156</v>
      </c>
      <c r="BD137">
        <v>26.9682</v>
      </c>
      <c r="BE137">
        <v>27.5718</v>
      </c>
      <c r="BF137">
        <v>0</v>
      </c>
      <c r="BG137">
        <v>0</v>
      </c>
      <c r="BH137">
        <v>9971.8799999999992</v>
      </c>
      <c r="BI137">
        <v>1061.8800000000001</v>
      </c>
      <c r="BJ137">
        <v>1.4016500000000001</v>
      </c>
      <c r="BK137">
        <v>-200.012</v>
      </c>
      <c r="BL137">
        <v>613.87800000000004</v>
      </c>
      <c r="BM137">
        <v>809.16099999999994</v>
      </c>
      <c r="BN137">
        <v>11.297599999999999</v>
      </c>
      <c r="BO137">
        <v>800.02099999999996</v>
      </c>
      <c r="BP137">
        <v>11.295199999999999</v>
      </c>
      <c r="BQ137">
        <v>2.2376900000000002</v>
      </c>
      <c r="BR137">
        <v>1.11873</v>
      </c>
      <c r="BS137">
        <v>19.2348</v>
      </c>
      <c r="BT137">
        <v>8.5618200000000009</v>
      </c>
      <c r="BU137">
        <v>1800</v>
      </c>
      <c r="BV137">
        <v>0.90999300000000005</v>
      </c>
      <c r="BW137">
        <v>3.39958E-2</v>
      </c>
      <c r="BX137">
        <v>2.1998199999999999E-2</v>
      </c>
      <c r="BY137">
        <v>3.4013000000000002E-2</v>
      </c>
      <c r="BZ137">
        <v>26</v>
      </c>
      <c r="CA137">
        <v>33528.400000000001</v>
      </c>
      <c r="CB137">
        <v>1690229084.0999999</v>
      </c>
      <c r="CC137" t="s">
        <v>332</v>
      </c>
      <c r="CD137">
        <v>1690229084.0999999</v>
      </c>
      <c r="CE137">
        <v>1690229076.5999999</v>
      </c>
      <c r="CF137">
        <v>13</v>
      </c>
      <c r="CG137">
        <v>0.23300000000000001</v>
      </c>
      <c r="CH137">
        <v>-0.13100000000000001</v>
      </c>
      <c r="CI137">
        <v>-0.20599999999999999</v>
      </c>
      <c r="CJ137">
        <v>8.7999999999999995E-2</v>
      </c>
      <c r="CK137">
        <v>799</v>
      </c>
      <c r="CL137">
        <v>16</v>
      </c>
      <c r="CM137">
        <v>0.04</v>
      </c>
      <c r="CN137">
        <v>0.04</v>
      </c>
      <c r="CO137">
        <v>-197.51012499999999</v>
      </c>
      <c r="CP137">
        <v>-13.753632270168159</v>
      </c>
      <c r="CQ137">
        <v>1.326667878323359</v>
      </c>
      <c r="CR137">
        <v>-1</v>
      </c>
      <c r="CS137">
        <v>11.17193</v>
      </c>
      <c r="CT137">
        <v>0.66118198874295819</v>
      </c>
      <c r="CU137">
        <v>6.4421383095987619E-2</v>
      </c>
      <c r="CV137">
        <v>-1</v>
      </c>
      <c r="CW137">
        <v>0</v>
      </c>
      <c r="CX137">
        <v>0</v>
      </c>
      <c r="CY137" t="s">
        <v>333</v>
      </c>
      <c r="CZ137">
        <v>2.3644699999999998</v>
      </c>
      <c r="DA137">
        <v>2.7138200000000001</v>
      </c>
      <c r="DB137">
        <v>0.120416</v>
      </c>
      <c r="DC137">
        <v>0.146125</v>
      </c>
      <c r="DD137">
        <v>0.109107</v>
      </c>
      <c r="DE137">
        <v>6.4882999999999996E-2</v>
      </c>
      <c r="DF137">
        <v>32123.3</v>
      </c>
      <c r="DG137">
        <v>27531.8</v>
      </c>
      <c r="DH137">
        <v>31178</v>
      </c>
      <c r="DI137">
        <v>28095.5</v>
      </c>
      <c r="DJ137">
        <v>37712.5</v>
      </c>
      <c r="DK137">
        <v>37364.199999999997</v>
      </c>
      <c r="DL137">
        <v>44372.5</v>
      </c>
      <c r="DM137">
        <v>42588.4</v>
      </c>
      <c r="DN137">
        <v>1.4790700000000001</v>
      </c>
      <c r="DO137">
        <v>2.04305</v>
      </c>
      <c r="DP137">
        <v>0.13392000000000001</v>
      </c>
      <c r="DQ137">
        <v>0.18285999999999999</v>
      </c>
      <c r="DR137">
        <v>24.774000000000001</v>
      </c>
      <c r="DS137">
        <v>24.576799999999999</v>
      </c>
      <c r="DT137">
        <v>52.5</v>
      </c>
      <c r="DU137">
        <v>29.2</v>
      </c>
      <c r="DV137">
        <v>21.5639</v>
      </c>
      <c r="DW137">
        <v>62.059699999999999</v>
      </c>
      <c r="DX137">
        <v>36.209899999999998</v>
      </c>
      <c r="DY137">
        <v>1</v>
      </c>
      <c r="DZ137">
        <v>-8.7987800000000005E-2</v>
      </c>
      <c r="EA137">
        <v>0.28642200000000001</v>
      </c>
      <c r="EB137">
        <v>20.1891</v>
      </c>
      <c r="EC137">
        <v>5.2408000000000001</v>
      </c>
      <c r="ED137">
        <v>12.039899999999999</v>
      </c>
      <c r="EE137">
        <v>5.01675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1.86463</v>
      </c>
      <c r="EM137">
        <v>1.86917</v>
      </c>
      <c r="EN137">
        <v>1.8672200000000001</v>
      </c>
      <c r="EO137">
        <v>1.8633999999999999</v>
      </c>
      <c r="EP137">
        <v>1.8644799999999999</v>
      </c>
      <c r="EQ137">
        <v>1.8701300000000001</v>
      </c>
      <c r="ER137">
        <v>1.8694500000000001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-6.6000000000000003E-2</v>
      </c>
      <c r="FG137">
        <v>0.17860000000000001</v>
      </c>
      <c r="FH137">
        <v>0.3448811944559278</v>
      </c>
      <c r="FI137">
        <v>-6.1462078757559423E-4</v>
      </c>
      <c r="FJ137">
        <v>-1.8861989874597051E-7</v>
      </c>
      <c r="FK137">
        <v>1.1980462299894961E-10</v>
      </c>
      <c r="FL137">
        <v>0.17862261546663211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30.2</v>
      </c>
      <c r="FU137">
        <v>30.3</v>
      </c>
      <c r="FV137">
        <v>1.7773399999999999</v>
      </c>
      <c r="FW137">
        <v>2.5903299999999998</v>
      </c>
      <c r="FX137">
        <v>1.5490699999999999</v>
      </c>
      <c r="FY137">
        <v>2.3278799999999999</v>
      </c>
      <c r="FZ137">
        <v>1.50146</v>
      </c>
      <c r="GA137">
        <v>2.34253</v>
      </c>
      <c r="GB137">
        <v>33.963900000000002</v>
      </c>
      <c r="GC137">
        <v>23.982399999999998</v>
      </c>
      <c r="GD137">
        <v>19</v>
      </c>
      <c r="GE137">
        <v>284.40600000000001</v>
      </c>
      <c r="GF137">
        <v>589.53099999999995</v>
      </c>
      <c r="GG137">
        <v>23.613800000000001</v>
      </c>
      <c r="GH137">
        <v>26.253900000000002</v>
      </c>
      <c r="GI137">
        <v>29.9998</v>
      </c>
      <c r="GJ137">
        <v>26.418199999999999</v>
      </c>
      <c r="GK137">
        <v>26.411799999999999</v>
      </c>
      <c r="GL137">
        <v>35.532699999999998</v>
      </c>
      <c r="GM137">
        <v>50.916200000000003</v>
      </c>
      <c r="GN137">
        <v>76.721500000000006</v>
      </c>
      <c r="GO137">
        <v>23.634699999999999</v>
      </c>
      <c r="GP137">
        <v>800</v>
      </c>
      <c r="GQ137">
        <v>11.173400000000001</v>
      </c>
      <c r="GR137">
        <v>99.760599999999997</v>
      </c>
      <c r="GS137">
        <v>99.624099999999999</v>
      </c>
    </row>
    <row r="138" spans="1:201" x14ac:dyDescent="0.25">
      <c r="A138">
        <v>122</v>
      </c>
      <c r="B138">
        <v>1690230905</v>
      </c>
      <c r="C138">
        <v>1399.900000095367</v>
      </c>
      <c r="D138" t="s">
        <v>577</v>
      </c>
      <c r="E138" t="s">
        <v>578</v>
      </c>
      <c r="F138" t="s">
        <v>330</v>
      </c>
      <c r="H138">
        <v>1690230905</v>
      </c>
      <c r="I138">
        <f t="shared" si="30"/>
        <v>1.1181367525997209E-3</v>
      </c>
      <c r="J138">
        <f t="shared" si="31"/>
        <v>1.1181367525997208</v>
      </c>
      <c r="K138">
        <f t="shared" si="32"/>
        <v>18.600168373671956</v>
      </c>
      <c r="L138">
        <f t="shared" si="33"/>
        <v>597.79399999999998</v>
      </c>
      <c r="M138">
        <f t="shared" si="34"/>
        <v>184.41253761772822</v>
      </c>
      <c r="N138">
        <f t="shared" si="35"/>
        <v>18.2828605792077</v>
      </c>
      <c r="O138">
        <f t="shared" si="36"/>
        <v>59.265950668400798</v>
      </c>
      <c r="P138">
        <f t="shared" si="37"/>
        <v>7.4889587420828588E-2</v>
      </c>
      <c r="Q138">
        <f t="shared" si="38"/>
        <v>2.1761153414534808</v>
      </c>
      <c r="R138">
        <f t="shared" si="39"/>
        <v>7.3486705720558931E-2</v>
      </c>
      <c r="S138">
        <f t="shared" si="40"/>
        <v>4.6053045540257583E-2</v>
      </c>
      <c r="T138">
        <f t="shared" si="41"/>
        <v>276.115794714</v>
      </c>
      <c r="U138">
        <f t="shared" si="42"/>
        <v>27.5869760214952</v>
      </c>
      <c r="V138">
        <f t="shared" si="43"/>
        <v>27.5869760214952</v>
      </c>
      <c r="W138">
        <f t="shared" si="44"/>
        <v>3.7044220510781845</v>
      </c>
      <c r="X138">
        <f t="shared" si="45"/>
        <v>67.10639701049449</v>
      </c>
      <c r="Y138">
        <f t="shared" si="46"/>
        <v>2.24117363876988</v>
      </c>
      <c r="Z138">
        <f t="shared" si="47"/>
        <v>3.3397317373772761</v>
      </c>
      <c r="AA138">
        <f t="shared" si="48"/>
        <v>1.4632484123083045</v>
      </c>
      <c r="AB138">
        <f t="shared" si="49"/>
        <v>-49.309830789647691</v>
      </c>
      <c r="AC138">
        <f t="shared" si="50"/>
        <v>-206.56027529111915</v>
      </c>
      <c r="AD138">
        <f t="shared" si="51"/>
        <v>-20.425323032659701</v>
      </c>
      <c r="AE138">
        <f t="shared" si="52"/>
        <v>-0.17963439942653281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52487.55673043563</v>
      </c>
      <c r="AK138">
        <f t="shared" si="56"/>
        <v>1800</v>
      </c>
      <c r="AL138">
        <f t="shared" si="57"/>
        <v>1499.1107903999998</v>
      </c>
      <c r="AM138">
        <f t="shared" si="58"/>
        <v>0.83283932799999993</v>
      </c>
      <c r="AN138">
        <f t="shared" si="59"/>
        <v>0.15339766372999999</v>
      </c>
      <c r="AO138">
        <v>31.5</v>
      </c>
      <c r="AP138">
        <v>0.5</v>
      </c>
      <c r="AQ138" t="s">
        <v>331</v>
      </c>
      <c r="AR138">
        <v>2</v>
      </c>
      <c r="AS138">
        <v>1690230905</v>
      </c>
      <c r="AT138">
        <v>597.79399999999998</v>
      </c>
      <c r="AU138">
        <v>800.07299999999998</v>
      </c>
      <c r="AV138">
        <v>22.605899999999998</v>
      </c>
      <c r="AW138">
        <v>11.1332</v>
      </c>
      <c r="AX138">
        <v>597.85900000000004</v>
      </c>
      <c r="AY138">
        <v>22.427299999999999</v>
      </c>
      <c r="AZ138">
        <v>300.06099999999998</v>
      </c>
      <c r="BA138">
        <v>99.0411</v>
      </c>
      <c r="BB138">
        <v>9.9993200000000004E-2</v>
      </c>
      <c r="BC138">
        <v>25.8263</v>
      </c>
      <c r="BD138">
        <v>26.991800000000001</v>
      </c>
      <c r="BE138">
        <v>27.5855</v>
      </c>
      <c r="BF138">
        <v>0</v>
      </c>
      <c r="BG138">
        <v>0</v>
      </c>
      <c r="BH138">
        <v>9982.5</v>
      </c>
      <c r="BI138">
        <v>1062.1500000000001</v>
      </c>
      <c r="BJ138">
        <v>1.4016500000000001</v>
      </c>
      <c r="BK138">
        <v>-202.279</v>
      </c>
      <c r="BL138">
        <v>611.62099999999998</v>
      </c>
      <c r="BM138">
        <v>809.08100000000002</v>
      </c>
      <c r="BN138">
        <v>11.4727</v>
      </c>
      <c r="BO138">
        <v>800.07299999999998</v>
      </c>
      <c r="BP138">
        <v>11.1332</v>
      </c>
      <c r="BQ138">
        <v>2.2389100000000002</v>
      </c>
      <c r="BR138">
        <v>1.1026400000000001</v>
      </c>
      <c r="BS138">
        <v>19.243500000000001</v>
      </c>
      <c r="BT138">
        <v>8.3482199999999995</v>
      </c>
      <c r="BU138">
        <v>1800</v>
      </c>
      <c r="BV138">
        <v>0.90998800000000002</v>
      </c>
      <c r="BW138">
        <v>3.3995200000000003E-2</v>
      </c>
      <c r="BX138">
        <v>2.20039E-2</v>
      </c>
      <c r="BY138">
        <v>3.4012500000000001E-2</v>
      </c>
      <c r="BZ138">
        <v>26</v>
      </c>
      <c r="CA138">
        <v>33528.400000000001</v>
      </c>
      <c r="CB138">
        <v>1690229084.0999999</v>
      </c>
      <c r="CC138" t="s">
        <v>332</v>
      </c>
      <c r="CD138">
        <v>1690229084.0999999</v>
      </c>
      <c r="CE138">
        <v>1690229076.5999999</v>
      </c>
      <c r="CF138">
        <v>13</v>
      </c>
      <c r="CG138">
        <v>0.23300000000000001</v>
      </c>
      <c r="CH138">
        <v>-0.13100000000000001</v>
      </c>
      <c r="CI138">
        <v>-0.20599999999999999</v>
      </c>
      <c r="CJ138">
        <v>8.7999999999999995E-2</v>
      </c>
      <c r="CK138">
        <v>799</v>
      </c>
      <c r="CL138">
        <v>16</v>
      </c>
      <c r="CM138">
        <v>0.04</v>
      </c>
      <c r="CN138">
        <v>0.04</v>
      </c>
      <c r="CO138">
        <v>-199.80378048780489</v>
      </c>
      <c r="CP138">
        <v>-13.13947735191635</v>
      </c>
      <c r="CQ138">
        <v>1.2977573434760861</v>
      </c>
      <c r="CR138">
        <v>-1</v>
      </c>
      <c r="CS138">
        <v>11.30361463414634</v>
      </c>
      <c r="CT138">
        <v>0.88070592334496633</v>
      </c>
      <c r="CU138">
        <v>8.7468465567703796E-2</v>
      </c>
      <c r="CV138">
        <v>-1</v>
      </c>
      <c r="CW138">
        <v>0</v>
      </c>
      <c r="CX138">
        <v>0</v>
      </c>
      <c r="CY138" t="s">
        <v>333</v>
      </c>
      <c r="CZ138">
        <v>2.3641800000000002</v>
      </c>
      <c r="DA138">
        <v>2.7137699999999998</v>
      </c>
      <c r="DB138">
        <v>0.120099</v>
      </c>
      <c r="DC138">
        <v>0.146124</v>
      </c>
      <c r="DD138">
        <v>0.109149</v>
      </c>
      <c r="DE138">
        <v>6.4173999999999995E-2</v>
      </c>
      <c r="DF138">
        <v>32135.3</v>
      </c>
      <c r="DG138">
        <v>27532.1</v>
      </c>
      <c r="DH138">
        <v>31178.5</v>
      </c>
      <c r="DI138">
        <v>28095.8</v>
      </c>
      <c r="DJ138">
        <v>37711.1</v>
      </c>
      <c r="DK138">
        <v>37392.9</v>
      </c>
      <c r="DL138">
        <v>44372.9</v>
      </c>
      <c r="DM138">
        <v>42588.7</v>
      </c>
      <c r="DN138">
        <v>1.47855</v>
      </c>
      <c r="DO138">
        <v>2.0432800000000002</v>
      </c>
      <c r="DP138">
        <v>0.13523499999999999</v>
      </c>
      <c r="DQ138">
        <v>0.183444</v>
      </c>
      <c r="DR138">
        <v>24.776199999999999</v>
      </c>
      <c r="DS138">
        <v>24.5809</v>
      </c>
      <c r="DT138">
        <v>52.3</v>
      </c>
      <c r="DU138">
        <v>29.2</v>
      </c>
      <c r="DV138">
        <v>21.486599999999999</v>
      </c>
      <c r="DW138">
        <v>61.7498</v>
      </c>
      <c r="DX138">
        <v>36.991199999999999</v>
      </c>
      <c r="DY138">
        <v>1</v>
      </c>
      <c r="DZ138">
        <v>-8.9176800000000001E-2</v>
      </c>
      <c r="EA138">
        <v>0.27560699999999999</v>
      </c>
      <c r="EB138">
        <v>20.1892</v>
      </c>
      <c r="EC138">
        <v>5.2409499999999998</v>
      </c>
      <c r="ED138">
        <v>12.039899999999999</v>
      </c>
      <c r="EE138">
        <v>5.0166500000000003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1.8691800000000001</v>
      </c>
      <c r="EN138">
        <v>1.8672299999999999</v>
      </c>
      <c r="EO138">
        <v>1.8633999999999999</v>
      </c>
      <c r="EP138">
        <v>1.8644700000000001</v>
      </c>
      <c r="EQ138">
        <v>1.8701300000000001</v>
      </c>
      <c r="ER138">
        <v>1.8694599999999999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-6.5000000000000002E-2</v>
      </c>
      <c r="FG138">
        <v>0.17860000000000001</v>
      </c>
      <c r="FH138">
        <v>0.3448811944559278</v>
      </c>
      <c r="FI138">
        <v>-6.1462078757559423E-4</v>
      </c>
      <c r="FJ138">
        <v>-1.8861989874597051E-7</v>
      </c>
      <c r="FK138">
        <v>1.1980462299894961E-10</v>
      </c>
      <c r="FL138">
        <v>0.17862261546663211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30.3</v>
      </c>
      <c r="FU138">
        <v>30.5</v>
      </c>
      <c r="FV138">
        <v>1.7773399999999999</v>
      </c>
      <c r="FW138">
        <v>2.5830099999999998</v>
      </c>
      <c r="FX138">
        <v>1.5490699999999999</v>
      </c>
      <c r="FY138">
        <v>2.32666</v>
      </c>
      <c r="FZ138">
        <v>1.50146</v>
      </c>
      <c r="GA138">
        <v>2.3925800000000002</v>
      </c>
      <c r="GB138">
        <v>33.941299999999998</v>
      </c>
      <c r="GC138">
        <v>23.991199999999999</v>
      </c>
      <c r="GD138">
        <v>19</v>
      </c>
      <c r="GE138">
        <v>284.16500000000002</v>
      </c>
      <c r="GF138">
        <v>589.67200000000003</v>
      </c>
      <c r="GG138">
        <v>23.653500000000001</v>
      </c>
      <c r="GH138">
        <v>26.25</v>
      </c>
      <c r="GI138">
        <v>29.999700000000001</v>
      </c>
      <c r="GJ138">
        <v>26.4147</v>
      </c>
      <c r="GK138">
        <v>26.407699999999998</v>
      </c>
      <c r="GL138">
        <v>35.525300000000001</v>
      </c>
      <c r="GM138">
        <v>51.187600000000003</v>
      </c>
      <c r="GN138">
        <v>76.320599999999999</v>
      </c>
      <c r="GO138">
        <v>23.6709</v>
      </c>
      <c r="GP138">
        <v>800</v>
      </c>
      <c r="GQ138">
        <v>11.0275</v>
      </c>
      <c r="GR138">
        <v>99.761799999999994</v>
      </c>
      <c r="GS138">
        <v>99.624899999999997</v>
      </c>
    </row>
    <row r="139" spans="1:201" x14ac:dyDescent="0.25">
      <c r="A139">
        <v>123</v>
      </c>
      <c r="B139">
        <v>1690230915</v>
      </c>
      <c r="C139">
        <v>1409.900000095367</v>
      </c>
      <c r="D139" t="s">
        <v>579</v>
      </c>
      <c r="E139" t="s">
        <v>580</v>
      </c>
      <c r="F139" t="s">
        <v>330</v>
      </c>
      <c r="H139">
        <v>1690230915</v>
      </c>
      <c r="I139">
        <f t="shared" si="30"/>
        <v>1.1311875292798271E-3</v>
      </c>
      <c r="J139">
        <f t="shared" si="31"/>
        <v>1.131187529279827</v>
      </c>
      <c r="K139">
        <f t="shared" si="32"/>
        <v>18.809324403410372</v>
      </c>
      <c r="L139">
        <f t="shared" si="33"/>
        <v>595.59199999999998</v>
      </c>
      <c r="M139">
        <f t="shared" si="34"/>
        <v>182.4477521294495</v>
      </c>
      <c r="N139">
        <f t="shared" si="35"/>
        <v>18.088486144459136</v>
      </c>
      <c r="O139">
        <f t="shared" si="36"/>
        <v>59.049001777269602</v>
      </c>
      <c r="P139">
        <f t="shared" si="37"/>
        <v>7.5780951293631493E-2</v>
      </c>
      <c r="Q139">
        <f t="shared" si="38"/>
        <v>2.1764472886025832</v>
      </c>
      <c r="R139">
        <f t="shared" si="39"/>
        <v>7.434503529479676E-2</v>
      </c>
      <c r="S139">
        <f t="shared" si="40"/>
        <v>4.6592392209435118E-2</v>
      </c>
      <c r="T139">
        <f t="shared" si="41"/>
        <v>276.11426449934186</v>
      </c>
      <c r="U139">
        <f t="shared" si="42"/>
        <v>27.588442578565566</v>
      </c>
      <c r="V139">
        <f t="shared" si="43"/>
        <v>27.588442578565566</v>
      </c>
      <c r="W139">
        <f t="shared" si="44"/>
        <v>3.7047397483317002</v>
      </c>
      <c r="X139">
        <f t="shared" si="45"/>
        <v>67.090714016121922</v>
      </c>
      <c r="Y139">
        <f t="shared" si="46"/>
        <v>2.2414731087409199</v>
      </c>
      <c r="Z139">
        <f t="shared" si="47"/>
        <v>3.3409587923036459</v>
      </c>
      <c r="AA139">
        <f t="shared" si="48"/>
        <v>1.4632666395907803</v>
      </c>
      <c r="AB139">
        <f t="shared" si="49"/>
        <v>-49.885370041240371</v>
      </c>
      <c r="AC139">
        <f t="shared" si="50"/>
        <v>-206.03637801044883</v>
      </c>
      <c r="AD139">
        <f t="shared" si="51"/>
        <v>-20.371191793312111</v>
      </c>
      <c r="AE139">
        <f t="shared" si="52"/>
        <v>-0.17867534565945675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52500.299367004911</v>
      </c>
      <c r="AK139">
        <f t="shared" si="56"/>
        <v>1799.99</v>
      </c>
      <c r="AL139">
        <f t="shared" si="57"/>
        <v>1499.1029822038302</v>
      </c>
      <c r="AM139">
        <f t="shared" si="58"/>
        <v>0.83283961700000009</v>
      </c>
      <c r="AN139">
        <f t="shared" si="59"/>
        <v>0.15339766582000003</v>
      </c>
      <c r="AO139">
        <v>31.5</v>
      </c>
      <c r="AP139">
        <v>0.5</v>
      </c>
      <c r="AQ139" t="s">
        <v>331</v>
      </c>
      <c r="AR139">
        <v>2</v>
      </c>
      <c r="AS139">
        <v>1690230915</v>
      </c>
      <c r="AT139">
        <v>595.59199999999998</v>
      </c>
      <c r="AU139">
        <v>800.04</v>
      </c>
      <c r="AV139">
        <v>22.6084</v>
      </c>
      <c r="AW139">
        <v>11.006500000000001</v>
      </c>
      <c r="AX139">
        <v>595.65499999999997</v>
      </c>
      <c r="AY139">
        <v>22.4298</v>
      </c>
      <c r="AZ139">
        <v>300.18200000000002</v>
      </c>
      <c r="BA139">
        <v>99.043400000000005</v>
      </c>
      <c r="BB139">
        <v>9.9976300000000004E-2</v>
      </c>
      <c r="BC139">
        <v>25.8325</v>
      </c>
      <c r="BD139">
        <v>27.005400000000002</v>
      </c>
      <c r="BE139">
        <v>27.598099999999999</v>
      </c>
      <c r="BF139">
        <v>0</v>
      </c>
      <c r="BG139">
        <v>0</v>
      </c>
      <c r="BH139">
        <v>9985</v>
      </c>
      <c r="BI139">
        <v>1062.26</v>
      </c>
      <c r="BJ139">
        <v>1.4016500000000001</v>
      </c>
      <c r="BK139">
        <v>-204.44800000000001</v>
      </c>
      <c r="BL139">
        <v>609.36900000000003</v>
      </c>
      <c r="BM139">
        <v>808.94399999999996</v>
      </c>
      <c r="BN139">
        <v>11.601900000000001</v>
      </c>
      <c r="BO139">
        <v>800.04</v>
      </c>
      <c r="BP139">
        <v>11.006500000000001</v>
      </c>
      <c r="BQ139">
        <v>2.2392099999999999</v>
      </c>
      <c r="BR139">
        <v>1.09012</v>
      </c>
      <c r="BS139">
        <v>19.245699999999999</v>
      </c>
      <c r="BT139">
        <v>8.1800200000000007</v>
      </c>
      <c r="BU139">
        <v>1799.99</v>
      </c>
      <c r="BV139">
        <v>0.90998900000000005</v>
      </c>
      <c r="BW139">
        <v>3.3995299999999999E-2</v>
      </c>
      <c r="BX139">
        <v>2.2003100000000001E-2</v>
      </c>
      <c r="BY139">
        <v>3.4012599999999997E-2</v>
      </c>
      <c r="BZ139">
        <v>26</v>
      </c>
      <c r="CA139">
        <v>33528.199999999997</v>
      </c>
      <c r="CB139">
        <v>1690229084.0999999</v>
      </c>
      <c r="CC139" t="s">
        <v>332</v>
      </c>
      <c r="CD139">
        <v>1690229084.0999999</v>
      </c>
      <c r="CE139">
        <v>1690229076.5999999</v>
      </c>
      <c r="CF139">
        <v>13</v>
      </c>
      <c r="CG139">
        <v>0.23300000000000001</v>
      </c>
      <c r="CH139">
        <v>-0.13100000000000001</v>
      </c>
      <c r="CI139">
        <v>-0.20599999999999999</v>
      </c>
      <c r="CJ139">
        <v>8.7999999999999995E-2</v>
      </c>
      <c r="CK139">
        <v>799</v>
      </c>
      <c r="CL139">
        <v>16</v>
      </c>
      <c r="CM139">
        <v>0.04</v>
      </c>
      <c r="CN139">
        <v>0.04</v>
      </c>
      <c r="CO139">
        <v>-202.02151219512189</v>
      </c>
      <c r="CP139">
        <v>-13.2407038327525</v>
      </c>
      <c r="CQ139">
        <v>1.306950651688437</v>
      </c>
      <c r="CR139">
        <v>-1</v>
      </c>
      <c r="CS139">
        <v>11.455943902439021</v>
      </c>
      <c r="CT139">
        <v>0.93811777003485874</v>
      </c>
      <c r="CU139">
        <v>9.3353511302874115E-2</v>
      </c>
      <c r="CV139">
        <v>-1</v>
      </c>
      <c r="CW139">
        <v>0</v>
      </c>
      <c r="CX139">
        <v>0</v>
      </c>
      <c r="CY139" t="s">
        <v>333</v>
      </c>
      <c r="CZ139">
        <v>2.3645499999999999</v>
      </c>
      <c r="DA139">
        <v>2.7137500000000001</v>
      </c>
      <c r="DB139">
        <v>0.11978999999999999</v>
      </c>
      <c r="DC139">
        <v>0.146122</v>
      </c>
      <c r="DD139">
        <v>0.10916099999999999</v>
      </c>
      <c r="DE139">
        <v>6.3620499999999996E-2</v>
      </c>
      <c r="DF139">
        <v>32147.3</v>
      </c>
      <c r="DG139">
        <v>27532.799999999999</v>
      </c>
      <c r="DH139">
        <v>31179.200000000001</v>
      </c>
      <c r="DI139">
        <v>28096.400000000001</v>
      </c>
      <c r="DJ139">
        <v>37711.4</v>
      </c>
      <c r="DK139">
        <v>37415.9</v>
      </c>
      <c r="DL139">
        <v>44373.9</v>
      </c>
      <c r="DM139">
        <v>42589.7</v>
      </c>
      <c r="DN139">
        <v>1.47905</v>
      </c>
      <c r="DO139">
        <v>2.0430999999999999</v>
      </c>
      <c r="DP139">
        <v>0.13606599999999999</v>
      </c>
      <c r="DQ139">
        <v>0.184089</v>
      </c>
      <c r="DR139">
        <v>24.776199999999999</v>
      </c>
      <c r="DS139">
        <v>24.582899999999999</v>
      </c>
      <c r="DT139">
        <v>52.1</v>
      </c>
      <c r="DU139">
        <v>29.2</v>
      </c>
      <c r="DV139">
        <v>21.403500000000001</v>
      </c>
      <c r="DW139">
        <v>61.649799999999999</v>
      </c>
      <c r="DX139">
        <v>35.965499999999999</v>
      </c>
      <c r="DY139">
        <v>1</v>
      </c>
      <c r="DZ139">
        <v>-8.8503600000000002E-2</v>
      </c>
      <c r="EA139">
        <v>0.492674</v>
      </c>
      <c r="EB139">
        <v>20.188400000000001</v>
      </c>
      <c r="EC139">
        <v>5.2404999999999999</v>
      </c>
      <c r="ED139">
        <v>12.039899999999999</v>
      </c>
      <c r="EE139">
        <v>5.0169499999999996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1.86463</v>
      </c>
      <c r="EM139">
        <v>1.86917</v>
      </c>
      <c r="EN139">
        <v>1.8672299999999999</v>
      </c>
      <c r="EO139">
        <v>1.8633999999999999</v>
      </c>
      <c r="EP139">
        <v>1.8644799999999999</v>
      </c>
      <c r="EQ139">
        <v>1.87015</v>
      </c>
      <c r="ER139">
        <v>1.8694500000000001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-6.3E-2</v>
      </c>
      <c r="FG139">
        <v>0.17860000000000001</v>
      </c>
      <c r="FH139">
        <v>0.3448811944559278</v>
      </c>
      <c r="FI139">
        <v>-6.1462078757559423E-4</v>
      </c>
      <c r="FJ139">
        <v>-1.8861989874597051E-7</v>
      </c>
      <c r="FK139">
        <v>1.1980462299894961E-10</v>
      </c>
      <c r="FL139">
        <v>0.17862261546663211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30.5</v>
      </c>
      <c r="FU139">
        <v>30.6</v>
      </c>
      <c r="FV139">
        <v>1.7773399999999999</v>
      </c>
      <c r="FW139">
        <v>2.5866699999999998</v>
      </c>
      <c r="FX139">
        <v>1.5490699999999999</v>
      </c>
      <c r="FY139">
        <v>2.32666</v>
      </c>
      <c r="FZ139">
        <v>1.50146</v>
      </c>
      <c r="GA139">
        <v>2.33521</v>
      </c>
      <c r="GB139">
        <v>33.963900000000002</v>
      </c>
      <c r="GC139">
        <v>23.982399999999998</v>
      </c>
      <c r="GD139">
        <v>19</v>
      </c>
      <c r="GE139">
        <v>284.36</v>
      </c>
      <c r="GF139">
        <v>589.48199999999997</v>
      </c>
      <c r="GG139">
        <v>23.6493</v>
      </c>
      <c r="GH139">
        <v>26.246099999999998</v>
      </c>
      <c r="GI139">
        <v>30.000499999999999</v>
      </c>
      <c r="GJ139">
        <v>26.410399999999999</v>
      </c>
      <c r="GK139">
        <v>26.4038</v>
      </c>
      <c r="GL139">
        <v>35.522199999999998</v>
      </c>
      <c r="GM139">
        <v>51.466099999999997</v>
      </c>
      <c r="GN139">
        <v>75.5458</v>
      </c>
      <c r="GO139">
        <v>23.615100000000002</v>
      </c>
      <c r="GP139">
        <v>800</v>
      </c>
      <c r="GQ139">
        <v>10.883800000000001</v>
      </c>
      <c r="GR139">
        <v>99.764099999999999</v>
      </c>
      <c r="GS139">
        <v>99.627200000000002</v>
      </c>
    </row>
    <row r="140" spans="1:201" x14ac:dyDescent="0.25">
      <c r="A140">
        <v>124</v>
      </c>
      <c r="B140">
        <v>1690230925</v>
      </c>
      <c r="C140">
        <v>1419.900000095367</v>
      </c>
      <c r="D140" t="s">
        <v>581</v>
      </c>
      <c r="E140" t="s">
        <v>582</v>
      </c>
      <c r="F140" t="s">
        <v>330</v>
      </c>
      <c r="H140">
        <v>1690230925</v>
      </c>
      <c r="I140">
        <f t="shared" si="30"/>
        <v>1.1473356779544547E-3</v>
      </c>
      <c r="J140">
        <f t="shared" si="31"/>
        <v>1.1473356779544548</v>
      </c>
      <c r="K140">
        <f t="shared" si="32"/>
        <v>18.988439308111502</v>
      </c>
      <c r="L140">
        <f t="shared" si="33"/>
        <v>593.55700000000002</v>
      </c>
      <c r="M140">
        <f t="shared" si="34"/>
        <v>182.96625274107231</v>
      </c>
      <c r="N140">
        <f t="shared" si="35"/>
        <v>18.139867839273801</v>
      </c>
      <c r="O140">
        <f t="shared" si="36"/>
        <v>58.847166478908001</v>
      </c>
      <c r="P140">
        <f t="shared" si="37"/>
        <v>7.7000732633511648E-2</v>
      </c>
      <c r="Q140">
        <f t="shared" si="38"/>
        <v>2.1809207924287635</v>
      </c>
      <c r="R140">
        <f t="shared" si="39"/>
        <v>7.5521683351682176E-2</v>
      </c>
      <c r="S140">
        <f t="shared" si="40"/>
        <v>4.7331572506604941E-2</v>
      </c>
      <c r="T140">
        <f t="shared" si="41"/>
        <v>276.11659510200008</v>
      </c>
      <c r="U140">
        <f t="shared" si="42"/>
        <v>27.574570593081418</v>
      </c>
      <c r="V140">
        <f t="shared" si="43"/>
        <v>27.574570593081418</v>
      </c>
      <c r="W140">
        <f t="shared" si="44"/>
        <v>3.70173563950478</v>
      </c>
      <c r="X140">
        <f t="shared" si="45"/>
        <v>67.087152987602423</v>
      </c>
      <c r="Y140">
        <f t="shared" si="46"/>
        <v>2.2406769716975998</v>
      </c>
      <c r="Z140">
        <f t="shared" si="47"/>
        <v>3.3399494119413191</v>
      </c>
      <c r="AA140">
        <f t="shared" si="48"/>
        <v>1.4610586678071802</v>
      </c>
      <c r="AB140">
        <f t="shared" si="49"/>
        <v>-50.597503397791449</v>
      </c>
      <c r="AC140">
        <f t="shared" si="50"/>
        <v>-205.42847763670864</v>
      </c>
      <c r="AD140">
        <f t="shared" si="51"/>
        <v>-20.267499207026876</v>
      </c>
      <c r="AE140">
        <f t="shared" si="52"/>
        <v>-0.17688513952688822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52687.149188911026</v>
      </c>
      <c r="AK140">
        <f t="shared" si="56"/>
        <v>1800</v>
      </c>
      <c r="AL140">
        <f t="shared" si="57"/>
        <v>1499.1113951999998</v>
      </c>
      <c r="AM140">
        <f t="shared" si="58"/>
        <v>0.83283966399999987</v>
      </c>
      <c r="AN140">
        <f t="shared" si="59"/>
        <v>0.15339810839000004</v>
      </c>
      <c r="AO140">
        <v>31.5</v>
      </c>
      <c r="AP140">
        <v>0.5</v>
      </c>
      <c r="AQ140" t="s">
        <v>331</v>
      </c>
      <c r="AR140">
        <v>2</v>
      </c>
      <c r="AS140">
        <v>1690230925</v>
      </c>
      <c r="AT140">
        <v>593.55700000000002</v>
      </c>
      <c r="AU140">
        <v>799.99400000000003</v>
      </c>
      <c r="AV140">
        <v>22.6004</v>
      </c>
      <c r="AW140">
        <v>10.8309</v>
      </c>
      <c r="AX140">
        <v>593.61900000000003</v>
      </c>
      <c r="AY140">
        <v>22.421700000000001</v>
      </c>
      <c r="AZ140">
        <v>300.13400000000001</v>
      </c>
      <c r="BA140">
        <v>99.043199999999999</v>
      </c>
      <c r="BB140">
        <v>0.10004399999999999</v>
      </c>
      <c r="BC140">
        <v>25.827400000000001</v>
      </c>
      <c r="BD140">
        <v>26.981200000000001</v>
      </c>
      <c r="BE140">
        <v>27.584499999999998</v>
      </c>
      <c r="BF140">
        <v>0</v>
      </c>
      <c r="BG140">
        <v>0</v>
      </c>
      <c r="BH140">
        <v>10021.9</v>
      </c>
      <c r="BI140">
        <v>1062.3499999999999</v>
      </c>
      <c r="BJ140">
        <v>1.4016500000000001</v>
      </c>
      <c r="BK140">
        <v>-206.43600000000001</v>
      </c>
      <c r="BL140">
        <v>607.28200000000004</v>
      </c>
      <c r="BM140">
        <v>808.75300000000004</v>
      </c>
      <c r="BN140">
        <v>11.769500000000001</v>
      </c>
      <c r="BO140">
        <v>799.99400000000003</v>
      </c>
      <c r="BP140">
        <v>10.8309</v>
      </c>
      <c r="BQ140">
        <v>2.23841</v>
      </c>
      <c r="BR140">
        <v>1.07273</v>
      </c>
      <c r="BS140">
        <v>19.239899999999999</v>
      </c>
      <c r="BT140">
        <v>7.94346</v>
      </c>
      <c r="BU140">
        <v>1800</v>
      </c>
      <c r="BV140">
        <v>0.90998299999999999</v>
      </c>
      <c r="BW140">
        <v>3.3994900000000002E-2</v>
      </c>
      <c r="BX140">
        <v>2.20097E-2</v>
      </c>
      <c r="BY140">
        <v>3.4012100000000003E-2</v>
      </c>
      <c r="BZ140">
        <v>26</v>
      </c>
      <c r="CA140">
        <v>33528.199999999997</v>
      </c>
      <c r="CB140">
        <v>1690229084.0999999</v>
      </c>
      <c r="CC140" t="s">
        <v>332</v>
      </c>
      <c r="CD140">
        <v>1690229084.0999999</v>
      </c>
      <c r="CE140">
        <v>1690229076.5999999</v>
      </c>
      <c r="CF140">
        <v>13</v>
      </c>
      <c r="CG140">
        <v>0.23300000000000001</v>
      </c>
      <c r="CH140">
        <v>-0.13100000000000001</v>
      </c>
      <c r="CI140">
        <v>-0.20599999999999999</v>
      </c>
      <c r="CJ140">
        <v>8.7999999999999995E-2</v>
      </c>
      <c r="CK140">
        <v>799</v>
      </c>
      <c r="CL140">
        <v>16</v>
      </c>
      <c r="CM140">
        <v>0.04</v>
      </c>
      <c r="CN140">
        <v>0.04</v>
      </c>
      <c r="CO140">
        <v>-204.155675</v>
      </c>
      <c r="CP140">
        <v>-12.896318949342829</v>
      </c>
      <c r="CQ140">
        <v>1.2422725825578711</v>
      </c>
      <c r="CR140">
        <v>-1</v>
      </c>
      <c r="CS140">
        <v>11.595022500000001</v>
      </c>
      <c r="CT140">
        <v>0.77278086303937665</v>
      </c>
      <c r="CU140">
        <v>7.4923789571470556E-2</v>
      </c>
      <c r="CV140">
        <v>-1</v>
      </c>
      <c r="CW140">
        <v>0</v>
      </c>
      <c r="CX140">
        <v>0</v>
      </c>
      <c r="CY140" t="s">
        <v>333</v>
      </c>
      <c r="CZ140">
        <v>2.3644099999999999</v>
      </c>
      <c r="DA140">
        <v>2.7138499999999999</v>
      </c>
      <c r="DB140">
        <v>0.119502</v>
      </c>
      <c r="DC140">
        <v>0.14611399999999999</v>
      </c>
      <c r="DD140">
        <v>0.10913399999999999</v>
      </c>
      <c r="DE140">
        <v>6.2846799999999994E-2</v>
      </c>
      <c r="DF140">
        <v>32157.9</v>
      </c>
      <c r="DG140">
        <v>27533.4</v>
      </c>
      <c r="DH140">
        <v>31179.200000000001</v>
      </c>
      <c r="DI140">
        <v>28096.799999999999</v>
      </c>
      <c r="DJ140">
        <v>37712.6</v>
      </c>
      <c r="DK140">
        <v>37447.4</v>
      </c>
      <c r="DL140">
        <v>44374</v>
      </c>
      <c r="DM140">
        <v>42590.2</v>
      </c>
      <c r="DN140">
        <v>1.4794799999999999</v>
      </c>
      <c r="DO140">
        <v>2.04305</v>
      </c>
      <c r="DP140">
        <v>0.13458700000000001</v>
      </c>
      <c r="DQ140">
        <v>0.183258</v>
      </c>
      <c r="DR140">
        <v>24.776199999999999</v>
      </c>
      <c r="DS140">
        <v>24.582899999999999</v>
      </c>
      <c r="DT140">
        <v>51.9</v>
      </c>
      <c r="DU140">
        <v>29.1</v>
      </c>
      <c r="DV140">
        <v>21.201799999999999</v>
      </c>
      <c r="DW140">
        <v>61.669800000000002</v>
      </c>
      <c r="DX140">
        <v>36.2941</v>
      </c>
      <c r="DY140">
        <v>1</v>
      </c>
      <c r="DZ140">
        <v>-8.9707800000000004E-2</v>
      </c>
      <c r="EA140">
        <v>0.390071</v>
      </c>
      <c r="EB140">
        <v>20.188700000000001</v>
      </c>
      <c r="EC140">
        <v>5.2403500000000003</v>
      </c>
      <c r="ED140">
        <v>12.039899999999999</v>
      </c>
      <c r="EE140">
        <v>5.0168999999999997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1.8646199999999999</v>
      </c>
      <c r="EM140">
        <v>1.8691899999999999</v>
      </c>
      <c r="EN140">
        <v>1.8672200000000001</v>
      </c>
      <c r="EO140">
        <v>1.8633999999999999</v>
      </c>
      <c r="EP140">
        <v>1.8644799999999999</v>
      </c>
      <c r="EQ140">
        <v>1.8701399999999999</v>
      </c>
      <c r="ER140">
        <v>1.8694200000000001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-6.2E-2</v>
      </c>
      <c r="FG140">
        <v>0.1787</v>
      </c>
      <c r="FH140">
        <v>0.3448811944559278</v>
      </c>
      <c r="FI140">
        <v>-6.1462078757559423E-4</v>
      </c>
      <c r="FJ140">
        <v>-1.8861989874597051E-7</v>
      </c>
      <c r="FK140">
        <v>1.1980462299894961E-10</v>
      </c>
      <c r="FL140">
        <v>0.17862261546663211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30.7</v>
      </c>
      <c r="FU140">
        <v>30.8</v>
      </c>
      <c r="FV140">
        <v>1.7761199999999999</v>
      </c>
      <c r="FW140">
        <v>2.5781200000000002</v>
      </c>
      <c r="FX140">
        <v>1.5490699999999999</v>
      </c>
      <c r="FY140">
        <v>2.3278799999999999</v>
      </c>
      <c r="FZ140">
        <v>1.50146</v>
      </c>
      <c r="GA140">
        <v>2.34497</v>
      </c>
      <c r="GB140">
        <v>33.941299999999998</v>
      </c>
      <c r="GC140">
        <v>23.982399999999998</v>
      </c>
      <c r="GD140">
        <v>19</v>
      </c>
      <c r="GE140">
        <v>284.52499999999998</v>
      </c>
      <c r="GF140">
        <v>589.39599999999996</v>
      </c>
      <c r="GG140">
        <v>23.6158</v>
      </c>
      <c r="GH140">
        <v>26.242100000000001</v>
      </c>
      <c r="GI140">
        <v>29.999400000000001</v>
      </c>
      <c r="GJ140">
        <v>26.406500000000001</v>
      </c>
      <c r="GK140">
        <v>26.399899999999999</v>
      </c>
      <c r="GL140">
        <v>35.521000000000001</v>
      </c>
      <c r="GM140">
        <v>51.756399999999999</v>
      </c>
      <c r="GN140">
        <v>75.163499999999999</v>
      </c>
      <c r="GO140">
        <v>23.636099999999999</v>
      </c>
      <c r="GP140">
        <v>800</v>
      </c>
      <c r="GQ140">
        <v>10.755699999999999</v>
      </c>
      <c r="GR140">
        <v>99.764200000000002</v>
      </c>
      <c r="GS140">
        <v>99.628399999999999</v>
      </c>
    </row>
    <row r="141" spans="1:201" x14ac:dyDescent="0.25">
      <c r="A141">
        <v>125</v>
      </c>
      <c r="B141">
        <v>1690230935</v>
      </c>
      <c r="C141">
        <v>1429.900000095367</v>
      </c>
      <c r="D141" t="s">
        <v>583</v>
      </c>
      <c r="E141" t="s">
        <v>584</v>
      </c>
      <c r="F141" t="s">
        <v>330</v>
      </c>
      <c r="H141">
        <v>1690230935</v>
      </c>
      <c r="I141">
        <f t="shared" si="30"/>
        <v>1.1578998652276675E-3</v>
      </c>
      <c r="J141">
        <f t="shared" si="31"/>
        <v>1.1578998652276675</v>
      </c>
      <c r="K141">
        <f t="shared" si="32"/>
        <v>19.209113622144947</v>
      </c>
      <c r="L141">
        <f t="shared" si="33"/>
        <v>591.28899999999999</v>
      </c>
      <c r="M141">
        <f t="shared" si="34"/>
        <v>179.87147865773403</v>
      </c>
      <c r="N141">
        <f t="shared" si="35"/>
        <v>17.833312891574263</v>
      </c>
      <c r="O141">
        <f t="shared" si="36"/>
        <v>58.623200437523394</v>
      </c>
      <c r="P141">
        <f t="shared" si="37"/>
        <v>7.7733180984889266E-2</v>
      </c>
      <c r="Q141">
        <f t="shared" si="38"/>
        <v>2.1835053654072518</v>
      </c>
      <c r="R141">
        <f t="shared" si="39"/>
        <v>7.6227903149043028E-2</v>
      </c>
      <c r="S141">
        <f t="shared" si="40"/>
        <v>4.7775254843719819E-2</v>
      </c>
      <c r="T141">
        <f t="shared" si="41"/>
        <v>276.11534903400002</v>
      </c>
      <c r="U141">
        <f t="shared" si="42"/>
        <v>27.573065234715017</v>
      </c>
      <c r="V141">
        <f t="shared" si="43"/>
        <v>27.573065234715017</v>
      </c>
      <c r="W141">
        <f t="shared" si="44"/>
        <v>3.7014097678969939</v>
      </c>
      <c r="X141">
        <f t="shared" si="45"/>
        <v>67.066932769757486</v>
      </c>
      <c r="Y141">
        <f t="shared" si="46"/>
        <v>2.24053256090916</v>
      </c>
      <c r="Z141">
        <f t="shared" si="47"/>
        <v>3.340741060279238</v>
      </c>
      <c r="AA141">
        <f t="shared" si="48"/>
        <v>1.460877206987834</v>
      </c>
      <c r="AB141">
        <f t="shared" si="49"/>
        <v>-51.063384056540137</v>
      </c>
      <c r="AC141">
        <f t="shared" si="50"/>
        <v>-205.02385246229284</v>
      </c>
      <c r="AD141">
        <f t="shared" si="51"/>
        <v>-20.203887215743976</v>
      </c>
      <c r="AE141">
        <f t="shared" si="52"/>
        <v>-0.17577470057693745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52794.100940525568</v>
      </c>
      <c r="AK141">
        <f t="shared" si="56"/>
        <v>1800</v>
      </c>
      <c r="AL141">
        <f t="shared" si="57"/>
        <v>1499.1115644000001</v>
      </c>
      <c r="AM141">
        <f t="shared" si="58"/>
        <v>0.8328397580000001</v>
      </c>
      <c r="AN141">
        <f t="shared" si="59"/>
        <v>0.15339741613000002</v>
      </c>
      <c r="AO141">
        <v>31.5</v>
      </c>
      <c r="AP141">
        <v>0.5</v>
      </c>
      <c r="AQ141" t="s">
        <v>331</v>
      </c>
      <c r="AR141">
        <v>2</v>
      </c>
      <c r="AS141">
        <v>1690230935</v>
      </c>
      <c r="AT141">
        <v>591.28899999999999</v>
      </c>
      <c r="AU141">
        <v>800.03300000000002</v>
      </c>
      <c r="AV141">
        <v>22.598600000000001</v>
      </c>
      <c r="AW141">
        <v>10.7234</v>
      </c>
      <c r="AX141">
        <v>591.34900000000005</v>
      </c>
      <c r="AY141">
        <v>22.42</v>
      </c>
      <c r="AZ141">
        <v>300.202</v>
      </c>
      <c r="BA141">
        <v>99.044799999999995</v>
      </c>
      <c r="BB141">
        <v>9.9950600000000001E-2</v>
      </c>
      <c r="BC141">
        <v>25.831399999999999</v>
      </c>
      <c r="BD141">
        <v>27.002300000000002</v>
      </c>
      <c r="BE141">
        <v>27.569400000000002</v>
      </c>
      <c r="BF141">
        <v>0</v>
      </c>
      <c r="BG141">
        <v>0</v>
      </c>
      <c r="BH141">
        <v>10043.1</v>
      </c>
      <c r="BI141">
        <v>1062.45</v>
      </c>
      <c r="BJ141">
        <v>1.4016500000000001</v>
      </c>
      <c r="BK141">
        <v>-208.744</v>
      </c>
      <c r="BL141">
        <v>604.96</v>
      </c>
      <c r="BM141">
        <v>808.70500000000004</v>
      </c>
      <c r="BN141">
        <v>11.8752</v>
      </c>
      <c r="BO141">
        <v>800.03300000000002</v>
      </c>
      <c r="BP141">
        <v>10.7234</v>
      </c>
      <c r="BQ141">
        <v>2.23827</v>
      </c>
      <c r="BR141">
        <v>1.0621</v>
      </c>
      <c r="BS141">
        <v>19.238900000000001</v>
      </c>
      <c r="BT141">
        <v>7.7972900000000003</v>
      </c>
      <c r="BU141">
        <v>1800</v>
      </c>
      <c r="BV141">
        <v>0.90999300000000005</v>
      </c>
      <c r="BW141">
        <v>3.3995600000000001E-2</v>
      </c>
      <c r="BX141">
        <v>2.1998899999999998E-2</v>
      </c>
      <c r="BY141">
        <v>3.4012899999999999E-2</v>
      </c>
      <c r="BZ141">
        <v>26</v>
      </c>
      <c r="CA141">
        <v>33528.400000000001</v>
      </c>
      <c r="CB141">
        <v>1690229084.0999999</v>
      </c>
      <c r="CC141" t="s">
        <v>332</v>
      </c>
      <c r="CD141">
        <v>1690229084.0999999</v>
      </c>
      <c r="CE141">
        <v>1690229076.5999999</v>
      </c>
      <c r="CF141">
        <v>13</v>
      </c>
      <c r="CG141">
        <v>0.23300000000000001</v>
      </c>
      <c r="CH141">
        <v>-0.13100000000000001</v>
      </c>
      <c r="CI141">
        <v>-0.20599999999999999</v>
      </c>
      <c r="CJ141">
        <v>8.7999999999999995E-2</v>
      </c>
      <c r="CK141">
        <v>799</v>
      </c>
      <c r="CL141">
        <v>16</v>
      </c>
      <c r="CM141">
        <v>0.04</v>
      </c>
      <c r="CN141">
        <v>0.04</v>
      </c>
      <c r="CO141">
        <v>-206.33526829268291</v>
      </c>
      <c r="CP141">
        <v>-12.89496167247456</v>
      </c>
      <c r="CQ141">
        <v>1.274669579842217</v>
      </c>
      <c r="CR141">
        <v>-1</v>
      </c>
      <c r="CS141">
        <v>11.732090243902441</v>
      </c>
      <c r="CT141">
        <v>0.82476794425087852</v>
      </c>
      <c r="CU141">
        <v>8.2057546151638724E-2</v>
      </c>
      <c r="CV141">
        <v>-1</v>
      </c>
      <c r="CW141">
        <v>0</v>
      </c>
      <c r="CX141">
        <v>0</v>
      </c>
      <c r="CY141" t="s">
        <v>333</v>
      </c>
      <c r="CZ141">
        <v>2.3646699999999998</v>
      </c>
      <c r="DA141">
        <v>2.7137799999999999</v>
      </c>
      <c r="DB141">
        <v>0.119182</v>
      </c>
      <c r="DC141">
        <v>0.14612</v>
      </c>
      <c r="DD141">
        <v>0.10913100000000001</v>
      </c>
      <c r="DE141">
        <v>6.2372400000000001E-2</v>
      </c>
      <c r="DF141">
        <v>32169.9</v>
      </c>
      <c r="DG141">
        <v>27533.8</v>
      </c>
      <c r="DH141">
        <v>31179.5</v>
      </c>
      <c r="DI141">
        <v>28097.4</v>
      </c>
      <c r="DJ141">
        <v>37713</v>
      </c>
      <c r="DK141">
        <v>37467.4</v>
      </c>
      <c r="DL141">
        <v>44374.400000000001</v>
      </c>
      <c r="DM141">
        <v>42591.3</v>
      </c>
      <c r="DN141">
        <v>1.4796</v>
      </c>
      <c r="DO141">
        <v>2.0428199999999999</v>
      </c>
      <c r="DP141">
        <v>0.13586100000000001</v>
      </c>
      <c r="DQ141">
        <v>0.182338</v>
      </c>
      <c r="DR141">
        <v>24.776399999999999</v>
      </c>
      <c r="DS141">
        <v>24.582899999999999</v>
      </c>
      <c r="DT141">
        <v>51.7</v>
      </c>
      <c r="DU141">
        <v>29.1</v>
      </c>
      <c r="DV141">
        <v>21.114100000000001</v>
      </c>
      <c r="DW141">
        <v>61.3598</v>
      </c>
      <c r="DX141">
        <v>36.967100000000002</v>
      </c>
      <c r="DY141">
        <v>1</v>
      </c>
      <c r="DZ141">
        <v>-8.9400400000000005E-2</v>
      </c>
      <c r="EA141">
        <v>0.31739099999999998</v>
      </c>
      <c r="EB141">
        <v>20.1889</v>
      </c>
      <c r="EC141">
        <v>5.2408000000000001</v>
      </c>
      <c r="ED141">
        <v>12.039899999999999</v>
      </c>
      <c r="EE141">
        <v>5.0169499999999996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1.8689199999999999</v>
      </c>
      <c r="EL141">
        <v>1.8646199999999999</v>
      </c>
      <c r="EM141">
        <v>1.8691899999999999</v>
      </c>
      <c r="EN141">
        <v>1.8672200000000001</v>
      </c>
      <c r="EO141">
        <v>1.86338</v>
      </c>
      <c r="EP141">
        <v>1.8644700000000001</v>
      </c>
      <c r="EQ141">
        <v>1.8701399999999999</v>
      </c>
      <c r="ER141">
        <v>1.86941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-0.06</v>
      </c>
      <c r="FG141">
        <v>0.17860000000000001</v>
      </c>
      <c r="FH141">
        <v>0.3448811944559278</v>
      </c>
      <c r="FI141">
        <v>-6.1462078757559423E-4</v>
      </c>
      <c r="FJ141">
        <v>-1.8861989874597051E-7</v>
      </c>
      <c r="FK141">
        <v>1.1980462299894961E-10</v>
      </c>
      <c r="FL141">
        <v>0.17862261546663211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30.8</v>
      </c>
      <c r="FU141">
        <v>31</v>
      </c>
      <c r="FV141">
        <v>1.7761199999999999</v>
      </c>
      <c r="FW141">
        <v>2.5830099999999998</v>
      </c>
      <c r="FX141">
        <v>1.5490699999999999</v>
      </c>
      <c r="FY141">
        <v>2.3278799999999999</v>
      </c>
      <c r="FZ141">
        <v>1.50146</v>
      </c>
      <c r="GA141">
        <v>2.3877000000000002</v>
      </c>
      <c r="GB141">
        <v>33.941299999999998</v>
      </c>
      <c r="GC141">
        <v>23.982399999999998</v>
      </c>
      <c r="GD141">
        <v>19</v>
      </c>
      <c r="GE141">
        <v>284.56099999999998</v>
      </c>
      <c r="GF141">
        <v>589.16499999999996</v>
      </c>
      <c r="GG141">
        <v>23.6416</v>
      </c>
      <c r="GH141">
        <v>26.2377</v>
      </c>
      <c r="GI141">
        <v>30.0001</v>
      </c>
      <c r="GJ141">
        <v>26.4026</v>
      </c>
      <c r="GK141">
        <v>26.396100000000001</v>
      </c>
      <c r="GL141">
        <v>35.516399999999997</v>
      </c>
      <c r="GM141">
        <v>52.031500000000001</v>
      </c>
      <c r="GN141">
        <v>74.388900000000007</v>
      </c>
      <c r="GO141">
        <v>23.651800000000001</v>
      </c>
      <c r="GP141">
        <v>800</v>
      </c>
      <c r="GQ141">
        <v>10.616899999999999</v>
      </c>
      <c r="GR141">
        <v>99.765100000000004</v>
      </c>
      <c r="GS141">
        <v>99.630899999999997</v>
      </c>
    </row>
    <row r="142" spans="1:201" x14ac:dyDescent="0.25">
      <c r="A142">
        <v>126</v>
      </c>
      <c r="B142">
        <v>1690230945</v>
      </c>
      <c r="C142">
        <v>1439.900000095367</v>
      </c>
      <c r="D142" t="s">
        <v>585</v>
      </c>
      <c r="E142" t="s">
        <v>586</v>
      </c>
      <c r="F142" t="s">
        <v>330</v>
      </c>
      <c r="H142">
        <v>1690230945</v>
      </c>
      <c r="I142">
        <f t="shared" si="30"/>
        <v>1.172907299909446E-3</v>
      </c>
      <c r="J142">
        <f t="shared" si="31"/>
        <v>1.1729072999094459</v>
      </c>
      <c r="K142">
        <f t="shared" si="32"/>
        <v>19.397897746551287</v>
      </c>
      <c r="L142">
        <f t="shared" si="33"/>
        <v>589.29100000000005</v>
      </c>
      <c r="M142">
        <f t="shared" si="34"/>
        <v>179.04281794229078</v>
      </c>
      <c r="N142">
        <f t="shared" si="35"/>
        <v>17.750297952320249</v>
      </c>
      <c r="O142">
        <f t="shared" si="36"/>
        <v>58.422286639792816</v>
      </c>
      <c r="P142">
        <f t="shared" si="37"/>
        <v>7.8742157632203408E-2</v>
      </c>
      <c r="Q142">
        <f t="shared" si="38"/>
        <v>2.1747340550505525</v>
      </c>
      <c r="R142">
        <f t="shared" si="39"/>
        <v>7.7191871495120287E-2</v>
      </c>
      <c r="S142">
        <f t="shared" si="40"/>
        <v>4.8381664530265052E-2</v>
      </c>
      <c r="T142">
        <f t="shared" si="41"/>
        <v>276.11384027769861</v>
      </c>
      <c r="U142">
        <f t="shared" si="42"/>
        <v>27.574909096769719</v>
      </c>
      <c r="V142">
        <f t="shared" si="43"/>
        <v>27.574909096769719</v>
      </c>
      <c r="W142">
        <f t="shared" si="44"/>
        <v>3.7018089203485411</v>
      </c>
      <c r="X142">
        <f t="shared" si="45"/>
        <v>67.065166444703479</v>
      </c>
      <c r="Y142">
        <f t="shared" si="46"/>
        <v>2.2405532000839203</v>
      </c>
      <c r="Z142">
        <f t="shared" si="47"/>
        <v>3.340859821665096</v>
      </c>
      <c r="AA142">
        <f t="shared" si="48"/>
        <v>1.4612557202646208</v>
      </c>
      <c r="AB142">
        <f t="shared" si="49"/>
        <v>-51.725211926006565</v>
      </c>
      <c r="AC142">
        <f t="shared" si="50"/>
        <v>-204.34609143898632</v>
      </c>
      <c r="AD142">
        <f t="shared" si="51"/>
        <v>-20.21856396587685</v>
      </c>
      <c r="AE142">
        <f t="shared" si="52"/>
        <v>-0.17602705317113987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52429.205751899673</v>
      </c>
      <c r="AK142">
        <f t="shared" si="56"/>
        <v>1799.99</v>
      </c>
      <c r="AL142">
        <f t="shared" si="57"/>
        <v>1499.1028418046099</v>
      </c>
      <c r="AM142">
        <f t="shared" si="58"/>
        <v>0.83283953899999996</v>
      </c>
      <c r="AN142">
        <f t="shared" si="59"/>
        <v>0.15339743014000001</v>
      </c>
      <c r="AO142">
        <v>31.5</v>
      </c>
      <c r="AP142">
        <v>0.5</v>
      </c>
      <c r="AQ142" t="s">
        <v>331</v>
      </c>
      <c r="AR142">
        <v>2</v>
      </c>
      <c r="AS142">
        <v>1690230945</v>
      </c>
      <c r="AT142">
        <v>589.29100000000005</v>
      </c>
      <c r="AU142">
        <v>800.10900000000004</v>
      </c>
      <c r="AV142">
        <v>22.599900000000002</v>
      </c>
      <c r="AW142">
        <v>10.5694</v>
      </c>
      <c r="AX142">
        <v>589.35</v>
      </c>
      <c r="AY142">
        <v>22.421299999999999</v>
      </c>
      <c r="AZ142">
        <v>300.16699999999997</v>
      </c>
      <c r="BA142">
        <v>99.04</v>
      </c>
      <c r="BB142">
        <v>9.9960800000000002E-2</v>
      </c>
      <c r="BC142">
        <v>25.832000000000001</v>
      </c>
      <c r="BD142">
        <v>27.0075</v>
      </c>
      <c r="BE142">
        <v>27.572700000000001</v>
      </c>
      <c r="BF142">
        <v>0</v>
      </c>
      <c r="BG142">
        <v>0</v>
      </c>
      <c r="BH142">
        <v>9971.25</v>
      </c>
      <c r="BI142">
        <v>1062.5999999999999</v>
      </c>
      <c r="BJ142">
        <v>1.4016500000000001</v>
      </c>
      <c r="BK142">
        <v>-210.81800000000001</v>
      </c>
      <c r="BL142">
        <v>602.91700000000003</v>
      </c>
      <c r="BM142">
        <v>808.65700000000004</v>
      </c>
      <c r="BN142">
        <v>12.0305</v>
      </c>
      <c r="BO142">
        <v>800.10900000000004</v>
      </c>
      <c r="BP142">
        <v>10.5694</v>
      </c>
      <c r="BQ142">
        <v>2.2382900000000001</v>
      </c>
      <c r="BR142">
        <v>1.0468</v>
      </c>
      <c r="BS142">
        <v>19.239100000000001</v>
      </c>
      <c r="BT142">
        <v>7.58453</v>
      </c>
      <c r="BU142">
        <v>1799.99</v>
      </c>
      <c r="BV142">
        <v>0.90999200000000002</v>
      </c>
      <c r="BW142">
        <v>3.3995600000000001E-2</v>
      </c>
      <c r="BX142">
        <v>2.1999700000000001E-2</v>
      </c>
      <c r="BY142">
        <v>3.4012800000000003E-2</v>
      </c>
      <c r="BZ142">
        <v>26</v>
      </c>
      <c r="CA142">
        <v>33528.199999999997</v>
      </c>
      <c r="CB142">
        <v>1690229084.0999999</v>
      </c>
      <c r="CC142" t="s">
        <v>332</v>
      </c>
      <c r="CD142">
        <v>1690229084.0999999</v>
      </c>
      <c r="CE142">
        <v>1690229076.5999999</v>
      </c>
      <c r="CF142">
        <v>13</v>
      </c>
      <c r="CG142">
        <v>0.23300000000000001</v>
      </c>
      <c r="CH142">
        <v>-0.13100000000000001</v>
      </c>
      <c r="CI142">
        <v>-0.20599999999999999</v>
      </c>
      <c r="CJ142">
        <v>8.7999999999999995E-2</v>
      </c>
      <c r="CK142">
        <v>799</v>
      </c>
      <c r="CL142">
        <v>16</v>
      </c>
      <c r="CM142">
        <v>0.04</v>
      </c>
      <c r="CN142">
        <v>0.04</v>
      </c>
      <c r="CO142">
        <v>-208.46724390243901</v>
      </c>
      <c r="CP142">
        <v>-13.140898954703591</v>
      </c>
      <c r="CQ142">
        <v>1.29768004588466</v>
      </c>
      <c r="CR142">
        <v>-1</v>
      </c>
      <c r="CS142">
        <v>11.86753170731707</v>
      </c>
      <c r="CT142">
        <v>0.77618048780485704</v>
      </c>
      <c r="CU142">
        <v>7.7606972401825833E-2</v>
      </c>
      <c r="CV142">
        <v>-1</v>
      </c>
      <c r="CW142">
        <v>0</v>
      </c>
      <c r="CX142">
        <v>0</v>
      </c>
      <c r="CY142" t="s">
        <v>333</v>
      </c>
      <c r="CZ142">
        <v>2.3645299999999998</v>
      </c>
      <c r="DA142">
        <v>2.71373</v>
      </c>
      <c r="DB142">
        <v>0.118892</v>
      </c>
      <c r="DC142">
        <v>0.146121</v>
      </c>
      <c r="DD142">
        <v>0.10913100000000001</v>
      </c>
      <c r="DE142">
        <v>6.1685200000000003E-2</v>
      </c>
      <c r="DF142">
        <v>32181</v>
      </c>
      <c r="DG142">
        <v>27534.2</v>
      </c>
      <c r="DH142">
        <v>31180</v>
      </c>
      <c r="DI142">
        <v>28097.8</v>
      </c>
      <c r="DJ142">
        <v>37713.599999999999</v>
      </c>
      <c r="DK142">
        <v>37495.4</v>
      </c>
      <c r="DL142">
        <v>44375.199999999997</v>
      </c>
      <c r="DM142">
        <v>42591.8</v>
      </c>
      <c r="DN142">
        <v>1.47915</v>
      </c>
      <c r="DO142">
        <v>2.04277</v>
      </c>
      <c r="DP142">
        <v>0.136022</v>
      </c>
      <c r="DQ142">
        <v>0.18253900000000001</v>
      </c>
      <c r="DR142">
        <v>24.779</v>
      </c>
      <c r="DS142">
        <v>24.582899999999999</v>
      </c>
      <c r="DT142">
        <v>51.5</v>
      </c>
      <c r="DU142">
        <v>29.2</v>
      </c>
      <c r="DV142">
        <v>21.1571</v>
      </c>
      <c r="DW142">
        <v>62.009799999999998</v>
      </c>
      <c r="DX142">
        <v>35.853400000000001</v>
      </c>
      <c r="DY142">
        <v>1</v>
      </c>
      <c r="DZ142">
        <v>-9.0370900000000004E-2</v>
      </c>
      <c r="EA142">
        <v>0.40282400000000002</v>
      </c>
      <c r="EB142">
        <v>20.188800000000001</v>
      </c>
      <c r="EC142">
        <v>5.2403500000000003</v>
      </c>
      <c r="ED142">
        <v>12.039899999999999</v>
      </c>
      <c r="EE142">
        <v>5.0170000000000003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1.86463</v>
      </c>
      <c r="EM142">
        <v>1.8691899999999999</v>
      </c>
      <c r="EN142">
        <v>1.8672299999999999</v>
      </c>
      <c r="EO142">
        <v>1.86338</v>
      </c>
      <c r="EP142">
        <v>1.86449</v>
      </c>
      <c r="EQ142">
        <v>1.87015</v>
      </c>
      <c r="ER142">
        <v>1.8694299999999999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-5.8999999999999997E-2</v>
      </c>
      <c r="FG142">
        <v>0.17860000000000001</v>
      </c>
      <c r="FH142">
        <v>0.3448811944559278</v>
      </c>
      <c r="FI142">
        <v>-6.1462078757559423E-4</v>
      </c>
      <c r="FJ142">
        <v>-1.8861989874597051E-7</v>
      </c>
      <c r="FK142">
        <v>1.1980462299894961E-10</v>
      </c>
      <c r="FL142">
        <v>0.17862261546663211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31</v>
      </c>
      <c r="FU142">
        <v>31.1</v>
      </c>
      <c r="FV142">
        <v>1.7761199999999999</v>
      </c>
      <c r="FW142">
        <v>2.5891099999999998</v>
      </c>
      <c r="FX142">
        <v>1.5490699999999999</v>
      </c>
      <c r="FY142">
        <v>2.32666</v>
      </c>
      <c r="FZ142">
        <v>1.50146</v>
      </c>
      <c r="GA142">
        <v>2.3168899999999999</v>
      </c>
      <c r="GB142">
        <v>33.941299999999998</v>
      </c>
      <c r="GC142">
        <v>23.973700000000001</v>
      </c>
      <c r="GD142">
        <v>19</v>
      </c>
      <c r="GE142">
        <v>284.34899999999999</v>
      </c>
      <c r="GF142">
        <v>589.07600000000002</v>
      </c>
      <c r="GG142">
        <v>23.645600000000002</v>
      </c>
      <c r="GH142">
        <v>26.2332</v>
      </c>
      <c r="GI142">
        <v>29.9998</v>
      </c>
      <c r="GJ142">
        <v>26.398199999999999</v>
      </c>
      <c r="GK142">
        <v>26.3919</v>
      </c>
      <c r="GL142">
        <v>35.5107</v>
      </c>
      <c r="GM142">
        <v>52.316400000000002</v>
      </c>
      <c r="GN142">
        <v>73.996899999999997</v>
      </c>
      <c r="GO142">
        <v>23.6172</v>
      </c>
      <c r="GP142">
        <v>800</v>
      </c>
      <c r="GQ142">
        <v>10.477600000000001</v>
      </c>
      <c r="GR142">
        <v>99.766800000000003</v>
      </c>
      <c r="GS142">
        <v>99.632300000000001</v>
      </c>
    </row>
    <row r="143" spans="1:201" x14ac:dyDescent="0.25">
      <c r="A143">
        <v>127</v>
      </c>
      <c r="B143">
        <v>1690230955</v>
      </c>
      <c r="C143">
        <v>1449.900000095367</v>
      </c>
      <c r="D143" t="s">
        <v>587</v>
      </c>
      <c r="E143" t="s">
        <v>588</v>
      </c>
      <c r="F143" t="s">
        <v>330</v>
      </c>
      <c r="H143">
        <v>1690230955</v>
      </c>
      <c r="I143">
        <f t="shared" si="30"/>
        <v>1.1822679953488542E-3</v>
      </c>
      <c r="J143">
        <f t="shared" si="31"/>
        <v>1.1822679953488542</v>
      </c>
      <c r="K143">
        <f t="shared" si="32"/>
        <v>19.578335283055104</v>
      </c>
      <c r="L143">
        <f t="shared" si="33"/>
        <v>587.21900000000005</v>
      </c>
      <c r="M143">
        <f t="shared" si="34"/>
        <v>176.96635075434978</v>
      </c>
      <c r="N143">
        <f t="shared" si="35"/>
        <v>17.544631651207943</v>
      </c>
      <c r="O143">
        <f t="shared" si="36"/>
        <v>58.217514288305715</v>
      </c>
      <c r="P143">
        <f t="shared" si="37"/>
        <v>7.9469664423926986E-2</v>
      </c>
      <c r="Q143">
        <f t="shared" si="38"/>
        <v>2.1818030220585531</v>
      </c>
      <c r="R143">
        <f t="shared" si="39"/>
        <v>7.7895914893389068E-2</v>
      </c>
      <c r="S143">
        <f t="shared" si="40"/>
        <v>4.8823746199423548E-2</v>
      </c>
      <c r="T143">
        <f t="shared" si="41"/>
        <v>276.11661383999996</v>
      </c>
      <c r="U143">
        <f t="shared" si="42"/>
        <v>27.563694052118247</v>
      </c>
      <c r="V143">
        <f t="shared" si="43"/>
        <v>27.563694052118247</v>
      </c>
      <c r="W143">
        <f t="shared" si="44"/>
        <v>3.6993817093390979</v>
      </c>
      <c r="X143">
        <f t="shared" si="45"/>
        <v>67.052206167221158</v>
      </c>
      <c r="Y143">
        <f t="shared" si="46"/>
        <v>2.2397353496614198</v>
      </c>
      <c r="Z143">
        <f t="shared" si="47"/>
        <v>3.3402858424609558</v>
      </c>
      <c r="AA143">
        <f t="shared" si="48"/>
        <v>1.4596463596776781</v>
      </c>
      <c r="AB143">
        <f t="shared" si="49"/>
        <v>-52.138018594884471</v>
      </c>
      <c r="AC143">
        <f t="shared" si="50"/>
        <v>-204.03225768368853</v>
      </c>
      <c r="AD143">
        <f t="shared" si="51"/>
        <v>-20.120682438162113</v>
      </c>
      <c r="AE143">
        <f t="shared" si="52"/>
        <v>-0.17434487673514809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52723.523872099526</v>
      </c>
      <c r="AK143">
        <f t="shared" si="56"/>
        <v>1800</v>
      </c>
      <c r="AL143">
        <f t="shared" si="57"/>
        <v>1499.111811</v>
      </c>
      <c r="AM143">
        <f t="shared" si="58"/>
        <v>0.832839895</v>
      </c>
      <c r="AN143">
        <f t="shared" si="59"/>
        <v>0.15339811879999998</v>
      </c>
      <c r="AO143">
        <v>31.5</v>
      </c>
      <c r="AP143">
        <v>0.5</v>
      </c>
      <c r="AQ143" t="s">
        <v>331</v>
      </c>
      <c r="AR143">
        <v>2</v>
      </c>
      <c r="AS143">
        <v>1690230955</v>
      </c>
      <c r="AT143">
        <v>587.21900000000005</v>
      </c>
      <c r="AU143">
        <v>800.00099999999998</v>
      </c>
      <c r="AV143">
        <v>22.5914</v>
      </c>
      <c r="AW143">
        <v>10.4626</v>
      </c>
      <c r="AX143">
        <v>587.27599999999995</v>
      </c>
      <c r="AY143">
        <v>22.412700000000001</v>
      </c>
      <c r="AZ143">
        <v>300.113</v>
      </c>
      <c r="BA143">
        <v>99.0411</v>
      </c>
      <c r="BB143">
        <v>9.9960300000000002E-2</v>
      </c>
      <c r="BC143">
        <v>25.8291</v>
      </c>
      <c r="BD143">
        <v>26.9788</v>
      </c>
      <c r="BE143">
        <v>27.585100000000001</v>
      </c>
      <c r="BF143">
        <v>0</v>
      </c>
      <c r="BG143">
        <v>0</v>
      </c>
      <c r="BH143">
        <v>10029.4</v>
      </c>
      <c r="BI143">
        <v>1062.6500000000001</v>
      </c>
      <c r="BJ143">
        <v>1.2404599999999999</v>
      </c>
      <c r="BK143">
        <v>-212.78200000000001</v>
      </c>
      <c r="BL143">
        <v>600.79200000000003</v>
      </c>
      <c r="BM143">
        <v>808.46</v>
      </c>
      <c r="BN143">
        <v>12.1287</v>
      </c>
      <c r="BO143">
        <v>800.00099999999998</v>
      </c>
      <c r="BP143">
        <v>10.4626</v>
      </c>
      <c r="BQ143">
        <v>2.2374700000000001</v>
      </c>
      <c r="BR143">
        <v>1.03623</v>
      </c>
      <c r="BS143">
        <v>19.2332</v>
      </c>
      <c r="BT143">
        <v>7.4359799999999998</v>
      </c>
      <c r="BU143">
        <v>1800</v>
      </c>
      <c r="BV143">
        <v>0.90998400000000002</v>
      </c>
      <c r="BW143">
        <v>3.39946E-2</v>
      </c>
      <c r="BX143">
        <v>2.2009500000000001E-2</v>
      </c>
      <c r="BY143">
        <v>3.4011800000000002E-2</v>
      </c>
      <c r="BZ143">
        <v>26</v>
      </c>
      <c r="CA143">
        <v>33528.199999999997</v>
      </c>
      <c r="CB143">
        <v>1690229084.0999999</v>
      </c>
      <c r="CC143" t="s">
        <v>332</v>
      </c>
      <c r="CD143">
        <v>1690229084.0999999</v>
      </c>
      <c r="CE143">
        <v>1690229076.5999999</v>
      </c>
      <c r="CF143">
        <v>13</v>
      </c>
      <c r="CG143">
        <v>0.23300000000000001</v>
      </c>
      <c r="CH143">
        <v>-0.13100000000000001</v>
      </c>
      <c r="CI143">
        <v>-0.20599999999999999</v>
      </c>
      <c r="CJ143">
        <v>8.7999999999999995E-2</v>
      </c>
      <c r="CK143">
        <v>799</v>
      </c>
      <c r="CL143">
        <v>16</v>
      </c>
      <c r="CM143">
        <v>0.04</v>
      </c>
      <c r="CN143">
        <v>0.04</v>
      </c>
      <c r="CO143">
        <v>-210.71530000000001</v>
      </c>
      <c r="CP143">
        <v>-12.17153470919332</v>
      </c>
      <c r="CQ143">
        <v>1.1721704696843369</v>
      </c>
      <c r="CR143">
        <v>-1</v>
      </c>
      <c r="CS143">
        <v>12.008117500000001</v>
      </c>
      <c r="CT143">
        <v>0.80542176360225148</v>
      </c>
      <c r="CU143">
        <v>7.839967438548448E-2</v>
      </c>
      <c r="CV143">
        <v>-1</v>
      </c>
      <c r="CW143">
        <v>0</v>
      </c>
      <c r="CX143">
        <v>0</v>
      </c>
      <c r="CY143" t="s">
        <v>333</v>
      </c>
      <c r="CZ143">
        <v>2.3643800000000001</v>
      </c>
      <c r="DA143">
        <v>2.7137799999999999</v>
      </c>
      <c r="DB143">
        <v>0.118599</v>
      </c>
      <c r="DC143">
        <v>0.14610799999999999</v>
      </c>
      <c r="DD143">
        <v>0.10910400000000001</v>
      </c>
      <c r="DE143">
        <v>6.1209399999999997E-2</v>
      </c>
      <c r="DF143">
        <v>32191.7</v>
      </c>
      <c r="DG143">
        <v>27534.5</v>
      </c>
      <c r="DH143">
        <v>31180</v>
      </c>
      <c r="DI143">
        <v>28097.7</v>
      </c>
      <c r="DJ143">
        <v>37714.800000000003</v>
      </c>
      <c r="DK143">
        <v>37514.300000000003</v>
      </c>
      <c r="DL143">
        <v>44375.3</v>
      </c>
      <c r="DM143">
        <v>42591.6</v>
      </c>
      <c r="DN143">
        <v>1.4796199999999999</v>
      </c>
      <c r="DO143">
        <v>2.0425499999999999</v>
      </c>
      <c r="DP143">
        <v>0.13406199999999999</v>
      </c>
      <c r="DQ143">
        <v>0.18321699999999999</v>
      </c>
      <c r="DR143">
        <v>24.782399999999999</v>
      </c>
      <c r="DS143">
        <v>24.584199999999999</v>
      </c>
      <c r="DT143">
        <v>51.3</v>
      </c>
      <c r="DU143">
        <v>29.1</v>
      </c>
      <c r="DV143">
        <v>20.9543</v>
      </c>
      <c r="DW143">
        <v>61.4298</v>
      </c>
      <c r="DX143">
        <v>36.506399999999999</v>
      </c>
      <c r="DY143">
        <v>1</v>
      </c>
      <c r="DZ143">
        <v>-9.0533500000000003E-2</v>
      </c>
      <c r="EA143">
        <v>0.36050900000000002</v>
      </c>
      <c r="EB143">
        <v>20.188700000000001</v>
      </c>
      <c r="EC143">
        <v>5.2406499999999996</v>
      </c>
      <c r="ED143">
        <v>12.039899999999999</v>
      </c>
      <c r="EE143">
        <v>5.0171000000000001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1.8689199999999999</v>
      </c>
      <c r="EL143">
        <v>1.8646199999999999</v>
      </c>
      <c r="EM143">
        <v>1.8692</v>
      </c>
      <c r="EN143">
        <v>1.8672200000000001</v>
      </c>
      <c r="EO143">
        <v>1.8633999999999999</v>
      </c>
      <c r="EP143">
        <v>1.86449</v>
      </c>
      <c r="EQ143">
        <v>1.87015</v>
      </c>
      <c r="ER143">
        <v>1.8694299999999999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-5.7000000000000002E-2</v>
      </c>
      <c r="FG143">
        <v>0.1787</v>
      </c>
      <c r="FH143">
        <v>0.3448811944559278</v>
      </c>
      <c r="FI143">
        <v>-6.1462078757559423E-4</v>
      </c>
      <c r="FJ143">
        <v>-1.8861989874597051E-7</v>
      </c>
      <c r="FK143">
        <v>1.1980462299894961E-10</v>
      </c>
      <c r="FL143">
        <v>0.17862261546663211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31.2</v>
      </c>
      <c r="FU143">
        <v>31.3</v>
      </c>
      <c r="FV143">
        <v>1.7761199999999999</v>
      </c>
      <c r="FW143">
        <v>2.5805699999999998</v>
      </c>
      <c r="FX143">
        <v>1.5490699999999999</v>
      </c>
      <c r="FY143">
        <v>2.3278799999999999</v>
      </c>
      <c r="FZ143">
        <v>1.50146</v>
      </c>
      <c r="GA143">
        <v>2.34741</v>
      </c>
      <c r="GB143">
        <v>33.941299999999998</v>
      </c>
      <c r="GC143">
        <v>23.991199999999999</v>
      </c>
      <c r="GD143">
        <v>19</v>
      </c>
      <c r="GE143">
        <v>284.53500000000003</v>
      </c>
      <c r="GF143">
        <v>588.83799999999997</v>
      </c>
      <c r="GG143">
        <v>23.6236</v>
      </c>
      <c r="GH143">
        <v>26.228999999999999</v>
      </c>
      <c r="GI143">
        <v>30.0001</v>
      </c>
      <c r="GJ143">
        <v>26.394300000000001</v>
      </c>
      <c r="GK143">
        <v>26.387499999999999</v>
      </c>
      <c r="GL143">
        <v>35.512</v>
      </c>
      <c r="GM143">
        <v>52.871499999999997</v>
      </c>
      <c r="GN143">
        <v>73.203999999999994</v>
      </c>
      <c r="GO143">
        <v>23.645099999999999</v>
      </c>
      <c r="GP143">
        <v>800</v>
      </c>
      <c r="GQ143">
        <v>10.347</v>
      </c>
      <c r="GR143">
        <v>99.766999999999996</v>
      </c>
      <c r="GS143">
        <v>99.631799999999998</v>
      </c>
    </row>
    <row r="144" spans="1:201" x14ac:dyDescent="0.25">
      <c r="A144">
        <v>128</v>
      </c>
      <c r="B144">
        <v>1690230965</v>
      </c>
      <c r="C144">
        <v>1459.900000095367</v>
      </c>
      <c r="D144" t="s">
        <v>589</v>
      </c>
      <c r="E144" t="s">
        <v>590</v>
      </c>
      <c r="F144" t="s">
        <v>330</v>
      </c>
      <c r="H144">
        <v>1690230965</v>
      </c>
      <c r="I144">
        <f t="shared" si="30"/>
        <v>1.1998298770834143E-3</v>
      </c>
      <c r="J144">
        <f t="shared" si="31"/>
        <v>1.1998298770834144</v>
      </c>
      <c r="K144">
        <f t="shared" si="32"/>
        <v>19.777127755620878</v>
      </c>
      <c r="L144">
        <f t="shared" si="33"/>
        <v>585.13099999999997</v>
      </c>
      <c r="M144">
        <f t="shared" si="34"/>
        <v>176.5991141962873</v>
      </c>
      <c r="N144">
        <f t="shared" si="35"/>
        <v>17.508396443612884</v>
      </c>
      <c r="O144">
        <f t="shared" si="36"/>
        <v>58.011081007239994</v>
      </c>
      <c r="P144">
        <f t="shared" si="37"/>
        <v>8.0638150066878578E-2</v>
      </c>
      <c r="Q144">
        <f t="shared" si="38"/>
        <v>2.1806747490586229</v>
      </c>
      <c r="R144">
        <f t="shared" si="39"/>
        <v>7.9017469270428312E-2</v>
      </c>
      <c r="S144">
        <f t="shared" si="40"/>
        <v>4.9528817048043572E-2</v>
      </c>
      <c r="T144">
        <f t="shared" si="41"/>
        <v>276.11666092800004</v>
      </c>
      <c r="U144">
        <f t="shared" si="42"/>
        <v>27.564302204609433</v>
      </c>
      <c r="V144">
        <f t="shared" si="43"/>
        <v>27.564302204609433</v>
      </c>
      <c r="W144">
        <f t="shared" si="44"/>
        <v>3.6995132928469157</v>
      </c>
      <c r="X144">
        <f t="shared" si="45"/>
        <v>67.012918661278121</v>
      </c>
      <c r="Y144">
        <f t="shared" si="46"/>
        <v>2.2391923728279997</v>
      </c>
      <c r="Z144">
        <f t="shared" si="47"/>
        <v>3.3414338870183631</v>
      </c>
      <c r="AA144">
        <f t="shared" si="48"/>
        <v>1.460320920018916</v>
      </c>
      <c r="AB144">
        <f t="shared" si="49"/>
        <v>-52.912497579378567</v>
      </c>
      <c r="AC144">
        <f t="shared" si="50"/>
        <v>-203.31636959490444</v>
      </c>
      <c r="AD144">
        <f t="shared" si="51"/>
        <v>-20.061101231189784</v>
      </c>
      <c r="AE144">
        <f t="shared" si="52"/>
        <v>-0.17330747747277542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52675.560284553547</v>
      </c>
      <c r="AK144">
        <f t="shared" si="56"/>
        <v>1800</v>
      </c>
      <c r="AL144">
        <f t="shared" si="57"/>
        <v>1499.1123618000001</v>
      </c>
      <c r="AM144">
        <f t="shared" si="58"/>
        <v>0.83284020100000011</v>
      </c>
      <c r="AN144">
        <f t="shared" si="59"/>
        <v>0.15339814496000001</v>
      </c>
      <c r="AO144">
        <v>31.5</v>
      </c>
      <c r="AP144">
        <v>0.5</v>
      </c>
      <c r="AQ144" t="s">
        <v>331</v>
      </c>
      <c r="AR144">
        <v>2</v>
      </c>
      <c r="AS144">
        <v>1690230965</v>
      </c>
      <c r="AT144">
        <v>585.13099999999997</v>
      </c>
      <c r="AU144">
        <v>799.99699999999996</v>
      </c>
      <c r="AV144">
        <v>22.585699999999999</v>
      </c>
      <c r="AW144">
        <v>10.281499999999999</v>
      </c>
      <c r="AX144">
        <v>585.18600000000004</v>
      </c>
      <c r="AY144">
        <v>22.407</v>
      </c>
      <c r="AZ144">
        <v>300.23099999999999</v>
      </c>
      <c r="BA144">
        <v>99.041899999999998</v>
      </c>
      <c r="BB144">
        <v>0.10014000000000001</v>
      </c>
      <c r="BC144">
        <v>25.834900000000001</v>
      </c>
      <c r="BD144">
        <v>26.951499999999999</v>
      </c>
      <c r="BE144">
        <v>27.595300000000002</v>
      </c>
      <c r="BF144">
        <v>0</v>
      </c>
      <c r="BG144">
        <v>0</v>
      </c>
      <c r="BH144">
        <v>10020</v>
      </c>
      <c r="BI144">
        <v>1062.71</v>
      </c>
      <c r="BJ144">
        <v>1.2334499999999999</v>
      </c>
      <c r="BK144">
        <v>-214.86600000000001</v>
      </c>
      <c r="BL144">
        <v>598.65200000000004</v>
      </c>
      <c r="BM144">
        <v>808.30700000000002</v>
      </c>
      <c r="BN144">
        <v>12.3042</v>
      </c>
      <c r="BO144">
        <v>799.99699999999996</v>
      </c>
      <c r="BP144">
        <v>10.281499999999999</v>
      </c>
      <c r="BQ144">
        <v>2.2369300000000001</v>
      </c>
      <c r="BR144">
        <v>1.0183</v>
      </c>
      <c r="BS144">
        <v>19.229299999999999</v>
      </c>
      <c r="BT144">
        <v>7.1808399999999999</v>
      </c>
      <c r="BU144">
        <v>1800</v>
      </c>
      <c r="BV144">
        <v>0.90998500000000004</v>
      </c>
      <c r="BW144">
        <v>3.3994299999999998E-2</v>
      </c>
      <c r="BX144">
        <v>2.2009299999999999E-2</v>
      </c>
      <c r="BY144">
        <v>3.4011600000000003E-2</v>
      </c>
      <c r="BZ144">
        <v>26</v>
      </c>
      <c r="CA144">
        <v>33528.199999999997</v>
      </c>
      <c r="CB144">
        <v>1690229084.0999999</v>
      </c>
      <c r="CC144" t="s">
        <v>332</v>
      </c>
      <c r="CD144">
        <v>1690229084.0999999</v>
      </c>
      <c r="CE144">
        <v>1690229076.5999999</v>
      </c>
      <c r="CF144">
        <v>13</v>
      </c>
      <c r="CG144">
        <v>0.23300000000000001</v>
      </c>
      <c r="CH144">
        <v>-0.13100000000000001</v>
      </c>
      <c r="CI144">
        <v>-0.20599999999999999</v>
      </c>
      <c r="CJ144">
        <v>8.7999999999999995E-2</v>
      </c>
      <c r="CK144">
        <v>799</v>
      </c>
      <c r="CL144">
        <v>16</v>
      </c>
      <c r="CM144">
        <v>0.04</v>
      </c>
      <c r="CN144">
        <v>0.04</v>
      </c>
      <c r="CO144">
        <v>-212.58080000000001</v>
      </c>
      <c r="CP144">
        <v>-12.348968105065889</v>
      </c>
      <c r="CQ144">
        <v>1.189850267890878</v>
      </c>
      <c r="CR144">
        <v>-1</v>
      </c>
      <c r="CS144">
        <v>12.144410000000001</v>
      </c>
      <c r="CT144">
        <v>0.97203602251405219</v>
      </c>
      <c r="CU144">
        <v>9.5677538638909432E-2</v>
      </c>
      <c r="CV144">
        <v>-1</v>
      </c>
      <c r="CW144">
        <v>0</v>
      </c>
      <c r="CX144">
        <v>0</v>
      </c>
      <c r="CY144" t="s">
        <v>333</v>
      </c>
      <c r="CZ144">
        <v>2.3647900000000002</v>
      </c>
      <c r="DA144">
        <v>2.7139500000000001</v>
      </c>
      <c r="DB144">
        <v>0.118302</v>
      </c>
      <c r="DC144">
        <v>0.14610699999999999</v>
      </c>
      <c r="DD144">
        <v>0.109086</v>
      </c>
      <c r="DE144">
        <v>6.0397199999999998E-2</v>
      </c>
      <c r="DF144">
        <v>32202.7</v>
      </c>
      <c r="DG144">
        <v>27534.5</v>
      </c>
      <c r="DH144">
        <v>31180.1</v>
      </c>
      <c r="DI144">
        <v>28097.7</v>
      </c>
      <c r="DJ144">
        <v>37715.599999999999</v>
      </c>
      <c r="DK144">
        <v>37546.9</v>
      </c>
      <c r="DL144">
        <v>44375.4</v>
      </c>
      <c r="DM144">
        <v>42591.7</v>
      </c>
      <c r="DN144">
        <v>1.4801299999999999</v>
      </c>
      <c r="DO144">
        <v>2.0424500000000001</v>
      </c>
      <c r="DP144">
        <v>0.132214</v>
      </c>
      <c r="DQ144">
        <v>0.18379799999999999</v>
      </c>
      <c r="DR144">
        <v>24.785299999999999</v>
      </c>
      <c r="DS144">
        <v>24.585000000000001</v>
      </c>
      <c r="DT144">
        <v>51</v>
      </c>
      <c r="DU144">
        <v>29.2</v>
      </c>
      <c r="DV144">
        <v>20.9483</v>
      </c>
      <c r="DW144">
        <v>61.569800000000001</v>
      </c>
      <c r="DX144">
        <v>36.838900000000002</v>
      </c>
      <c r="DY144">
        <v>1</v>
      </c>
      <c r="DZ144">
        <v>-9.1699699999999995E-2</v>
      </c>
      <c r="EA144">
        <v>0.23298199999999999</v>
      </c>
      <c r="EB144">
        <v>20.1892</v>
      </c>
      <c r="EC144">
        <v>5.2411000000000003</v>
      </c>
      <c r="ED144">
        <v>12.039899999999999</v>
      </c>
      <c r="EE144">
        <v>5.0170500000000002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1.8691899999999999</v>
      </c>
      <c r="EN144">
        <v>1.8672200000000001</v>
      </c>
      <c r="EO144">
        <v>1.8633999999999999</v>
      </c>
      <c r="EP144">
        <v>1.8644799999999999</v>
      </c>
      <c r="EQ144">
        <v>1.8701399999999999</v>
      </c>
      <c r="ER144">
        <v>1.8693900000000001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-5.5E-2</v>
      </c>
      <c r="FG144">
        <v>0.1787</v>
      </c>
      <c r="FH144">
        <v>0.3448811944559278</v>
      </c>
      <c r="FI144">
        <v>-6.1462078757559423E-4</v>
      </c>
      <c r="FJ144">
        <v>-1.8861989874597051E-7</v>
      </c>
      <c r="FK144">
        <v>1.1980462299894961E-10</v>
      </c>
      <c r="FL144">
        <v>0.17862261546663211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31.3</v>
      </c>
      <c r="FU144">
        <v>31.5</v>
      </c>
      <c r="FV144">
        <v>1.7761199999999999</v>
      </c>
      <c r="FW144">
        <v>2.5842299999999998</v>
      </c>
      <c r="FX144">
        <v>1.5490699999999999</v>
      </c>
      <c r="FY144">
        <v>2.3278799999999999</v>
      </c>
      <c r="FZ144">
        <v>1.50146</v>
      </c>
      <c r="GA144">
        <v>2.3913600000000002</v>
      </c>
      <c r="GB144">
        <v>33.941299999999998</v>
      </c>
      <c r="GC144">
        <v>23.991199999999999</v>
      </c>
      <c r="GD144">
        <v>19</v>
      </c>
      <c r="GE144">
        <v>284.73</v>
      </c>
      <c r="GF144">
        <v>588.70799999999997</v>
      </c>
      <c r="GG144">
        <v>23.6647</v>
      </c>
      <c r="GH144">
        <v>26.224499999999999</v>
      </c>
      <c r="GI144">
        <v>29.999600000000001</v>
      </c>
      <c r="GJ144">
        <v>26.389900000000001</v>
      </c>
      <c r="GK144">
        <v>26.383400000000002</v>
      </c>
      <c r="GL144">
        <v>35.506799999999998</v>
      </c>
      <c r="GM144">
        <v>52.871499999999997</v>
      </c>
      <c r="GN144">
        <v>72.813400000000001</v>
      </c>
      <c r="GO144">
        <v>23.713699999999999</v>
      </c>
      <c r="GP144">
        <v>800</v>
      </c>
      <c r="GQ144">
        <v>10.2164</v>
      </c>
      <c r="GR144">
        <v>99.767300000000006</v>
      </c>
      <c r="GS144">
        <v>99.631900000000002</v>
      </c>
    </row>
    <row r="145" spans="1:201" x14ac:dyDescent="0.25">
      <c r="A145">
        <v>129</v>
      </c>
      <c r="B145">
        <v>1690230975</v>
      </c>
      <c r="C145">
        <v>1469.900000095367</v>
      </c>
      <c r="D145" t="s">
        <v>591</v>
      </c>
      <c r="E145" t="s">
        <v>592</v>
      </c>
      <c r="F145" t="s">
        <v>330</v>
      </c>
      <c r="H145">
        <v>1690230975</v>
      </c>
      <c r="I145">
        <f t="shared" ref="I145:I208" si="60">(J145)/1000</f>
        <v>1.2083442424768243E-3</v>
      </c>
      <c r="J145">
        <f t="shared" ref="J145:J208" si="61">1000*AZ145*AH145*(AV145-AW145)/(100*AO145*(1000-AH145*AV145))</f>
        <v>1.2083442424768243</v>
      </c>
      <c r="K145">
        <f t="shared" ref="K145:K208" si="62">AZ145*AH145*(AU145-AT145*(1000-AH145*AW145)/(1000-AH145*AV145))/(100*AO145)</f>
        <v>19.966025682951159</v>
      </c>
      <c r="L145">
        <f t="shared" ref="L145:L208" si="63">AT145 - IF(AH145&gt;1, K145*AO145*100/(AJ145*BH145), 0)</f>
        <v>583.18499999999995</v>
      </c>
      <c r="M145">
        <f t="shared" ref="M145:M208" si="64">((S145-I145/2)*L145-K145)/(S145+I145/2)</f>
        <v>173.84436310040152</v>
      </c>
      <c r="N145">
        <f t="shared" ref="N145:N208" si="65">M145*(BA145+BB145)/1000</f>
        <v>17.235005414998593</v>
      </c>
      <c r="O145">
        <f t="shared" ref="O145:O208" si="66">(AT145 - IF(AH145&gt;1, K145*AO145*100/(AJ145*BH145), 0))*(BA145+BB145)/1000</f>
        <v>57.817213360786489</v>
      </c>
      <c r="P145">
        <f t="shared" ref="P145:P208" si="67">2/((1/R145-1/Q145)+SIGN(R145)*SQRT((1/R145-1/Q145)*(1/R145-1/Q145) + 4*AP145/((AP145+1)*(AP145+1))*(2*1/R145*1/Q145-1/Q145*1/Q145)))</f>
        <v>8.1242054455979235E-2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2.1809603654224961</v>
      </c>
      <c r="R145">
        <f t="shared" ref="R145:R208" si="69">I145*(1000-(1000*0.61365*EXP(17.502*V145/(240.97+V145))/(BA145+BB145)+AV145)/2)/(1000*0.61365*EXP(17.502*V145/(240.97+V145))/(BA145+BB145)-AV145)</f>
        <v>7.9597485489096287E-2</v>
      </c>
      <c r="S145">
        <f t="shared" ref="S145:S208" si="70">1/((AP145+1)/(P145/1.6)+1/(Q145/1.37)) + AP145/((AP145+1)/(P145/1.6) + AP145/(Q145/1.37))</f>
        <v>4.9893413646357986E-2</v>
      </c>
      <c r="T145">
        <f t="shared" ref="T145:T208" si="71">(AK145*AN145)</f>
        <v>276.11509859670792</v>
      </c>
      <c r="U145">
        <f t="shared" ref="U145:U208" si="72">(BC145+(T145+2*0.95*0.0000000567*(((BC145+$B$7)+273)^4-(BC145+273)^4)-44100*I145)/(1.84*29.3*Q145+8*0.95*0.0000000567*(BC145+273)^3))</f>
        <v>27.565967459823003</v>
      </c>
      <c r="V145">
        <f t="shared" ref="V145:V208" si="73">($C$7*BD145+$D$7*BE145+$E$7*U145)</f>
        <v>27.565967459823003</v>
      </c>
      <c r="W145">
        <f t="shared" ref="W145:W208" si="74">0.61365*EXP(17.502*V145/(240.97+V145))</f>
        <v>3.6998736183216447</v>
      </c>
      <c r="X145">
        <f t="shared" ref="X145:X208" si="75">(Y145/Z145*100)</f>
        <v>67.016211030576414</v>
      </c>
      <c r="Y145">
        <f t="shared" ref="Y145:Y208" si="76">AV145*(BA145+BB145)/1000</f>
        <v>2.2399392847694397</v>
      </c>
      <c r="Z145">
        <f t="shared" ref="Z145:Z208" si="77">0.61365*EXP(17.502*BC145/(240.97+BC145))</f>
        <v>3.3423842534867547</v>
      </c>
      <c r="AA145">
        <f t="shared" ref="AA145:AA208" si="78">(W145-AV145*(BA145+BB145)/1000)</f>
        <v>1.459934333552205</v>
      </c>
      <c r="AB145">
        <f t="shared" ref="AB145:AB208" si="79">(-I145*44100)</f>
        <v>-53.287981093227948</v>
      </c>
      <c r="AC145">
        <f t="shared" ref="AC145:AC208" si="80">2*29.3*Q145*0.92*(BC145-V145)</f>
        <v>-202.97441609951784</v>
      </c>
      <c r="AD145">
        <f t="shared" ref="AD145:AD208" si="81">2*0.95*0.0000000567*(((BC145+$B$7)+273)^4-(V145+273)^4)</f>
        <v>-20.025385500707262</v>
      </c>
      <c r="AE145">
        <f t="shared" ref="AE145:AE208" si="82">T145+AD145+AB145+AC145</f>
        <v>-0.17268409674514373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52686.567893023865</v>
      </c>
      <c r="AK145">
        <f t="shared" ref="AK145:AK208" si="86">$B$11*BI145+$C$11*BJ145+$D$11*BU145</f>
        <v>1799.99</v>
      </c>
      <c r="AL145">
        <f t="shared" ref="AL145:AL208" si="87">AK145*AM145</f>
        <v>1499.1038983987401</v>
      </c>
      <c r="AM145">
        <f t="shared" ref="AM145:AM208" si="88">($B$11*$D$9+$C$11*$D$9+$D$11*(BV145*$E$9+BW145*$F$9+BX145*$G$9+BY145*$H$9))/($B$11+$C$11+$D$11)</f>
        <v>0.83284012600000001</v>
      </c>
      <c r="AN145">
        <f t="shared" ref="AN145:AN208" si="89">($B$11*$K$9+$C$11*$K$9+$D$11*(BV145*$L$9+BW145*$M$9+BX145*$N$9+BY145*$O$9))/($B$11+$C$11+$D$11)</f>
        <v>0.15339812921000001</v>
      </c>
      <c r="AO145">
        <v>31.5</v>
      </c>
      <c r="AP145">
        <v>0.5</v>
      </c>
      <c r="AQ145" t="s">
        <v>331</v>
      </c>
      <c r="AR145">
        <v>2</v>
      </c>
      <c r="AS145">
        <v>1690230975</v>
      </c>
      <c r="AT145">
        <v>583.18499999999995</v>
      </c>
      <c r="AU145">
        <v>800.04100000000005</v>
      </c>
      <c r="AV145">
        <v>22.593599999999999</v>
      </c>
      <c r="AW145">
        <v>10.2033</v>
      </c>
      <c r="AX145">
        <v>583.23800000000006</v>
      </c>
      <c r="AY145">
        <v>22.414999999999999</v>
      </c>
      <c r="AZ145">
        <v>300.25799999999998</v>
      </c>
      <c r="BA145">
        <v>99.040499999999994</v>
      </c>
      <c r="BB145">
        <v>9.9932900000000005E-2</v>
      </c>
      <c r="BC145">
        <v>25.839700000000001</v>
      </c>
      <c r="BD145">
        <v>26.970800000000001</v>
      </c>
      <c r="BE145">
        <v>27.588100000000001</v>
      </c>
      <c r="BF145">
        <v>0</v>
      </c>
      <c r="BG145">
        <v>0</v>
      </c>
      <c r="BH145">
        <v>10022.5</v>
      </c>
      <c r="BI145">
        <v>1062.8</v>
      </c>
      <c r="BJ145">
        <v>1.3455900000000001</v>
      </c>
      <c r="BK145">
        <v>-216.85599999999999</v>
      </c>
      <c r="BL145">
        <v>596.66499999999996</v>
      </c>
      <c r="BM145">
        <v>808.28800000000001</v>
      </c>
      <c r="BN145">
        <v>12.3903</v>
      </c>
      <c r="BO145">
        <v>800.04100000000005</v>
      </c>
      <c r="BP145">
        <v>10.2033</v>
      </c>
      <c r="BQ145">
        <v>2.2376800000000001</v>
      </c>
      <c r="BR145">
        <v>1.01054</v>
      </c>
      <c r="BS145">
        <v>19.2347</v>
      </c>
      <c r="BT145">
        <v>7.0693000000000001</v>
      </c>
      <c r="BU145">
        <v>1799.99</v>
      </c>
      <c r="BV145">
        <v>0.90998500000000004</v>
      </c>
      <c r="BW145">
        <v>3.3994299999999998E-2</v>
      </c>
      <c r="BX145">
        <v>2.2009299999999999E-2</v>
      </c>
      <c r="BY145">
        <v>3.40115E-2</v>
      </c>
      <c r="BZ145">
        <v>26</v>
      </c>
      <c r="CA145">
        <v>33528.199999999997</v>
      </c>
      <c r="CB145">
        <v>1690229084.0999999</v>
      </c>
      <c r="CC145" t="s">
        <v>332</v>
      </c>
      <c r="CD145">
        <v>1690229084.0999999</v>
      </c>
      <c r="CE145">
        <v>1690229076.5999999</v>
      </c>
      <c r="CF145">
        <v>13</v>
      </c>
      <c r="CG145">
        <v>0.23300000000000001</v>
      </c>
      <c r="CH145">
        <v>-0.13100000000000001</v>
      </c>
      <c r="CI145">
        <v>-0.20599999999999999</v>
      </c>
      <c r="CJ145">
        <v>8.7999999999999995E-2</v>
      </c>
      <c r="CK145">
        <v>799</v>
      </c>
      <c r="CL145">
        <v>16</v>
      </c>
      <c r="CM145">
        <v>0.04</v>
      </c>
      <c r="CN145">
        <v>0.04</v>
      </c>
      <c r="CO145">
        <v>-214.68448780487799</v>
      </c>
      <c r="CP145">
        <v>-12.10254355400772</v>
      </c>
      <c r="CQ145">
        <v>1.194408418156653</v>
      </c>
      <c r="CR145">
        <v>-1</v>
      </c>
      <c r="CS145">
        <v>12.27916341463415</v>
      </c>
      <c r="CT145">
        <v>0.6756292682926448</v>
      </c>
      <c r="CU145">
        <v>7.142072786543191E-2</v>
      </c>
      <c r="CV145">
        <v>-1</v>
      </c>
      <c r="CW145">
        <v>0</v>
      </c>
      <c r="CX145">
        <v>0</v>
      </c>
      <c r="CY145" t="s">
        <v>333</v>
      </c>
      <c r="CZ145">
        <v>2.3648799999999999</v>
      </c>
      <c r="DA145">
        <v>2.7137500000000001</v>
      </c>
      <c r="DB145">
        <v>0.118023</v>
      </c>
      <c r="DC145">
        <v>0.14610899999999999</v>
      </c>
      <c r="DD145">
        <v>0.109113</v>
      </c>
      <c r="DE145">
        <v>6.0044500000000001E-2</v>
      </c>
      <c r="DF145">
        <v>32213.3</v>
      </c>
      <c r="DG145">
        <v>27534.5</v>
      </c>
      <c r="DH145">
        <v>31180.5</v>
      </c>
      <c r="DI145">
        <v>28097.8</v>
      </c>
      <c r="DJ145">
        <v>37714.800000000003</v>
      </c>
      <c r="DK145">
        <v>37561</v>
      </c>
      <c r="DL145">
        <v>44375.8</v>
      </c>
      <c r="DM145">
        <v>42591.7</v>
      </c>
      <c r="DN145">
        <v>1.4802200000000001</v>
      </c>
      <c r="DO145">
        <v>2.0423300000000002</v>
      </c>
      <c r="DP145">
        <v>0.133239</v>
      </c>
      <c r="DQ145">
        <v>0.183228</v>
      </c>
      <c r="DR145">
        <v>24.7879</v>
      </c>
      <c r="DS145">
        <v>24.5871</v>
      </c>
      <c r="DT145">
        <v>50.8</v>
      </c>
      <c r="DU145">
        <v>29.2</v>
      </c>
      <c r="DV145">
        <v>20.8706</v>
      </c>
      <c r="DW145">
        <v>61.889800000000001</v>
      </c>
      <c r="DX145">
        <v>35.761200000000002</v>
      </c>
      <c r="DY145">
        <v>1</v>
      </c>
      <c r="DZ145">
        <v>-9.23374E-2</v>
      </c>
      <c r="EA145">
        <v>0.17325399999999999</v>
      </c>
      <c r="EB145">
        <v>20.189399999999999</v>
      </c>
      <c r="EC145">
        <v>5.2408000000000001</v>
      </c>
      <c r="ED145">
        <v>12.039899999999999</v>
      </c>
      <c r="EE145">
        <v>5.01675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1.86893</v>
      </c>
      <c r="EL145">
        <v>1.8646199999999999</v>
      </c>
      <c r="EM145">
        <v>1.8692</v>
      </c>
      <c r="EN145">
        <v>1.8672200000000001</v>
      </c>
      <c r="EO145">
        <v>1.8633999999999999</v>
      </c>
      <c r="EP145">
        <v>1.8644799999999999</v>
      </c>
      <c r="EQ145">
        <v>1.8701399999999999</v>
      </c>
      <c r="ER145">
        <v>1.8694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-5.2999999999999999E-2</v>
      </c>
      <c r="FG145">
        <v>0.17860000000000001</v>
      </c>
      <c r="FH145">
        <v>0.3448811944559278</v>
      </c>
      <c r="FI145">
        <v>-6.1462078757559423E-4</v>
      </c>
      <c r="FJ145">
        <v>-1.8861989874597051E-7</v>
      </c>
      <c r="FK145">
        <v>1.1980462299894961E-10</v>
      </c>
      <c r="FL145">
        <v>0.17862261546663211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31.5</v>
      </c>
      <c r="FU145">
        <v>31.6</v>
      </c>
      <c r="FV145">
        <v>1.7761199999999999</v>
      </c>
      <c r="FW145">
        <v>2.5927699999999998</v>
      </c>
      <c r="FX145">
        <v>1.5490699999999999</v>
      </c>
      <c r="FY145">
        <v>2.3278799999999999</v>
      </c>
      <c r="FZ145">
        <v>1.50146</v>
      </c>
      <c r="GA145">
        <v>2.3095699999999999</v>
      </c>
      <c r="GB145">
        <v>33.941299999999998</v>
      </c>
      <c r="GC145">
        <v>23.982399999999998</v>
      </c>
      <c r="GD145">
        <v>19</v>
      </c>
      <c r="GE145">
        <v>284.75400000000002</v>
      </c>
      <c r="GF145">
        <v>588.56600000000003</v>
      </c>
      <c r="GG145">
        <v>23.739599999999999</v>
      </c>
      <c r="GH145">
        <v>26.220099999999999</v>
      </c>
      <c r="GI145">
        <v>29.999700000000001</v>
      </c>
      <c r="GJ145">
        <v>26.3858</v>
      </c>
      <c r="GK145">
        <v>26.380099999999999</v>
      </c>
      <c r="GL145">
        <v>35.504600000000003</v>
      </c>
      <c r="GM145">
        <v>53.174199999999999</v>
      </c>
      <c r="GN145">
        <v>72.047799999999995</v>
      </c>
      <c r="GO145">
        <v>23.756699999999999</v>
      </c>
      <c r="GP145">
        <v>800</v>
      </c>
      <c r="GQ145">
        <v>10.0715</v>
      </c>
      <c r="GR145">
        <v>99.768299999999996</v>
      </c>
      <c r="GS145">
        <v>99.631900000000002</v>
      </c>
    </row>
    <row r="146" spans="1:201" x14ac:dyDescent="0.25">
      <c r="A146">
        <v>130</v>
      </c>
      <c r="B146">
        <v>1690230985</v>
      </c>
      <c r="C146">
        <v>1479.900000095367</v>
      </c>
      <c r="D146" t="s">
        <v>593</v>
      </c>
      <c r="E146" t="s">
        <v>594</v>
      </c>
      <c r="F146" t="s">
        <v>330</v>
      </c>
      <c r="H146">
        <v>1690230985</v>
      </c>
      <c r="I146">
        <f t="shared" si="60"/>
        <v>1.2293666898702019E-3</v>
      </c>
      <c r="J146">
        <f t="shared" si="61"/>
        <v>1.229366689870202</v>
      </c>
      <c r="K146">
        <f t="shared" si="62"/>
        <v>20.147896659376077</v>
      </c>
      <c r="L146">
        <f t="shared" si="63"/>
        <v>581.197</v>
      </c>
      <c r="M146">
        <f t="shared" si="64"/>
        <v>175.10114845236029</v>
      </c>
      <c r="N146">
        <f t="shared" si="65"/>
        <v>17.35961012008654</v>
      </c>
      <c r="O146">
        <f t="shared" si="66"/>
        <v>57.620143626350597</v>
      </c>
      <c r="P146">
        <f t="shared" si="67"/>
        <v>8.2676851380491828E-2</v>
      </c>
      <c r="Q146">
        <f t="shared" si="68"/>
        <v>2.1795197982520156</v>
      </c>
      <c r="R146">
        <f t="shared" si="69"/>
        <v>8.0973236388464029E-2</v>
      </c>
      <c r="S146">
        <f t="shared" si="70"/>
        <v>5.0758411977072065E-2</v>
      </c>
      <c r="T146">
        <f t="shared" si="71"/>
        <v>276.11807700879456</v>
      </c>
      <c r="U146">
        <f t="shared" si="72"/>
        <v>27.571325517107802</v>
      </c>
      <c r="V146">
        <f t="shared" si="73"/>
        <v>27.571325517107802</v>
      </c>
      <c r="W146">
        <f t="shared" si="74"/>
        <v>3.7010331946876076</v>
      </c>
      <c r="X146">
        <f t="shared" si="75"/>
        <v>67.000828834601663</v>
      </c>
      <c r="Y146">
        <f t="shared" si="76"/>
        <v>2.2409513512652399</v>
      </c>
      <c r="Z146">
        <f t="shared" si="77"/>
        <v>3.3446621336539817</v>
      </c>
      <c r="AA146">
        <f t="shared" si="78"/>
        <v>1.4600818434223677</v>
      </c>
      <c r="AB146">
        <f t="shared" si="79"/>
        <v>-54.215071023275904</v>
      </c>
      <c r="AC146">
        <f t="shared" si="80"/>
        <v>-202.11865529024564</v>
      </c>
      <c r="AD146">
        <f t="shared" si="81"/>
        <v>-19.955819005262196</v>
      </c>
      <c r="AE146">
        <f t="shared" si="82"/>
        <v>-0.17146830998916585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52624.619930325032</v>
      </c>
      <c r="AK146">
        <f t="shared" si="86"/>
        <v>1800.01</v>
      </c>
      <c r="AL146">
        <f t="shared" si="87"/>
        <v>1499.12084320286</v>
      </c>
      <c r="AM146">
        <f t="shared" si="88"/>
        <v>0.83284028600000004</v>
      </c>
      <c r="AN146">
        <f t="shared" si="89"/>
        <v>0.15339807945999998</v>
      </c>
      <c r="AO146">
        <v>31.5</v>
      </c>
      <c r="AP146">
        <v>0.5</v>
      </c>
      <c r="AQ146" t="s">
        <v>331</v>
      </c>
      <c r="AR146">
        <v>2</v>
      </c>
      <c r="AS146">
        <v>1690230985</v>
      </c>
      <c r="AT146">
        <v>581.197</v>
      </c>
      <c r="AU146">
        <v>800.16899999999998</v>
      </c>
      <c r="AV146">
        <v>22.6038</v>
      </c>
      <c r="AW146">
        <v>9.9920200000000001</v>
      </c>
      <c r="AX146">
        <v>581.24900000000002</v>
      </c>
      <c r="AY146">
        <v>22.4252</v>
      </c>
      <c r="AZ146">
        <v>300.11399999999998</v>
      </c>
      <c r="BA146">
        <v>99.040599999999998</v>
      </c>
      <c r="BB146">
        <v>9.9869799999999995E-2</v>
      </c>
      <c r="BC146">
        <v>25.851199999999999</v>
      </c>
      <c r="BD146">
        <v>27.0137</v>
      </c>
      <c r="BE146">
        <v>27.592099999999999</v>
      </c>
      <c r="BF146">
        <v>0</v>
      </c>
      <c r="BG146">
        <v>0</v>
      </c>
      <c r="BH146">
        <v>10010.6</v>
      </c>
      <c r="BI146">
        <v>1062.8699999999999</v>
      </c>
      <c r="BJ146">
        <v>1.4226799999999999</v>
      </c>
      <c r="BK146">
        <v>-218.97300000000001</v>
      </c>
      <c r="BL146">
        <v>594.63800000000003</v>
      </c>
      <c r="BM146">
        <v>808.245</v>
      </c>
      <c r="BN146">
        <v>12.611800000000001</v>
      </c>
      <c r="BO146">
        <v>800.16899999999998</v>
      </c>
      <c r="BP146">
        <v>9.9920200000000001</v>
      </c>
      <c r="BQ146">
        <v>2.2386900000000001</v>
      </c>
      <c r="BR146">
        <v>0.98961500000000002</v>
      </c>
      <c r="BS146">
        <v>19.241900000000001</v>
      </c>
      <c r="BT146">
        <v>6.7643800000000001</v>
      </c>
      <c r="BU146">
        <v>1800.01</v>
      </c>
      <c r="BV146">
        <v>0.90998699999999999</v>
      </c>
      <c r="BW146">
        <v>3.3993500000000003E-2</v>
      </c>
      <c r="BX146">
        <v>2.2008799999999999E-2</v>
      </c>
      <c r="BY146">
        <v>3.4010800000000001E-2</v>
      </c>
      <c r="BZ146">
        <v>26</v>
      </c>
      <c r="CA146">
        <v>33528.400000000001</v>
      </c>
      <c r="CB146">
        <v>1690229084.0999999</v>
      </c>
      <c r="CC146" t="s">
        <v>332</v>
      </c>
      <c r="CD146">
        <v>1690229084.0999999</v>
      </c>
      <c r="CE146">
        <v>1690229076.5999999</v>
      </c>
      <c r="CF146">
        <v>13</v>
      </c>
      <c r="CG146">
        <v>0.23300000000000001</v>
      </c>
      <c r="CH146">
        <v>-0.13100000000000001</v>
      </c>
      <c r="CI146">
        <v>-0.20599999999999999</v>
      </c>
      <c r="CJ146">
        <v>8.7999999999999995E-2</v>
      </c>
      <c r="CK146">
        <v>799</v>
      </c>
      <c r="CL146">
        <v>16</v>
      </c>
      <c r="CM146">
        <v>0.04</v>
      </c>
      <c r="CN146">
        <v>0.04</v>
      </c>
      <c r="CO146">
        <v>-216.632125</v>
      </c>
      <c r="CP146">
        <v>-11.90858161350816</v>
      </c>
      <c r="CQ146">
        <v>1.146150212395826</v>
      </c>
      <c r="CR146">
        <v>-1</v>
      </c>
      <c r="CS146">
        <v>12.395417500000001</v>
      </c>
      <c r="CT146">
        <v>0.82745853658532875</v>
      </c>
      <c r="CU146">
        <v>8.2884048186306666E-2</v>
      </c>
      <c r="CV146">
        <v>-1</v>
      </c>
      <c r="CW146">
        <v>0</v>
      </c>
      <c r="CX146">
        <v>0</v>
      </c>
      <c r="CY146" t="s">
        <v>333</v>
      </c>
      <c r="CZ146">
        <v>2.3643700000000001</v>
      </c>
      <c r="DA146">
        <v>2.71367</v>
      </c>
      <c r="DB146">
        <v>0.117739</v>
      </c>
      <c r="DC146">
        <v>0.146122</v>
      </c>
      <c r="DD146">
        <v>0.109149</v>
      </c>
      <c r="DE146">
        <v>5.9087399999999998E-2</v>
      </c>
      <c r="DF146">
        <v>32223.5</v>
      </c>
      <c r="DG146">
        <v>27534.5</v>
      </c>
      <c r="DH146">
        <v>31180.3</v>
      </c>
      <c r="DI146">
        <v>28098.2</v>
      </c>
      <c r="DJ146">
        <v>37713</v>
      </c>
      <c r="DK146">
        <v>37599.599999999999</v>
      </c>
      <c r="DL146">
        <v>44375.6</v>
      </c>
      <c r="DM146">
        <v>42592.1</v>
      </c>
      <c r="DN146">
        <v>1.4797499999999999</v>
      </c>
      <c r="DO146">
        <v>2.04182</v>
      </c>
      <c r="DP146">
        <v>0.13581299999999999</v>
      </c>
      <c r="DQ146">
        <v>0.183392</v>
      </c>
      <c r="DR146">
        <v>24.788599999999999</v>
      </c>
      <c r="DS146">
        <v>24.5884</v>
      </c>
      <c r="DT146">
        <v>50.5</v>
      </c>
      <c r="DU146">
        <v>29.1</v>
      </c>
      <c r="DV146">
        <v>20.629100000000001</v>
      </c>
      <c r="DW146">
        <v>61.369799999999998</v>
      </c>
      <c r="DX146">
        <v>36.678699999999999</v>
      </c>
      <c r="DY146">
        <v>1</v>
      </c>
      <c r="DZ146">
        <v>-9.23958E-2</v>
      </c>
      <c r="EA146">
        <v>0.24943899999999999</v>
      </c>
      <c r="EB146">
        <v>20.189299999999999</v>
      </c>
      <c r="EC146">
        <v>5.2406499999999996</v>
      </c>
      <c r="ED146">
        <v>12.039899999999999</v>
      </c>
      <c r="EE146">
        <v>5.0168499999999998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1.8689199999999999</v>
      </c>
      <c r="EL146">
        <v>1.86463</v>
      </c>
      <c r="EM146">
        <v>1.8691899999999999</v>
      </c>
      <c r="EN146">
        <v>1.8672200000000001</v>
      </c>
      <c r="EO146">
        <v>1.8633999999999999</v>
      </c>
      <c r="EP146">
        <v>1.8644799999999999</v>
      </c>
      <c r="EQ146">
        <v>1.87012</v>
      </c>
      <c r="ER146">
        <v>1.86944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-5.1999999999999998E-2</v>
      </c>
      <c r="FG146">
        <v>0.17860000000000001</v>
      </c>
      <c r="FH146">
        <v>0.3448811944559278</v>
      </c>
      <c r="FI146">
        <v>-6.1462078757559423E-4</v>
      </c>
      <c r="FJ146">
        <v>-1.8861989874597051E-7</v>
      </c>
      <c r="FK146">
        <v>1.1980462299894961E-10</v>
      </c>
      <c r="FL146">
        <v>0.17862261546663211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31.7</v>
      </c>
      <c r="FU146">
        <v>31.8</v>
      </c>
      <c r="FV146">
        <v>1.7748999999999999</v>
      </c>
      <c r="FW146">
        <v>2.5854499999999998</v>
      </c>
      <c r="FX146">
        <v>1.5490699999999999</v>
      </c>
      <c r="FY146">
        <v>2.3278799999999999</v>
      </c>
      <c r="FZ146">
        <v>1.50146</v>
      </c>
      <c r="GA146">
        <v>2.3718300000000001</v>
      </c>
      <c r="GB146">
        <v>33.941299999999998</v>
      </c>
      <c r="GC146">
        <v>23.982399999999998</v>
      </c>
      <c r="GD146">
        <v>19</v>
      </c>
      <c r="GE146">
        <v>284.53199999999998</v>
      </c>
      <c r="GF146">
        <v>588.1</v>
      </c>
      <c r="GG146">
        <v>23.771899999999999</v>
      </c>
      <c r="GH146">
        <v>26.216200000000001</v>
      </c>
      <c r="GI146">
        <v>30.0001</v>
      </c>
      <c r="GJ146">
        <v>26.381599999999999</v>
      </c>
      <c r="GK146">
        <v>26.375699999999998</v>
      </c>
      <c r="GL146">
        <v>35.4953</v>
      </c>
      <c r="GM146">
        <v>53.47</v>
      </c>
      <c r="GN146">
        <v>71.270899999999997</v>
      </c>
      <c r="GO146">
        <v>23.701799999999999</v>
      </c>
      <c r="GP146">
        <v>800</v>
      </c>
      <c r="GQ146">
        <v>10.0259</v>
      </c>
      <c r="GR146">
        <v>99.767799999999994</v>
      </c>
      <c r="GS146">
        <v>99.632999999999996</v>
      </c>
    </row>
    <row r="147" spans="1:201" x14ac:dyDescent="0.25">
      <c r="A147">
        <v>131</v>
      </c>
      <c r="B147">
        <v>1690230995</v>
      </c>
      <c r="C147">
        <v>1489.900000095367</v>
      </c>
      <c r="D147" t="s">
        <v>595</v>
      </c>
      <c r="E147" t="s">
        <v>596</v>
      </c>
      <c r="F147" t="s">
        <v>330</v>
      </c>
      <c r="H147">
        <v>1690230995</v>
      </c>
      <c r="I147">
        <f t="shared" si="60"/>
        <v>1.2314708051335453E-3</v>
      </c>
      <c r="J147">
        <f t="shared" si="61"/>
        <v>1.2314708051335452</v>
      </c>
      <c r="K147">
        <f t="shared" si="62"/>
        <v>20.31615344938092</v>
      </c>
      <c r="L147">
        <f t="shared" si="63"/>
        <v>579.31200000000001</v>
      </c>
      <c r="M147">
        <f t="shared" si="64"/>
        <v>169.84615891959027</v>
      </c>
      <c r="N147">
        <f t="shared" si="65"/>
        <v>16.839397290205849</v>
      </c>
      <c r="O147">
        <f t="shared" si="66"/>
        <v>57.435887776550402</v>
      </c>
      <c r="P147">
        <f t="shared" si="67"/>
        <v>8.2652814713486567E-2</v>
      </c>
      <c r="Q147">
        <f t="shared" si="68"/>
        <v>2.1767718207410023</v>
      </c>
      <c r="R147">
        <f t="shared" si="69"/>
        <v>8.0948077521165562E-2</v>
      </c>
      <c r="S147">
        <f t="shared" si="70"/>
        <v>5.074278380615696E-2</v>
      </c>
      <c r="T147">
        <f t="shared" si="71"/>
        <v>276.11663146199999</v>
      </c>
      <c r="U147">
        <f t="shared" si="72"/>
        <v>27.579061828434554</v>
      </c>
      <c r="V147">
        <f t="shared" si="73"/>
        <v>27.579061828434554</v>
      </c>
      <c r="W147">
        <f t="shared" si="74"/>
        <v>3.7027080259367664</v>
      </c>
      <c r="X147">
        <f t="shared" si="75"/>
        <v>66.934833497440138</v>
      </c>
      <c r="Y147">
        <f t="shared" si="76"/>
        <v>2.2396062159286401</v>
      </c>
      <c r="Z147">
        <f t="shared" si="77"/>
        <v>3.3459502308529561</v>
      </c>
      <c r="AA147">
        <f t="shared" si="78"/>
        <v>1.4631018100081263</v>
      </c>
      <c r="AB147">
        <f t="shared" si="79"/>
        <v>-54.307862506389348</v>
      </c>
      <c r="AC147">
        <f t="shared" si="80"/>
        <v>-202.00890670843299</v>
      </c>
      <c r="AD147">
        <f t="shared" si="81"/>
        <v>-19.971585054156179</v>
      </c>
      <c r="AE147">
        <f t="shared" si="82"/>
        <v>-0.17172280697855058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52509.38450822264</v>
      </c>
      <c r="AK147">
        <f t="shared" si="86"/>
        <v>1800</v>
      </c>
      <c r="AL147">
        <f t="shared" si="87"/>
        <v>1499.1132132</v>
      </c>
      <c r="AM147">
        <f t="shared" si="88"/>
        <v>0.83284067399999995</v>
      </c>
      <c r="AN147">
        <f t="shared" si="89"/>
        <v>0.15339812858999999</v>
      </c>
      <c r="AO147">
        <v>31.5</v>
      </c>
      <c r="AP147">
        <v>0.5</v>
      </c>
      <c r="AQ147" t="s">
        <v>331</v>
      </c>
      <c r="AR147">
        <v>2</v>
      </c>
      <c r="AS147">
        <v>1690230995</v>
      </c>
      <c r="AT147">
        <v>579.31200000000001</v>
      </c>
      <c r="AU147">
        <v>800.05100000000004</v>
      </c>
      <c r="AV147">
        <v>22.589200000000002</v>
      </c>
      <c r="AW147">
        <v>9.9549299999999992</v>
      </c>
      <c r="AX147">
        <v>579.36300000000006</v>
      </c>
      <c r="AY147">
        <v>22.410599999999999</v>
      </c>
      <c r="AZ147">
        <v>300.09699999999998</v>
      </c>
      <c r="BA147">
        <v>99.045100000000005</v>
      </c>
      <c r="BB147">
        <v>9.9899199999999994E-2</v>
      </c>
      <c r="BC147">
        <v>25.857700000000001</v>
      </c>
      <c r="BD147">
        <v>26.9664</v>
      </c>
      <c r="BE147">
        <v>27.590800000000002</v>
      </c>
      <c r="BF147">
        <v>0</v>
      </c>
      <c r="BG147">
        <v>0</v>
      </c>
      <c r="BH147">
        <v>9987.5</v>
      </c>
      <c r="BI147">
        <v>1062.99</v>
      </c>
      <c r="BJ147">
        <v>1.4577199999999999</v>
      </c>
      <c r="BK147">
        <v>-220.739</v>
      </c>
      <c r="BL147">
        <v>592.70000000000005</v>
      </c>
      <c r="BM147">
        <v>808.09500000000003</v>
      </c>
      <c r="BN147">
        <v>12.6343</v>
      </c>
      <c r="BO147">
        <v>800.05100000000004</v>
      </c>
      <c r="BP147">
        <v>9.9549299999999992</v>
      </c>
      <c r="BQ147">
        <v>2.2373500000000002</v>
      </c>
      <c r="BR147">
        <v>0.98598699999999995</v>
      </c>
      <c r="BS147">
        <v>19.232299999999999</v>
      </c>
      <c r="BT147">
        <v>6.7109399999999999</v>
      </c>
      <c r="BU147">
        <v>1800</v>
      </c>
      <c r="BV147">
        <v>0.90998800000000002</v>
      </c>
      <c r="BW147">
        <v>3.3993299999999997E-2</v>
      </c>
      <c r="BX147">
        <v>2.2008699999999999E-2</v>
      </c>
      <c r="BY147">
        <v>3.4010499999999999E-2</v>
      </c>
      <c r="BZ147">
        <v>26</v>
      </c>
      <c r="CA147">
        <v>33528.300000000003</v>
      </c>
      <c r="CB147">
        <v>1690229084.0999999</v>
      </c>
      <c r="CC147" t="s">
        <v>332</v>
      </c>
      <c r="CD147">
        <v>1690229084.0999999</v>
      </c>
      <c r="CE147">
        <v>1690229076.5999999</v>
      </c>
      <c r="CF147">
        <v>13</v>
      </c>
      <c r="CG147">
        <v>0.23300000000000001</v>
      </c>
      <c r="CH147">
        <v>-0.13100000000000001</v>
      </c>
      <c r="CI147">
        <v>-0.20599999999999999</v>
      </c>
      <c r="CJ147">
        <v>8.7999999999999995E-2</v>
      </c>
      <c r="CK147">
        <v>799</v>
      </c>
      <c r="CL147">
        <v>16</v>
      </c>
      <c r="CM147">
        <v>0.04</v>
      </c>
      <c r="CN147">
        <v>0.04</v>
      </c>
      <c r="CO147">
        <v>-218.60582500000001</v>
      </c>
      <c r="CP147">
        <v>-11.56087429643526</v>
      </c>
      <c r="CQ147">
        <v>1.1138699405114589</v>
      </c>
      <c r="CR147">
        <v>-1</v>
      </c>
      <c r="CS147">
        <v>12.540509999999999</v>
      </c>
      <c r="CT147">
        <v>0.87626791744836396</v>
      </c>
      <c r="CU147">
        <v>9.0438503415304294E-2</v>
      </c>
      <c r="CV147">
        <v>-1</v>
      </c>
      <c r="CW147">
        <v>0</v>
      </c>
      <c r="CX147">
        <v>0</v>
      </c>
      <c r="CY147" t="s">
        <v>333</v>
      </c>
      <c r="CZ147">
        <v>2.36436</v>
      </c>
      <c r="DA147">
        <v>2.7136800000000001</v>
      </c>
      <c r="DB147">
        <v>0.117474</v>
      </c>
      <c r="DC147">
        <v>0.14611499999999999</v>
      </c>
      <c r="DD147">
        <v>0.10910499999999999</v>
      </c>
      <c r="DE147">
        <v>5.89217E-2</v>
      </c>
      <c r="DF147">
        <v>32233.1</v>
      </c>
      <c r="DG147">
        <v>27534.7</v>
      </c>
      <c r="DH147">
        <v>31180.2</v>
      </c>
      <c r="DI147">
        <v>28098.1</v>
      </c>
      <c r="DJ147">
        <v>37715</v>
      </c>
      <c r="DK147">
        <v>37606.300000000003</v>
      </c>
      <c r="DL147">
        <v>44375.7</v>
      </c>
      <c r="DM147">
        <v>42592.1</v>
      </c>
      <c r="DN147">
        <v>1.4804299999999999</v>
      </c>
      <c r="DO147">
        <v>2.0424199999999999</v>
      </c>
      <c r="DP147">
        <v>0.133045</v>
      </c>
      <c r="DQ147">
        <v>0.18326899999999999</v>
      </c>
      <c r="DR147">
        <v>24.7866</v>
      </c>
      <c r="DS147">
        <v>24.589099999999998</v>
      </c>
      <c r="DT147">
        <v>50.3</v>
      </c>
      <c r="DU147">
        <v>29.2</v>
      </c>
      <c r="DV147">
        <v>20.663399999999999</v>
      </c>
      <c r="DW147">
        <v>61.779800000000002</v>
      </c>
      <c r="DX147">
        <v>36.915100000000002</v>
      </c>
      <c r="DY147">
        <v>1</v>
      </c>
      <c r="DZ147">
        <v>-9.2271300000000001E-2</v>
      </c>
      <c r="EA147">
        <v>0.44378800000000002</v>
      </c>
      <c r="EB147">
        <v>20.188600000000001</v>
      </c>
      <c r="EC147">
        <v>5.2398999999999996</v>
      </c>
      <c r="ED147">
        <v>12.039899999999999</v>
      </c>
      <c r="EE147">
        <v>5.0169499999999996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1.8691800000000001</v>
      </c>
      <c r="EN147">
        <v>1.8672299999999999</v>
      </c>
      <c r="EO147">
        <v>1.8633900000000001</v>
      </c>
      <c r="EP147">
        <v>1.8644799999999999</v>
      </c>
      <c r="EQ147">
        <v>1.8701399999999999</v>
      </c>
      <c r="ER147">
        <v>1.8694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-5.0999999999999997E-2</v>
      </c>
      <c r="FG147">
        <v>0.17860000000000001</v>
      </c>
      <c r="FH147">
        <v>0.3448811944559278</v>
      </c>
      <c r="FI147">
        <v>-6.1462078757559423E-4</v>
      </c>
      <c r="FJ147">
        <v>-1.8861989874597051E-7</v>
      </c>
      <c r="FK147">
        <v>1.1980462299894961E-10</v>
      </c>
      <c r="FL147">
        <v>0.17862261546663211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31.8</v>
      </c>
      <c r="FU147">
        <v>32</v>
      </c>
      <c r="FV147">
        <v>1.7748999999999999</v>
      </c>
      <c r="FW147">
        <v>2.5842299999999998</v>
      </c>
      <c r="FX147">
        <v>1.5490699999999999</v>
      </c>
      <c r="FY147">
        <v>2.3278799999999999</v>
      </c>
      <c r="FZ147">
        <v>1.50146</v>
      </c>
      <c r="GA147">
        <v>2.3901400000000002</v>
      </c>
      <c r="GB147">
        <v>33.941299999999998</v>
      </c>
      <c r="GC147">
        <v>23.982399999999998</v>
      </c>
      <c r="GD147">
        <v>19</v>
      </c>
      <c r="GE147">
        <v>284.80200000000002</v>
      </c>
      <c r="GF147">
        <v>588.55799999999999</v>
      </c>
      <c r="GG147">
        <v>23.696899999999999</v>
      </c>
      <c r="GH147">
        <v>26.212399999999999</v>
      </c>
      <c r="GI147">
        <v>30.0002</v>
      </c>
      <c r="GJ147">
        <v>26.377199999999998</v>
      </c>
      <c r="GK147">
        <v>26.3721</v>
      </c>
      <c r="GL147">
        <v>35.490699999999997</v>
      </c>
      <c r="GM147">
        <v>53.47</v>
      </c>
      <c r="GN147">
        <v>70.881399999999999</v>
      </c>
      <c r="GO147">
        <v>23.699300000000001</v>
      </c>
      <c r="GP147">
        <v>800</v>
      </c>
      <c r="GQ147">
        <v>9.9203700000000001</v>
      </c>
      <c r="GR147">
        <v>99.767799999999994</v>
      </c>
      <c r="GS147">
        <v>99.632999999999996</v>
      </c>
    </row>
    <row r="148" spans="1:201" x14ac:dyDescent="0.25">
      <c r="A148">
        <v>132</v>
      </c>
      <c r="B148">
        <v>1690231005</v>
      </c>
      <c r="C148">
        <v>1499.900000095367</v>
      </c>
      <c r="D148" t="s">
        <v>597</v>
      </c>
      <c r="E148" t="s">
        <v>598</v>
      </c>
      <c r="F148" t="s">
        <v>330</v>
      </c>
      <c r="H148">
        <v>1690231005</v>
      </c>
      <c r="I148">
        <f t="shared" si="60"/>
        <v>1.2415366829409901E-3</v>
      </c>
      <c r="J148">
        <f t="shared" si="61"/>
        <v>1.2415366829409902</v>
      </c>
      <c r="K148">
        <f t="shared" si="62"/>
        <v>20.512814374240506</v>
      </c>
      <c r="L148">
        <f t="shared" si="63"/>
        <v>577.33199999999999</v>
      </c>
      <c r="M148">
        <f t="shared" si="64"/>
        <v>167.79888239403641</v>
      </c>
      <c r="N148">
        <f t="shared" si="65"/>
        <v>16.635291965611188</v>
      </c>
      <c r="O148">
        <f t="shared" si="66"/>
        <v>57.235699332831601</v>
      </c>
      <c r="P148">
        <f t="shared" si="67"/>
        <v>8.3442089385806356E-2</v>
      </c>
      <c r="Q148">
        <f t="shared" si="68"/>
        <v>2.174561172604383</v>
      </c>
      <c r="R148">
        <f t="shared" si="69"/>
        <v>8.1703281152211857E-2</v>
      </c>
      <c r="S148">
        <f t="shared" si="70"/>
        <v>5.1217757818707993E-2</v>
      </c>
      <c r="T148">
        <f t="shared" si="71"/>
        <v>276.11639677800002</v>
      </c>
      <c r="U148">
        <f t="shared" si="72"/>
        <v>27.569816847476446</v>
      </c>
      <c r="V148">
        <f t="shared" si="73"/>
        <v>27.569816847476446</v>
      </c>
      <c r="W148">
        <f t="shared" si="74"/>
        <v>3.700706660385642</v>
      </c>
      <c r="X148">
        <f t="shared" si="75"/>
        <v>66.956973028740279</v>
      </c>
      <c r="Y148">
        <f t="shared" si="76"/>
        <v>2.2393651265472898</v>
      </c>
      <c r="Z148">
        <f t="shared" si="77"/>
        <v>3.3444838158769148</v>
      </c>
      <c r="AA148">
        <f t="shared" si="78"/>
        <v>1.4613415338383522</v>
      </c>
      <c r="AB148">
        <f t="shared" si="79"/>
        <v>-54.751767717697668</v>
      </c>
      <c r="AC148">
        <f t="shared" si="80"/>
        <v>-201.5874577743638</v>
      </c>
      <c r="AD148">
        <f t="shared" si="81"/>
        <v>-19.94851700614835</v>
      </c>
      <c r="AE148">
        <f t="shared" si="82"/>
        <v>-0.17134572020978567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52418.787298669566</v>
      </c>
      <c r="AK148">
        <f t="shared" si="86"/>
        <v>1800</v>
      </c>
      <c r="AL148">
        <f t="shared" si="87"/>
        <v>1499.1125328000001</v>
      </c>
      <c r="AM148">
        <f t="shared" si="88"/>
        <v>0.83284029600000009</v>
      </c>
      <c r="AN148">
        <f t="shared" si="89"/>
        <v>0.15339799821000002</v>
      </c>
      <c r="AO148">
        <v>31.5</v>
      </c>
      <c r="AP148">
        <v>0.5</v>
      </c>
      <c r="AQ148" t="s">
        <v>331</v>
      </c>
      <c r="AR148">
        <v>2</v>
      </c>
      <c r="AS148">
        <v>1690231005</v>
      </c>
      <c r="AT148">
        <v>577.33199999999999</v>
      </c>
      <c r="AU148">
        <v>800.11500000000001</v>
      </c>
      <c r="AV148">
        <v>22.5883</v>
      </c>
      <c r="AW148">
        <v>9.8539300000000001</v>
      </c>
      <c r="AX148">
        <v>577.38099999999997</v>
      </c>
      <c r="AY148">
        <v>22.409700000000001</v>
      </c>
      <c r="AZ148">
        <v>300.17200000000003</v>
      </c>
      <c r="BA148">
        <v>99.038300000000007</v>
      </c>
      <c r="BB148">
        <v>9.9976300000000004E-2</v>
      </c>
      <c r="BC148">
        <v>25.850300000000001</v>
      </c>
      <c r="BD148">
        <v>26.9572</v>
      </c>
      <c r="BE148">
        <v>27.590399999999999</v>
      </c>
      <c r="BF148">
        <v>0</v>
      </c>
      <c r="BG148">
        <v>0</v>
      </c>
      <c r="BH148">
        <v>9970</v>
      </c>
      <c r="BI148">
        <v>1063.1099999999999</v>
      </c>
      <c r="BJ148">
        <v>1.4577199999999999</v>
      </c>
      <c r="BK148">
        <v>-222.78299999999999</v>
      </c>
      <c r="BL148">
        <v>590.67399999999998</v>
      </c>
      <c r="BM148">
        <v>808.077</v>
      </c>
      <c r="BN148">
        <v>12.734400000000001</v>
      </c>
      <c r="BO148">
        <v>800.11500000000001</v>
      </c>
      <c r="BP148">
        <v>9.8539300000000001</v>
      </c>
      <c r="BQ148">
        <v>2.2371099999999999</v>
      </c>
      <c r="BR148">
        <v>0.97591600000000001</v>
      </c>
      <c r="BS148">
        <v>19.230499999999999</v>
      </c>
      <c r="BT148">
        <v>6.5617000000000001</v>
      </c>
      <c r="BU148">
        <v>1800</v>
      </c>
      <c r="BV148">
        <v>0.90998900000000005</v>
      </c>
      <c r="BW148">
        <v>3.3992700000000001E-2</v>
      </c>
      <c r="BX148">
        <v>2.2008300000000001E-2</v>
      </c>
      <c r="BY148">
        <v>3.4009900000000003E-2</v>
      </c>
      <c r="BZ148">
        <v>26</v>
      </c>
      <c r="CA148">
        <v>33528.199999999997</v>
      </c>
      <c r="CB148">
        <v>1690229084.0999999</v>
      </c>
      <c r="CC148" t="s">
        <v>332</v>
      </c>
      <c r="CD148">
        <v>1690229084.0999999</v>
      </c>
      <c r="CE148">
        <v>1690229076.5999999</v>
      </c>
      <c r="CF148">
        <v>13</v>
      </c>
      <c r="CG148">
        <v>0.23300000000000001</v>
      </c>
      <c r="CH148">
        <v>-0.13100000000000001</v>
      </c>
      <c r="CI148">
        <v>-0.20599999999999999</v>
      </c>
      <c r="CJ148">
        <v>8.7999999999999995E-2</v>
      </c>
      <c r="CK148">
        <v>799</v>
      </c>
      <c r="CL148">
        <v>16</v>
      </c>
      <c r="CM148">
        <v>0.04</v>
      </c>
      <c r="CN148">
        <v>0.04</v>
      </c>
      <c r="CO148">
        <v>-220.5489024390244</v>
      </c>
      <c r="CP148">
        <v>-10.929428571429289</v>
      </c>
      <c r="CQ148">
        <v>1.080179452229324</v>
      </c>
      <c r="CR148">
        <v>-1</v>
      </c>
      <c r="CS148">
        <v>12.644390243902439</v>
      </c>
      <c r="CT148">
        <v>0.30741533101047952</v>
      </c>
      <c r="CU148">
        <v>3.2998963803968558E-2</v>
      </c>
      <c r="CV148">
        <v>-1</v>
      </c>
      <c r="CW148">
        <v>0</v>
      </c>
      <c r="CX148">
        <v>0</v>
      </c>
      <c r="CY148" t="s">
        <v>333</v>
      </c>
      <c r="CZ148">
        <v>2.3645999999999998</v>
      </c>
      <c r="DA148">
        <v>2.71374</v>
      </c>
      <c r="DB148">
        <v>0.11718199999999999</v>
      </c>
      <c r="DC148">
        <v>0.14611199999999999</v>
      </c>
      <c r="DD148">
        <v>0.109096</v>
      </c>
      <c r="DE148">
        <v>5.8457599999999998E-2</v>
      </c>
      <c r="DF148">
        <v>32243.8</v>
      </c>
      <c r="DG148">
        <v>27535</v>
      </c>
      <c r="DH148">
        <v>31180.2</v>
      </c>
      <c r="DI148">
        <v>28098.3</v>
      </c>
      <c r="DJ148">
        <v>37715.300000000003</v>
      </c>
      <c r="DK148">
        <v>37625</v>
      </c>
      <c r="DL148">
        <v>44375.7</v>
      </c>
      <c r="DM148">
        <v>42592.3</v>
      </c>
      <c r="DN148">
        <v>1.4803500000000001</v>
      </c>
      <c r="DO148">
        <v>2.04217</v>
      </c>
      <c r="DP148">
        <v>0.132464</v>
      </c>
      <c r="DQ148">
        <v>0.183117</v>
      </c>
      <c r="DR148">
        <v>24.786799999999999</v>
      </c>
      <c r="DS148">
        <v>24.591200000000001</v>
      </c>
      <c r="DT148">
        <v>50</v>
      </c>
      <c r="DU148">
        <v>29.1</v>
      </c>
      <c r="DV148">
        <v>20.420300000000001</v>
      </c>
      <c r="DW148">
        <v>61.889800000000001</v>
      </c>
      <c r="DX148">
        <v>35.861400000000003</v>
      </c>
      <c r="DY148">
        <v>1</v>
      </c>
      <c r="DZ148">
        <v>-9.2774400000000007E-2</v>
      </c>
      <c r="EA148">
        <v>0.24089099999999999</v>
      </c>
      <c r="EB148">
        <v>20.1891</v>
      </c>
      <c r="EC148">
        <v>5.24125</v>
      </c>
      <c r="ED148">
        <v>12.039899999999999</v>
      </c>
      <c r="EE148">
        <v>5.0168999999999997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1.86463</v>
      </c>
      <c r="EM148">
        <v>1.8691899999999999</v>
      </c>
      <c r="EN148">
        <v>1.8672299999999999</v>
      </c>
      <c r="EO148">
        <v>1.8633999999999999</v>
      </c>
      <c r="EP148">
        <v>1.8644700000000001</v>
      </c>
      <c r="EQ148">
        <v>1.8701399999999999</v>
      </c>
      <c r="ER148">
        <v>1.86941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-4.9000000000000002E-2</v>
      </c>
      <c r="FG148">
        <v>0.17860000000000001</v>
      </c>
      <c r="FH148">
        <v>0.3448811944559278</v>
      </c>
      <c r="FI148">
        <v>-6.1462078757559423E-4</v>
      </c>
      <c r="FJ148">
        <v>-1.8861989874597051E-7</v>
      </c>
      <c r="FK148">
        <v>1.1980462299894961E-10</v>
      </c>
      <c r="FL148">
        <v>0.17862261546663211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32</v>
      </c>
      <c r="FU148">
        <v>32.1</v>
      </c>
      <c r="FV148">
        <v>1.7748999999999999</v>
      </c>
      <c r="FW148">
        <v>2.5939899999999998</v>
      </c>
      <c r="FX148">
        <v>1.5490699999999999</v>
      </c>
      <c r="FY148">
        <v>2.3278799999999999</v>
      </c>
      <c r="FZ148">
        <v>1.50146</v>
      </c>
      <c r="GA148">
        <v>2.2912599999999999</v>
      </c>
      <c r="GB148">
        <v>33.918700000000001</v>
      </c>
      <c r="GC148">
        <v>23.973700000000001</v>
      </c>
      <c r="GD148">
        <v>19</v>
      </c>
      <c r="GE148">
        <v>284.75200000000001</v>
      </c>
      <c r="GF148">
        <v>588.29999999999995</v>
      </c>
      <c r="GG148">
        <v>23.709599999999998</v>
      </c>
      <c r="GH148">
        <v>26.207999999999998</v>
      </c>
      <c r="GI148">
        <v>29.999700000000001</v>
      </c>
      <c r="GJ148">
        <v>26.3733</v>
      </c>
      <c r="GK148">
        <v>26.367699999999999</v>
      </c>
      <c r="GL148">
        <v>35.491500000000002</v>
      </c>
      <c r="GM148">
        <v>53.47</v>
      </c>
      <c r="GN148">
        <v>70.098399999999998</v>
      </c>
      <c r="GO148">
        <v>23.757100000000001</v>
      </c>
      <c r="GP148">
        <v>800</v>
      </c>
      <c r="GQ148">
        <v>9.8030399999999993</v>
      </c>
      <c r="GR148">
        <v>99.767700000000005</v>
      </c>
      <c r="GS148">
        <v>99.633499999999998</v>
      </c>
    </row>
    <row r="149" spans="1:201" x14ac:dyDescent="0.25">
      <c r="A149">
        <v>133</v>
      </c>
      <c r="B149">
        <v>1690231015</v>
      </c>
      <c r="C149">
        <v>1509.900000095367</v>
      </c>
      <c r="D149" t="s">
        <v>599</v>
      </c>
      <c r="E149" t="s">
        <v>600</v>
      </c>
      <c r="F149" t="s">
        <v>330</v>
      </c>
      <c r="H149">
        <v>1690231015</v>
      </c>
      <c r="I149">
        <f t="shared" si="60"/>
        <v>1.2507262994167661E-3</v>
      </c>
      <c r="J149">
        <f t="shared" si="61"/>
        <v>1.2507262994167661</v>
      </c>
      <c r="K149">
        <f t="shared" si="62"/>
        <v>20.668512204988549</v>
      </c>
      <c r="L149">
        <f t="shared" si="63"/>
        <v>575.48800000000006</v>
      </c>
      <c r="M149">
        <f t="shared" si="64"/>
        <v>166.07952395847411</v>
      </c>
      <c r="N149">
        <f t="shared" si="65"/>
        <v>16.464873557320992</v>
      </c>
      <c r="O149">
        <f t="shared" si="66"/>
        <v>57.053012484096008</v>
      </c>
      <c r="P149">
        <f t="shared" si="67"/>
        <v>8.4102982151714994E-2</v>
      </c>
      <c r="Q149">
        <f t="shared" si="68"/>
        <v>2.1756277085474269</v>
      </c>
      <c r="R149">
        <f t="shared" si="69"/>
        <v>8.2337681142463773E-2</v>
      </c>
      <c r="S149">
        <f t="shared" si="70"/>
        <v>5.1616569866397288E-2</v>
      </c>
      <c r="T149">
        <f t="shared" si="71"/>
        <v>276.11629873200002</v>
      </c>
      <c r="U149">
        <f t="shared" si="72"/>
        <v>27.575786604475827</v>
      </c>
      <c r="V149">
        <f t="shared" si="73"/>
        <v>27.575786604475827</v>
      </c>
      <c r="W149">
        <f t="shared" si="74"/>
        <v>3.7019988931690992</v>
      </c>
      <c r="X149">
        <f t="shared" si="75"/>
        <v>66.972669398437148</v>
      </c>
      <c r="Y149">
        <f t="shared" si="76"/>
        <v>2.2412040609455999</v>
      </c>
      <c r="Z149">
        <f t="shared" si="77"/>
        <v>3.3464457682164599</v>
      </c>
      <c r="AA149">
        <f t="shared" si="78"/>
        <v>1.4607948322234994</v>
      </c>
      <c r="AB149">
        <f t="shared" si="79"/>
        <v>-55.157029804279382</v>
      </c>
      <c r="AC149">
        <f t="shared" si="80"/>
        <v>-201.22534062568823</v>
      </c>
      <c r="AD149">
        <f t="shared" si="81"/>
        <v>-19.904501423869117</v>
      </c>
      <c r="AE149">
        <f t="shared" si="82"/>
        <v>-0.17057312183672479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52461.307135723851</v>
      </c>
      <c r="AK149">
        <f t="shared" si="86"/>
        <v>1800</v>
      </c>
      <c r="AL149">
        <f t="shared" si="87"/>
        <v>1499.1121152000003</v>
      </c>
      <c r="AM149">
        <f t="shared" si="88"/>
        <v>0.8328400640000001</v>
      </c>
      <c r="AN149">
        <f t="shared" si="89"/>
        <v>0.15339794374000001</v>
      </c>
      <c r="AO149">
        <v>31.5</v>
      </c>
      <c r="AP149">
        <v>0.5</v>
      </c>
      <c r="AQ149" t="s">
        <v>331</v>
      </c>
      <c r="AR149">
        <v>2</v>
      </c>
      <c r="AS149">
        <v>1690231015</v>
      </c>
      <c r="AT149">
        <v>575.48800000000006</v>
      </c>
      <c r="AU149">
        <v>799.976</v>
      </c>
      <c r="AV149">
        <v>22.6068</v>
      </c>
      <c r="AW149">
        <v>9.7761499999999995</v>
      </c>
      <c r="AX149">
        <v>575.53599999999994</v>
      </c>
      <c r="AY149">
        <v>22.4282</v>
      </c>
      <c r="AZ149">
        <v>300.11900000000003</v>
      </c>
      <c r="BA149">
        <v>99.038499999999999</v>
      </c>
      <c r="BB149">
        <v>9.9991999999999998E-2</v>
      </c>
      <c r="BC149">
        <v>25.860199999999999</v>
      </c>
      <c r="BD149">
        <v>26.9664</v>
      </c>
      <c r="BE149">
        <v>27.587299999999999</v>
      </c>
      <c r="BF149">
        <v>0</v>
      </c>
      <c r="BG149">
        <v>0</v>
      </c>
      <c r="BH149">
        <v>9978.75</v>
      </c>
      <c r="BI149">
        <v>1063.17</v>
      </c>
      <c r="BJ149">
        <v>1.4577199999999999</v>
      </c>
      <c r="BK149">
        <v>-224.488</v>
      </c>
      <c r="BL149">
        <v>588.79899999999998</v>
      </c>
      <c r="BM149">
        <v>807.87400000000002</v>
      </c>
      <c r="BN149">
        <v>12.8306</v>
      </c>
      <c r="BO149">
        <v>799.976</v>
      </c>
      <c r="BP149">
        <v>9.7761499999999995</v>
      </c>
      <c r="BQ149">
        <v>2.2389399999999999</v>
      </c>
      <c r="BR149">
        <v>0.96821500000000005</v>
      </c>
      <c r="BS149">
        <v>19.2437</v>
      </c>
      <c r="BT149">
        <v>6.4466599999999996</v>
      </c>
      <c r="BU149">
        <v>1800</v>
      </c>
      <c r="BV149">
        <v>0.90998900000000005</v>
      </c>
      <c r="BW149">
        <v>3.3992599999999998E-2</v>
      </c>
      <c r="BX149">
        <v>2.2008199999999999E-2</v>
      </c>
      <c r="BY149">
        <v>3.40098E-2</v>
      </c>
      <c r="BZ149">
        <v>26</v>
      </c>
      <c r="CA149">
        <v>33528.199999999997</v>
      </c>
      <c r="CB149">
        <v>1690229084.0999999</v>
      </c>
      <c r="CC149" t="s">
        <v>332</v>
      </c>
      <c r="CD149">
        <v>1690229084.0999999</v>
      </c>
      <c r="CE149">
        <v>1690229076.5999999</v>
      </c>
      <c r="CF149">
        <v>13</v>
      </c>
      <c r="CG149">
        <v>0.23300000000000001</v>
      </c>
      <c r="CH149">
        <v>-0.13100000000000001</v>
      </c>
      <c r="CI149">
        <v>-0.20599999999999999</v>
      </c>
      <c r="CJ149">
        <v>8.7999999999999995E-2</v>
      </c>
      <c r="CK149">
        <v>799</v>
      </c>
      <c r="CL149">
        <v>16</v>
      </c>
      <c r="CM149">
        <v>0.04</v>
      </c>
      <c r="CN149">
        <v>0.04</v>
      </c>
      <c r="CO149">
        <v>-222.3869</v>
      </c>
      <c r="CP149">
        <v>-11.460720450281361</v>
      </c>
      <c r="CQ149">
        <v>1.105625248445423</v>
      </c>
      <c r="CR149">
        <v>-1</v>
      </c>
      <c r="CS149">
        <v>12.711327499999999</v>
      </c>
      <c r="CT149">
        <v>0.51972945590992281</v>
      </c>
      <c r="CU149">
        <v>5.0448770983543403E-2</v>
      </c>
      <c r="CV149">
        <v>-1</v>
      </c>
      <c r="CW149">
        <v>0</v>
      </c>
      <c r="CX149">
        <v>0</v>
      </c>
      <c r="CY149" t="s">
        <v>333</v>
      </c>
      <c r="CZ149">
        <v>2.3644400000000001</v>
      </c>
      <c r="DA149">
        <v>2.7137600000000002</v>
      </c>
      <c r="DB149">
        <v>0.11691699999999999</v>
      </c>
      <c r="DC149">
        <v>0.146095</v>
      </c>
      <c r="DD149">
        <v>0.10915999999999999</v>
      </c>
      <c r="DE149">
        <v>5.8102000000000001E-2</v>
      </c>
      <c r="DF149">
        <v>32254</v>
      </c>
      <c r="DG149">
        <v>27536</v>
      </c>
      <c r="DH149">
        <v>31180.7</v>
      </c>
      <c r="DI149">
        <v>28098.7</v>
      </c>
      <c r="DJ149">
        <v>37713</v>
      </c>
      <c r="DK149">
        <v>37639.9</v>
      </c>
      <c r="DL149">
        <v>44376.3</v>
      </c>
      <c r="DM149">
        <v>42593</v>
      </c>
      <c r="DN149">
        <v>1.4803200000000001</v>
      </c>
      <c r="DO149">
        <v>2.0417999999999998</v>
      </c>
      <c r="DP149">
        <v>0.13281000000000001</v>
      </c>
      <c r="DQ149">
        <v>0.18282999999999999</v>
      </c>
      <c r="DR149">
        <v>24.790500000000002</v>
      </c>
      <c r="DS149">
        <v>24.5928</v>
      </c>
      <c r="DT149">
        <v>49.8</v>
      </c>
      <c r="DU149">
        <v>29.2</v>
      </c>
      <c r="DV149">
        <v>20.4574</v>
      </c>
      <c r="DW149">
        <v>61.669800000000002</v>
      </c>
      <c r="DX149">
        <v>36.698700000000002</v>
      </c>
      <c r="DY149">
        <v>1</v>
      </c>
      <c r="DZ149">
        <v>-9.3516299999999997E-2</v>
      </c>
      <c r="EA149">
        <v>0.16700699999999999</v>
      </c>
      <c r="EB149">
        <v>20.189599999999999</v>
      </c>
      <c r="EC149">
        <v>5.2408000000000001</v>
      </c>
      <c r="ED149">
        <v>12.039899999999999</v>
      </c>
      <c r="EE149">
        <v>5.0170000000000003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1.8691899999999999</v>
      </c>
      <c r="EN149">
        <v>1.86724</v>
      </c>
      <c r="EO149">
        <v>1.8633900000000001</v>
      </c>
      <c r="EP149">
        <v>1.8644799999999999</v>
      </c>
      <c r="EQ149">
        <v>1.8701300000000001</v>
      </c>
      <c r="ER149">
        <v>1.8694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-4.8000000000000001E-2</v>
      </c>
      <c r="FG149">
        <v>0.17860000000000001</v>
      </c>
      <c r="FH149">
        <v>0.3448811944559278</v>
      </c>
      <c r="FI149">
        <v>-6.1462078757559423E-4</v>
      </c>
      <c r="FJ149">
        <v>-1.8861989874597051E-7</v>
      </c>
      <c r="FK149">
        <v>1.1980462299894961E-10</v>
      </c>
      <c r="FL149">
        <v>0.17862261546663211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32.200000000000003</v>
      </c>
      <c r="FU149">
        <v>32.299999999999997</v>
      </c>
      <c r="FV149">
        <v>1.7748999999999999</v>
      </c>
      <c r="FW149">
        <v>2.5805699999999998</v>
      </c>
      <c r="FX149">
        <v>1.5490699999999999</v>
      </c>
      <c r="FY149">
        <v>2.3278799999999999</v>
      </c>
      <c r="FZ149">
        <v>1.50146</v>
      </c>
      <c r="GA149">
        <v>2.3767100000000001</v>
      </c>
      <c r="GB149">
        <v>33.918700000000001</v>
      </c>
      <c r="GC149">
        <v>23.991199999999999</v>
      </c>
      <c r="GD149">
        <v>19</v>
      </c>
      <c r="GE149">
        <v>284.72699999999998</v>
      </c>
      <c r="GF149">
        <v>587.94200000000001</v>
      </c>
      <c r="GG149">
        <v>23.776900000000001</v>
      </c>
      <c r="GH149">
        <v>26.2041</v>
      </c>
      <c r="GI149">
        <v>29.999700000000001</v>
      </c>
      <c r="GJ149">
        <v>26.369900000000001</v>
      </c>
      <c r="GK149">
        <v>26.363600000000002</v>
      </c>
      <c r="GL149">
        <v>35.492699999999999</v>
      </c>
      <c r="GM149">
        <v>53.7592</v>
      </c>
      <c r="GN149">
        <v>69.701800000000006</v>
      </c>
      <c r="GO149">
        <v>23.7973</v>
      </c>
      <c r="GP149">
        <v>800</v>
      </c>
      <c r="GQ149">
        <v>9.67422</v>
      </c>
      <c r="GR149">
        <v>99.769199999999998</v>
      </c>
      <c r="GS149">
        <v>99.635099999999994</v>
      </c>
    </row>
    <row r="150" spans="1:201" x14ac:dyDescent="0.25">
      <c r="A150">
        <v>134</v>
      </c>
      <c r="B150">
        <v>1690231025</v>
      </c>
      <c r="C150">
        <v>1519.900000095367</v>
      </c>
      <c r="D150" t="s">
        <v>601</v>
      </c>
      <c r="E150" t="s">
        <v>602</v>
      </c>
      <c r="F150" t="s">
        <v>330</v>
      </c>
      <c r="H150">
        <v>1690231025</v>
      </c>
      <c r="I150">
        <f t="shared" si="60"/>
        <v>1.2647432914144544E-3</v>
      </c>
      <c r="J150">
        <f t="shared" si="61"/>
        <v>1.2647432914144545</v>
      </c>
      <c r="K150">
        <f t="shared" si="62"/>
        <v>20.848524163614702</v>
      </c>
      <c r="L150">
        <f t="shared" si="63"/>
        <v>573.66899999999998</v>
      </c>
      <c r="M150">
        <f t="shared" si="64"/>
        <v>165.56420126674618</v>
      </c>
      <c r="N150">
        <f t="shared" si="65"/>
        <v>16.413769414832064</v>
      </c>
      <c r="O150">
        <f t="shared" si="66"/>
        <v>56.872624724391592</v>
      </c>
      <c r="P150">
        <f t="shared" si="67"/>
        <v>8.5124859014410678E-2</v>
      </c>
      <c r="Q150">
        <f t="shared" si="68"/>
        <v>2.174182776404022</v>
      </c>
      <c r="R150">
        <f t="shared" si="69"/>
        <v>8.3315722326614189E-2</v>
      </c>
      <c r="S150">
        <f t="shared" si="70"/>
        <v>5.2231667811369641E-2</v>
      </c>
      <c r="T150">
        <f t="shared" si="71"/>
        <v>276.11779087920496</v>
      </c>
      <c r="U150">
        <f t="shared" si="72"/>
        <v>27.578723793647303</v>
      </c>
      <c r="V150">
        <f t="shared" si="73"/>
        <v>27.578723793647303</v>
      </c>
      <c r="W150">
        <f t="shared" si="74"/>
        <v>3.7026348310917383</v>
      </c>
      <c r="X150">
        <f t="shared" si="75"/>
        <v>66.99459659012652</v>
      </c>
      <c r="Y150">
        <f t="shared" si="76"/>
        <v>2.2428277694364795</v>
      </c>
      <c r="Z150">
        <f t="shared" si="77"/>
        <v>3.3477741244687507</v>
      </c>
      <c r="AA150">
        <f t="shared" si="78"/>
        <v>1.4598070616552588</v>
      </c>
      <c r="AB150">
        <f t="shared" si="79"/>
        <v>-55.775179151377444</v>
      </c>
      <c r="AC150">
        <f t="shared" si="80"/>
        <v>-200.65064168573599</v>
      </c>
      <c r="AD150">
        <f t="shared" si="81"/>
        <v>-19.861801921384696</v>
      </c>
      <c r="AE150">
        <f t="shared" si="82"/>
        <v>-0.16983187929318433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52400.183588696535</v>
      </c>
      <c r="AK150">
        <f t="shared" si="86"/>
        <v>1800.01</v>
      </c>
      <c r="AL150">
        <f t="shared" si="87"/>
        <v>1499.1212734052501</v>
      </c>
      <c r="AM150">
        <f t="shared" si="88"/>
        <v>0.83284052500000005</v>
      </c>
      <c r="AN150">
        <f t="shared" si="89"/>
        <v>0.15339792049999998</v>
      </c>
      <c r="AO150">
        <v>31.5</v>
      </c>
      <c r="AP150">
        <v>0.5</v>
      </c>
      <c r="AQ150" t="s">
        <v>331</v>
      </c>
      <c r="AR150">
        <v>2</v>
      </c>
      <c r="AS150">
        <v>1690231025</v>
      </c>
      <c r="AT150">
        <v>573.66899999999998</v>
      </c>
      <c r="AU150">
        <v>800.08199999999999</v>
      </c>
      <c r="AV150">
        <v>22.623200000000001</v>
      </c>
      <c r="AW150">
        <v>9.6503999999999994</v>
      </c>
      <c r="AX150">
        <v>573.71600000000001</v>
      </c>
      <c r="AY150">
        <v>22.444600000000001</v>
      </c>
      <c r="AZ150">
        <v>300.15199999999999</v>
      </c>
      <c r="BA150">
        <v>99.038399999999996</v>
      </c>
      <c r="BB150">
        <v>9.9996399999999999E-2</v>
      </c>
      <c r="BC150">
        <v>25.866900000000001</v>
      </c>
      <c r="BD150">
        <v>26.991599999999998</v>
      </c>
      <c r="BE150">
        <v>27.582100000000001</v>
      </c>
      <c r="BF150">
        <v>0</v>
      </c>
      <c r="BG150">
        <v>0</v>
      </c>
      <c r="BH150">
        <v>9966.8799999999992</v>
      </c>
      <c r="BI150">
        <v>1063.27</v>
      </c>
      <c r="BJ150">
        <v>1.4577199999999999</v>
      </c>
      <c r="BK150">
        <v>-226.41300000000001</v>
      </c>
      <c r="BL150">
        <v>586.94799999999998</v>
      </c>
      <c r="BM150">
        <v>807.87800000000004</v>
      </c>
      <c r="BN150">
        <v>12.972799999999999</v>
      </c>
      <c r="BO150">
        <v>800.08199999999999</v>
      </c>
      <c r="BP150">
        <v>9.6503999999999994</v>
      </c>
      <c r="BQ150">
        <v>2.24057</v>
      </c>
      <c r="BR150">
        <v>0.95576000000000005</v>
      </c>
      <c r="BS150">
        <v>19.255400000000002</v>
      </c>
      <c r="BT150">
        <v>6.2588699999999999</v>
      </c>
      <c r="BU150">
        <v>1800.01</v>
      </c>
      <c r="BV150">
        <v>0.90999200000000002</v>
      </c>
      <c r="BW150">
        <v>3.3991599999999997E-2</v>
      </c>
      <c r="BX150">
        <v>2.2007499999999999E-2</v>
      </c>
      <c r="BY150">
        <v>3.4008799999999999E-2</v>
      </c>
      <c r="BZ150">
        <v>26</v>
      </c>
      <c r="CA150">
        <v>33528.400000000001</v>
      </c>
      <c r="CB150">
        <v>1690229084.0999999</v>
      </c>
      <c r="CC150" t="s">
        <v>332</v>
      </c>
      <c r="CD150">
        <v>1690229084.0999999</v>
      </c>
      <c r="CE150">
        <v>1690229076.5999999</v>
      </c>
      <c r="CF150">
        <v>13</v>
      </c>
      <c r="CG150">
        <v>0.23300000000000001</v>
      </c>
      <c r="CH150">
        <v>-0.13100000000000001</v>
      </c>
      <c r="CI150">
        <v>-0.20599999999999999</v>
      </c>
      <c r="CJ150">
        <v>8.7999999999999995E-2</v>
      </c>
      <c r="CK150">
        <v>799</v>
      </c>
      <c r="CL150">
        <v>16</v>
      </c>
      <c r="CM150">
        <v>0.04</v>
      </c>
      <c r="CN150">
        <v>0.04</v>
      </c>
      <c r="CO150">
        <v>-224.33895121951221</v>
      </c>
      <c r="CP150">
        <v>-10.97533797909435</v>
      </c>
      <c r="CQ150">
        <v>1.0833799853894359</v>
      </c>
      <c r="CR150">
        <v>-1</v>
      </c>
      <c r="CS150">
        <v>12.830821951219511</v>
      </c>
      <c r="CT150">
        <v>0.80271428571428671</v>
      </c>
      <c r="CU150">
        <v>8.099721016633421E-2</v>
      </c>
      <c r="CV150">
        <v>-1</v>
      </c>
      <c r="CW150">
        <v>0</v>
      </c>
      <c r="CX150">
        <v>0</v>
      </c>
      <c r="CY150" t="s">
        <v>333</v>
      </c>
      <c r="CZ150">
        <v>2.3645399999999999</v>
      </c>
      <c r="DA150">
        <v>2.7137600000000002</v>
      </c>
      <c r="DB150">
        <v>0.116656</v>
      </c>
      <c r="DC150">
        <v>0.14610699999999999</v>
      </c>
      <c r="DD150">
        <v>0.109218</v>
      </c>
      <c r="DE150">
        <v>5.7525199999999999E-2</v>
      </c>
      <c r="DF150">
        <v>32263.8</v>
      </c>
      <c r="DG150">
        <v>27535.9</v>
      </c>
      <c r="DH150">
        <v>31181</v>
      </c>
      <c r="DI150">
        <v>28099</v>
      </c>
      <c r="DJ150">
        <v>37710.9</v>
      </c>
      <c r="DK150">
        <v>37663.300000000003</v>
      </c>
      <c r="DL150">
        <v>44376.800000000003</v>
      </c>
      <c r="DM150">
        <v>42593.3</v>
      </c>
      <c r="DN150">
        <v>1.48048</v>
      </c>
      <c r="DO150">
        <v>2.0417000000000001</v>
      </c>
      <c r="DP150">
        <v>0.13433</v>
      </c>
      <c r="DQ150">
        <v>0.18248</v>
      </c>
      <c r="DR150">
        <v>24.790700000000001</v>
      </c>
      <c r="DS150">
        <v>24.593299999999999</v>
      </c>
      <c r="DT150">
        <v>49.4</v>
      </c>
      <c r="DU150">
        <v>29.2</v>
      </c>
      <c r="DV150">
        <v>20.296600000000002</v>
      </c>
      <c r="DW150">
        <v>61.899799999999999</v>
      </c>
      <c r="DX150">
        <v>36.742800000000003</v>
      </c>
      <c r="DY150">
        <v>1</v>
      </c>
      <c r="DZ150">
        <v>-9.4113299999999997E-2</v>
      </c>
      <c r="EA150">
        <v>0.15175900000000001</v>
      </c>
      <c r="EB150">
        <v>20.189599999999999</v>
      </c>
      <c r="EC150">
        <v>5.2406499999999996</v>
      </c>
      <c r="ED150">
        <v>12.039899999999999</v>
      </c>
      <c r="EE150">
        <v>5.0167999999999999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1.86463</v>
      </c>
      <c r="EM150">
        <v>1.8692</v>
      </c>
      <c r="EN150">
        <v>1.8672299999999999</v>
      </c>
      <c r="EO150">
        <v>1.8633999999999999</v>
      </c>
      <c r="EP150">
        <v>1.8644799999999999</v>
      </c>
      <c r="EQ150">
        <v>1.8701300000000001</v>
      </c>
      <c r="ER150">
        <v>1.8694200000000001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-4.7E-2</v>
      </c>
      <c r="FG150">
        <v>0.17860000000000001</v>
      </c>
      <c r="FH150">
        <v>0.3448811944559278</v>
      </c>
      <c r="FI150">
        <v>-6.1462078757559423E-4</v>
      </c>
      <c r="FJ150">
        <v>-1.8861989874597051E-7</v>
      </c>
      <c r="FK150">
        <v>1.1980462299894961E-10</v>
      </c>
      <c r="FL150">
        <v>0.17862261546663211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32.299999999999997</v>
      </c>
      <c r="FU150">
        <v>32.5</v>
      </c>
      <c r="FV150">
        <v>1.7748999999999999</v>
      </c>
      <c r="FW150">
        <v>2.5854499999999998</v>
      </c>
      <c r="FX150">
        <v>1.5490699999999999</v>
      </c>
      <c r="FY150">
        <v>2.32666</v>
      </c>
      <c r="FZ150">
        <v>1.50146</v>
      </c>
      <c r="GA150">
        <v>2.3815900000000001</v>
      </c>
      <c r="GB150">
        <v>33.918700000000001</v>
      </c>
      <c r="GC150">
        <v>23.991199999999999</v>
      </c>
      <c r="GD150">
        <v>19</v>
      </c>
      <c r="GE150">
        <v>284.77100000000002</v>
      </c>
      <c r="GF150">
        <v>587.80799999999999</v>
      </c>
      <c r="GG150">
        <v>23.823499999999999</v>
      </c>
      <c r="GH150">
        <v>26.1997</v>
      </c>
      <c r="GI150">
        <v>29.9998</v>
      </c>
      <c r="GJ150">
        <v>26.365500000000001</v>
      </c>
      <c r="GK150">
        <v>26.359100000000002</v>
      </c>
      <c r="GL150">
        <v>35.487499999999997</v>
      </c>
      <c r="GM150">
        <v>54.053199999999997</v>
      </c>
      <c r="GN150">
        <v>68.884399999999999</v>
      </c>
      <c r="GO150">
        <v>23.830500000000001</v>
      </c>
      <c r="GP150">
        <v>800</v>
      </c>
      <c r="GQ150">
        <v>9.5436999999999994</v>
      </c>
      <c r="GR150">
        <v>99.770099999999999</v>
      </c>
      <c r="GS150">
        <v>99.635900000000007</v>
      </c>
    </row>
    <row r="151" spans="1:201" x14ac:dyDescent="0.25">
      <c r="A151">
        <v>135</v>
      </c>
      <c r="B151">
        <v>1690231035</v>
      </c>
      <c r="C151">
        <v>1529.900000095367</v>
      </c>
      <c r="D151" t="s">
        <v>603</v>
      </c>
      <c r="E151" t="s">
        <v>604</v>
      </c>
      <c r="F151" t="s">
        <v>330</v>
      </c>
      <c r="H151">
        <v>1690231035</v>
      </c>
      <c r="I151">
        <f t="shared" si="60"/>
        <v>1.2810106783099527E-3</v>
      </c>
      <c r="J151">
        <f t="shared" si="61"/>
        <v>1.2810106783099526</v>
      </c>
      <c r="K151">
        <f t="shared" si="62"/>
        <v>21.011206310683214</v>
      </c>
      <c r="L151">
        <f t="shared" si="63"/>
        <v>571.84299999999996</v>
      </c>
      <c r="M151">
        <f t="shared" si="64"/>
        <v>166.04934307903446</v>
      </c>
      <c r="N151">
        <f t="shared" si="65"/>
        <v>16.461540737194113</v>
      </c>
      <c r="O151">
        <f t="shared" si="66"/>
        <v>56.69047925892</v>
      </c>
      <c r="P151">
        <f t="shared" si="67"/>
        <v>8.630139461283845E-2</v>
      </c>
      <c r="Q151">
        <f t="shared" si="68"/>
        <v>2.1797713578754547</v>
      </c>
      <c r="R151">
        <f t="shared" si="69"/>
        <v>8.4447147074920251E-2</v>
      </c>
      <c r="S151">
        <f t="shared" si="70"/>
        <v>5.2942745480940856E-2</v>
      </c>
      <c r="T151">
        <f t="shared" si="71"/>
        <v>276.11642401199992</v>
      </c>
      <c r="U151">
        <f t="shared" si="72"/>
        <v>27.579239942727625</v>
      </c>
      <c r="V151">
        <f t="shared" si="73"/>
        <v>27.579239942727625</v>
      </c>
      <c r="W151">
        <f t="shared" si="74"/>
        <v>3.7027465936234956</v>
      </c>
      <c r="X151">
        <f t="shared" si="75"/>
        <v>66.989907235738457</v>
      </c>
      <c r="Y151">
        <f t="shared" si="76"/>
        <v>2.2440128012640002</v>
      </c>
      <c r="Z151">
        <f t="shared" si="77"/>
        <v>3.349777442394847</v>
      </c>
      <c r="AA151">
        <f t="shared" si="78"/>
        <v>1.4587337923594954</v>
      </c>
      <c r="AB151">
        <f t="shared" si="79"/>
        <v>-56.49257091346891</v>
      </c>
      <c r="AC151">
        <f t="shared" si="80"/>
        <v>-200.04014559433639</v>
      </c>
      <c r="AD151">
        <f t="shared" si="81"/>
        <v>-19.751650800735366</v>
      </c>
      <c r="AE151">
        <f t="shared" si="82"/>
        <v>-0.16794329654075568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52630.445388169384</v>
      </c>
      <c r="AK151">
        <f t="shared" si="86"/>
        <v>1800</v>
      </c>
      <c r="AL151">
        <f t="shared" si="87"/>
        <v>1499.1136541999999</v>
      </c>
      <c r="AM151">
        <f t="shared" si="88"/>
        <v>0.83284091900000001</v>
      </c>
      <c r="AN151">
        <f t="shared" si="89"/>
        <v>0.15339801333999997</v>
      </c>
      <c r="AO151">
        <v>31.5</v>
      </c>
      <c r="AP151">
        <v>0.5</v>
      </c>
      <c r="AQ151" t="s">
        <v>331</v>
      </c>
      <c r="AR151">
        <v>2</v>
      </c>
      <c r="AS151">
        <v>1690231035</v>
      </c>
      <c r="AT151">
        <v>571.84299999999996</v>
      </c>
      <c r="AU151">
        <v>800.00400000000002</v>
      </c>
      <c r="AV151">
        <v>22.6356</v>
      </c>
      <c r="AW151">
        <v>9.4979899999999997</v>
      </c>
      <c r="AX151">
        <v>571.88900000000001</v>
      </c>
      <c r="AY151">
        <v>22.457000000000001</v>
      </c>
      <c r="AZ151">
        <v>300.19499999999999</v>
      </c>
      <c r="BA151">
        <v>99.0364</v>
      </c>
      <c r="BB151">
        <v>0.10004</v>
      </c>
      <c r="BC151">
        <v>25.876999999999999</v>
      </c>
      <c r="BD151">
        <v>26.970199999999998</v>
      </c>
      <c r="BE151">
        <v>27.594799999999999</v>
      </c>
      <c r="BF151">
        <v>0</v>
      </c>
      <c r="BG151">
        <v>0</v>
      </c>
      <c r="BH151">
        <v>10013.1</v>
      </c>
      <c r="BI151">
        <v>1063.3800000000001</v>
      </c>
      <c r="BJ151">
        <v>1.4577199999999999</v>
      </c>
      <c r="BK151">
        <v>-228.161</v>
      </c>
      <c r="BL151">
        <v>585.08699999999999</v>
      </c>
      <c r="BM151">
        <v>807.67499999999995</v>
      </c>
      <c r="BN151">
        <v>13.137600000000001</v>
      </c>
      <c r="BO151">
        <v>800.00400000000002</v>
      </c>
      <c r="BP151">
        <v>9.4979899999999997</v>
      </c>
      <c r="BQ151">
        <v>2.2417500000000001</v>
      </c>
      <c r="BR151">
        <v>0.94064700000000001</v>
      </c>
      <c r="BS151">
        <v>19.2638</v>
      </c>
      <c r="BT151">
        <v>6.0280800000000001</v>
      </c>
      <c r="BU151">
        <v>1800</v>
      </c>
      <c r="BV151">
        <v>0.90999200000000002</v>
      </c>
      <c r="BW151">
        <v>3.39917E-2</v>
      </c>
      <c r="BX151">
        <v>2.2007700000000002E-2</v>
      </c>
      <c r="BY151">
        <v>3.4008999999999998E-2</v>
      </c>
      <c r="BZ151">
        <v>26</v>
      </c>
      <c r="CA151">
        <v>33528.400000000001</v>
      </c>
      <c r="CB151">
        <v>1690229084.0999999</v>
      </c>
      <c r="CC151" t="s">
        <v>332</v>
      </c>
      <c r="CD151">
        <v>1690229084.0999999</v>
      </c>
      <c r="CE151">
        <v>1690229076.5999999</v>
      </c>
      <c r="CF151">
        <v>13</v>
      </c>
      <c r="CG151">
        <v>0.23300000000000001</v>
      </c>
      <c r="CH151">
        <v>-0.13100000000000001</v>
      </c>
      <c r="CI151">
        <v>-0.20599999999999999</v>
      </c>
      <c r="CJ151">
        <v>8.7999999999999995E-2</v>
      </c>
      <c r="CK151">
        <v>799</v>
      </c>
      <c r="CL151">
        <v>16</v>
      </c>
      <c r="CM151">
        <v>0.04</v>
      </c>
      <c r="CN151">
        <v>0.04</v>
      </c>
      <c r="CO151">
        <v>-226.18012195121949</v>
      </c>
      <c r="CP151">
        <v>-10.85782578397219</v>
      </c>
      <c r="CQ151">
        <v>1.0716002211218469</v>
      </c>
      <c r="CR151">
        <v>-1</v>
      </c>
      <c r="CS151">
        <v>12.97488292682927</v>
      </c>
      <c r="CT151">
        <v>0.9143331010452932</v>
      </c>
      <c r="CU151">
        <v>9.1209830189190558E-2</v>
      </c>
      <c r="CV151">
        <v>-1</v>
      </c>
      <c r="CW151">
        <v>0</v>
      </c>
      <c r="CX151">
        <v>0</v>
      </c>
      <c r="CY151" t="s">
        <v>333</v>
      </c>
      <c r="CZ151">
        <v>2.36469</v>
      </c>
      <c r="DA151">
        <v>2.7138399999999998</v>
      </c>
      <c r="DB151">
        <v>0.11638999999999999</v>
      </c>
      <c r="DC151">
        <v>0.146093</v>
      </c>
      <c r="DD151">
        <v>0.109259</v>
      </c>
      <c r="DE151">
        <v>5.6821000000000003E-2</v>
      </c>
      <c r="DF151">
        <v>32273.8</v>
      </c>
      <c r="DG151">
        <v>27536.9</v>
      </c>
      <c r="DH151">
        <v>31181.200000000001</v>
      </c>
      <c r="DI151">
        <v>28099.599999999999</v>
      </c>
      <c r="DJ151">
        <v>37709.5</v>
      </c>
      <c r="DK151">
        <v>37692.300000000003</v>
      </c>
      <c r="DL151">
        <v>44377.2</v>
      </c>
      <c r="DM151">
        <v>42594.2</v>
      </c>
      <c r="DN151">
        <v>1.4805699999999999</v>
      </c>
      <c r="DO151">
        <v>2.0415000000000001</v>
      </c>
      <c r="DP151">
        <v>0.13289999999999999</v>
      </c>
      <c r="DQ151">
        <v>0.18315400000000001</v>
      </c>
      <c r="DR151">
        <v>24.7928</v>
      </c>
      <c r="DS151">
        <v>24.595099999999999</v>
      </c>
      <c r="DT151">
        <v>49.1</v>
      </c>
      <c r="DU151">
        <v>29.2</v>
      </c>
      <c r="DV151">
        <v>20.170999999999999</v>
      </c>
      <c r="DW151">
        <v>61.799799999999998</v>
      </c>
      <c r="DX151">
        <v>35.921500000000002</v>
      </c>
      <c r="DY151">
        <v>1</v>
      </c>
      <c r="DZ151">
        <v>-9.4362299999999996E-2</v>
      </c>
      <c r="EA151">
        <v>0.209562</v>
      </c>
      <c r="EB151">
        <v>20.189399999999999</v>
      </c>
      <c r="EC151">
        <v>5.2408000000000001</v>
      </c>
      <c r="ED151">
        <v>12.039899999999999</v>
      </c>
      <c r="EE151">
        <v>5.0166500000000003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1.8646400000000001</v>
      </c>
      <c r="EM151">
        <v>1.8692</v>
      </c>
      <c r="EN151">
        <v>1.8672299999999999</v>
      </c>
      <c r="EO151">
        <v>1.8633999999999999</v>
      </c>
      <c r="EP151">
        <v>1.86449</v>
      </c>
      <c r="EQ151">
        <v>1.8701399999999999</v>
      </c>
      <c r="ER151">
        <v>1.8694299999999999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-4.5999999999999999E-2</v>
      </c>
      <c r="FG151">
        <v>0.17860000000000001</v>
      </c>
      <c r="FH151">
        <v>0.3448811944559278</v>
      </c>
      <c r="FI151">
        <v>-6.1462078757559423E-4</v>
      </c>
      <c r="FJ151">
        <v>-1.8861989874597051E-7</v>
      </c>
      <c r="FK151">
        <v>1.1980462299894961E-10</v>
      </c>
      <c r="FL151">
        <v>0.17862261546663211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32.5</v>
      </c>
      <c r="FU151">
        <v>32.6</v>
      </c>
      <c r="FV151">
        <v>1.7748999999999999</v>
      </c>
      <c r="FW151">
        <v>2.5952099999999998</v>
      </c>
      <c r="FX151">
        <v>1.5490699999999999</v>
      </c>
      <c r="FY151">
        <v>2.3278799999999999</v>
      </c>
      <c r="FZ151">
        <v>1.50146</v>
      </c>
      <c r="GA151">
        <v>2.2900399999999999</v>
      </c>
      <c r="GB151">
        <v>33.918700000000001</v>
      </c>
      <c r="GC151">
        <v>23.982399999999998</v>
      </c>
      <c r="GD151">
        <v>19</v>
      </c>
      <c r="GE151">
        <v>284.79599999999999</v>
      </c>
      <c r="GF151">
        <v>587.59199999999998</v>
      </c>
      <c r="GG151">
        <v>23.8432</v>
      </c>
      <c r="GH151">
        <v>26.1952</v>
      </c>
      <c r="GI151">
        <v>30</v>
      </c>
      <c r="GJ151">
        <v>26.361499999999999</v>
      </c>
      <c r="GK151">
        <v>26.354700000000001</v>
      </c>
      <c r="GL151">
        <v>35.482799999999997</v>
      </c>
      <c r="GM151">
        <v>54.053199999999997</v>
      </c>
      <c r="GN151">
        <v>68.489400000000003</v>
      </c>
      <c r="GO151">
        <v>23.8492</v>
      </c>
      <c r="GP151">
        <v>800</v>
      </c>
      <c r="GQ151">
        <v>9.4148599999999991</v>
      </c>
      <c r="GR151">
        <v>99.771100000000004</v>
      </c>
      <c r="GS151">
        <v>99.638000000000005</v>
      </c>
    </row>
    <row r="152" spans="1:201" x14ac:dyDescent="0.25">
      <c r="A152">
        <v>136</v>
      </c>
      <c r="B152">
        <v>1690231045</v>
      </c>
      <c r="C152">
        <v>1539.900000095367</v>
      </c>
      <c r="D152" t="s">
        <v>605</v>
      </c>
      <c r="E152" t="s">
        <v>606</v>
      </c>
      <c r="F152" t="s">
        <v>330</v>
      </c>
      <c r="H152">
        <v>1690231045</v>
      </c>
      <c r="I152">
        <f t="shared" si="60"/>
        <v>1.2910979029694097E-3</v>
      </c>
      <c r="J152">
        <f t="shared" si="61"/>
        <v>1.2910979029694096</v>
      </c>
      <c r="K152">
        <f t="shared" si="62"/>
        <v>21.164545778333952</v>
      </c>
      <c r="L152">
        <f t="shared" si="63"/>
        <v>570.13300000000004</v>
      </c>
      <c r="M152">
        <f t="shared" si="64"/>
        <v>164.3095138229564</v>
      </c>
      <c r="N152">
        <f t="shared" si="65"/>
        <v>16.288733726241869</v>
      </c>
      <c r="O152">
        <f t="shared" si="66"/>
        <v>56.519822921209105</v>
      </c>
      <c r="P152">
        <f t="shared" si="67"/>
        <v>8.6930355326005904E-2</v>
      </c>
      <c r="Q152">
        <f t="shared" si="68"/>
        <v>2.1774774299642083</v>
      </c>
      <c r="R152">
        <f t="shared" si="69"/>
        <v>8.504736393293405E-2</v>
      </c>
      <c r="S152">
        <f t="shared" si="70"/>
        <v>5.3320384625590939E-2</v>
      </c>
      <c r="T152">
        <f t="shared" si="71"/>
        <v>276.11617058999997</v>
      </c>
      <c r="U152">
        <f t="shared" si="72"/>
        <v>27.583311021433857</v>
      </c>
      <c r="V152">
        <f t="shared" si="73"/>
        <v>27.583311021433857</v>
      </c>
      <c r="W152">
        <f t="shared" si="74"/>
        <v>3.7036282135661294</v>
      </c>
      <c r="X152">
        <f t="shared" si="75"/>
        <v>66.960722580394403</v>
      </c>
      <c r="Y152">
        <f t="shared" si="76"/>
        <v>2.2438191158570699</v>
      </c>
      <c r="Z152">
        <f t="shared" si="77"/>
        <v>3.3509481818436102</v>
      </c>
      <c r="AA152">
        <f t="shared" si="78"/>
        <v>1.4598090977090594</v>
      </c>
      <c r="AB152">
        <f t="shared" si="79"/>
        <v>-56.937417520950966</v>
      </c>
      <c r="AC152">
        <f t="shared" si="80"/>
        <v>-199.61492814243559</v>
      </c>
      <c r="AD152">
        <f t="shared" si="81"/>
        <v>-19.731413454466278</v>
      </c>
      <c r="AE152">
        <f t="shared" si="82"/>
        <v>-0.16758852785287104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52534.032058423305</v>
      </c>
      <c r="AK152">
        <f t="shared" si="86"/>
        <v>1800</v>
      </c>
      <c r="AL152">
        <f t="shared" si="87"/>
        <v>1499.1125579999998</v>
      </c>
      <c r="AM152">
        <f t="shared" si="88"/>
        <v>0.83284030999999992</v>
      </c>
      <c r="AN152">
        <f t="shared" si="89"/>
        <v>0.15339787254999998</v>
      </c>
      <c r="AO152">
        <v>31.5</v>
      </c>
      <c r="AP152">
        <v>0.5</v>
      </c>
      <c r="AQ152" t="s">
        <v>331</v>
      </c>
      <c r="AR152">
        <v>2</v>
      </c>
      <c r="AS152">
        <v>1690231045</v>
      </c>
      <c r="AT152">
        <v>570.13300000000004</v>
      </c>
      <c r="AU152">
        <v>800.00699999999995</v>
      </c>
      <c r="AV152">
        <v>22.6341</v>
      </c>
      <c r="AW152">
        <v>9.3891799999999996</v>
      </c>
      <c r="AX152">
        <v>570.17700000000002</v>
      </c>
      <c r="AY152">
        <v>22.455500000000001</v>
      </c>
      <c r="AZ152">
        <v>300.108</v>
      </c>
      <c r="BA152">
        <v>99.034499999999994</v>
      </c>
      <c r="BB152">
        <v>9.9952700000000005E-2</v>
      </c>
      <c r="BC152">
        <v>25.882899999999999</v>
      </c>
      <c r="BD152">
        <v>26.971299999999999</v>
      </c>
      <c r="BE152">
        <v>27.6221</v>
      </c>
      <c r="BF152">
        <v>0</v>
      </c>
      <c r="BG152">
        <v>0</v>
      </c>
      <c r="BH152">
        <v>9994.3799999999992</v>
      </c>
      <c r="BI152">
        <v>1063.54</v>
      </c>
      <c r="BJ152">
        <v>1.4577199999999999</v>
      </c>
      <c r="BK152">
        <v>-229.874</v>
      </c>
      <c r="BL152">
        <v>583.33600000000001</v>
      </c>
      <c r="BM152">
        <v>807.59</v>
      </c>
      <c r="BN152">
        <v>13.244899999999999</v>
      </c>
      <c r="BO152">
        <v>800.00699999999995</v>
      </c>
      <c r="BP152">
        <v>9.3891799999999996</v>
      </c>
      <c r="BQ152">
        <v>2.2415600000000002</v>
      </c>
      <c r="BR152">
        <v>0.92985300000000004</v>
      </c>
      <c r="BS152">
        <v>19.262499999999999</v>
      </c>
      <c r="BT152">
        <v>5.8612399999999996</v>
      </c>
      <c r="BU152">
        <v>1800</v>
      </c>
      <c r="BV152">
        <v>0.90999200000000002</v>
      </c>
      <c r="BW152">
        <v>3.3991399999999998E-2</v>
      </c>
      <c r="BX152">
        <v>2.2007499999999999E-2</v>
      </c>
      <c r="BY152">
        <v>3.4008700000000003E-2</v>
      </c>
      <c r="BZ152">
        <v>26</v>
      </c>
      <c r="CA152">
        <v>33528.199999999997</v>
      </c>
      <c r="CB152">
        <v>1690229084.0999999</v>
      </c>
      <c r="CC152" t="s">
        <v>332</v>
      </c>
      <c r="CD152">
        <v>1690229084.0999999</v>
      </c>
      <c r="CE152">
        <v>1690229076.5999999</v>
      </c>
      <c r="CF152">
        <v>13</v>
      </c>
      <c r="CG152">
        <v>0.23300000000000001</v>
      </c>
      <c r="CH152">
        <v>-0.13100000000000001</v>
      </c>
      <c r="CI152">
        <v>-0.20599999999999999</v>
      </c>
      <c r="CJ152">
        <v>8.7999999999999995E-2</v>
      </c>
      <c r="CK152">
        <v>799</v>
      </c>
      <c r="CL152">
        <v>16</v>
      </c>
      <c r="CM152">
        <v>0.04</v>
      </c>
      <c r="CN152">
        <v>0.04</v>
      </c>
      <c r="CO152">
        <v>-227.99239024390241</v>
      </c>
      <c r="CP152">
        <v>-10.63749825784028</v>
      </c>
      <c r="CQ152">
        <v>1.049996164407599</v>
      </c>
      <c r="CR152">
        <v>-1</v>
      </c>
      <c r="CS152">
        <v>13.11046341463415</v>
      </c>
      <c r="CT152">
        <v>0.78729825783974061</v>
      </c>
      <c r="CU152">
        <v>7.9459192644132426E-2</v>
      </c>
      <c r="CV152">
        <v>-1</v>
      </c>
      <c r="CW152">
        <v>0</v>
      </c>
      <c r="CX152">
        <v>0</v>
      </c>
      <c r="CY152" t="s">
        <v>333</v>
      </c>
      <c r="CZ152">
        <v>2.36442</v>
      </c>
      <c r="DA152">
        <v>2.71374</v>
      </c>
      <c r="DB152">
        <v>0.116142</v>
      </c>
      <c r="DC152">
        <v>0.14609</v>
      </c>
      <c r="DD152">
        <v>0.109253</v>
      </c>
      <c r="DE152">
        <v>5.6315799999999999E-2</v>
      </c>
      <c r="DF152">
        <v>32282.7</v>
      </c>
      <c r="DG152">
        <v>27537.3</v>
      </c>
      <c r="DH152">
        <v>31181.1</v>
      </c>
      <c r="DI152">
        <v>28099.9</v>
      </c>
      <c r="DJ152">
        <v>37709.4</v>
      </c>
      <c r="DK152">
        <v>37713.199999999997</v>
      </c>
      <c r="DL152">
        <v>44376.800000000003</v>
      </c>
      <c r="DM152">
        <v>42594.9</v>
      </c>
      <c r="DN152">
        <v>1.4806999999999999</v>
      </c>
      <c r="DO152">
        <v>2.0416799999999999</v>
      </c>
      <c r="DP152">
        <v>0.13283600000000001</v>
      </c>
      <c r="DQ152">
        <v>0.184804</v>
      </c>
      <c r="DR152">
        <v>24.794899999999998</v>
      </c>
      <c r="DS152">
        <v>24.595300000000002</v>
      </c>
      <c r="DT152">
        <v>48.9</v>
      </c>
      <c r="DU152">
        <v>29.2</v>
      </c>
      <c r="DV152">
        <v>20.089700000000001</v>
      </c>
      <c r="DW152">
        <v>61.879800000000003</v>
      </c>
      <c r="DX152">
        <v>36.871000000000002</v>
      </c>
      <c r="DY152">
        <v>1</v>
      </c>
      <c r="DZ152">
        <v>-9.46824E-2</v>
      </c>
      <c r="EA152">
        <v>0.145485</v>
      </c>
      <c r="EB152">
        <v>20.189399999999999</v>
      </c>
      <c r="EC152">
        <v>5.2409499999999998</v>
      </c>
      <c r="ED152">
        <v>12.039899999999999</v>
      </c>
      <c r="EE152">
        <v>5.0165499999999996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1.86463</v>
      </c>
      <c r="EM152">
        <v>1.8692</v>
      </c>
      <c r="EN152">
        <v>1.8672200000000001</v>
      </c>
      <c r="EO152">
        <v>1.8633999999999999</v>
      </c>
      <c r="EP152">
        <v>1.8644700000000001</v>
      </c>
      <c r="EQ152">
        <v>1.8701399999999999</v>
      </c>
      <c r="ER152">
        <v>1.8694299999999999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-4.3999999999999997E-2</v>
      </c>
      <c r="FG152">
        <v>0.17860000000000001</v>
      </c>
      <c r="FH152">
        <v>0.3448811944559278</v>
      </c>
      <c r="FI152">
        <v>-6.1462078757559423E-4</v>
      </c>
      <c r="FJ152">
        <v>-1.8861989874597051E-7</v>
      </c>
      <c r="FK152">
        <v>1.1980462299894961E-10</v>
      </c>
      <c r="FL152">
        <v>0.17862261546663211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32.700000000000003</v>
      </c>
      <c r="FU152">
        <v>32.799999999999997</v>
      </c>
      <c r="FV152">
        <v>1.7748999999999999</v>
      </c>
      <c r="FW152">
        <v>2.5854499999999998</v>
      </c>
      <c r="FX152">
        <v>1.5490699999999999</v>
      </c>
      <c r="FY152">
        <v>2.3278799999999999</v>
      </c>
      <c r="FZ152">
        <v>1.50146</v>
      </c>
      <c r="GA152">
        <v>2.3864700000000001</v>
      </c>
      <c r="GB152">
        <v>33.918700000000001</v>
      </c>
      <c r="GC152">
        <v>23.991199999999999</v>
      </c>
      <c r="GD152">
        <v>19</v>
      </c>
      <c r="GE152">
        <v>284.82799999999997</v>
      </c>
      <c r="GF152">
        <v>587.68700000000001</v>
      </c>
      <c r="GG152">
        <v>23.870699999999999</v>
      </c>
      <c r="GH152">
        <v>26.191199999999998</v>
      </c>
      <c r="GI152">
        <v>29.9998</v>
      </c>
      <c r="GJ152">
        <v>26.3567</v>
      </c>
      <c r="GK152">
        <v>26.350300000000001</v>
      </c>
      <c r="GL152">
        <v>35.484200000000001</v>
      </c>
      <c r="GM152">
        <v>54.351700000000001</v>
      </c>
      <c r="GN152">
        <v>67.700699999999998</v>
      </c>
      <c r="GO152">
        <v>23.904299999999999</v>
      </c>
      <c r="GP152">
        <v>800</v>
      </c>
      <c r="GQ152">
        <v>9.2918299999999991</v>
      </c>
      <c r="GR152">
        <v>99.770399999999995</v>
      </c>
      <c r="GS152">
        <v>99.639499999999998</v>
      </c>
    </row>
    <row r="153" spans="1:201" x14ac:dyDescent="0.25">
      <c r="A153">
        <v>137</v>
      </c>
      <c r="B153">
        <v>1690231055</v>
      </c>
      <c r="C153">
        <v>1549.900000095367</v>
      </c>
      <c r="D153" t="s">
        <v>607</v>
      </c>
      <c r="E153" t="s">
        <v>608</v>
      </c>
      <c r="F153" t="s">
        <v>330</v>
      </c>
      <c r="H153">
        <v>1690231055</v>
      </c>
      <c r="I153">
        <f t="shared" si="60"/>
        <v>1.3064163137262452E-3</v>
      </c>
      <c r="J153">
        <f t="shared" si="61"/>
        <v>1.3064163137262452</v>
      </c>
      <c r="K153">
        <f t="shared" si="62"/>
        <v>21.330656362131538</v>
      </c>
      <c r="L153">
        <f t="shared" si="63"/>
        <v>568.40099999999995</v>
      </c>
      <c r="M153">
        <f t="shared" si="64"/>
        <v>164.20727223593545</v>
      </c>
      <c r="N153">
        <f t="shared" si="65"/>
        <v>16.279120783479076</v>
      </c>
      <c r="O153">
        <f t="shared" si="66"/>
        <v>56.349931440035995</v>
      </c>
      <c r="P153">
        <f t="shared" si="67"/>
        <v>8.7988967234509441E-2</v>
      </c>
      <c r="Q153">
        <f t="shared" si="68"/>
        <v>2.1770588838203491</v>
      </c>
      <c r="R153">
        <f t="shared" si="69"/>
        <v>8.6060021711947265E-2</v>
      </c>
      <c r="S153">
        <f t="shared" si="70"/>
        <v>5.39572995899429E-2</v>
      </c>
      <c r="T153">
        <f t="shared" si="71"/>
        <v>276.11630611199996</v>
      </c>
      <c r="U153">
        <f t="shared" si="72"/>
        <v>27.586555498412412</v>
      </c>
      <c r="V153">
        <f t="shared" si="73"/>
        <v>27.586555498412412</v>
      </c>
      <c r="W153">
        <f t="shared" si="74"/>
        <v>3.7043309584103321</v>
      </c>
      <c r="X153">
        <f t="shared" si="75"/>
        <v>66.949877918971893</v>
      </c>
      <c r="Y153">
        <f t="shared" si="76"/>
        <v>2.2445454753852001</v>
      </c>
      <c r="Z153">
        <f t="shared" si="77"/>
        <v>3.3525759047712214</v>
      </c>
      <c r="AA153">
        <f t="shared" si="78"/>
        <v>1.459785483025132</v>
      </c>
      <c r="AB153">
        <f t="shared" si="79"/>
        <v>-57.612959435327411</v>
      </c>
      <c r="AC153">
        <f t="shared" si="80"/>
        <v>-198.99493119876826</v>
      </c>
      <c r="AD153">
        <f t="shared" si="81"/>
        <v>-19.675035904724183</v>
      </c>
      <c r="AE153">
        <f t="shared" si="82"/>
        <v>-0.16662042681986122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52515.275299586167</v>
      </c>
      <c r="AK153">
        <f t="shared" si="86"/>
        <v>1800</v>
      </c>
      <c r="AL153">
        <f t="shared" si="87"/>
        <v>1499.1138071999999</v>
      </c>
      <c r="AM153">
        <f t="shared" si="88"/>
        <v>0.83284100399999994</v>
      </c>
      <c r="AN153">
        <f t="shared" si="89"/>
        <v>0.15339794783999999</v>
      </c>
      <c r="AO153">
        <v>31.5</v>
      </c>
      <c r="AP153">
        <v>0.5</v>
      </c>
      <c r="AQ153" t="s">
        <v>331</v>
      </c>
      <c r="AR153">
        <v>2</v>
      </c>
      <c r="AS153">
        <v>1690231055</v>
      </c>
      <c r="AT153">
        <v>568.40099999999995</v>
      </c>
      <c r="AU153">
        <v>800.04399999999998</v>
      </c>
      <c r="AV153">
        <v>22.640699999999999</v>
      </c>
      <c r="AW153">
        <v>9.2411799999999999</v>
      </c>
      <c r="AX153">
        <v>568.44399999999996</v>
      </c>
      <c r="AY153">
        <v>22.4621</v>
      </c>
      <c r="AZ153">
        <v>300.16300000000001</v>
      </c>
      <c r="BA153">
        <v>99.037599999999998</v>
      </c>
      <c r="BB153">
        <v>0.100036</v>
      </c>
      <c r="BC153">
        <v>25.891100000000002</v>
      </c>
      <c r="BD153">
        <v>27.001899999999999</v>
      </c>
      <c r="BE153">
        <v>27.6098</v>
      </c>
      <c r="BF153">
        <v>0</v>
      </c>
      <c r="BG153">
        <v>0</v>
      </c>
      <c r="BH153">
        <v>9990.6200000000008</v>
      </c>
      <c r="BI153">
        <v>1063.67</v>
      </c>
      <c r="BJ153">
        <v>1.4577199999999999</v>
      </c>
      <c r="BK153">
        <v>-231.643</v>
      </c>
      <c r="BL153">
        <v>581.56799999999998</v>
      </c>
      <c r="BM153">
        <v>807.50599999999997</v>
      </c>
      <c r="BN153">
        <v>13.3995</v>
      </c>
      <c r="BO153">
        <v>800.04399999999998</v>
      </c>
      <c r="BP153">
        <v>9.2411799999999999</v>
      </c>
      <c r="BQ153">
        <v>2.2422800000000001</v>
      </c>
      <c r="BR153">
        <v>0.91522400000000004</v>
      </c>
      <c r="BS153">
        <v>19.267600000000002</v>
      </c>
      <c r="BT153">
        <v>5.6323800000000004</v>
      </c>
      <c r="BU153">
        <v>1800</v>
      </c>
      <c r="BV153">
        <v>0.90999399999999997</v>
      </c>
      <c r="BW153">
        <v>3.3990899999999998E-2</v>
      </c>
      <c r="BX153">
        <v>2.2007200000000001E-2</v>
      </c>
      <c r="BY153">
        <v>3.4008200000000002E-2</v>
      </c>
      <c r="BZ153">
        <v>25.958300000000001</v>
      </c>
      <c r="CA153">
        <v>33528.300000000003</v>
      </c>
      <c r="CB153">
        <v>1690229084.0999999</v>
      </c>
      <c r="CC153" t="s">
        <v>332</v>
      </c>
      <c r="CD153">
        <v>1690229084.0999999</v>
      </c>
      <c r="CE153">
        <v>1690229076.5999999</v>
      </c>
      <c r="CF153">
        <v>13</v>
      </c>
      <c r="CG153">
        <v>0.23300000000000001</v>
      </c>
      <c r="CH153">
        <v>-0.13100000000000001</v>
      </c>
      <c r="CI153">
        <v>-0.20599999999999999</v>
      </c>
      <c r="CJ153">
        <v>8.7999999999999995E-2</v>
      </c>
      <c r="CK153">
        <v>799</v>
      </c>
      <c r="CL153">
        <v>16</v>
      </c>
      <c r="CM153">
        <v>0.04</v>
      </c>
      <c r="CN153">
        <v>0.04</v>
      </c>
      <c r="CO153">
        <v>-229.76285365853661</v>
      </c>
      <c r="CP153">
        <v>-10.620857142857441</v>
      </c>
      <c r="CQ153">
        <v>1.048957893106776</v>
      </c>
      <c r="CR153">
        <v>-1</v>
      </c>
      <c r="CS153">
        <v>13.232753658536581</v>
      </c>
      <c r="CT153">
        <v>0.70730174216028519</v>
      </c>
      <c r="CU153">
        <v>7.0512791081670481E-2</v>
      </c>
      <c r="CV153">
        <v>-1</v>
      </c>
      <c r="CW153">
        <v>0</v>
      </c>
      <c r="CX153">
        <v>0</v>
      </c>
      <c r="CY153" t="s">
        <v>333</v>
      </c>
      <c r="CZ153">
        <v>2.3645999999999998</v>
      </c>
      <c r="DA153">
        <v>2.7138200000000001</v>
      </c>
      <c r="DB153">
        <v>0.115895</v>
      </c>
      <c r="DC153">
        <v>0.146097</v>
      </c>
      <c r="DD153">
        <v>0.10928</v>
      </c>
      <c r="DE153">
        <v>5.5628200000000003E-2</v>
      </c>
      <c r="DF153">
        <v>32292.3</v>
      </c>
      <c r="DG153">
        <v>27537.599999999999</v>
      </c>
      <c r="DH153">
        <v>31181.599999999999</v>
      </c>
      <c r="DI153">
        <v>28100.400000000001</v>
      </c>
      <c r="DJ153">
        <v>37708.9</v>
      </c>
      <c r="DK153">
        <v>37741.199999999997</v>
      </c>
      <c r="DL153">
        <v>44377.7</v>
      </c>
      <c r="DM153">
        <v>42595.4</v>
      </c>
      <c r="DN153">
        <v>1.4808300000000001</v>
      </c>
      <c r="DO153">
        <v>2.0413700000000001</v>
      </c>
      <c r="DP153">
        <v>0.134658</v>
      </c>
      <c r="DQ153">
        <v>0.18387700000000001</v>
      </c>
      <c r="DR153">
        <v>24.7957</v>
      </c>
      <c r="DS153">
        <v>24.598199999999999</v>
      </c>
      <c r="DT153">
        <v>48.6</v>
      </c>
      <c r="DU153">
        <v>29.2</v>
      </c>
      <c r="DV153">
        <v>19.966100000000001</v>
      </c>
      <c r="DW153">
        <v>62.139800000000001</v>
      </c>
      <c r="DX153">
        <v>36.939100000000003</v>
      </c>
      <c r="DY153">
        <v>1</v>
      </c>
      <c r="DZ153">
        <v>-9.5487799999999998E-2</v>
      </c>
      <c r="EA153">
        <v>0.13126599999999999</v>
      </c>
      <c r="EB153">
        <v>20.189399999999999</v>
      </c>
      <c r="EC153">
        <v>5.2408000000000001</v>
      </c>
      <c r="ED153">
        <v>12.039899999999999</v>
      </c>
      <c r="EE153">
        <v>5.0167000000000002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1.8692</v>
      </c>
      <c r="EN153">
        <v>1.8672200000000001</v>
      </c>
      <c r="EO153">
        <v>1.8633999999999999</v>
      </c>
      <c r="EP153">
        <v>1.86449</v>
      </c>
      <c r="EQ153">
        <v>1.8701300000000001</v>
      </c>
      <c r="ER153">
        <v>1.86941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-4.2999999999999997E-2</v>
      </c>
      <c r="FG153">
        <v>0.17860000000000001</v>
      </c>
      <c r="FH153">
        <v>0.3448811944559278</v>
      </c>
      <c r="FI153">
        <v>-6.1462078757559423E-4</v>
      </c>
      <c r="FJ153">
        <v>-1.8861989874597051E-7</v>
      </c>
      <c r="FK153">
        <v>1.1980462299894961E-10</v>
      </c>
      <c r="FL153">
        <v>0.17862261546663211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32.799999999999997</v>
      </c>
      <c r="FU153">
        <v>33</v>
      </c>
      <c r="FV153">
        <v>1.7748999999999999</v>
      </c>
      <c r="FW153">
        <v>2.5878899999999998</v>
      </c>
      <c r="FX153">
        <v>1.5490699999999999</v>
      </c>
      <c r="FY153">
        <v>2.32666</v>
      </c>
      <c r="FZ153">
        <v>1.50146</v>
      </c>
      <c r="GA153">
        <v>2.3840300000000001</v>
      </c>
      <c r="GB153">
        <v>33.918700000000001</v>
      </c>
      <c r="GC153">
        <v>23.991199999999999</v>
      </c>
      <c r="GD153">
        <v>19</v>
      </c>
      <c r="GE153">
        <v>284.863</v>
      </c>
      <c r="GF153">
        <v>587.39400000000001</v>
      </c>
      <c r="GG153">
        <v>23.919899999999998</v>
      </c>
      <c r="GH153">
        <v>26.186800000000002</v>
      </c>
      <c r="GI153">
        <v>29.9998</v>
      </c>
      <c r="GJ153">
        <v>26.352599999999999</v>
      </c>
      <c r="GK153">
        <v>26.346499999999999</v>
      </c>
      <c r="GL153">
        <v>35.479799999999997</v>
      </c>
      <c r="GM153">
        <v>54.643099999999997</v>
      </c>
      <c r="GN153">
        <v>67.299499999999995</v>
      </c>
      <c r="GO153">
        <v>23.9222</v>
      </c>
      <c r="GP153">
        <v>800</v>
      </c>
      <c r="GQ153">
        <v>9.1658100000000005</v>
      </c>
      <c r="GR153">
        <v>99.772199999999998</v>
      </c>
      <c r="GS153">
        <v>99.640900000000002</v>
      </c>
    </row>
    <row r="154" spans="1:201" x14ac:dyDescent="0.25">
      <c r="A154">
        <v>138</v>
      </c>
      <c r="B154">
        <v>1690231065</v>
      </c>
      <c r="C154">
        <v>1559.900000095367</v>
      </c>
      <c r="D154" t="s">
        <v>609</v>
      </c>
      <c r="E154" t="s">
        <v>610</v>
      </c>
      <c r="F154" t="s">
        <v>330</v>
      </c>
      <c r="H154">
        <v>1690231065</v>
      </c>
      <c r="I154">
        <f t="shared" si="60"/>
        <v>1.3168605218097256E-3</v>
      </c>
      <c r="J154">
        <f t="shared" si="61"/>
        <v>1.3168605218097256</v>
      </c>
      <c r="K154">
        <f t="shared" si="62"/>
        <v>21.508082243161876</v>
      </c>
      <c r="L154">
        <f t="shared" si="63"/>
        <v>566.63</v>
      </c>
      <c r="M154">
        <f t="shared" si="64"/>
        <v>161.97432232771922</v>
      </c>
      <c r="N154">
        <f t="shared" si="65"/>
        <v>16.057556715136663</v>
      </c>
      <c r="O154">
        <f t="shared" si="66"/>
        <v>56.173677597419996</v>
      </c>
      <c r="P154">
        <f t="shared" si="67"/>
        <v>8.8622918445713406E-2</v>
      </c>
      <c r="Q154">
        <f t="shared" si="68"/>
        <v>2.1737006542019421</v>
      </c>
      <c r="R154">
        <f t="shared" si="69"/>
        <v>8.6663459389724057E-2</v>
      </c>
      <c r="S154">
        <f t="shared" si="70"/>
        <v>5.4337103345960813E-2</v>
      </c>
      <c r="T154">
        <f t="shared" si="71"/>
        <v>276.11467408706631</v>
      </c>
      <c r="U154">
        <f t="shared" si="72"/>
        <v>27.59413568880381</v>
      </c>
      <c r="V154">
        <f t="shared" si="73"/>
        <v>27.59413568880381</v>
      </c>
      <c r="W154">
        <f t="shared" si="74"/>
        <v>3.7059732604484159</v>
      </c>
      <c r="X154">
        <f t="shared" si="75"/>
        <v>66.92246126206534</v>
      </c>
      <c r="Y154">
        <f t="shared" si="76"/>
        <v>2.2447958432789998</v>
      </c>
      <c r="Z154">
        <f t="shared" si="77"/>
        <v>3.3543234975899652</v>
      </c>
      <c r="AA154">
        <f t="shared" si="78"/>
        <v>1.4611774171694161</v>
      </c>
      <c r="AB154">
        <f t="shared" si="79"/>
        <v>-58.0735490118089</v>
      </c>
      <c r="AC154">
        <f t="shared" si="80"/>
        <v>-198.54502316894562</v>
      </c>
      <c r="AD154">
        <f t="shared" si="81"/>
        <v>-19.662491993055593</v>
      </c>
      <c r="AE154">
        <f t="shared" si="82"/>
        <v>-0.16639008674380307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52374.365961133124</v>
      </c>
      <c r="AK154">
        <f t="shared" si="86"/>
        <v>1799.99</v>
      </c>
      <c r="AL154">
        <f t="shared" si="87"/>
        <v>1499.1050611922799</v>
      </c>
      <c r="AM154">
        <f t="shared" si="88"/>
        <v>0.83284077199999995</v>
      </c>
      <c r="AN154">
        <f t="shared" si="89"/>
        <v>0.15339789337000001</v>
      </c>
      <c r="AO154">
        <v>31.5</v>
      </c>
      <c r="AP154">
        <v>0.5</v>
      </c>
      <c r="AQ154" t="s">
        <v>331</v>
      </c>
      <c r="AR154">
        <v>2</v>
      </c>
      <c r="AS154">
        <v>1690231065</v>
      </c>
      <c r="AT154">
        <v>566.63</v>
      </c>
      <c r="AU154">
        <v>800.13</v>
      </c>
      <c r="AV154">
        <v>22.6435</v>
      </c>
      <c r="AW154">
        <v>9.1393699999999995</v>
      </c>
      <c r="AX154">
        <v>566.67200000000003</v>
      </c>
      <c r="AY154">
        <v>22.4649</v>
      </c>
      <c r="AZ154">
        <v>300.21800000000002</v>
      </c>
      <c r="BA154">
        <v>99.0364</v>
      </c>
      <c r="BB154">
        <v>0.100034</v>
      </c>
      <c r="BC154">
        <v>25.899899999999999</v>
      </c>
      <c r="BD154">
        <v>27.011099999999999</v>
      </c>
      <c r="BE154">
        <v>27.588000000000001</v>
      </c>
      <c r="BF154">
        <v>0</v>
      </c>
      <c r="BG154">
        <v>0</v>
      </c>
      <c r="BH154">
        <v>9963.1200000000008</v>
      </c>
      <c r="BI154">
        <v>1063.8399999999999</v>
      </c>
      <c r="BJ154">
        <v>1.4577199999999999</v>
      </c>
      <c r="BK154">
        <v>-233.5</v>
      </c>
      <c r="BL154">
        <v>579.75800000000004</v>
      </c>
      <c r="BM154">
        <v>807.51</v>
      </c>
      <c r="BN154">
        <v>13.504099999999999</v>
      </c>
      <c r="BO154">
        <v>800.13</v>
      </c>
      <c r="BP154">
        <v>9.1393699999999995</v>
      </c>
      <c r="BQ154">
        <v>2.2425299999999999</v>
      </c>
      <c r="BR154">
        <v>0.90512999999999999</v>
      </c>
      <c r="BS154">
        <v>19.269400000000001</v>
      </c>
      <c r="BT154">
        <v>5.4725700000000002</v>
      </c>
      <c r="BU154">
        <v>1799.99</v>
      </c>
      <c r="BV154">
        <v>0.90999399999999997</v>
      </c>
      <c r="BW154">
        <v>3.3990800000000002E-2</v>
      </c>
      <c r="BX154">
        <v>2.2007100000000002E-2</v>
      </c>
      <c r="BY154">
        <v>3.4008099999999999E-2</v>
      </c>
      <c r="BZ154">
        <v>25.875</v>
      </c>
      <c r="CA154">
        <v>33528.199999999997</v>
      </c>
      <c r="CB154">
        <v>1690229084.0999999</v>
      </c>
      <c r="CC154" t="s">
        <v>332</v>
      </c>
      <c r="CD154">
        <v>1690229084.0999999</v>
      </c>
      <c r="CE154">
        <v>1690229076.5999999</v>
      </c>
      <c r="CF154">
        <v>13</v>
      </c>
      <c r="CG154">
        <v>0.23300000000000001</v>
      </c>
      <c r="CH154">
        <v>-0.13100000000000001</v>
      </c>
      <c r="CI154">
        <v>-0.20599999999999999</v>
      </c>
      <c r="CJ154">
        <v>8.7999999999999995E-2</v>
      </c>
      <c r="CK154">
        <v>799</v>
      </c>
      <c r="CL154">
        <v>16</v>
      </c>
      <c r="CM154">
        <v>0.04</v>
      </c>
      <c r="CN154">
        <v>0.04</v>
      </c>
      <c r="CO154">
        <v>-231.50858536585369</v>
      </c>
      <c r="CP154">
        <v>-10.508466898954831</v>
      </c>
      <c r="CQ154">
        <v>1.0378073268149139</v>
      </c>
      <c r="CR154">
        <v>-1</v>
      </c>
      <c r="CS154">
        <v>13.36280975609756</v>
      </c>
      <c r="CT154">
        <v>0.81662508710805737</v>
      </c>
      <c r="CU154">
        <v>8.1418892171163562E-2</v>
      </c>
      <c r="CV154">
        <v>-1</v>
      </c>
      <c r="CW154">
        <v>0</v>
      </c>
      <c r="CX154">
        <v>0</v>
      </c>
      <c r="CY154" t="s">
        <v>333</v>
      </c>
      <c r="CZ154">
        <v>2.3647800000000001</v>
      </c>
      <c r="DA154">
        <v>2.7137899999999999</v>
      </c>
      <c r="DB154">
        <v>0.115637</v>
      </c>
      <c r="DC154">
        <v>0.14610600000000001</v>
      </c>
      <c r="DD154">
        <v>0.10929</v>
      </c>
      <c r="DE154">
        <v>5.5151400000000003E-2</v>
      </c>
      <c r="DF154">
        <v>32301.8</v>
      </c>
      <c r="DG154">
        <v>27537.7</v>
      </c>
      <c r="DH154">
        <v>31181.7</v>
      </c>
      <c r="DI154">
        <v>28100.799999999999</v>
      </c>
      <c r="DJ154">
        <v>37708.400000000001</v>
      </c>
      <c r="DK154">
        <v>37760.800000000003</v>
      </c>
      <c r="DL154">
        <v>44377.599999999999</v>
      </c>
      <c r="DM154">
        <v>42596</v>
      </c>
      <c r="DN154">
        <v>1.4810000000000001</v>
      </c>
      <c r="DO154">
        <v>2.04128</v>
      </c>
      <c r="DP154">
        <v>0.13503100000000001</v>
      </c>
      <c r="DQ154">
        <v>0.18229300000000001</v>
      </c>
      <c r="DR154">
        <v>24.7988</v>
      </c>
      <c r="DS154">
        <v>24.602399999999999</v>
      </c>
      <c r="DT154">
        <v>48.3</v>
      </c>
      <c r="DU154">
        <v>29.2</v>
      </c>
      <c r="DV154">
        <v>19.840199999999999</v>
      </c>
      <c r="DW154">
        <v>62.069800000000001</v>
      </c>
      <c r="DX154">
        <v>35.8093</v>
      </c>
      <c r="DY154">
        <v>1</v>
      </c>
      <c r="DZ154">
        <v>-9.5739299999999999E-2</v>
      </c>
      <c r="EA154">
        <v>0.16889399999999999</v>
      </c>
      <c r="EB154">
        <v>20.189299999999999</v>
      </c>
      <c r="EC154">
        <v>5.2409499999999998</v>
      </c>
      <c r="ED154">
        <v>12.039899999999999</v>
      </c>
      <c r="EE154">
        <v>5.0167999999999999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1.8689100000000001</v>
      </c>
      <c r="EL154">
        <v>1.8646199999999999</v>
      </c>
      <c r="EM154">
        <v>1.8691899999999999</v>
      </c>
      <c r="EN154">
        <v>1.8672200000000001</v>
      </c>
      <c r="EO154">
        <v>1.8633900000000001</v>
      </c>
      <c r="EP154">
        <v>1.86449</v>
      </c>
      <c r="EQ154">
        <v>1.87015</v>
      </c>
      <c r="ER154">
        <v>1.8694500000000001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-4.2000000000000003E-2</v>
      </c>
      <c r="FG154">
        <v>0.17860000000000001</v>
      </c>
      <c r="FH154">
        <v>0.3448811944559278</v>
      </c>
      <c r="FI154">
        <v>-6.1462078757559423E-4</v>
      </c>
      <c r="FJ154">
        <v>-1.8861989874597051E-7</v>
      </c>
      <c r="FK154">
        <v>1.1980462299894961E-10</v>
      </c>
      <c r="FL154">
        <v>0.17862261546663211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33</v>
      </c>
      <c r="FU154">
        <v>33.1</v>
      </c>
      <c r="FV154">
        <v>1.7736799999999999</v>
      </c>
      <c r="FW154">
        <v>2.5939899999999998</v>
      </c>
      <c r="FX154">
        <v>1.5490699999999999</v>
      </c>
      <c r="FY154">
        <v>2.32666</v>
      </c>
      <c r="FZ154">
        <v>1.50146</v>
      </c>
      <c r="GA154">
        <v>2.2839399999999999</v>
      </c>
      <c r="GB154">
        <v>33.918700000000001</v>
      </c>
      <c r="GC154">
        <v>23.982399999999998</v>
      </c>
      <c r="GD154">
        <v>19</v>
      </c>
      <c r="GE154">
        <v>284.91899999999998</v>
      </c>
      <c r="GF154">
        <v>587.26099999999997</v>
      </c>
      <c r="GG154">
        <v>23.934200000000001</v>
      </c>
      <c r="GH154">
        <v>26.182400000000001</v>
      </c>
      <c r="GI154">
        <v>29.9999</v>
      </c>
      <c r="GJ154">
        <v>26.348199999999999</v>
      </c>
      <c r="GK154">
        <v>26.342099999999999</v>
      </c>
      <c r="GL154">
        <v>35.472700000000003</v>
      </c>
      <c r="GM154">
        <v>54.934699999999999</v>
      </c>
      <c r="GN154">
        <v>66.508600000000001</v>
      </c>
      <c r="GO154">
        <v>23.942499999999999</v>
      </c>
      <c r="GP154">
        <v>800</v>
      </c>
      <c r="GQ154">
        <v>9.0387699999999995</v>
      </c>
      <c r="GR154">
        <v>99.772199999999998</v>
      </c>
      <c r="GS154">
        <v>99.642300000000006</v>
      </c>
    </row>
    <row r="155" spans="1:201" x14ac:dyDescent="0.25">
      <c r="A155">
        <v>139</v>
      </c>
      <c r="B155">
        <v>1690231075</v>
      </c>
      <c r="C155">
        <v>1569.900000095367</v>
      </c>
      <c r="D155" t="s">
        <v>611</v>
      </c>
      <c r="E155" t="s">
        <v>612</v>
      </c>
      <c r="F155" t="s">
        <v>330</v>
      </c>
      <c r="H155">
        <v>1690231075</v>
      </c>
      <c r="I155">
        <f t="shared" si="60"/>
        <v>1.3316398988816025E-3</v>
      </c>
      <c r="J155">
        <f t="shared" si="61"/>
        <v>1.3316398988816025</v>
      </c>
      <c r="K155">
        <f t="shared" si="62"/>
        <v>21.651718171189394</v>
      </c>
      <c r="L155">
        <f t="shared" si="63"/>
        <v>564.947</v>
      </c>
      <c r="M155">
        <f t="shared" si="64"/>
        <v>162.32148224490035</v>
      </c>
      <c r="N155">
        <f t="shared" si="65"/>
        <v>16.091899980311762</v>
      </c>
      <c r="O155">
        <f t="shared" si="66"/>
        <v>56.006577148310896</v>
      </c>
      <c r="P155">
        <f t="shared" si="67"/>
        <v>8.9686962380301563E-2</v>
      </c>
      <c r="Q155">
        <f t="shared" si="68"/>
        <v>2.1778745083297411</v>
      </c>
      <c r="R155">
        <f t="shared" si="69"/>
        <v>8.7684494892883297E-2</v>
      </c>
      <c r="S155">
        <f t="shared" si="70"/>
        <v>5.4978999241503512E-2</v>
      </c>
      <c r="T155">
        <f t="shared" si="71"/>
        <v>276.1178690716394</v>
      </c>
      <c r="U155">
        <f t="shared" si="72"/>
        <v>27.591040334325832</v>
      </c>
      <c r="V155">
        <f t="shared" si="73"/>
        <v>27.591040334325832</v>
      </c>
      <c r="W155">
        <f t="shared" si="74"/>
        <v>3.7053025531982691</v>
      </c>
      <c r="X155">
        <f t="shared" si="75"/>
        <v>66.907174469892098</v>
      </c>
      <c r="Y155">
        <f t="shared" si="76"/>
        <v>2.2449343735314997</v>
      </c>
      <c r="Z155">
        <f t="shared" si="77"/>
        <v>3.355296933876216</v>
      </c>
      <c r="AA155">
        <f t="shared" si="78"/>
        <v>1.4603681796667694</v>
      </c>
      <c r="AB155">
        <f t="shared" si="79"/>
        <v>-58.725319540678669</v>
      </c>
      <c r="AC155">
        <f t="shared" si="80"/>
        <v>-197.98749836262894</v>
      </c>
      <c r="AD155">
        <f t="shared" si="81"/>
        <v>-19.569876978046999</v>
      </c>
      <c r="AE155">
        <f t="shared" si="82"/>
        <v>-0.16482580971518246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52546.708775213316</v>
      </c>
      <c r="AK155">
        <f t="shared" si="86"/>
        <v>1800.01</v>
      </c>
      <c r="AL155">
        <f t="shared" si="87"/>
        <v>1499.12226161074</v>
      </c>
      <c r="AM155">
        <f t="shared" si="88"/>
        <v>0.83284107399999996</v>
      </c>
      <c r="AN155">
        <f t="shared" si="89"/>
        <v>0.15339796393999999</v>
      </c>
      <c r="AO155">
        <v>31.5</v>
      </c>
      <c r="AP155">
        <v>0.5</v>
      </c>
      <c r="AQ155" t="s">
        <v>331</v>
      </c>
      <c r="AR155">
        <v>2</v>
      </c>
      <c r="AS155">
        <v>1690231075</v>
      </c>
      <c r="AT155">
        <v>564.947</v>
      </c>
      <c r="AU155">
        <v>800.11400000000003</v>
      </c>
      <c r="AV155">
        <v>22.645</v>
      </c>
      <c r="AW155">
        <v>8.9837799999999994</v>
      </c>
      <c r="AX155">
        <v>564.98800000000006</v>
      </c>
      <c r="AY155">
        <v>22.4664</v>
      </c>
      <c r="AZ155">
        <v>300.096</v>
      </c>
      <c r="BA155">
        <v>99.036000000000001</v>
      </c>
      <c r="BB155">
        <v>9.9984699999999996E-2</v>
      </c>
      <c r="BC155">
        <v>25.904800000000002</v>
      </c>
      <c r="BD155">
        <v>27.019200000000001</v>
      </c>
      <c r="BE155">
        <v>27.616700000000002</v>
      </c>
      <c r="BF155">
        <v>0</v>
      </c>
      <c r="BG155">
        <v>0</v>
      </c>
      <c r="BH155">
        <v>9997.5</v>
      </c>
      <c r="BI155">
        <v>1064</v>
      </c>
      <c r="BJ155">
        <v>1.4577199999999999</v>
      </c>
      <c r="BK155">
        <v>-235.167</v>
      </c>
      <c r="BL155">
        <v>578.03700000000003</v>
      </c>
      <c r="BM155">
        <v>807.36699999999996</v>
      </c>
      <c r="BN155">
        <v>13.661199999999999</v>
      </c>
      <c r="BO155">
        <v>800.11400000000003</v>
      </c>
      <c r="BP155">
        <v>8.9837799999999994</v>
      </c>
      <c r="BQ155">
        <v>2.2426699999999999</v>
      </c>
      <c r="BR155">
        <v>0.88971800000000001</v>
      </c>
      <c r="BS155">
        <v>19.270399999999999</v>
      </c>
      <c r="BT155">
        <v>5.2254899999999997</v>
      </c>
      <c r="BU155">
        <v>1800.01</v>
      </c>
      <c r="BV155">
        <v>0.90999399999999997</v>
      </c>
      <c r="BW155">
        <v>3.3991E-2</v>
      </c>
      <c r="BX155">
        <v>2.2007200000000001E-2</v>
      </c>
      <c r="BY155">
        <v>3.4008200000000002E-2</v>
      </c>
      <c r="BZ155">
        <v>25.666699999999999</v>
      </c>
      <c r="CA155">
        <v>33528.400000000001</v>
      </c>
      <c r="CB155">
        <v>1690229084.0999999</v>
      </c>
      <c r="CC155" t="s">
        <v>332</v>
      </c>
      <c r="CD155">
        <v>1690229084.0999999</v>
      </c>
      <c r="CE155">
        <v>1690229076.5999999</v>
      </c>
      <c r="CF155">
        <v>13</v>
      </c>
      <c r="CG155">
        <v>0.23300000000000001</v>
      </c>
      <c r="CH155">
        <v>-0.13100000000000001</v>
      </c>
      <c r="CI155">
        <v>-0.20599999999999999</v>
      </c>
      <c r="CJ155">
        <v>8.7999999999999995E-2</v>
      </c>
      <c r="CK155">
        <v>799</v>
      </c>
      <c r="CL155">
        <v>16</v>
      </c>
      <c r="CM155">
        <v>0.04</v>
      </c>
      <c r="CN155">
        <v>0.04</v>
      </c>
      <c r="CO155">
        <v>-233.1669</v>
      </c>
      <c r="CP155">
        <v>-9.9639624765476746</v>
      </c>
      <c r="CQ155">
        <v>0.9603196551148997</v>
      </c>
      <c r="CR155">
        <v>-1</v>
      </c>
      <c r="CS155">
        <v>13.491585000000001</v>
      </c>
      <c r="CT155">
        <v>0.69700637898687945</v>
      </c>
      <c r="CU155">
        <v>6.7469887913053445E-2</v>
      </c>
      <c r="CV155">
        <v>-1</v>
      </c>
      <c r="CW155">
        <v>0</v>
      </c>
      <c r="CX155">
        <v>0</v>
      </c>
      <c r="CY155" t="s">
        <v>333</v>
      </c>
      <c r="CZ155">
        <v>2.3643900000000002</v>
      </c>
      <c r="DA155">
        <v>2.7137699999999998</v>
      </c>
      <c r="DB155">
        <v>0.115394</v>
      </c>
      <c r="DC155">
        <v>0.14610200000000001</v>
      </c>
      <c r="DD155">
        <v>0.109296</v>
      </c>
      <c r="DE155">
        <v>5.4420000000000003E-2</v>
      </c>
      <c r="DF155">
        <v>32311.200000000001</v>
      </c>
      <c r="DG155">
        <v>27538.3</v>
      </c>
      <c r="DH155">
        <v>31182.1</v>
      </c>
      <c r="DI155">
        <v>28101.3</v>
      </c>
      <c r="DJ155">
        <v>37708.699999999997</v>
      </c>
      <c r="DK155">
        <v>37790.800000000003</v>
      </c>
      <c r="DL155">
        <v>44378.3</v>
      </c>
      <c r="DM155">
        <v>42596.800000000003</v>
      </c>
      <c r="DN155">
        <v>1.48075</v>
      </c>
      <c r="DO155">
        <v>2.0412499999999998</v>
      </c>
      <c r="DP155">
        <v>0.13551099999999999</v>
      </c>
      <c r="DQ155">
        <v>0.18382799999999999</v>
      </c>
      <c r="DR155">
        <v>24.799099999999999</v>
      </c>
      <c r="DS155">
        <v>24.606000000000002</v>
      </c>
      <c r="DT155">
        <v>48</v>
      </c>
      <c r="DU155">
        <v>29.2</v>
      </c>
      <c r="DV155">
        <v>19.719799999999999</v>
      </c>
      <c r="DW155">
        <v>61.9998</v>
      </c>
      <c r="DX155">
        <v>36.590499999999999</v>
      </c>
      <c r="DY155">
        <v>1</v>
      </c>
      <c r="DZ155">
        <v>-9.5436999999999994E-2</v>
      </c>
      <c r="EA155">
        <v>0.63194700000000004</v>
      </c>
      <c r="EB155">
        <v>20.1873</v>
      </c>
      <c r="EC155">
        <v>5.2404999999999999</v>
      </c>
      <c r="ED155">
        <v>12.039899999999999</v>
      </c>
      <c r="EE155">
        <v>5.0166500000000003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1.8646199999999999</v>
      </c>
      <c r="EM155">
        <v>1.8692</v>
      </c>
      <c r="EN155">
        <v>1.8672299999999999</v>
      </c>
      <c r="EO155">
        <v>1.8633900000000001</v>
      </c>
      <c r="EP155">
        <v>1.86449</v>
      </c>
      <c r="EQ155">
        <v>1.8701300000000001</v>
      </c>
      <c r="ER155">
        <v>1.8694500000000001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-4.1000000000000002E-2</v>
      </c>
      <c r="FG155">
        <v>0.17860000000000001</v>
      </c>
      <c r="FH155">
        <v>0.3448811944559278</v>
      </c>
      <c r="FI155">
        <v>-6.1462078757559423E-4</v>
      </c>
      <c r="FJ155">
        <v>-1.8861989874597051E-7</v>
      </c>
      <c r="FK155">
        <v>1.1980462299894961E-10</v>
      </c>
      <c r="FL155">
        <v>0.17862261546663211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33.200000000000003</v>
      </c>
      <c r="FU155">
        <v>33.299999999999997</v>
      </c>
      <c r="FV155">
        <v>1.7736799999999999</v>
      </c>
      <c r="FW155">
        <v>2.5817899999999998</v>
      </c>
      <c r="FX155">
        <v>1.5490699999999999</v>
      </c>
      <c r="FY155">
        <v>2.32666</v>
      </c>
      <c r="FZ155">
        <v>1.50146</v>
      </c>
      <c r="GA155">
        <v>2.36938</v>
      </c>
      <c r="GB155">
        <v>33.918700000000001</v>
      </c>
      <c r="GC155">
        <v>23.991199999999999</v>
      </c>
      <c r="GD155">
        <v>19</v>
      </c>
      <c r="GE155">
        <v>284.79199999999997</v>
      </c>
      <c r="GF155">
        <v>587.19000000000005</v>
      </c>
      <c r="GG155">
        <v>23.870100000000001</v>
      </c>
      <c r="GH155">
        <v>26.177900000000001</v>
      </c>
      <c r="GI155">
        <v>30.000299999999999</v>
      </c>
      <c r="GJ155">
        <v>26.343800000000002</v>
      </c>
      <c r="GK155">
        <v>26.337700000000002</v>
      </c>
      <c r="GL155">
        <v>35.468400000000003</v>
      </c>
      <c r="GM155">
        <v>55.225700000000003</v>
      </c>
      <c r="GN155">
        <v>66.112899999999996</v>
      </c>
      <c r="GO155">
        <v>23.7974</v>
      </c>
      <c r="GP155">
        <v>800</v>
      </c>
      <c r="GQ155">
        <v>8.9159900000000007</v>
      </c>
      <c r="GR155">
        <v>99.773799999999994</v>
      </c>
      <c r="GS155">
        <v>99.644099999999995</v>
      </c>
    </row>
    <row r="156" spans="1:201" x14ac:dyDescent="0.25">
      <c r="A156">
        <v>140</v>
      </c>
      <c r="B156">
        <v>1690231085</v>
      </c>
      <c r="C156">
        <v>1579.900000095367</v>
      </c>
      <c r="D156" t="s">
        <v>613</v>
      </c>
      <c r="E156" t="s">
        <v>614</v>
      </c>
      <c r="F156" t="s">
        <v>330</v>
      </c>
      <c r="H156">
        <v>1690231085</v>
      </c>
      <c r="I156">
        <f t="shared" si="60"/>
        <v>1.3357812902767589E-3</v>
      </c>
      <c r="J156">
        <f t="shared" si="61"/>
        <v>1.335781290276759</v>
      </c>
      <c r="K156">
        <f t="shared" si="62"/>
        <v>21.789481767223162</v>
      </c>
      <c r="L156">
        <f t="shared" si="63"/>
        <v>563.35299999999995</v>
      </c>
      <c r="M156">
        <f t="shared" si="64"/>
        <v>159.30442813961326</v>
      </c>
      <c r="N156">
        <f t="shared" si="65"/>
        <v>15.792639290296204</v>
      </c>
      <c r="O156">
        <f t="shared" si="66"/>
        <v>55.847981289692193</v>
      </c>
      <c r="P156">
        <f t="shared" si="67"/>
        <v>8.9927000696849793E-2</v>
      </c>
      <c r="Q156">
        <f t="shared" si="68"/>
        <v>2.1760406234531535</v>
      </c>
      <c r="R156">
        <f t="shared" si="69"/>
        <v>8.7912274071975036E-2</v>
      </c>
      <c r="S156">
        <f t="shared" si="70"/>
        <v>5.5122426990815335E-2</v>
      </c>
      <c r="T156">
        <f t="shared" si="71"/>
        <v>276.11612026199998</v>
      </c>
      <c r="U156">
        <f t="shared" si="72"/>
        <v>27.581617241076113</v>
      </c>
      <c r="V156">
        <f t="shared" si="73"/>
        <v>27.581617241076113</v>
      </c>
      <c r="W156">
        <f t="shared" si="74"/>
        <v>3.7032613915936246</v>
      </c>
      <c r="X156">
        <f t="shared" si="75"/>
        <v>66.860275550923888</v>
      </c>
      <c r="Y156">
        <f t="shared" si="76"/>
        <v>2.24212564418906</v>
      </c>
      <c r="Z156">
        <f t="shared" si="77"/>
        <v>3.3534496017464854</v>
      </c>
      <c r="AA156">
        <f t="shared" si="78"/>
        <v>1.4611357474045645</v>
      </c>
      <c r="AB156">
        <f t="shared" si="79"/>
        <v>-58.907954901205066</v>
      </c>
      <c r="AC156">
        <f t="shared" si="80"/>
        <v>-197.80634182836576</v>
      </c>
      <c r="AD156">
        <f t="shared" si="81"/>
        <v>-19.566614997981713</v>
      </c>
      <c r="AE156">
        <f t="shared" si="82"/>
        <v>-0.16479146555258239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52472.172870291783</v>
      </c>
      <c r="AK156">
        <f t="shared" si="86"/>
        <v>1800</v>
      </c>
      <c r="AL156">
        <f t="shared" si="87"/>
        <v>1499.1126822000001</v>
      </c>
      <c r="AM156">
        <f t="shared" si="88"/>
        <v>0.83284037900000008</v>
      </c>
      <c r="AN156">
        <f t="shared" si="89"/>
        <v>0.15339784459</v>
      </c>
      <c r="AO156">
        <v>31.5</v>
      </c>
      <c r="AP156">
        <v>0.5</v>
      </c>
      <c r="AQ156" t="s">
        <v>331</v>
      </c>
      <c r="AR156">
        <v>2</v>
      </c>
      <c r="AS156">
        <v>1690231085</v>
      </c>
      <c r="AT156">
        <v>563.35299999999995</v>
      </c>
      <c r="AU156">
        <v>799.93200000000002</v>
      </c>
      <c r="AV156">
        <v>22.616900000000001</v>
      </c>
      <c r="AW156">
        <v>8.9148999999999994</v>
      </c>
      <c r="AX156">
        <v>563.39200000000005</v>
      </c>
      <c r="AY156">
        <v>22.438300000000002</v>
      </c>
      <c r="AZ156">
        <v>300.142</v>
      </c>
      <c r="BA156">
        <v>99.034999999999997</v>
      </c>
      <c r="BB156">
        <v>9.9967399999999998E-2</v>
      </c>
      <c r="BC156">
        <v>25.895499999999998</v>
      </c>
      <c r="BD156">
        <v>26.979900000000001</v>
      </c>
      <c r="BE156">
        <v>27.617599999999999</v>
      </c>
      <c r="BF156">
        <v>0</v>
      </c>
      <c r="BG156">
        <v>0</v>
      </c>
      <c r="BH156">
        <v>9982.5</v>
      </c>
      <c r="BI156">
        <v>1064.21</v>
      </c>
      <c r="BJ156">
        <v>1.4016500000000001</v>
      </c>
      <c r="BK156">
        <v>-236.57900000000001</v>
      </c>
      <c r="BL156">
        <v>576.38900000000001</v>
      </c>
      <c r="BM156">
        <v>807.12699999999995</v>
      </c>
      <c r="BN156">
        <v>13.702</v>
      </c>
      <c r="BO156">
        <v>799.93200000000002</v>
      </c>
      <c r="BP156">
        <v>8.9148999999999994</v>
      </c>
      <c r="BQ156">
        <v>2.2398699999999998</v>
      </c>
      <c r="BR156">
        <v>0.88288699999999998</v>
      </c>
      <c r="BS156">
        <v>19.250399999999999</v>
      </c>
      <c r="BT156">
        <v>5.1147799999999997</v>
      </c>
      <c r="BU156">
        <v>1800</v>
      </c>
      <c r="BV156">
        <v>0.90999300000000005</v>
      </c>
      <c r="BW156">
        <v>3.3991100000000003E-2</v>
      </c>
      <c r="BX156">
        <v>2.2007200000000001E-2</v>
      </c>
      <c r="BY156">
        <v>3.4008299999999998E-2</v>
      </c>
      <c r="BZ156">
        <v>25.666699999999999</v>
      </c>
      <c r="CA156">
        <v>33528.300000000003</v>
      </c>
      <c r="CB156">
        <v>1690229084.0999999</v>
      </c>
      <c r="CC156" t="s">
        <v>332</v>
      </c>
      <c r="CD156">
        <v>1690229084.0999999</v>
      </c>
      <c r="CE156">
        <v>1690229076.5999999</v>
      </c>
      <c r="CF156">
        <v>13</v>
      </c>
      <c r="CG156">
        <v>0.23300000000000001</v>
      </c>
      <c r="CH156">
        <v>-0.13100000000000001</v>
      </c>
      <c r="CI156">
        <v>-0.20599999999999999</v>
      </c>
      <c r="CJ156">
        <v>8.7999999999999995E-2</v>
      </c>
      <c r="CK156">
        <v>799</v>
      </c>
      <c r="CL156">
        <v>16</v>
      </c>
      <c r="CM156">
        <v>0.04</v>
      </c>
      <c r="CN156">
        <v>0.04</v>
      </c>
      <c r="CO156">
        <v>-234.88351219512199</v>
      </c>
      <c r="CP156">
        <v>-9.8271846689896307</v>
      </c>
      <c r="CQ156">
        <v>0.97115676868540501</v>
      </c>
      <c r="CR156">
        <v>-1</v>
      </c>
      <c r="CS156">
        <v>13.617334146341459</v>
      </c>
      <c r="CT156">
        <v>0.69413101045299874</v>
      </c>
      <c r="CU156">
        <v>7.0394015161892462E-2</v>
      </c>
      <c r="CV156">
        <v>-1</v>
      </c>
      <c r="CW156">
        <v>0</v>
      </c>
      <c r="CX156">
        <v>0</v>
      </c>
      <c r="CY156" t="s">
        <v>333</v>
      </c>
      <c r="CZ156">
        <v>2.3645700000000001</v>
      </c>
      <c r="DA156">
        <v>2.71374</v>
      </c>
      <c r="DB156">
        <v>0.11516</v>
      </c>
      <c r="DC156">
        <v>0.14607700000000001</v>
      </c>
      <c r="DD156">
        <v>0.109199</v>
      </c>
      <c r="DE156">
        <v>5.4094299999999998E-2</v>
      </c>
      <c r="DF156">
        <v>32319.599999999999</v>
      </c>
      <c r="DG156">
        <v>27539.1</v>
      </c>
      <c r="DH156">
        <v>31182</v>
      </c>
      <c r="DI156">
        <v>28101.200000000001</v>
      </c>
      <c r="DJ156">
        <v>37712.9</v>
      </c>
      <c r="DK156">
        <v>37803.800000000003</v>
      </c>
      <c r="DL156">
        <v>44378.400000000001</v>
      </c>
      <c r="DM156">
        <v>42596.7</v>
      </c>
      <c r="DN156">
        <v>1.48085</v>
      </c>
      <c r="DO156">
        <v>2.0412499999999998</v>
      </c>
      <c r="DP156">
        <v>0.13297800000000001</v>
      </c>
      <c r="DQ156">
        <v>0.18366399999999999</v>
      </c>
      <c r="DR156">
        <v>24.801200000000001</v>
      </c>
      <c r="DS156">
        <v>24.6096</v>
      </c>
      <c r="DT156">
        <v>47.7</v>
      </c>
      <c r="DU156">
        <v>29.2</v>
      </c>
      <c r="DV156">
        <v>19.595800000000001</v>
      </c>
      <c r="DW156">
        <v>61.5398</v>
      </c>
      <c r="DX156">
        <v>37.091299999999997</v>
      </c>
      <c r="DY156">
        <v>1</v>
      </c>
      <c r="DZ156">
        <v>-9.5576700000000001E-2</v>
      </c>
      <c r="EA156">
        <v>0.39811299999999999</v>
      </c>
      <c r="EB156">
        <v>20.188600000000001</v>
      </c>
      <c r="EC156">
        <v>5.2408000000000001</v>
      </c>
      <c r="ED156">
        <v>12.039899999999999</v>
      </c>
      <c r="EE156">
        <v>5.0165499999999996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1.8646400000000001</v>
      </c>
      <c r="EM156">
        <v>1.8692</v>
      </c>
      <c r="EN156">
        <v>1.8672299999999999</v>
      </c>
      <c r="EO156">
        <v>1.8633999999999999</v>
      </c>
      <c r="EP156">
        <v>1.8644799999999999</v>
      </c>
      <c r="EQ156">
        <v>1.87015</v>
      </c>
      <c r="ER156">
        <v>1.8694599999999999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-3.9E-2</v>
      </c>
      <c r="FG156">
        <v>0.17860000000000001</v>
      </c>
      <c r="FH156">
        <v>0.3448811944559278</v>
      </c>
      <c r="FI156">
        <v>-6.1462078757559423E-4</v>
      </c>
      <c r="FJ156">
        <v>-1.8861989874597051E-7</v>
      </c>
      <c r="FK156">
        <v>1.1980462299894961E-10</v>
      </c>
      <c r="FL156">
        <v>0.17862261546663211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33.299999999999997</v>
      </c>
      <c r="FU156">
        <v>33.5</v>
      </c>
      <c r="FV156">
        <v>1.7736799999999999</v>
      </c>
      <c r="FW156">
        <v>2.5866699999999998</v>
      </c>
      <c r="FX156">
        <v>1.5490699999999999</v>
      </c>
      <c r="FY156">
        <v>2.32666</v>
      </c>
      <c r="FZ156">
        <v>1.50146</v>
      </c>
      <c r="GA156">
        <v>2.3852500000000001</v>
      </c>
      <c r="GB156">
        <v>33.918700000000001</v>
      </c>
      <c r="GC156">
        <v>23.982399999999998</v>
      </c>
      <c r="GD156">
        <v>19</v>
      </c>
      <c r="GE156">
        <v>284.815</v>
      </c>
      <c r="GF156">
        <v>587.14599999999996</v>
      </c>
      <c r="GG156">
        <v>23.7743</v>
      </c>
      <c r="GH156">
        <v>26.1736</v>
      </c>
      <c r="GI156">
        <v>30.0001</v>
      </c>
      <c r="GJ156">
        <v>26.339400000000001</v>
      </c>
      <c r="GK156">
        <v>26.3338</v>
      </c>
      <c r="GL156">
        <v>35.472700000000003</v>
      </c>
      <c r="GM156">
        <v>55.508299999999998</v>
      </c>
      <c r="GN156">
        <v>65.326499999999996</v>
      </c>
      <c r="GO156">
        <v>23.7866</v>
      </c>
      <c r="GP156">
        <v>800</v>
      </c>
      <c r="GQ156">
        <v>8.8157999999999994</v>
      </c>
      <c r="GR156">
        <v>99.773799999999994</v>
      </c>
      <c r="GS156">
        <v>99.644000000000005</v>
      </c>
    </row>
    <row r="157" spans="1:201" x14ac:dyDescent="0.25">
      <c r="A157">
        <v>141</v>
      </c>
      <c r="B157">
        <v>1690231095</v>
      </c>
      <c r="C157">
        <v>1589.900000095367</v>
      </c>
      <c r="D157" t="s">
        <v>615</v>
      </c>
      <c r="E157" t="s">
        <v>616</v>
      </c>
      <c r="F157" t="s">
        <v>330</v>
      </c>
      <c r="H157">
        <v>1690231095</v>
      </c>
      <c r="I157">
        <f t="shared" si="60"/>
        <v>1.3462704714828917E-3</v>
      </c>
      <c r="J157">
        <f t="shared" si="61"/>
        <v>1.3462704714828917</v>
      </c>
      <c r="K157">
        <f t="shared" si="62"/>
        <v>21.962664317910306</v>
      </c>
      <c r="L157">
        <f t="shared" si="63"/>
        <v>561.70600000000002</v>
      </c>
      <c r="M157">
        <f t="shared" si="64"/>
        <v>157.84811157792825</v>
      </c>
      <c r="N157">
        <f t="shared" si="65"/>
        <v>15.64867000282287</v>
      </c>
      <c r="O157">
        <f t="shared" si="66"/>
        <v>55.686138685708002</v>
      </c>
      <c r="P157">
        <f t="shared" si="67"/>
        <v>9.0690062589862841E-2</v>
      </c>
      <c r="Q157">
        <f t="shared" si="68"/>
        <v>2.1768305548390718</v>
      </c>
      <c r="R157">
        <f t="shared" si="69"/>
        <v>8.8642144524107735E-2</v>
      </c>
      <c r="S157">
        <f t="shared" si="70"/>
        <v>5.5581485933429792E-2</v>
      </c>
      <c r="T157">
        <f t="shared" si="71"/>
        <v>276.11633509199999</v>
      </c>
      <c r="U157">
        <f t="shared" si="72"/>
        <v>27.576273873901073</v>
      </c>
      <c r="V157">
        <f t="shared" si="73"/>
        <v>27.576273873901073</v>
      </c>
      <c r="W157">
        <f t="shared" si="74"/>
        <v>3.7021043864543821</v>
      </c>
      <c r="X157">
        <f t="shared" si="75"/>
        <v>66.848417144260353</v>
      </c>
      <c r="Y157">
        <f t="shared" si="76"/>
        <v>2.2415686782425999</v>
      </c>
      <c r="Z157">
        <f t="shared" si="77"/>
        <v>3.3532113010323723</v>
      </c>
      <c r="AA157">
        <f t="shared" si="78"/>
        <v>1.4605357082117822</v>
      </c>
      <c r="AB157">
        <f t="shared" si="79"/>
        <v>-59.370527792395521</v>
      </c>
      <c r="AC157">
        <f t="shared" si="80"/>
        <v>-197.39189379537913</v>
      </c>
      <c r="AD157">
        <f t="shared" si="81"/>
        <v>-19.517893238567211</v>
      </c>
      <c r="AE157">
        <f t="shared" si="82"/>
        <v>-0.16397973434192181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52505.22985608413</v>
      </c>
      <c r="AK157">
        <f t="shared" si="86"/>
        <v>1800</v>
      </c>
      <c r="AL157">
        <f t="shared" si="87"/>
        <v>1499.1139332</v>
      </c>
      <c r="AM157">
        <f t="shared" si="88"/>
        <v>0.83284107399999996</v>
      </c>
      <c r="AN157">
        <f t="shared" si="89"/>
        <v>0.15339796393999999</v>
      </c>
      <c r="AO157">
        <v>31.5</v>
      </c>
      <c r="AP157">
        <v>0.5</v>
      </c>
      <c r="AQ157" t="s">
        <v>331</v>
      </c>
      <c r="AR157">
        <v>2</v>
      </c>
      <c r="AS157">
        <v>1690231095</v>
      </c>
      <c r="AT157">
        <v>561.70600000000002</v>
      </c>
      <c r="AU157">
        <v>800.1</v>
      </c>
      <c r="AV157">
        <v>22.610700000000001</v>
      </c>
      <c r="AW157">
        <v>8.8034099999999995</v>
      </c>
      <c r="AX157">
        <v>561.745</v>
      </c>
      <c r="AY157">
        <v>22.432099999999998</v>
      </c>
      <c r="AZ157">
        <v>300.19400000000002</v>
      </c>
      <c r="BA157">
        <v>99.037499999999994</v>
      </c>
      <c r="BB157">
        <v>0.100018</v>
      </c>
      <c r="BC157">
        <v>25.894300000000001</v>
      </c>
      <c r="BD157">
        <v>26.974299999999999</v>
      </c>
      <c r="BE157">
        <v>27.601500000000001</v>
      </c>
      <c r="BF157">
        <v>0</v>
      </c>
      <c r="BG157">
        <v>0</v>
      </c>
      <c r="BH157">
        <v>9988.75</v>
      </c>
      <c r="BI157">
        <v>1064.3</v>
      </c>
      <c r="BJ157">
        <v>1.4016500000000001</v>
      </c>
      <c r="BK157">
        <v>-238.39400000000001</v>
      </c>
      <c r="BL157">
        <v>574.70100000000002</v>
      </c>
      <c r="BM157">
        <v>807.20600000000002</v>
      </c>
      <c r="BN157">
        <v>13.8073</v>
      </c>
      <c r="BO157">
        <v>800.1</v>
      </c>
      <c r="BP157">
        <v>8.8034099999999995</v>
      </c>
      <c r="BQ157">
        <v>2.2393100000000001</v>
      </c>
      <c r="BR157">
        <v>0.87186799999999998</v>
      </c>
      <c r="BS157">
        <v>19.246300000000002</v>
      </c>
      <c r="BT157">
        <v>4.9345800000000004</v>
      </c>
      <c r="BU157">
        <v>1800</v>
      </c>
      <c r="BV157">
        <v>0.90999399999999997</v>
      </c>
      <c r="BW157">
        <v>3.3991E-2</v>
      </c>
      <c r="BX157">
        <v>2.2007200000000001E-2</v>
      </c>
      <c r="BY157">
        <v>3.4008200000000002E-2</v>
      </c>
      <c r="BZ157">
        <v>25.666699999999999</v>
      </c>
      <c r="CA157">
        <v>33528.400000000001</v>
      </c>
      <c r="CB157">
        <v>1690229084.0999999</v>
      </c>
      <c r="CC157" t="s">
        <v>332</v>
      </c>
      <c r="CD157">
        <v>1690229084.0999999</v>
      </c>
      <c r="CE157">
        <v>1690229076.5999999</v>
      </c>
      <c r="CF157">
        <v>13</v>
      </c>
      <c r="CG157">
        <v>0.23300000000000001</v>
      </c>
      <c r="CH157">
        <v>-0.13100000000000001</v>
      </c>
      <c r="CI157">
        <v>-0.20599999999999999</v>
      </c>
      <c r="CJ157">
        <v>8.7999999999999995E-2</v>
      </c>
      <c r="CK157">
        <v>799</v>
      </c>
      <c r="CL157">
        <v>16</v>
      </c>
      <c r="CM157">
        <v>0.04</v>
      </c>
      <c r="CN157">
        <v>0.04</v>
      </c>
      <c r="CO157">
        <v>-236.50614634146339</v>
      </c>
      <c r="CP157">
        <v>-9.6140069686416201</v>
      </c>
      <c r="CQ157">
        <v>0.95102280142385687</v>
      </c>
      <c r="CR157">
        <v>-1</v>
      </c>
      <c r="CS157">
        <v>13.714858536585369</v>
      </c>
      <c r="CT157">
        <v>0.4236606271777183</v>
      </c>
      <c r="CU157">
        <v>4.2971045132852437E-2</v>
      </c>
      <c r="CV157">
        <v>-1</v>
      </c>
      <c r="CW157">
        <v>0</v>
      </c>
      <c r="CX157">
        <v>0</v>
      </c>
      <c r="CY157" t="s">
        <v>333</v>
      </c>
      <c r="CZ157">
        <v>2.3647200000000002</v>
      </c>
      <c r="DA157">
        <v>2.7138</v>
      </c>
      <c r="DB157">
        <v>0.114924</v>
      </c>
      <c r="DC157">
        <v>0.14610100000000001</v>
      </c>
      <c r="DD157">
        <v>0.109182</v>
      </c>
      <c r="DE157">
        <v>5.35676E-2</v>
      </c>
      <c r="DF157">
        <v>32328.400000000001</v>
      </c>
      <c r="DG157">
        <v>27538.6</v>
      </c>
      <c r="DH157">
        <v>31182.2</v>
      </c>
      <c r="DI157">
        <v>28101.599999999999</v>
      </c>
      <c r="DJ157">
        <v>37713.800000000003</v>
      </c>
      <c r="DK157">
        <v>37825.199999999997</v>
      </c>
      <c r="DL157">
        <v>44378.7</v>
      </c>
      <c r="DM157">
        <v>42597</v>
      </c>
      <c r="DN157">
        <v>1.48132</v>
      </c>
      <c r="DO157">
        <v>2.04067</v>
      </c>
      <c r="DP157">
        <v>0.13259099999999999</v>
      </c>
      <c r="DQ157">
        <v>0.18254999999999999</v>
      </c>
      <c r="DR157">
        <v>24.802</v>
      </c>
      <c r="DS157">
        <v>24.611699999999999</v>
      </c>
      <c r="DT157">
        <v>47.4</v>
      </c>
      <c r="DU157">
        <v>29.2</v>
      </c>
      <c r="DV157">
        <v>19.472999999999999</v>
      </c>
      <c r="DW157">
        <v>61.649799999999999</v>
      </c>
      <c r="DX157">
        <v>36.25</v>
      </c>
      <c r="DY157">
        <v>1</v>
      </c>
      <c r="DZ157">
        <v>-9.5846000000000001E-2</v>
      </c>
      <c r="EA157">
        <v>0.25474400000000003</v>
      </c>
      <c r="EB157">
        <v>20.189</v>
      </c>
      <c r="EC157">
        <v>5.2409499999999998</v>
      </c>
      <c r="ED157">
        <v>12.039899999999999</v>
      </c>
      <c r="EE157">
        <v>5.0168499999999998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1.86463</v>
      </c>
      <c r="EM157">
        <v>1.8692</v>
      </c>
      <c r="EN157">
        <v>1.8672299999999999</v>
      </c>
      <c r="EO157">
        <v>1.8633999999999999</v>
      </c>
      <c r="EP157">
        <v>1.8644700000000001</v>
      </c>
      <c r="EQ157">
        <v>1.87012</v>
      </c>
      <c r="ER157">
        <v>1.8694200000000001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-3.9E-2</v>
      </c>
      <c r="FG157">
        <v>0.17860000000000001</v>
      </c>
      <c r="FH157">
        <v>0.3448811944559278</v>
      </c>
      <c r="FI157">
        <v>-6.1462078757559423E-4</v>
      </c>
      <c r="FJ157">
        <v>-1.8861989874597051E-7</v>
      </c>
      <c r="FK157">
        <v>1.1980462299894961E-10</v>
      </c>
      <c r="FL157">
        <v>0.17862261546663211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33.5</v>
      </c>
      <c r="FU157">
        <v>33.6</v>
      </c>
      <c r="FV157">
        <v>1.7736799999999999</v>
      </c>
      <c r="FW157">
        <v>2.5915499999999998</v>
      </c>
      <c r="FX157">
        <v>1.5490699999999999</v>
      </c>
      <c r="FY157">
        <v>2.32666</v>
      </c>
      <c r="FZ157">
        <v>1.50146</v>
      </c>
      <c r="GA157">
        <v>2.3303199999999999</v>
      </c>
      <c r="GB157">
        <v>33.918700000000001</v>
      </c>
      <c r="GC157">
        <v>23.982399999999998</v>
      </c>
      <c r="GD157">
        <v>19</v>
      </c>
      <c r="GE157">
        <v>284.99900000000002</v>
      </c>
      <c r="GF157">
        <v>586.61900000000003</v>
      </c>
      <c r="GG157">
        <v>23.783799999999999</v>
      </c>
      <c r="GH157">
        <v>26.1692</v>
      </c>
      <c r="GI157">
        <v>29.9998</v>
      </c>
      <c r="GJ157">
        <v>26.334900000000001</v>
      </c>
      <c r="GK157">
        <v>26.3294</v>
      </c>
      <c r="GL157">
        <v>35.465800000000002</v>
      </c>
      <c r="GM157">
        <v>55.802700000000002</v>
      </c>
      <c r="GN157">
        <v>64.9255</v>
      </c>
      <c r="GO157">
        <v>23.809000000000001</v>
      </c>
      <c r="GP157">
        <v>800</v>
      </c>
      <c r="GQ157">
        <v>8.6968300000000003</v>
      </c>
      <c r="GR157">
        <v>99.774299999999997</v>
      </c>
      <c r="GS157">
        <v>99.644800000000004</v>
      </c>
    </row>
    <row r="158" spans="1:201" x14ac:dyDescent="0.25">
      <c r="A158">
        <v>142</v>
      </c>
      <c r="B158">
        <v>1690231105</v>
      </c>
      <c r="C158">
        <v>1599.900000095367</v>
      </c>
      <c r="D158" t="s">
        <v>617</v>
      </c>
      <c r="E158" t="s">
        <v>618</v>
      </c>
      <c r="F158" t="s">
        <v>330</v>
      </c>
      <c r="H158">
        <v>1690231105</v>
      </c>
      <c r="I158">
        <f t="shared" si="60"/>
        <v>1.3594507398994086E-3</v>
      </c>
      <c r="J158">
        <f t="shared" si="61"/>
        <v>1.3594507398994085</v>
      </c>
      <c r="K158">
        <f t="shared" si="62"/>
        <v>22.081825100159413</v>
      </c>
      <c r="L158">
        <f t="shared" si="63"/>
        <v>560.20500000000004</v>
      </c>
      <c r="M158">
        <f t="shared" si="64"/>
        <v>158.69329744801044</v>
      </c>
      <c r="N158">
        <f t="shared" si="65"/>
        <v>15.732008530664165</v>
      </c>
      <c r="O158">
        <f t="shared" si="66"/>
        <v>55.535740832457009</v>
      </c>
      <c r="P158">
        <f t="shared" si="67"/>
        <v>9.1742284275748223E-2</v>
      </c>
      <c r="Q158">
        <f t="shared" si="68"/>
        <v>2.1768727697463572</v>
      </c>
      <c r="R158">
        <f t="shared" si="69"/>
        <v>8.9647200059902177E-2</v>
      </c>
      <c r="S158">
        <f t="shared" si="70"/>
        <v>5.6213750104645938E-2</v>
      </c>
      <c r="T158">
        <f t="shared" si="71"/>
        <v>276.11625578400003</v>
      </c>
      <c r="U158">
        <f t="shared" si="72"/>
        <v>27.566840429760319</v>
      </c>
      <c r="V158">
        <f t="shared" si="73"/>
        <v>27.566840429760319</v>
      </c>
      <c r="W158">
        <f t="shared" si="74"/>
        <v>3.7000625225084969</v>
      </c>
      <c r="X158">
        <f t="shared" si="75"/>
        <v>66.874477069322339</v>
      </c>
      <c r="Y158">
        <f t="shared" si="76"/>
        <v>2.2417918956254401</v>
      </c>
      <c r="Z158">
        <f t="shared" si="77"/>
        <v>3.3522383932835695</v>
      </c>
      <c r="AA158">
        <f t="shared" si="78"/>
        <v>1.4582706268830568</v>
      </c>
      <c r="AB158">
        <f t="shared" si="79"/>
        <v>-59.951777629563921</v>
      </c>
      <c r="AC158">
        <f t="shared" si="80"/>
        <v>-196.86367875180221</v>
      </c>
      <c r="AD158">
        <f t="shared" si="81"/>
        <v>-19.46388939012698</v>
      </c>
      <c r="AE158">
        <f t="shared" si="82"/>
        <v>-0.16308998749306625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52507.783203036786</v>
      </c>
      <c r="AK158">
        <f t="shared" si="86"/>
        <v>1800</v>
      </c>
      <c r="AL158">
        <f t="shared" si="87"/>
        <v>1499.1139314</v>
      </c>
      <c r="AM158">
        <f t="shared" si="88"/>
        <v>0.83284107299999999</v>
      </c>
      <c r="AN158">
        <f t="shared" si="89"/>
        <v>0.15339791988000001</v>
      </c>
      <c r="AO158">
        <v>31.5</v>
      </c>
      <c r="AP158">
        <v>0.5</v>
      </c>
      <c r="AQ158" t="s">
        <v>331</v>
      </c>
      <c r="AR158">
        <v>2</v>
      </c>
      <c r="AS158">
        <v>1690231105</v>
      </c>
      <c r="AT158">
        <v>560.20500000000004</v>
      </c>
      <c r="AU158">
        <v>799.93600000000004</v>
      </c>
      <c r="AV158">
        <v>22.613600000000002</v>
      </c>
      <c r="AW158">
        <v>8.6694099999999992</v>
      </c>
      <c r="AX158">
        <v>560.24300000000005</v>
      </c>
      <c r="AY158">
        <v>22.434899999999999</v>
      </c>
      <c r="AZ158">
        <v>300.15600000000001</v>
      </c>
      <c r="BA158">
        <v>99.034700000000001</v>
      </c>
      <c r="BB158">
        <v>9.9975400000000006E-2</v>
      </c>
      <c r="BC158">
        <v>25.889399999999998</v>
      </c>
      <c r="BD158">
        <v>27.014900000000001</v>
      </c>
      <c r="BE158">
        <v>27.5868</v>
      </c>
      <c r="BF158">
        <v>0</v>
      </c>
      <c r="BG158">
        <v>0</v>
      </c>
      <c r="BH158">
        <v>9989.3799999999992</v>
      </c>
      <c r="BI158">
        <v>1064.3900000000001</v>
      </c>
      <c r="BJ158">
        <v>1.4016500000000001</v>
      </c>
      <c r="BK158">
        <v>-239.73</v>
      </c>
      <c r="BL158">
        <v>573.16700000000003</v>
      </c>
      <c r="BM158">
        <v>806.93100000000004</v>
      </c>
      <c r="BN158">
        <v>13.944100000000001</v>
      </c>
      <c r="BO158">
        <v>799.93600000000004</v>
      </c>
      <c r="BP158">
        <v>8.6694099999999992</v>
      </c>
      <c r="BQ158">
        <v>2.2395299999999998</v>
      </c>
      <c r="BR158">
        <v>0.858572</v>
      </c>
      <c r="BS158">
        <v>19.247900000000001</v>
      </c>
      <c r="BT158">
        <v>4.7144399999999997</v>
      </c>
      <c r="BU158">
        <v>1800</v>
      </c>
      <c r="BV158">
        <v>0.909995</v>
      </c>
      <c r="BW158">
        <v>3.3990600000000003E-2</v>
      </c>
      <c r="BX158">
        <v>2.2006899999999999E-2</v>
      </c>
      <c r="BY158">
        <v>3.4007799999999998E-2</v>
      </c>
      <c r="BZ158">
        <v>25.666699999999999</v>
      </c>
      <c r="CA158">
        <v>33528.199999999997</v>
      </c>
      <c r="CB158">
        <v>1690229084.0999999</v>
      </c>
      <c r="CC158" t="s">
        <v>332</v>
      </c>
      <c r="CD158">
        <v>1690229084.0999999</v>
      </c>
      <c r="CE158">
        <v>1690229076.5999999</v>
      </c>
      <c r="CF158">
        <v>13</v>
      </c>
      <c r="CG158">
        <v>0.23300000000000001</v>
      </c>
      <c r="CH158">
        <v>-0.13100000000000001</v>
      </c>
      <c r="CI158">
        <v>-0.20599999999999999</v>
      </c>
      <c r="CJ158">
        <v>8.7999999999999995E-2</v>
      </c>
      <c r="CK158">
        <v>799</v>
      </c>
      <c r="CL158">
        <v>16</v>
      </c>
      <c r="CM158">
        <v>0.04</v>
      </c>
      <c r="CN158">
        <v>0.04</v>
      </c>
      <c r="CO158">
        <v>-238.07755</v>
      </c>
      <c r="CP158">
        <v>-9.8229118198864764</v>
      </c>
      <c r="CQ158">
        <v>0.9487329168422477</v>
      </c>
      <c r="CR158">
        <v>-1</v>
      </c>
      <c r="CS158">
        <v>13.805922499999999</v>
      </c>
      <c r="CT158">
        <v>0.74741651031894829</v>
      </c>
      <c r="CU158">
        <v>7.2949323120574588E-2</v>
      </c>
      <c r="CV158">
        <v>-1</v>
      </c>
      <c r="CW158">
        <v>0</v>
      </c>
      <c r="CX158">
        <v>0</v>
      </c>
      <c r="CY158" t="s">
        <v>333</v>
      </c>
      <c r="CZ158">
        <v>2.3646099999999999</v>
      </c>
      <c r="DA158">
        <v>2.7137600000000002</v>
      </c>
      <c r="DB158">
        <v>0.114702</v>
      </c>
      <c r="DC158">
        <v>0.14607600000000001</v>
      </c>
      <c r="DD158">
        <v>0.10919</v>
      </c>
      <c r="DE158">
        <v>5.29284E-2</v>
      </c>
      <c r="DF158">
        <v>32337</v>
      </c>
      <c r="DG158">
        <v>27540</v>
      </c>
      <c r="DH158">
        <v>31182.6</v>
      </c>
      <c r="DI158">
        <v>28102.1</v>
      </c>
      <c r="DJ158">
        <v>37714.199999999997</v>
      </c>
      <c r="DK158">
        <v>37851.5</v>
      </c>
      <c r="DL158">
        <v>44379.5</v>
      </c>
      <c r="DM158">
        <v>42597.9</v>
      </c>
      <c r="DN158">
        <v>1.48115</v>
      </c>
      <c r="DO158">
        <v>2.0408200000000001</v>
      </c>
      <c r="DP158">
        <v>0.13499700000000001</v>
      </c>
      <c r="DQ158">
        <v>0.18163799999999999</v>
      </c>
      <c r="DR158">
        <v>24.8033</v>
      </c>
      <c r="DS158">
        <v>24.611899999999999</v>
      </c>
      <c r="DT158">
        <v>47.2</v>
      </c>
      <c r="DU158">
        <v>29.2</v>
      </c>
      <c r="DV158">
        <v>19.3919</v>
      </c>
      <c r="DW158">
        <v>61.729799999999997</v>
      </c>
      <c r="DX158">
        <v>36.145800000000001</v>
      </c>
      <c r="DY158">
        <v>1</v>
      </c>
      <c r="DZ158">
        <v>-9.6862299999999998E-2</v>
      </c>
      <c r="EA158">
        <v>0.29072199999999998</v>
      </c>
      <c r="EB158">
        <v>20.1892</v>
      </c>
      <c r="EC158">
        <v>5.2416999999999998</v>
      </c>
      <c r="ED158">
        <v>12.039899999999999</v>
      </c>
      <c r="EE158">
        <v>5.0166000000000004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1.8692</v>
      </c>
      <c r="EN158">
        <v>1.8672200000000001</v>
      </c>
      <c r="EO158">
        <v>1.8633999999999999</v>
      </c>
      <c r="EP158">
        <v>1.8644700000000001</v>
      </c>
      <c r="EQ158">
        <v>1.8701300000000001</v>
      </c>
      <c r="ER158">
        <v>1.8694200000000001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-3.7999999999999999E-2</v>
      </c>
      <c r="FG158">
        <v>0.1787</v>
      </c>
      <c r="FH158">
        <v>0.3448811944559278</v>
      </c>
      <c r="FI158">
        <v>-6.1462078757559423E-4</v>
      </c>
      <c r="FJ158">
        <v>-1.8861989874597051E-7</v>
      </c>
      <c r="FK158">
        <v>1.1980462299894961E-10</v>
      </c>
      <c r="FL158">
        <v>0.17862261546663211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33.700000000000003</v>
      </c>
      <c r="FU158">
        <v>33.799999999999997</v>
      </c>
      <c r="FV158">
        <v>1.7736799999999999</v>
      </c>
      <c r="FW158">
        <v>2.5878899999999998</v>
      </c>
      <c r="FX158">
        <v>1.5490699999999999</v>
      </c>
      <c r="FY158">
        <v>2.3278799999999999</v>
      </c>
      <c r="FZ158">
        <v>1.50146</v>
      </c>
      <c r="GA158">
        <v>2.3315399999999999</v>
      </c>
      <c r="GB158">
        <v>33.896099999999997</v>
      </c>
      <c r="GC158">
        <v>23.982399999999998</v>
      </c>
      <c r="GD158">
        <v>19</v>
      </c>
      <c r="GE158">
        <v>284.90499999999997</v>
      </c>
      <c r="GF158">
        <v>586.68700000000001</v>
      </c>
      <c r="GG158">
        <v>23.803699999999999</v>
      </c>
      <c r="GH158">
        <v>26.164899999999999</v>
      </c>
      <c r="GI158">
        <v>29.9998</v>
      </c>
      <c r="GJ158">
        <v>26.3307</v>
      </c>
      <c r="GK158">
        <v>26.3245</v>
      </c>
      <c r="GL158">
        <v>35.462699999999998</v>
      </c>
      <c r="GM158">
        <v>55.802700000000002</v>
      </c>
      <c r="GN158">
        <v>64.136099999999999</v>
      </c>
      <c r="GO158">
        <v>23.782299999999999</v>
      </c>
      <c r="GP158">
        <v>800</v>
      </c>
      <c r="GQ158">
        <v>8.57883</v>
      </c>
      <c r="GR158">
        <v>99.775899999999993</v>
      </c>
      <c r="GS158">
        <v>99.646799999999999</v>
      </c>
    </row>
    <row r="159" spans="1:201" x14ac:dyDescent="0.25">
      <c r="A159">
        <v>143</v>
      </c>
      <c r="B159">
        <v>1690231115</v>
      </c>
      <c r="C159">
        <v>1609.900000095367</v>
      </c>
      <c r="D159" t="s">
        <v>619</v>
      </c>
      <c r="E159" t="s">
        <v>620</v>
      </c>
      <c r="F159" t="s">
        <v>330</v>
      </c>
      <c r="H159">
        <v>1690231115</v>
      </c>
      <c r="I159">
        <f t="shared" si="60"/>
        <v>1.3711535087091698E-3</v>
      </c>
      <c r="J159">
        <f t="shared" si="61"/>
        <v>1.3711535087091697</v>
      </c>
      <c r="K159">
        <f t="shared" si="62"/>
        <v>22.245464290729927</v>
      </c>
      <c r="L159">
        <f t="shared" si="63"/>
        <v>558.65099999999995</v>
      </c>
      <c r="M159">
        <f t="shared" si="64"/>
        <v>157.58190685989578</v>
      </c>
      <c r="N159">
        <f t="shared" si="65"/>
        <v>15.622004241918914</v>
      </c>
      <c r="O159">
        <f t="shared" si="66"/>
        <v>55.38229905741359</v>
      </c>
      <c r="P159">
        <f t="shared" si="67"/>
        <v>9.2534800643658432E-2</v>
      </c>
      <c r="Q159">
        <f t="shared" si="68"/>
        <v>2.1768097299565623</v>
      </c>
      <c r="R159">
        <f t="shared" si="69"/>
        <v>9.0403756012807396E-2</v>
      </c>
      <c r="S159">
        <f t="shared" si="70"/>
        <v>5.6689725813488245E-2</v>
      </c>
      <c r="T159">
        <f t="shared" si="71"/>
        <v>276.116071428</v>
      </c>
      <c r="U159">
        <f t="shared" si="72"/>
        <v>27.566572700366866</v>
      </c>
      <c r="V159">
        <f t="shared" si="73"/>
        <v>27.566572700366866</v>
      </c>
      <c r="W159">
        <f t="shared" si="74"/>
        <v>3.7000045869687552</v>
      </c>
      <c r="X159">
        <f t="shared" si="75"/>
        <v>66.850217540455475</v>
      </c>
      <c r="Y159">
        <f t="shared" si="76"/>
        <v>2.2414697546733597</v>
      </c>
      <c r="Z159">
        <f t="shared" si="77"/>
        <v>3.3529730151093351</v>
      </c>
      <c r="AA159">
        <f t="shared" si="78"/>
        <v>1.4585348322953955</v>
      </c>
      <c r="AB159">
        <f t="shared" si="79"/>
        <v>-60.467869734074391</v>
      </c>
      <c r="AC159">
        <f t="shared" si="80"/>
        <v>-196.39234029085105</v>
      </c>
      <c r="AD159">
        <f t="shared" si="81"/>
        <v>-19.41818335015838</v>
      </c>
      <c r="AE159">
        <f t="shared" si="82"/>
        <v>-0.16232194708379666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52504.539387592675</v>
      </c>
      <c r="AK159">
        <f t="shared" si="86"/>
        <v>1800</v>
      </c>
      <c r="AL159">
        <f t="shared" si="87"/>
        <v>1499.1131267999999</v>
      </c>
      <c r="AM159">
        <f t="shared" si="88"/>
        <v>0.83284062599999997</v>
      </c>
      <c r="AN159">
        <f t="shared" si="89"/>
        <v>0.15339781746</v>
      </c>
      <c r="AO159">
        <v>31.5</v>
      </c>
      <c r="AP159">
        <v>0.5</v>
      </c>
      <c r="AQ159" t="s">
        <v>331</v>
      </c>
      <c r="AR159">
        <v>2</v>
      </c>
      <c r="AS159">
        <v>1690231115</v>
      </c>
      <c r="AT159">
        <v>558.65099999999995</v>
      </c>
      <c r="AU159">
        <v>800.15300000000002</v>
      </c>
      <c r="AV159">
        <v>22.610099999999999</v>
      </c>
      <c r="AW159">
        <v>8.5454000000000008</v>
      </c>
      <c r="AX159">
        <v>558.68799999999999</v>
      </c>
      <c r="AY159">
        <v>22.4315</v>
      </c>
      <c r="AZ159">
        <v>300.14699999999999</v>
      </c>
      <c r="BA159">
        <v>99.035799999999995</v>
      </c>
      <c r="BB159">
        <v>9.9973599999999996E-2</v>
      </c>
      <c r="BC159">
        <v>25.8931</v>
      </c>
      <c r="BD159">
        <v>26.9679</v>
      </c>
      <c r="BE159">
        <v>27.5944</v>
      </c>
      <c r="BF159">
        <v>0</v>
      </c>
      <c r="BG159">
        <v>0</v>
      </c>
      <c r="BH159">
        <v>9988.75</v>
      </c>
      <c r="BI159">
        <v>1064.48</v>
      </c>
      <c r="BJ159">
        <v>1.4016500000000001</v>
      </c>
      <c r="BK159">
        <v>-241.50200000000001</v>
      </c>
      <c r="BL159">
        <v>571.57500000000005</v>
      </c>
      <c r="BM159">
        <v>807.05</v>
      </c>
      <c r="BN159">
        <v>14.0647</v>
      </c>
      <c r="BO159">
        <v>800.15300000000002</v>
      </c>
      <c r="BP159">
        <v>8.5454000000000008</v>
      </c>
      <c r="BQ159">
        <v>2.2392099999999999</v>
      </c>
      <c r="BR159">
        <v>0.84630099999999997</v>
      </c>
      <c r="BS159">
        <v>19.2456</v>
      </c>
      <c r="BT159">
        <v>4.5085800000000003</v>
      </c>
      <c r="BU159">
        <v>1800</v>
      </c>
      <c r="BV159">
        <v>0.909995</v>
      </c>
      <c r="BW159">
        <v>3.3990300000000001E-2</v>
      </c>
      <c r="BX159">
        <v>2.20068E-2</v>
      </c>
      <c r="BY159">
        <v>3.4007599999999999E-2</v>
      </c>
      <c r="BZ159">
        <v>25.666699999999999</v>
      </c>
      <c r="CA159">
        <v>33528.300000000003</v>
      </c>
      <c r="CB159">
        <v>1690229084.0999999</v>
      </c>
      <c r="CC159" t="s">
        <v>332</v>
      </c>
      <c r="CD159">
        <v>1690229084.0999999</v>
      </c>
      <c r="CE159">
        <v>1690229076.5999999</v>
      </c>
      <c r="CF159">
        <v>13</v>
      </c>
      <c r="CG159">
        <v>0.23300000000000001</v>
      </c>
      <c r="CH159">
        <v>-0.13100000000000001</v>
      </c>
      <c r="CI159">
        <v>-0.20599999999999999</v>
      </c>
      <c r="CJ159">
        <v>8.7999999999999995E-2</v>
      </c>
      <c r="CK159">
        <v>799</v>
      </c>
      <c r="CL159">
        <v>16</v>
      </c>
      <c r="CM159">
        <v>0.04</v>
      </c>
      <c r="CN159">
        <v>0.04</v>
      </c>
      <c r="CO159">
        <v>-239.6890243902439</v>
      </c>
      <c r="CP159">
        <v>-8.9692473867594575</v>
      </c>
      <c r="CQ159">
        <v>0.88656182945911488</v>
      </c>
      <c r="CR159">
        <v>-1</v>
      </c>
      <c r="CS159">
        <v>13.926439024390239</v>
      </c>
      <c r="CT159">
        <v>0.72770174216031924</v>
      </c>
      <c r="CU159">
        <v>7.2953289024799917E-2</v>
      </c>
      <c r="CV159">
        <v>-1</v>
      </c>
      <c r="CW159">
        <v>0</v>
      </c>
      <c r="CX159">
        <v>0</v>
      </c>
      <c r="CY159" t="s">
        <v>333</v>
      </c>
      <c r="CZ159">
        <v>2.3645800000000001</v>
      </c>
      <c r="DA159">
        <v>2.7137500000000001</v>
      </c>
      <c r="DB159">
        <v>0.114477</v>
      </c>
      <c r="DC159">
        <v>0.14610300000000001</v>
      </c>
      <c r="DD159">
        <v>0.10918</v>
      </c>
      <c r="DE159">
        <v>5.2335899999999998E-2</v>
      </c>
      <c r="DF159">
        <v>32345.3</v>
      </c>
      <c r="DG159">
        <v>27539.200000000001</v>
      </c>
      <c r="DH159">
        <v>31182.7</v>
      </c>
      <c r="DI159">
        <v>28102.2</v>
      </c>
      <c r="DJ159">
        <v>37714.6</v>
      </c>
      <c r="DK159">
        <v>37875.5</v>
      </c>
      <c r="DL159">
        <v>44379.5</v>
      </c>
      <c r="DM159">
        <v>42598.1</v>
      </c>
      <c r="DN159">
        <v>1.4815799999999999</v>
      </c>
      <c r="DO159">
        <v>2.0409000000000002</v>
      </c>
      <c r="DP159">
        <v>0.131994</v>
      </c>
      <c r="DQ159">
        <v>0.18198800000000001</v>
      </c>
      <c r="DR159">
        <v>24.805399999999999</v>
      </c>
      <c r="DS159">
        <v>24.613800000000001</v>
      </c>
      <c r="DT159">
        <v>46.9</v>
      </c>
      <c r="DU159">
        <v>29.2</v>
      </c>
      <c r="DV159">
        <v>19.268699999999999</v>
      </c>
      <c r="DW159">
        <v>62.169800000000002</v>
      </c>
      <c r="DX159">
        <v>37.103400000000001</v>
      </c>
      <c r="DY159">
        <v>1</v>
      </c>
      <c r="DZ159">
        <v>-9.6923300000000004E-2</v>
      </c>
      <c r="EA159">
        <v>0.27736899999999998</v>
      </c>
      <c r="EB159">
        <v>20.189</v>
      </c>
      <c r="EC159">
        <v>5.2411000000000003</v>
      </c>
      <c r="ED159">
        <v>12.039899999999999</v>
      </c>
      <c r="EE159">
        <v>5.0166000000000004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1.8689100000000001</v>
      </c>
      <c r="EL159">
        <v>1.8646199999999999</v>
      </c>
      <c r="EM159">
        <v>1.8691899999999999</v>
      </c>
      <c r="EN159">
        <v>1.8672299999999999</v>
      </c>
      <c r="EO159">
        <v>1.8633999999999999</v>
      </c>
      <c r="EP159">
        <v>1.8645</v>
      </c>
      <c r="EQ159">
        <v>1.87015</v>
      </c>
      <c r="ER159">
        <v>1.8694299999999999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-3.6999999999999998E-2</v>
      </c>
      <c r="FG159">
        <v>0.17860000000000001</v>
      </c>
      <c r="FH159">
        <v>0.3448811944559278</v>
      </c>
      <c r="FI159">
        <v>-6.1462078757559423E-4</v>
      </c>
      <c r="FJ159">
        <v>-1.8861989874597051E-7</v>
      </c>
      <c r="FK159">
        <v>1.1980462299894961E-10</v>
      </c>
      <c r="FL159">
        <v>0.17862261546663211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33.799999999999997</v>
      </c>
      <c r="FU159">
        <v>34</v>
      </c>
      <c r="FV159">
        <v>1.7736799999999999</v>
      </c>
      <c r="FW159">
        <v>2.5817899999999998</v>
      </c>
      <c r="FX159">
        <v>1.5490699999999999</v>
      </c>
      <c r="FY159">
        <v>2.32666</v>
      </c>
      <c r="FZ159">
        <v>1.50024</v>
      </c>
      <c r="GA159">
        <v>2.3913600000000002</v>
      </c>
      <c r="GB159">
        <v>33.896099999999997</v>
      </c>
      <c r="GC159">
        <v>23.991199999999999</v>
      </c>
      <c r="GD159">
        <v>19</v>
      </c>
      <c r="GE159">
        <v>285.06799999999998</v>
      </c>
      <c r="GF159">
        <v>586.69899999999996</v>
      </c>
      <c r="GG159">
        <v>23.7896</v>
      </c>
      <c r="GH159">
        <v>26.160499999999999</v>
      </c>
      <c r="GI159">
        <v>29.9999</v>
      </c>
      <c r="GJ159">
        <v>26.3263</v>
      </c>
      <c r="GK159">
        <v>26.3201</v>
      </c>
      <c r="GL159">
        <v>35.455199999999998</v>
      </c>
      <c r="GM159">
        <v>56.092799999999997</v>
      </c>
      <c r="GN159">
        <v>63.348500000000001</v>
      </c>
      <c r="GO159">
        <v>23.812200000000001</v>
      </c>
      <c r="GP159">
        <v>800</v>
      </c>
      <c r="GQ159">
        <v>8.4635400000000001</v>
      </c>
      <c r="GR159">
        <v>99.7761</v>
      </c>
      <c r="GS159">
        <v>99.647199999999998</v>
      </c>
    </row>
    <row r="160" spans="1:201" x14ac:dyDescent="0.25">
      <c r="A160">
        <v>144</v>
      </c>
      <c r="B160">
        <v>1690231125</v>
      </c>
      <c r="C160">
        <v>1619.900000095367</v>
      </c>
      <c r="D160" t="s">
        <v>621</v>
      </c>
      <c r="E160" t="s">
        <v>622</v>
      </c>
      <c r="F160" t="s">
        <v>330</v>
      </c>
      <c r="H160">
        <v>1690231125</v>
      </c>
      <c r="I160">
        <f t="shared" si="60"/>
        <v>1.3835446794642095E-3</v>
      </c>
      <c r="J160">
        <f t="shared" si="61"/>
        <v>1.3835446794642094</v>
      </c>
      <c r="K160">
        <f t="shared" si="62"/>
        <v>22.350367066468795</v>
      </c>
      <c r="L160">
        <f t="shared" si="63"/>
        <v>557.24900000000002</v>
      </c>
      <c r="M160">
        <f t="shared" si="64"/>
        <v>158.08894129937627</v>
      </c>
      <c r="N160">
        <f t="shared" si="65"/>
        <v>15.672338483332638</v>
      </c>
      <c r="O160">
        <f t="shared" si="66"/>
        <v>55.243553886290002</v>
      </c>
      <c r="P160">
        <f t="shared" si="67"/>
        <v>9.3437296444901882E-2</v>
      </c>
      <c r="Q160">
        <f t="shared" si="68"/>
        <v>2.1799264520573916</v>
      </c>
      <c r="R160">
        <f t="shared" si="69"/>
        <v>9.1268034542097018E-2</v>
      </c>
      <c r="S160">
        <f t="shared" si="70"/>
        <v>5.7233226546233376E-2</v>
      </c>
      <c r="T160">
        <f t="shared" si="71"/>
        <v>276.11625293999998</v>
      </c>
      <c r="U160">
        <f t="shared" si="72"/>
        <v>27.55966055053279</v>
      </c>
      <c r="V160">
        <f t="shared" si="73"/>
        <v>27.55966055053279</v>
      </c>
      <c r="W160">
        <f t="shared" si="74"/>
        <v>3.6985091001955461</v>
      </c>
      <c r="X160">
        <f t="shared" si="75"/>
        <v>66.829428641446356</v>
      </c>
      <c r="Y160">
        <f t="shared" si="76"/>
        <v>2.2407063592830001</v>
      </c>
      <c r="Z160">
        <f t="shared" si="77"/>
        <v>3.3528737336733059</v>
      </c>
      <c r="AA160">
        <f t="shared" si="78"/>
        <v>1.457802740912546</v>
      </c>
      <c r="AB160">
        <f t="shared" si="79"/>
        <v>-61.014320364371642</v>
      </c>
      <c r="AC160">
        <f t="shared" si="80"/>
        <v>-195.91994902310699</v>
      </c>
      <c r="AD160">
        <f t="shared" si="81"/>
        <v>-19.343061123733332</v>
      </c>
      <c r="AE160">
        <f t="shared" si="82"/>
        <v>-0.16107757121199029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52634.143275792921</v>
      </c>
      <c r="AK160">
        <f t="shared" si="86"/>
        <v>1800</v>
      </c>
      <c r="AL160">
        <f t="shared" si="87"/>
        <v>1499.1142589999999</v>
      </c>
      <c r="AM160">
        <f t="shared" si="88"/>
        <v>0.83284125499999995</v>
      </c>
      <c r="AN160">
        <f t="shared" si="89"/>
        <v>0.15339791829999999</v>
      </c>
      <c r="AO160">
        <v>31.5</v>
      </c>
      <c r="AP160">
        <v>0.5</v>
      </c>
      <c r="AQ160" t="s">
        <v>331</v>
      </c>
      <c r="AR160">
        <v>2</v>
      </c>
      <c r="AS160">
        <v>1690231125</v>
      </c>
      <c r="AT160">
        <v>557.24900000000002</v>
      </c>
      <c r="AU160">
        <v>799.93899999999996</v>
      </c>
      <c r="AV160">
        <v>22.6023</v>
      </c>
      <c r="AW160">
        <v>8.4083500000000004</v>
      </c>
      <c r="AX160">
        <v>557.28499999999997</v>
      </c>
      <c r="AY160">
        <v>22.4236</v>
      </c>
      <c r="AZ160">
        <v>300.10399999999998</v>
      </c>
      <c r="BA160">
        <v>99.036199999999994</v>
      </c>
      <c r="BB160">
        <v>0.10001</v>
      </c>
      <c r="BC160">
        <v>25.892600000000002</v>
      </c>
      <c r="BD160">
        <v>26.970199999999998</v>
      </c>
      <c r="BE160">
        <v>27.591999999999999</v>
      </c>
      <c r="BF160">
        <v>0</v>
      </c>
      <c r="BG160">
        <v>0</v>
      </c>
      <c r="BH160">
        <v>10014.4</v>
      </c>
      <c r="BI160">
        <v>1064.53</v>
      </c>
      <c r="BJ160">
        <v>1.4016500000000001</v>
      </c>
      <c r="BK160">
        <v>-242.69</v>
      </c>
      <c r="BL160">
        <v>570.13599999999997</v>
      </c>
      <c r="BM160">
        <v>806.72299999999996</v>
      </c>
      <c r="BN160">
        <v>14.193899999999999</v>
      </c>
      <c r="BO160">
        <v>799.93899999999996</v>
      </c>
      <c r="BP160">
        <v>8.4083500000000004</v>
      </c>
      <c r="BQ160">
        <v>2.2384400000000002</v>
      </c>
      <c r="BR160">
        <v>0.832731</v>
      </c>
      <c r="BS160">
        <v>19.240100000000002</v>
      </c>
      <c r="BT160">
        <v>4.2778299999999998</v>
      </c>
      <c r="BU160">
        <v>1800</v>
      </c>
      <c r="BV160">
        <v>0.90999600000000003</v>
      </c>
      <c r="BW160">
        <v>3.3990800000000002E-2</v>
      </c>
      <c r="BX160">
        <v>2.2006499999999998E-2</v>
      </c>
      <c r="BY160">
        <v>3.4007200000000001E-2</v>
      </c>
      <c r="BZ160">
        <v>25.666699999999999</v>
      </c>
      <c r="CA160">
        <v>33528.199999999997</v>
      </c>
      <c r="CB160">
        <v>1690229084.0999999</v>
      </c>
      <c r="CC160" t="s">
        <v>332</v>
      </c>
      <c r="CD160">
        <v>1690229084.0999999</v>
      </c>
      <c r="CE160">
        <v>1690229076.5999999</v>
      </c>
      <c r="CF160">
        <v>13</v>
      </c>
      <c r="CG160">
        <v>0.23300000000000001</v>
      </c>
      <c r="CH160">
        <v>-0.13100000000000001</v>
      </c>
      <c r="CI160">
        <v>-0.20599999999999999</v>
      </c>
      <c r="CJ160">
        <v>8.7999999999999995E-2</v>
      </c>
      <c r="CK160">
        <v>799</v>
      </c>
      <c r="CL160">
        <v>16</v>
      </c>
      <c r="CM160">
        <v>0.04</v>
      </c>
      <c r="CN160">
        <v>0.04</v>
      </c>
      <c r="CO160">
        <v>-241.19065853658529</v>
      </c>
      <c r="CP160">
        <v>-9.0906898954711775</v>
      </c>
      <c r="CQ160">
        <v>0.9003126993292222</v>
      </c>
      <c r="CR160">
        <v>-1</v>
      </c>
      <c r="CS160">
        <v>14.04449268292683</v>
      </c>
      <c r="CT160">
        <v>0.7287742160278512</v>
      </c>
      <c r="CU160">
        <v>7.2641664421150706E-2</v>
      </c>
      <c r="CV160">
        <v>-1</v>
      </c>
      <c r="CW160">
        <v>0</v>
      </c>
      <c r="CX160">
        <v>0</v>
      </c>
      <c r="CY160" t="s">
        <v>333</v>
      </c>
      <c r="CZ160">
        <v>2.3644500000000002</v>
      </c>
      <c r="DA160">
        <v>2.7138100000000001</v>
      </c>
      <c r="DB160">
        <v>0.114273</v>
      </c>
      <c r="DC160">
        <v>0.14607600000000001</v>
      </c>
      <c r="DD160">
        <v>0.109155</v>
      </c>
      <c r="DE160">
        <v>5.1677000000000001E-2</v>
      </c>
      <c r="DF160">
        <v>32353.1</v>
      </c>
      <c r="DG160">
        <v>27540.3</v>
      </c>
      <c r="DH160">
        <v>31183</v>
      </c>
      <c r="DI160">
        <v>28102.400000000001</v>
      </c>
      <c r="DJ160">
        <v>37716</v>
      </c>
      <c r="DK160">
        <v>37902.199999999997</v>
      </c>
      <c r="DL160">
        <v>44379.9</v>
      </c>
      <c r="DM160">
        <v>42598.400000000001</v>
      </c>
      <c r="DN160">
        <v>1.4812700000000001</v>
      </c>
      <c r="DO160">
        <v>2.0407000000000002</v>
      </c>
      <c r="DP160">
        <v>0.132132</v>
      </c>
      <c r="DQ160">
        <v>0.18182400000000001</v>
      </c>
      <c r="DR160">
        <v>24.805399999999999</v>
      </c>
      <c r="DS160">
        <v>24.614000000000001</v>
      </c>
      <c r="DT160">
        <v>46.6</v>
      </c>
      <c r="DU160">
        <v>29.2</v>
      </c>
      <c r="DV160">
        <v>19.143999999999998</v>
      </c>
      <c r="DW160">
        <v>61.6798</v>
      </c>
      <c r="DX160">
        <v>36.5946</v>
      </c>
      <c r="DY160">
        <v>1</v>
      </c>
      <c r="DZ160">
        <v>-9.7703200000000004E-2</v>
      </c>
      <c r="EA160">
        <v>0.18120600000000001</v>
      </c>
      <c r="EB160">
        <v>20.189299999999999</v>
      </c>
      <c r="EC160">
        <v>5.2413999999999996</v>
      </c>
      <c r="ED160">
        <v>12.039899999999999</v>
      </c>
      <c r="EE160">
        <v>5.0166000000000004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1.8646400000000001</v>
      </c>
      <c r="EM160">
        <v>1.86917</v>
      </c>
      <c r="EN160">
        <v>1.8672299999999999</v>
      </c>
      <c r="EO160">
        <v>1.8633999999999999</v>
      </c>
      <c r="EP160">
        <v>1.8644799999999999</v>
      </c>
      <c r="EQ160">
        <v>1.8701300000000001</v>
      </c>
      <c r="ER160">
        <v>1.8694299999999999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-3.5999999999999997E-2</v>
      </c>
      <c r="FG160">
        <v>0.1787</v>
      </c>
      <c r="FH160">
        <v>0.3448811944559278</v>
      </c>
      <c r="FI160">
        <v>-6.1462078757559423E-4</v>
      </c>
      <c r="FJ160">
        <v>-1.8861989874597051E-7</v>
      </c>
      <c r="FK160">
        <v>1.1980462299894961E-10</v>
      </c>
      <c r="FL160">
        <v>0.17862261546663211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34</v>
      </c>
      <c r="FU160">
        <v>34.1</v>
      </c>
      <c r="FV160">
        <v>1.7736799999999999</v>
      </c>
      <c r="FW160">
        <v>2.5854499999999998</v>
      </c>
      <c r="FX160">
        <v>1.5490699999999999</v>
      </c>
      <c r="FY160">
        <v>2.32666</v>
      </c>
      <c r="FZ160">
        <v>1.50146</v>
      </c>
      <c r="GA160">
        <v>2.3559600000000001</v>
      </c>
      <c r="GB160">
        <v>33.896099999999997</v>
      </c>
      <c r="GC160">
        <v>23.982399999999998</v>
      </c>
      <c r="GD160">
        <v>19</v>
      </c>
      <c r="GE160">
        <v>284.91899999999998</v>
      </c>
      <c r="GF160">
        <v>586.48299999999995</v>
      </c>
      <c r="GG160">
        <v>23.827100000000002</v>
      </c>
      <c r="GH160">
        <v>26.156099999999999</v>
      </c>
      <c r="GI160">
        <v>29.999700000000001</v>
      </c>
      <c r="GJ160">
        <v>26.3217</v>
      </c>
      <c r="GK160">
        <v>26.3157</v>
      </c>
      <c r="GL160">
        <v>35.459000000000003</v>
      </c>
      <c r="GM160">
        <v>56.378300000000003</v>
      </c>
      <c r="GN160">
        <v>62.956299999999999</v>
      </c>
      <c r="GO160">
        <v>23.855499999999999</v>
      </c>
      <c r="GP160">
        <v>800</v>
      </c>
      <c r="GQ160">
        <v>8.3526399999999992</v>
      </c>
      <c r="GR160">
        <v>99.777000000000001</v>
      </c>
      <c r="GS160">
        <v>99.647900000000007</v>
      </c>
    </row>
    <row r="161" spans="1:201" x14ac:dyDescent="0.25">
      <c r="A161">
        <v>145</v>
      </c>
      <c r="B161">
        <v>1690231135</v>
      </c>
      <c r="C161">
        <v>1629.900000095367</v>
      </c>
      <c r="D161" t="s">
        <v>623</v>
      </c>
      <c r="E161" t="s">
        <v>624</v>
      </c>
      <c r="F161" t="s">
        <v>330</v>
      </c>
      <c r="H161">
        <v>1690231135</v>
      </c>
      <c r="I161">
        <f t="shared" si="60"/>
        <v>1.3918464134477406E-3</v>
      </c>
      <c r="J161">
        <f t="shared" si="61"/>
        <v>1.3918464134477406</v>
      </c>
      <c r="K161">
        <f t="shared" si="62"/>
        <v>22.498096584154876</v>
      </c>
      <c r="L161">
        <f t="shared" si="63"/>
        <v>555.82100000000003</v>
      </c>
      <c r="M161">
        <f t="shared" si="64"/>
        <v>156.18316258554319</v>
      </c>
      <c r="N161">
        <f t="shared" si="65"/>
        <v>15.483331524260185</v>
      </c>
      <c r="O161">
        <f t="shared" si="66"/>
        <v>55.101719472688004</v>
      </c>
      <c r="P161">
        <f t="shared" si="67"/>
        <v>9.3941577030947201E-2</v>
      </c>
      <c r="Q161">
        <f t="shared" si="68"/>
        <v>2.1802232451373724</v>
      </c>
      <c r="R161">
        <f t="shared" si="69"/>
        <v>9.1749423855628787E-2</v>
      </c>
      <c r="S161">
        <f t="shared" si="70"/>
        <v>5.7536085554221246E-2</v>
      </c>
      <c r="T161">
        <f t="shared" si="71"/>
        <v>276.11625655799998</v>
      </c>
      <c r="U161">
        <f t="shared" si="72"/>
        <v>27.563007337485029</v>
      </c>
      <c r="V161">
        <f t="shared" si="73"/>
        <v>27.563007337485029</v>
      </c>
      <c r="W161">
        <f t="shared" si="74"/>
        <v>3.6992331325663139</v>
      </c>
      <c r="X161">
        <f t="shared" si="75"/>
        <v>66.794617542526041</v>
      </c>
      <c r="Y161">
        <f t="shared" si="76"/>
        <v>2.2403881442175999</v>
      </c>
      <c r="Z161">
        <f t="shared" si="77"/>
        <v>3.3541447299869862</v>
      </c>
      <c r="AA161">
        <f t="shared" si="78"/>
        <v>1.458844988348714</v>
      </c>
      <c r="AB161">
        <f t="shared" si="79"/>
        <v>-61.380426833045362</v>
      </c>
      <c r="AC161">
        <f t="shared" si="80"/>
        <v>-195.58774791425716</v>
      </c>
      <c r="AD161">
        <f t="shared" si="81"/>
        <v>-19.308575664928469</v>
      </c>
      <c r="AE161">
        <f t="shared" si="82"/>
        <v>-0.1604938542310208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52645.347770121276</v>
      </c>
      <c r="AK161">
        <f t="shared" si="86"/>
        <v>1800</v>
      </c>
      <c r="AL161">
        <f t="shared" si="87"/>
        <v>1499.1116508</v>
      </c>
      <c r="AM161">
        <f t="shared" si="88"/>
        <v>0.83283980599999996</v>
      </c>
      <c r="AN161">
        <f t="shared" si="89"/>
        <v>0.15339792030999999</v>
      </c>
      <c r="AO161">
        <v>31.5</v>
      </c>
      <c r="AP161">
        <v>0.5</v>
      </c>
      <c r="AQ161" t="s">
        <v>331</v>
      </c>
      <c r="AR161">
        <v>2</v>
      </c>
      <c r="AS161">
        <v>1690231135</v>
      </c>
      <c r="AT161">
        <v>555.82100000000003</v>
      </c>
      <c r="AU161">
        <v>800.04700000000003</v>
      </c>
      <c r="AV161">
        <v>22.5992</v>
      </c>
      <c r="AW161">
        <v>8.3225099999999994</v>
      </c>
      <c r="AX161">
        <v>555.85500000000002</v>
      </c>
      <c r="AY161">
        <v>22.4206</v>
      </c>
      <c r="AZ161">
        <v>300.15600000000001</v>
      </c>
      <c r="BA161">
        <v>99.035700000000006</v>
      </c>
      <c r="BB161">
        <v>0.10002800000000001</v>
      </c>
      <c r="BC161">
        <v>25.899000000000001</v>
      </c>
      <c r="BD161">
        <v>26.9711</v>
      </c>
      <c r="BE161">
        <v>27.612100000000002</v>
      </c>
      <c r="BF161">
        <v>0</v>
      </c>
      <c r="BG161">
        <v>0</v>
      </c>
      <c r="BH161">
        <v>10016.9</v>
      </c>
      <c r="BI161">
        <v>1064.7</v>
      </c>
      <c r="BJ161">
        <v>1.4016500000000001</v>
      </c>
      <c r="BK161">
        <v>-244.226</v>
      </c>
      <c r="BL161">
        <v>568.67200000000003</v>
      </c>
      <c r="BM161">
        <v>806.76099999999997</v>
      </c>
      <c r="BN161">
        <v>14.2767</v>
      </c>
      <c r="BO161">
        <v>800.04700000000003</v>
      </c>
      <c r="BP161">
        <v>8.3225099999999994</v>
      </c>
      <c r="BQ161">
        <v>2.23813</v>
      </c>
      <c r="BR161">
        <v>0.82422600000000001</v>
      </c>
      <c r="BS161">
        <v>19.2379</v>
      </c>
      <c r="BT161">
        <v>4.1315200000000001</v>
      </c>
      <c r="BU161">
        <v>1800</v>
      </c>
      <c r="BV161">
        <v>0.90998800000000002</v>
      </c>
      <c r="BW161">
        <v>3.3998899999999999E-2</v>
      </c>
      <c r="BX161">
        <v>2.2006299999999999E-2</v>
      </c>
      <c r="BY161">
        <v>3.40069E-2</v>
      </c>
      <c r="BZ161">
        <v>25.666699999999999</v>
      </c>
      <c r="CA161">
        <v>33528.300000000003</v>
      </c>
      <c r="CB161">
        <v>1690229084.0999999</v>
      </c>
      <c r="CC161" t="s">
        <v>332</v>
      </c>
      <c r="CD161">
        <v>1690229084.0999999</v>
      </c>
      <c r="CE161">
        <v>1690229076.5999999</v>
      </c>
      <c r="CF161">
        <v>13</v>
      </c>
      <c r="CG161">
        <v>0.23300000000000001</v>
      </c>
      <c r="CH161">
        <v>-0.13100000000000001</v>
      </c>
      <c r="CI161">
        <v>-0.20599999999999999</v>
      </c>
      <c r="CJ161">
        <v>8.7999999999999995E-2</v>
      </c>
      <c r="CK161">
        <v>799</v>
      </c>
      <c r="CL161">
        <v>16</v>
      </c>
      <c r="CM161">
        <v>0.04</v>
      </c>
      <c r="CN161">
        <v>0.04</v>
      </c>
      <c r="CO161">
        <v>-242.769025</v>
      </c>
      <c r="CP161">
        <v>-8.6671407129456242</v>
      </c>
      <c r="CQ161">
        <v>0.8384515038897592</v>
      </c>
      <c r="CR161">
        <v>-1</v>
      </c>
      <c r="CS161">
        <v>14.174395000000001</v>
      </c>
      <c r="CT161">
        <v>0.7125523452157515</v>
      </c>
      <c r="CU161">
        <v>6.9706240574284234E-2</v>
      </c>
      <c r="CV161">
        <v>-1</v>
      </c>
      <c r="CW161">
        <v>0</v>
      </c>
      <c r="CX161">
        <v>0</v>
      </c>
      <c r="CY161" t="s">
        <v>333</v>
      </c>
      <c r="CZ161">
        <v>2.3646199999999999</v>
      </c>
      <c r="DA161">
        <v>2.7138300000000002</v>
      </c>
      <c r="DB161">
        <v>0.114064</v>
      </c>
      <c r="DC161">
        <v>0.146088</v>
      </c>
      <c r="DD161">
        <v>0.10914500000000001</v>
      </c>
      <c r="DE161">
        <v>5.1262299999999997E-2</v>
      </c>
      <c r="DF161">
        <v>32361.1</v>
      </c>
      <c r="DG161">
        <v>27539.9</v>
      </c>
      <c r="DH161">
        <v>31183.4</v>
      </c>
      <c r="DI161">
        <v>28102.400000000001</v>
      </c>
      <c r="DJ161">
        <v>37716.699999999997</v>
      </c>
      <c r="DK161">
        <v>37919.1</v>
      </c>
      <c r="DL161">
        <v>44380.3</v>
      </c>
      <c r="DM161">
        <v>42598.8</v>
      </c>
      <c r="DN161">
        <v>1.4815799999999999</v>
      </c>
      <c r="DO161">
        <v>2.0404</v>
      </c>
      <c r="DP161">
        <v>0.13231499999999999</v>
      </c>
      <c r="DQ161">
        <v>0.183057</v>
      </c>
      <c r="DR161">
        <v>24.8033</v>
      </c>
      <c r="DS161">
        <v>24.614000000000001</v>
      </c>
      <c r="DT161">
        <v>46.3</v>
      </c>
      <c r="DU161">
        <v>29.2</v>
      </c>
      <c r="DV161">
        <v>19.024799999999999</v>
      </c>
      <c r="DW161">
        <v>61.729799999999997</v>
      </c>
      <c r="DX161">
        <v>36.029600000000002</v>
      </c>
      <c r="DY161">
        <v>1</v>
      </c>
      <c r="DZ161">
        <v>-9.8259700000000005E-2</v>
      </c>
      <c r="EA161">
        <v>0.15550700000000001</v>
      </c>
      <c r="EB161">
        <v>20.189699999999998</v>
      </c>
      <c r="EC161">
        <v>5.24125</v>
      </c>
      <c r="ED161">
        <v>12.039899999999999</v>
      </c>
      <c r="EE161">
        <v>5.01675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1.86463</v>
      </c>
      <c r="EM161">
        <v>1.8691800000000001</v>
      </c>
      <c r="EN161">
        <v>1.86724</v>
      </c>
      <c r="EO161">
        <v>1.8633999999999999</v>
      </c>
      <c r="EP161">
        <v>1.8645</v>
      </c>
      <c r="EQ161">
        <v>1.8701399999999999</v>
      </c>
      <c r="ER161">
        <v>1.8694599999999999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-3.4000000000000002E-2</v>
      </c>
      <c r="FG161">
        <v>0.17860000000000001</v>
      </c>
      <c r="FH161">
        <v>0.3448811944559278</v>
      </c>
      <c r="FI161">
        <v>-6.1462078757559423E-4</v>
      </c>
      <c r="FJ161">
        <v>-1.8861989874597051E-7</v>
      </c>
      <c r="FK161">
        <v>1.1980462299894961E-10</v>
      </c>
      <c r="FL161">
        <v>0.17862261546663211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34.200000000000003</v>
      </c>
      <c r="FU161">
        <v>34.299999999999997</v>
      </c>
      <c r="FV161">
        <v>1.7736799999999999</v>
      </c>
      <c r="FW161">
        <v>2.5927699999999998</v>
      </c>
      <c r="FX161">
        <v>1.5490699999999999</v>
      </c>
      <c r="FY161">
        <v>2.32666</v>
      </c>
      <c r="FZ161">
        <v>1.50146</v>
      </c>
      <c r="GA161">
        <v>2.2680699999999998</v>
      </c>
      <c r="GB161">
        <v>33.896099999999997</v>
      </c>
      <c r="GC161">
        <v>23.973700000000001</v>
      </c>
      <c r="GD161">
        <v>19</v>
      </c>
      <c r="GE161">
        <v>285.02800000000002</v>
      </c>
      <c r="GF161">
        <v>586.18499999999995</v>
      </c>
      <c r="GG161">
        <v>23.8736</v>
      </c>
      <c r="GH161">
        <v>26.151700000000002</v>
      </c>
      <c r="GI161">
        <v>29.9998</v>
      </c>
      <c r="GJ161">
        <v>26.317399999999999</v>
      </c>
      <c r="GK161">
        <v>26.311299999999999</v>
      </c>
      <c r="GL161">
        <v>35.452500000000001</v>
      </c>
      <c r="GM161">
        <v>56.378300000000003</v>
      </c>
      <c r="GN161">
        <v>62.170299999999997</v>
      </c>
      <c r="GO161">
        <v>23.892099999999999</v>
      </c>
      <c r="GP161">
        <v>800</v>
      </c>
      <c r="GQ161">
        <v>8.2356599999999993</v>
      </c>
      <c r="GR161">
        <v>99.778000000000006</v>
      </c>
      <c r="GS161">
        <v>99.648499999999999</v>
      </c>
    </row>
    <row r="162" spans="1:201" x14ac:dyDescent="0.25">
      <c r="A162">
        <v>146</v>
      </c>
      <c r="B162">
        <v>1690231145</v>
      </c>
      <c r="C162">
        <v>1639.900000095367</v>
      </c>
      <c r="D162" t="s">
        <v>625</v>
      </c>
      <c r="E162" t="s">
        <v>626</v>
      </c>
      <c r="F162" t="s">
        <v>330</v>
      </c>
      <c r="H162">
        <v>1690231145</v>
      </c>
      <c r="I162">
        <f t="shared" si="60"/>
        <v>1.4018089580623554E-3</v>
      </c>
      <c r="J162">
        <f t="shared" si="61"/>
        <v>1.4018089580623554</v>
      </c>
      <c r="K162">
        <f t="shared" si="62"/>
        <v>22.627439012776684</v>
      </c>
      <c r="L162">
        <f t="shared" si="63"/>
        <v>554.37099999999998</v>
      </c>
      <c r="M162">
        <f t="shared" si="64"/>
        <v>154.90161547189274</v>
      </c>
      <c r="N162">
        <f t="shared" si="65"/>
        <v>15.356584663983419</v>
      </c>
      <c r="O162">
        <f t="shared" si="66"/>
        <v>54.959047204397301</v>
      </c>
      <c r="P162">
        <f t="shared" si="67"/>
        <v>9.4529064075151908E-2</v>
      </c>
      <c r="Q162">
        <f t="shared" si="68"/>
        <v>2.1794115297540713</v>
      </c>
      <c r="R162">
        <f t="shared" si="69"/>
        <v>9.2308950060006237E-2</v>
      </c>
      <c r="S162">
        <f t="shared" si="70"/>
        <v>5.7888219376641653E-2</v>
      </c>
      <c r="T162">
        <f t="shared" si="71"/>
        <v>276.11629932600005</v>
      </c>
      <c r="U162">
        <f t="shared" si="72"/>
        <v>27.570251415794417</v>
      </c>
      <c r="V162">
        <f t="shared" si="73"/>
        <v>27.570251415794417</v>
      </c>
      <c r="W162">
        <f t="shared" si="74"/>
        <v>3.7008007151542328</v>
      </c>
      <c r="X162">
        <f t="shared" si="75"/>
        <v>66.755099969667825</v>
      </c>
      <c r="Y162">
        <f t="shared" si="76"/>
        <v>2.2404022069470702</v>
      </c>
      <c r="Z162">
        <f t="shared" si="77"/>
        <v>3.3561513771458116</v>
      </c>
      <c r="AA162">
        <f t="shared" si="78"/>
        <v>1.4603985082071627</v>
      </c>
      <c r="AB162">
        <f t="shared" si="79"/>
        <v>-61.819775050549872</v>
      </c>
      <c r="AC162">
        <f t="shared" si="80"/>
        <v>-195.17936834123532</v>
      </c>
      <c r="AD162">
        <f t="shared" si="81"/>
        <v>-19.277109124152883</v>
      </c>
      <c r="AE162">
        <f t="shared" si="82"/>
        <v>-0.15995318993805085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52609.861949025748</v>
      </c>
      <c r="AK162">
        <f t="shared" si="86"/>
        <v>1800</v>
      </c>
      <c r="AL162">
        <f t="shared" si="87"/>
        <v>1499.1137945999999</v>
      </c>
      <c r="AM162">
        <f t="shared" si="88"/>
        <v>0.83284099699999992</v>
      </c>
      <c r="AN162">
        <f t="shared" si="89"/>
        <v>0.15339794407000001</v>
      </c>
      <c r="AO162">
        <v>31.5</v>
      </c>
      <c r="AP162">
        <v>0.5</v>
      </c>
      <c r="AQ162" t="s">
        <v>331</v>
      </c>
      <c r="AR162">
        <v>2</v>
      </c>
      <c r="AS162">
        <v>1690231145</v>
      </c>
      <c r="AT162">
        <v>554.37099999999998</v>
      </c>
      <c r="AU162">
        <v>800.02800000000002</v>
      </c>
      <c r="AV162">
        <v>22.5989</v>
      </c>
      <c r="AW162">
        <v>8.2178599999999999</v>
      </c>
      <c r="AX162">
        <v>554.404</v>
      </c>
      <c r="AY162">
        <v>22.420300000000001</v>
      </c>
      <c r="AZ162">
        <v>300.11099999999999</v>
      </c>
      <c r="BA162">
        <v>99.037700000000001</v>
      </c>
      <c r="BB162">
        <v>9.9966299999999994E-2</v>
      </c>
      <c r="BC162">
        <v>25.909099999999999</v>
      </c>
      <c r="BD162">
        <v>27</v>
      </c>
      <c r="BE162">
        <v>27.5871</v>
      </c>
      <c r="BF162">
        <v>0</v>
      </c>
      <c r="BG162">
        <v>0</v>
      </c>
      <c r="BH162">
        <v>10010</v>
      </c>
      <c r="BI162">
        <v>1064.8900000000001</v>
      </c>
      <c r="BJ162">
        <v>1.4016500000000001</v>
      </c>
      <c r="BK162">
        <v>-245.65700000000001</v>
      </c>
      <c r="BL162">
        <v>567.18899999999996</v>
      </c>
      <c r="BM162">
        <v>806.65700000000004</v>
      </c>
      <c r="BN162">
        <v>14.3811</v>
      </c>
      <c r="BO162">
        <v>800.02800000000002</v>
      </c>
      <c r="BP162">
        <v>8.2178599999999999</v>
      </c>
      <c r="BQ162">
        <v>2.23814</v>
      </c>
      <c r="BR162">
        <v>0.81387799999999999</v>
      </c>
      <c r="BS162">
        <v>19.238</v>
      </c>
      <c r="BT162">
        <v>3.9516800000000001</v>
      </c>
      <c r="BU162">
        <v>1800</v>
      </c>
      <c r="BV162">
        <v>0.90999399999999997</v>
      </c>
      <c r="BW162">
        <v>3.3992599999999998E-2</v>
      </c>
      <c r="BX162">
        <v>2.2006600000000001E-2</v>
      </c>
      <c r="BY162">
        <v>3.4007299999999997E-2</v>
      </c>
      <c r="BZ162">
        <v>25.666699999999999</v>
      </c>
      <c r="CA162">
        <v>33528.300000000003</v>
      </c>
      <c r="CB162">
        <v>1690229084.0999999</v>
      </c>
      <c r="CC162" t="s">
        <v>332</v>
      </c>
      <c r="CD162">
        <v>1690229084.0999999</v>
      </c>
      <c r="CE162">
        <v>1690229076.5999999</v>
      </c>
      <c r="CF162">
        <v>13</v>
      </c>
      <c r="CG162">
        <v>0.23300000000000001</v>
      </c>
      <c r="CH162">
        <v>-0.13100000000000001</v>
      </c>
      <c r="CI162">
        <v>-0.20599999999999999</v>
      </c>
      <c r="CJ162">
        <v>8.7999999999999995E-2</v>
      </c>
      <c r="CK162">
        <v>799</v>
      </c>
      <c r="CL162">
        <v>16</v>
      </c>
      <c r="CM162">
        <v>0.04</v>
      </c>
      <c r="CN162">
        <v>0.04</v>
      </c>
      <c r="CO162">
        <v>-244.18877499999999</v>
      </c>
      <c r="CP162">
        <v>-8.7351332082551334</v>
      </c>
      <c r="CQ162">
        <v>0.8437303327337482</v>
      </c>
      <c r="CR162">
        <v>-1</v>
      </c>
      <c r="CS162">
        <v>14.274065</v>
      </c>
      <c r="CT162">
        <v>0.49364127579736272</v>
      </c>
      <c r="CU162">
        <v>4.7957014867483161E-2</v>
      </c>
      <c r="CV162">
        <v>-1</v>
      </c>
      <c r="CW162">
        <v>0</v>
      </c>
      <c r="CX162">
        <v>0</v>
      </c>
      <c r="CY162" t="s">
        <v>333</v>
      </c>
      <c r="CZ162">
        <v>2.3644799999999999</v>
      </c>
      <c r="DA162">
        <v>2.7137699999999998</v>
      </c>
      <c r="DB162">
        <v>0.113855</v>
      </c>
      <c r="DC162">
        <v>0.146088</v>
      </c>
      <c r="DD162">
        <v>0.10914699999999999</v>
      </c>
      <c r="DE162">
        <v>5.0756200000000001E-2</v>
      </c>
      <c r="DF162">
        <v>32368.9</v>
      </c>
      <c r="DG162">
        <v>27540.5</v>
      </c>
      <c r="DH162">
        <v>31183.5</v>
      </c>
      <c r="DI162">
        <v>28103</v>
      </c>
      <c r="DJ162">
        <v>37716.800000000003</v>
      </c>
      <c r="DK162">
        <v>37939.800000000003</v>
      </c>
      <c r="DL162">
        <v>44380.6</v>
      </c>
      <c r="DM162">
        <v>42599.3</v>
      </c>
      <c r="DN162">
        <v>1.48153</v>
      </c>
      <c r="DO162">
        <v>2.0404</v>
      </c>
      <c r="DP162">
        <v>0.13408400000000001</v>
      </c>
      <c r="DQ162">
        <v>0.18140300000000001</v>
      </c>
      <c r="DR162">
        <v>24.8033</v>
      </c>
      <c r="DS162">
        <v>24.616099999999999</v>
      </c>
      <c r="DT162">
        <v>46</v>
      </c>
      <c r="DU162">
        <v>29.2</v>
      </c>
      <c r="DV162">
        <v>18.898199999999999</v>
      </c>
      <c r="DW162">
        <v>61.869799999999998</v>
      </c>
      <c r="DX162">
        <v>36.462299999999999</v>
      </c>
      <c r="DY162">
        <v>1</v>
      </c>
      <c r="DZ162">
        <v>-9.8836400000000005E-2</v>
      </c>
      <c r="EA162">
        <v>0.16611699999999999</v>
      </c>
      <c r="EB162">
        <v>20.189599999999999</v>
      </c>
      <c r="EC162">
        <v>5.2415500000000002</v>
      </c>
      <c r="ED162">
        <v>12.039899999999999</v>
      </c>
      <c r="EE162">
        <v>5.01675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1.8646400000000001</v>
      </c>
      <c r="EM162">
        <v>1.86917</v>
      </c>
      <c r="EN162">
        <v>1.8672299999999999</v>
      </c>
      <c r="EO162">
        <v>1.8633999999999999</v>
      </c>
      <c r="EP162">
        <v>1.86449</v>
      </c>
      <c r="EQ162">
        <v>1.8701300000000001</v>
      </c>
      <c r="ER162">
        <v>1.86944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-3.3000000000000002E-2</v>
      </c>
      <c r="FG162">
        <v>0.17860000000000001</v>
      </c>
      <c r="FH162">
        <v>0.3448811944559278</v>
      </c>
      <c r="FI162">
        <v>-6.1462078757559423E-4</v>
      </c>
      <c r="FJ162">
        <v>-1.8861989874597051E-7</v>
      </c>
      <c r="FK162">
        <v>1.1980462299894961E-10</v>
      </c>
      <c r="FL162">
        <v>0.17862261546663211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34.299999999999997</v>
      </c>
      <c r="FU162">
        <v>34.5</v>
      </c>
      <c r="FV162">
        <v>1.7736799999999999</v>
      </c>
      <c r="FW162">
        <v>2.5817899999999998</v>
      </c>
      <c r="FX162">
        <v>1.5490699999999999</v>
      </c>
      <c r="FY162">
        <v>2.32666</v>
      </c>
      <c r="FZ162">
        <v>1.50146</v>
      </c>
      <c r="GA162">
        <v>2.36206</v>
      </c>
      <c r="GB162">
        <v>33.896099999999997</v>
      </c>
      <c r="GC162">
        <v>23.991199999999999</v>
      </c>
      <c r="GD162">
        <v>19</v>
      </c>
      <c r="GE162">
        <v>284.98700000000002</v>
      </c>
      <c r="GF162">
        <v>586.13499999999999</v>
      </c>
      <c r="GG162">
        <v>23.906400000000001</v>
      </c>
      <c r="GH162">
        <v>26.147300000000001</v>
      </c>
      <c r="GI162">
        <v>29.9999</v>
      </c>
      <c r="GJ162">
        <v>26.312799999999999</v>
      </c>
      <c r="GK162">
        <v>26.306899999999999</v>
      </c>
      <c r="GL162">
        <v>35.450400000000002</v>
      </c>
      <c r="GM162">
        <v>56.651699999999998</v>
      </c>
      <c r="GN162">
        <v>61.777099999999997</v>
      </c>
      <c r="GO162">
        <v>23.903400000000001</v>
      </c>
      <c r="GP162">
        <v>800</v>
      </c>
      <c r="GQ162">
        <v>8.1199600000000007</v>
      </c>
      <c r="GR162">
        <v>99.778499999999994</v>
      </c>
      <c r="GS162">
        <v>99.65</v>
      </c>
    </row>
    <row r="163" spans="1:201" x14ac:dyDescent="0.25">
      <c r="A163">
        <v>147</v>
      </c>
      <c r="B163">
        <v>1690231155</v>
      </c>
      <c r="C163">
        <v>1649.900000095367</v>
      </c>
      <c r="D163" t="s">
        <v>627</v>
      </c>
      <c r="E163" t="s">
        <v>628</v>
      </c>
      <c r="F163" t="s">
        <v>330</v>
      </c>
      <c r="H163">
        <v>1690231155</v>
      </c>
      <c r="I163">
        <f t="shared" si="60"/>
        <v>1.4135732643866712E-3</v>
      </c>
      <c r="J163">
        <f t="shared" si="61"/>
        <v>1.4135732643866712</v>
      </c>
      <c r="K163">
        <f t="shared" si="62"/>
        <v>22.756494394107413</v>
      </c>
      <c r="L163">
        <f t="shared" si="63"/>
        <v>552.98500000000001</v>
      </c>
      <c r="M163">
        <f t="shared" si="64"/>
        <v>154.51972242199045</v>
      </c>
      <c r="N163">
        <f t="shared" si="65"/>
        <v>15.318227433773162</v>
      </c>
      <c r="O163">
        <f t="shared" si="66"/>
        <v>54.819862893175497</v>
      </c>
      <c r="P163">
        <f t="shared" si="67"/>
        <v>9.532480867382831E-2</v>
      </c>
      <c r="Q163">
        <f t="shared" si="68"/>
        <v>2.1788388121162581</v>
      </c>
      <c r="R163">
        <f t="shared" si="69"/>
        <v>9.3067062119632463E-2</v>
      </c>
      <c r="S163">
        <f t="shared" si="70"/>
        <v>5.836530955843669E-2</v>
      </c>
      <c r="T163">
        <f t="shared" si="71"/>
        <v>276.11468225902092</v>
      </c>
      <c r="U163">
        <f t="shared" si="72"/>
        <v>27.570707907291453</v>
      </c>
      <c r="V163">
        <f t="shared" si="73"/>
        <v>27.570707907291453</v>
      </c>
      <c r="W163">
        <f t="shared" si="74"/>
        <v>3.7008995170608809</v>
      </c>
      <c r="X163">
        <f t="shared" si="75"/>
        <v>66.735548085950043</v>
      </c>
      <c r="Y163">
        <f t="shared" si="76"/>
        <v>2.24028982990755</v>
      </c>
      <c r="Z163">
        <f t="shared" si="77"/>
        <v>3.3569662558584756</v>
      </c>
      <c r="AA163">
        <f t="shared" si="78"/>
        <v>1.4606096871533309</v>
      </c>
      <c r="AB163">
        <f t="shared" si="79"/>
        <v>-62.338580959452202</v>
      </c>
      <c r="AC163">
        <f t="shared" si="80"/>
        <v>-194.70009128373354</v>
      </c>
      <c r="AD163">
        <f t="shared" si="81"/>
        <v>-19.235265372171689</v>
      </c>
      <c r="AE163">
        <f t="shared" si="82"/>
        <v>-0.15925535633650156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52585.265620999744</v>
      </c>
      <c r="AK163">
        <f t="shared" si="86"/>
        <v>1799.99</v>
      </c>
      <c r="AL163">
        <f t="shared" si="87"/>
        <v>1499.10281840474</v>
      </c>
      <c r="AM163">
        <f t="shared" si="88"/>
        <v>0.832839526</v>
      </c>
      <c r="AN163">
        <f t="shared" si="89"/>
        <v>0.15339789791</v>
      </c>
      <c r="AO163">
        <v>31.5</v>
      </c>
      <c r="AP163">
        <v>0.5</v>
      </c>
      <c r="AQ163" t="s">
        <v>331</v>
      </c>
      <c r="AR163">
        <v>2</v>
      </c>
      <c r="AS163">
        <v>1690231155</v>
      </c>
      <c r="AT163">
        <v>552.98500000000001</v>
      </c>
      <c r="AU163">
        <v>800.04200000000003</v>
      </c>
      <c r="AV163">
        <v>22.598500000000001</v>
      </c>
      <c r="AW163">
        <v>8.0969099999999994</v>
      </c>
      <c r="AX163">
        <v>553.01700000000005</v>
      </c>
      <c r="AY163">
        <v>22.419899999999998</v>
      </c>
      <c r="AZ163">
        <v>300.11399999999998</v>
      </c>
      <c r="BA163">
        <v>99.034499999999994</v>
      </c>
      <c r="BB163">
        <v>9.9948300000000004E-2</v>
      </c>
      <c r="BC163">
        <v>25.9132</v>
      </c>
      <c r="BD163">
        <v>27.013999999999999</v>
      </c>
      <c r="BE163">
        <v>27.619900000000001</v>
      </c>
      <c r="BF163">
        <v>0</v>
      </c>
      <c r="BG163">
        <v>0</v>
      </c>
      <c r="BH163">
        <v>10005.6</v>
      </c>
      <c r="BI163">
        <v>1064.93</v>
      </c>
      <c r="BJ163">
        <v>1.4016500000000001</v>
      </c>
      <c r="BK163">
        <v>-247.05699999999999</v>
      </c>
      <c r="BL163">
        <v>565.77</v>
      </c>
      <c r="BM163">
        <v>806.572</v>
      </c>
      <c r="BN163">
        <v>14.5016</v>
      </c>
      <c r="BO163">
        <v>800.04200000000003</v>
      </c>
      <c r="BP163">
        <v>8.0969099999999994</v>
      </c>
      <c r="BQ163">
        <v>2.2380300000000002</v>
      </c>
      <c r="BR163">
        <v>0.80187299999999995</v>
      </c>
      <c r="BS163">
        <v>19.237200000000001</v>
      </c>
      <c r="BT163">
        <v>3.74051</v>
      </c>
      <c r="BU163">
        <v>1799.99</v>
      </c>
      <c r="BV163">
        <v>0.90998699999999999</v>
      </c>
      <c r="BW163">
        <v>3.3999700000000001E-2</v>
      </c>
      <c r="BX163">
        <v>2.2006299999999999E-2</v>
      </c>
      <c r="BY163">
        <v>3.40069E-2</v>
      </c>
      <c r="BZ163">
        <v>25.666699999999999</v>
      </c>
      <c r="CA163">
        <v>33528.199999999997</v>
      </c>
      <c r="CB163">
        <v>1690229084.0999999</v>
      </c>
      <c r="CC163" t="s">
        <v>332</v>
      </c>
      <c r="CD163">
        <v>1690229084.0999999</v>
      </c>
      <c r="CE163">
        <v>1690229076.5999999</v>
      </c>
      <c r="CF163">
        <v>13</v>
      </c>
      <c r="CG163">
        <v>0.23300000000000001</v>
      </c>
      <c r="CH163">
        <v>-0.13100000000000001</v>
      </c>
      <c r="CI163">
        <v>-0.20599999999999999</v>
      </c>
      <c r="CJ163">
        <v>8.7999999999999995E-2</v>
      </c>
      <c r="CK163">
        <v>799</v>
      </c>
      <c r="CL163">
        <v>16</v>
      </c>
      <c r="CM163">
        <v>0.04</v>
      </c>
      <c r="CN163">
        <v>0.04</v>
      </c>
      <c r="CO163">
        <v>-245.63274999999999</v>
      </c>
      <c r="CP163">
        <v>-8.9602626641646701</v>
      </c>
      <c r="CQ163">
        <v>0.86328850189261663</v>
      </c>
      <c r="CR163">
        <v>-1</v>
      </c>
      <c r="CS163">
        <v>14.377162500000001</v>
      </c>
      <c r="CT163">
        <v>0.7532566604127211</v>
      </c>
      <c r="CU163">
        <v>7.2827222545899656E-2</v>
      </c>
      <c r="CV163">
        <v>-1</v>
      </c>
      <c r="CW163">
        <v>0</v>
      </c>
      <c r="CX163">
        <v>0</v>
      </c>
      <c r="CY163" t="s">
        <v>333</v>
      </c>
      <c r="CZ163">
        <v>2.3645</v>
      </c>
      <c r="DA163">
        <v>2.71374</v>
      </c>
      <c r="DB163">
        <v>0.113648</v>
      </c>
      <c r="DC163">
        <v>0.14608399999999999</v>
      </c>
      <c r="DD163">
        <v>0.109144</v>
      </c>
      <c r="DE163">
        <v>5.0165599999999998E-2</v>
      </c>
      <c r="DF163">
        <v>32377</v>
      </c>
      <c r="DG163">
        <v>27540.7</v>
      </c>
      <c r="DH163">
        <v>31184</v>
      </c>
      <c r="DI163">
        <v>28103.1</v>
      </c>
      <c r="DJ163">
        <v>37717.300000000003</v>
      </c>
      <c r="DK163">
        <v>37963.800000000003</v>
      </c>
      <c r="DL163">
        <v>44381.1</v>
      </c>
      <c r="DM163">
        <v>42599.6</v>
      </c>
      <c r="DN163">
        <v>1.4817499999999999</v>
      </c>
      <c r="DO163">
        <v>2.0406300000000002</v>
      </c>
      <c r="DP163">
        <v>0.13481499999999999</v>
      </c>
      <c r="DQ163">
        <v>0.18340699999999999</v>
      </c>
      <c r="DR163">
        <v>24.805399999999999</v>
      </c>
      <c r="DS163">
        <v>24.616099999999999</v>
      </c>
      <c r="DT163">
        <v>45.7</v>
      </c>
      <c r="DU163">
        <v>29.2</v>
      </c>
      <c r="DV163">
        <v>18.773800000000001</v>
      </c>
      <c r="DW163">
        <v>61.829799999999999</v>
      </c>
      <c r="DX163">
        <v>37.243600000000001</v>
      </c>
      <c r="DY163">
        <v>1</v>
      </c>
      <c r="DZ163">
        <v>-9.8877000000000007E-2</v>
      </c>
      <c r="EA163">
        <v>0.22101000000000001</v>
      </c>
      <c r="EB163">
        <v>20.189299999999999</v>
      </c>
      <c r="EC163">
        <v>5.242</v>
      </c>
      <c r="ED163">
        <v>12.039899999999999</v>
      </c>
      <c r="EE163">
        <v>5.0168499999999998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1.8691899999999999</v>
      </c>
      <c r="EN163">
        <v>1.8672200000000001</v>
      </c>
      <c r="EO163">
        <v>1.8633999999999999</v>
      </c>
      <c r="EP163">
        <v>1.86449</v>
      </c>
      <c r="EQ163">
        <v>1.8701300000000001</v>
      </c>
      <c r="ER163">
        <v>1.86941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-3.2000000000000001E-2</v>
      </c>
      <c r="FG163">
        <v>0.17860000000000001</v>
      </c>
      <c r="FH163">
        <v>0.3448811944559278</v>
      </c>
      <c r="FI163">
        <v>-6.1462078757559423E-4</v>
      </c>
      <c r="FJ163">
        <v>-1.8861989874597051E-7</v>
      </c>
      <c r="FK163">
        <v>1.1980462299894961E-10</v>
      </c>
      <c r="FL163">
        <v>0.17862261546663211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34.5</v>
      </c>
      <c r="FU163">
        <v>34.6</v>
      </c>
      <c r="FV163">
        <v>1.7724599999999999</v>
      </c>
      <c r="FW163">
        <v>2.5817899999999998</v>
      </c>
      <c r="FX163">
        <v>1.5490699999999999</v>
      </c>
      <c r="FY163">
        <v>2.32666</v>
      </c>
      <c r="FZ163">
        <v>1.50146</v>
      </c>
      <c r="GA163">
        <v>2.3925800000000002</v>
      </c>
      <c r="GB163">
        <v>33.896099999999997</v>
      </c>
      <c r="GC163">
        <v>23.991199999999999</v>
      </c>
      <c r="GD163">
        <v>19</v>
      </c>
      <c r="GE163">
        <v>285.06400000000002</v>
      </c>
      <c r="GF163">
        <v>586.27099999999996</v>
      </c>
      <c r="GG163">
        <v>23.909099999999999</v>
      </c>
      <c r="GH163">
        <v>26.142800000000001</v>
      </c>
      <c r="GI163">
        <v>30</v>
      </c>
      <c r="GJ163">
        <v>26.308399999999999</v>
      </c>
      <c r="GK163">
        <v>26.302499999999998</v>
      </c>
      <c r="GL163">
        <v>35.448099999999997</v>
      </c>
      <c r="GM163">
        <v>56.9285</v>
      </c>
      <c r="GN163">
        <v>61.013800000000003</v>
      </c>
      <c r="GO163">
        <v>23.852</v>
      </c>
      <c r="GP163">
        <v>800</v>
      </c>
      <c r="GQ163">
        <v>8.0080100000000005</v>
      </c>
      <c r="GR163">
        <v>99.779799999999994</v>
      </c>
      <c r="GS163">
        <v>99.650599999999997</v>
      </c>
    </row>
    <row r="164" spans="1:201" x14ac:dyDescent="0.25">
      <c r="A164">
        <v>148</v>
      </c>
      <c r="B164">
        <v>1690231165</v>
      </c>
      <c r="C164">
        <v>1659.900000095367</v>
      </c>
      <c r="D164" t="s">
        <v>629</v>
      </c>
      <c r="E164" t="s">
        <v>630</v>
      </c>
      <c r="F164" t="s">
        <v>330</v>
      </c>
      <c r="H164">
        <v>1690231165</v>
      </c>
      <c r="I164">
        <f t="shared" si="60"/>
        <v>1.4271889199878672E-3</v>
      </c>
      <c r="J164">
        <f t="shared" si="61"/>
        <v>1.4271889199878671</v>
      </c>
      <c r="K164">
        <f t="shared" si="62"/>
        <v>22.875519903542969</v>
      </c>
      <c r="L164">
        <f t="shared" si="63"/>
        <v>551.64</v>
      </c>
      <c r="M164">
        <f t="shared" si="64"/>
        <v>154.5345049647097</v>
      </c>
      <c r="N164">
        <f t="shared" si="65"/>
        <v>15.31956787457559</v>
      </c>
      <c r="O164">
        <f t="shared" si="66"/>
        <v>54.686080783451992</v>
      </c>
      <c r="P164">
        <f t="shared" si="67"/>
        <v>9.6174851888266133E-2</v>
      </c>
      <c r="Q164">
        <f t="shared" si="68"/>
        <v>2.1779980240120094</v>
      </c>
      <c r="R164">
        <f t="shared" si="69"/>
        <v>9.3876318260145919E-2</v>
      </c>
      <c r="S164">
        <f t="shared" si="70"/>
        <v>5.8874637622420817E-2</v>
      </c>
      <c r="T164">
        <f t="shared" si="71"/>
        <v>276.11619922799997</v>
      </c>
      <c r="U164">
        <f t="shared" si="72"/>
        <v>27.56984046075895</v>
      </c>
      <c r="V164">
        <f t="shared" si="73"/>
        <v>27.56984046075895</v>
      </c>
      <c r="W164">
        <f t="shared" si="74"/>
        <v>3.7007117710171342</v>
      </c>
      <c r="X164">
        <f t="shared" si="75"/>
        <v>66.676891337526087</v>
      </c>
      <c r="Y164">
        <f t="shared" si="76"/>
        <v>2.23874488967583</v>
      </c>
      <c r="Z164">
        <f t="shared" si="77"/>
        <v>3.3576023788257405</v>
      </c>
      <c r="AA164">
        <f t="shared" si="78"/>
        <v>1.4619668813413043</v>
      </c>
      <c r="AB164">
        <f t="shared" si="79"/>
        <v>-62.939031371464942</v>
      </c>
      <c r="AC164">
        <f t="shared" si="80"/>
        <v>-194.14735831818388</v>
      </c>
      <c r="AD164">
        <f t="shared" si="81"/>
        <v>-19.18828619391406</v>
      </c>
      <c r="AE164">
        <f t="shared" si="82"/>
        <v>-0.15847665556290735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52549.750650417773</v>
      </c>
      <c r="AK164">
        <f t="shared" si="86"/>
        <v>1800</v>
      </c>
      <c r="AL164">
        <f t="shared" si="87"/>
        <v>1499.1113897999999</v>
      </c>
      <c r="AM164">
        <f t="shared" si="88"/>
        <v>0.83283966099999995</v>
      </c>
      <c r="AN164">
        <f t="shared" si="89"/>
        <v>0.15339788845999999</v>
      </c>
      <c r="AO164">
        <v>31.5</v>
      </c>
      <c r="AP164">
        <v>0.5</v>
      </c>
      <c r="AQ164" t="s">
        <v>331</v>
      </c>
      <c r="AR164">
        <v>2</v>
      </c>
      <c r="AS164">
        <v>1690231165</v>
      </c>
      <c r="AT164">
        <v>551.64</v>
      </c>
      <c r="AU164">
        <v>800.00599999999997</v>
      </c>
      <c r="AV164">
        <v>22.583100000000002</v>
      </c>
      <c r="AW164">
        <v>7.9415500000000003</v>
      </c>
      <c r="AX164">
        <v>551.67100000000005</v>
      </c>
      <c r="AY164">
        <v>22.404399999999999</v>
      </c>
      <c r="AZ164">
        <v>300.113</v>
      </c>
      <c r="BA164">
        <v>99.033699999999996</v>
      </c>
      <c r="BB164">
        <v>9.9939299999999995E-2</v>
      </c>
      <c r="BC164">
        <v>25.916399999999999</v>
      </c>
      <c r="BD164">
        <v>26.9877</v>
      </c>
      <c r="BE164">
        <v>27.602399999999999</v>
      </c>
      <c r="BF164">
        <v>0</v>
      </c>
      <c r="BG164">
        <v>0</v>
      </c>
      <c r="BH164">
        <v>9998.75</v>
      </c>
      <c r="BI164">
        <v>1065.04</v>
      </c>
      <c r="BJ164">
        <v>1.4016500000000001</v>
      </c>
      <c r="BK164">
        <v>-248.36699999999999</v>
      </c>
      <c r="BL164">
        <v>564.38499999999999</v>
      </c>
      <c r="BM164">
        <v>806.41099999999994</v>
      </c>
      <c r="BN164">
        <v>14.641500000000001</v>
      </c>
      <c r="BO164">
        <v>800.00599999999997</v>
      </c>
      <c r="BP164">
        <v>7.9415500000000003</v>
      </c>
      <c r="BQ164">
        <v>2.2364799999999998</v>
      </c>
      <c r="BR164">
        <v>0.78648099999999999</v>
      </c>
      <c r="BS164">
        <v>19.226099999999999</v>
      </c>
      <c r="BT164">
        <v>3.4656199999999999</v>
      </c>
      <c r="BU164">
        <v>1800</v>
      </c>
      <c r="BV164">
        <v>0.90998800000000002</v>
      </c>
      <c r="BW164">
        <v>3.3998800000000003E-2</v>
      </c>
      <c r="BX164">
        <v>2.2006299999999999E-2</v>
      </c>
      <c r="BY164">
        <v>3.4006799999999997E-2</v>
      </c>
      <c r="BZ164">
        <v>25.625</v>
      </c>
      <c r="CA164">
        <v>33528.400000000001</v>
      </c>
      <c r="CB164">
        <v>1690229084.0999999</v>
      </c>
      <c r="CC164" t="s">
        <v>332</v>
      </c>
      <c r="CD164">
        <v>1690229084.0999999</v>
      </c>
      <c r="CE164">
        <v>1690229076.5999999</v>
      </c>
      <c r="CF164">
        <v>13</v>
      </c>
      <c r="CG164">
        <v>0.23300000000000001</v>
      </c>
      <c r="CH164">
        <v>-0.13100000000000001</v>
      </c>
      <c r="CI164">
        <v>-0.20599999999999999</v>
      </c>
      <c r="CJ164">
        <v>8.7999999999999995E-2</v>
      </c>
      <c r="CK164">
        <v>799</v>
      </c>
      <c r="CL164">
        <v>16</v>
      </c>
      <c r="CM164">
        <v>0.04</v>
      </c>
      <c r="CN164">
        <v>0.04</v>
      </c>
      <c r="CO164">
        <v>-246.90322499999999</v>
      </c>
      <c r="CP164">
        <v>-8.3331894934322506</v>
      </c>
      <c r="CQ164">
        <v>0.80585716747758673</v>
      </c>
      <c r="CR164">
        <v>-1</v>
      </c>
      <c r="CS164">
        <v>14.4893</v>
      </c>
      <c r="CT164">
        <v>0.77010731707310209</v>
      </c>
      <c r="CU164">
        <v>7.4730301752368083E-2</v>
      </c>
      <c r="CV164">
        <v>-1</v>
      </c>
      <c r="CW164">
        <v>0</v>
      </c>
      <c r="CX164">
        <v>0</v>
      </c>
      <c r="CY164" t="s">
        <v>333</v>
      </c>
      <c r="CZ164">
        <v>2.3644699999999998</v>
      </c>
      <c r="DA164">
        <v>2.71373</v>
      </c>
      <c r="DB164">
        <v>0.11345</v>
      </c>
      <c r="DC164">
        <v>0.14607700000000001</v>
      </c>
      <c r="DD164">
        <v>0.10909099999999999</v>
      </c>
      <c r="DE164">
        <v>4.9404200000000002E-2</v>
      </c>
      <c r="DF164">
        <v>32384.1</v>
      </c>
      <c r="DG164">
        <v>27540.799999999999</v>
      </c>
      <c r="DH164">
        <v>31183.9</v>
      </c>
      <c r="DI164">
        <v>28103</v>
      </c>
      <c r="DJ164">
        <v>37719.699999999997</v>
      </c>
      <c r="DK164">
        <v>37994</v>
      </c>
      <c r="DL164">
        <v>44381.2</v>
      </c>
      <c r="DM164">
        <v>42599.199999999997</v>
      </c>
      <c r="DN164">
        <v>1.4816199999999999</v>
      </c>
      <c r="DO164">
        <v>2.0401500000000001</v>
      </c>
      <c r="DP164">
        <v>0.13319</v>
      </c>
      <c r="DQ164">
        <v>0.18232300000000001</v>
      </c>
      <c r="DR164">
        <v>24.805599999999998</v>
      </c>
      <c r="DS164">
        <v>24.616299999999999</v>
      </c>
      <c r="DT164">
        <v>45.4</v>
      </c>
      <c r="DU164">
        <v>29.2</v>
      </c>
      <c r="DV164">
        <v>18.651800000000001</v>
      </c>
      <c r="DW164">
        <v>61.669800000000002</v>
      </c>
      <c r="DX164">
        <v>36.7348</v>
      </c>
      <c r="DY164">
        <v>1</v>
      </c>
      <c r="DZ164">
        <v>-9.8602599999999999E-2</v>
      </c>
      <c r="EA164">
        <v>0.33539200000000002</v>
      </c>
      <c r="EB164">
        <v>20.1889</v>
      </c>
      <c r="EC164">
        <v>5.24125</v>
      </c>
      <c r="ED164">
        <v>12.039899999999999</v>
      </c>
      <c r="EE164">
        <v>5.01675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1.8692</v>
      </c>
      <c r="EN164">
        <v>1.86724</v>
      </c>
      <c r="EO164">
        <v>1.8633999999999999</v>
      </c>
      <c r="EP164">
        <v>1.8644799999999999</v>
      </c>
      <c r="EQ164">
        <v>1.8701300000000001</v>
      </c>
      <c r="ER164">
        <v>1.86941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-3.1E-2</v>
      </c>
      <c r="FG164">
        <v>0.1787</v>
      </c>
      <c r="FH164">
        <v>0.3448811944559278</v>
      </c>
      <c r="FI164">
        <v>-6.1462078757559423E-4</v>
      </c>
      <c r="FJ164">
        <v>-1.8861989874597051E-7</v>
      </c>
      <c r="FK164">
        <v>1.1980462299894961E-10</v>
      </c>
      <c r="FL164">
        <v>0.17862261546663211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34.700000000000003</v>
      </c>
      <c r="FU164">
        <v>34.799999999999997</v>
      </c>
      <c r="FV164">
        <v>1.7724599999999999</v>
      </c>
      <c r="FW164">
        <v>2.5866699999999998</v>
      </c>
      <c r="FX164">
        <v>1.5490699999999999</v>
      </c>
      <c r="FY164">
        <v>2.32666</v>
      </c>
      <c r="FZ164">
        <v>1.50146</v>
      </c>
      <c r="GA164">
        <v>2.36206</v>
      </c>
      <c r="GB164">
        <v>33.896099999999997</v>
      </c>
      <c r="GC164">
        <v>23.982399999999998</v>
      </c>
      <c r="GD164">
        <v>19</v>
      </c>
      <c r="GE164">
        <v>284.99</v>
      </c>
      <c r="GF164">
        <v>585.82799999999997</v>
      </c>
      <c r="GG164">
        <v>23.845800000000001</v>
      </c>
      <c r="GH164">
        <v>26.138999999999999</v>
      </c>
      <c r="GI164">
        <v>30.0001</v>
      </c>
      <c r="GJ164">
        <v>26.303999999999998</v>
      </c>
      <c r="GK164">
        <v>26.298100000000002</v>
      </c>
      <c r="GL164">
        <v>35.444200000000002</v>
      </c>
      <c r="GM164">
        <v>57.200899999999997</v>
      </c>
      <c r="GN164">
        <v>60.623199999999997</v>
      </c>
      <c r="GO164">
        <v>23.8428</v>
      </c>
      <c r="GP164">
        <v>800</v>
      </c>
      <c r="GQ164">
        <v>7.9066700000000001</v>
      </c>
      <c r="GR164">
        <v>99.779799999999994</v>
      </c>
      <c r="GS164">
        <v>99.649900000000002</v>
      </c>
    </row>
    <row r="165" spans="1:201" x14ac:dyDescent="0.25">
      <c r="A165">
        <v>149</v>
      </c>
      <c r="B165">
        <v>1690231175</v>
      </c>
      <c r="C165">
        <v>1669.900000095367</v>
      </c>
      <c r="D165" t="s">
        <v>631</v>
      </c>
      <c r="E165" t="s">
        <v>632</v>
      </c>
      <c r="F165" t="s">
        <v>330</v>
      </c>
      <c r="H165">
        <v>1690231175</v>
      </c>
      <c r="I165">
        <f t="shared" si="60"/>
        <v>1.4324144055134571E-3</v>
      </c>
      <c r="J165">
        <f t="shared" si="61"/>
        <v>1.4324144055134571</v>
      </c>
      <c r="K165">
        <f t="shared" si="62"/>
        <v>23.005272431142615</v>
      </c>
      <c r="L165">
        <f t="shared" si="63"/>
        <v>550.28800000000001</v>
      </c>
      <c r="M165">
        <f t="shared" si="64"/>
        <v>152.37797308685262</v>
      </c>
      <c r="N165">
        <f t="shared" si="65"/>
        <v>15.106121147979435</v>
      </c>
      <c r="O165">
        <f t="shared" si="66"/>
        <v>54.553273192190396</v>
      </c>
      <c r="P165">
        <f t="shared" si="67"/>
        <v>9.6517992304285261E-2</v>
      </c>
      <c r="Q165">
        <f t="shared" si="68"/>
        <v>2.1773416144031095</v>
      </c>
      <c r="R165">
        <f t="shared" si="69"/>
        <v>9.420256045321114E-2</v>
      </c>
      <c r="S165">
        <f t="shared" si="70"/>
        <v>5.908000621288878E-2</v>
      </c>
      <c r="T165">
        <f t="shared" si="71"/>
        <v>276.11634797999994</v>
      </c>
      <c r="U165">
        <f t="shared" si="72"/>
        <v>27.562217045349289</v>
      </c>
      <c r="V165">
        <f t="shared" si="73"/>
        <v>27.562217045349289</v>
      </c>
      <c r="W165">
        <f t="shared" si="74"/>
        <v>3.6990621523312766</v>
      </c>
      <c r="X165">
        <f t="shared" si="75"/>
        <v>66.642711331073869</v>
      </c>
      <c r="Y165">
        <f t="shared" si="76"/>
        <v>2.2367627164795798</v>
      </c>
      <c r="Z165">
        <f t="shared" si="77"/>
        <v>3.356350112118911</v>
      </c>
      <c r="AA165">
        <f t="shared" si="78"/>
        <v>1.4622994358516967</v>
      </c>
      <c r="AB165">
        <f t="shared" si="79"/>
        <v>-63.169475283143463</v>
      </c>
      <c r="AC165">
        <f t="shared" si="80"/>
        <v>-193.93349687286681</v>
      </c>
      <c r="AD165">
        <f t="shared" si="81"/>
        <v>-19.17159176766064</v>
      </c>
      <c r="AE165">
        <f t="shared" si="82"/>
        <v>-0.15821594367096736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52523.641349810299</v>
      </c>
      <c r="AK165">
        <f t="shared" si="86"/>
        <v>1800</v>
      </c>
      <c r="AL165">
        <f t="shared" si="87"/>
        <v>1499.1097499999998</v>
      </c>
      <c r="AM165">
        <f t="shared" si="88"/>
        <v>0.83283874999999996</v>
      </c>
      <c r="AN165">
        <f t="shared" si="89"/>
        <v>0.15339797109999997</v>
      </c>
      <c r="AO165">
        <v>31.5</v>
      </c>
      <c r="AP165">
        <v>0.5</v>
      </c>
      <c r="AQ165" t="s">
        <v>331</v>
      </c>
      <c r="AR165">
        <v>2</v>
      </c>
      <c r="AS165">
        <v>1690231175</v>
      </c>
      <c r="AT165">
        <v>550.28800000000001</v>
      </c>
      <c r="AU165">
        <v>800.01499999999999</v>
      </c>
      <c r="AV165">
        <v>22.5626</v>
      </c>
      <c r="AW165">
        <v>7.8677700000000002</v>
      </c>
      <c r="AX165">
        <v>550.31799999999998</v>
      </c>
      <c r="AY165">
        <v>22.384</v>
      </c>
      <c r="AZ165">
        <v>300.12599999999998</v>
      </c>
      <c r="BA165">
        <v>99.035899999999998</v>
      </c>
      <c r="BB165">
        <v>9.99583E-2</v>
      </c>
      <c r="BC165">
        <v>25.9101</v>
      </c>
      <c r="BD165">
        <v>27.0108</v>
      </c>
      <c r="BE165">
        <v>27.607399999999998</v>
      </c>
      <c r="BF165">
        <v>0</v>
      </c>
      <c r="BG165">
        <v>0</v>
      </c>
      <c r="BH165">
        <v>9993.1200000000008</v>
      </c>
      <c r="BI165">
        <v>1065.1400000000001</v>
      </c>
      <c r="BJ165">
        <v>1.4016500000000001</v>
      </c>
      <c r="BK165">
        <v>-249.72800000000001</v>
      </c>
      <c r="BL165">
        <v>562.99</v>
      </c>
      <c r="BM165">
        <v>806.35900000000004</v>
      </c>
      <c r="BN165">
        <v>14.694800000000001</v>
      </c>
      <c r="BO165">
        <v>800.01499999999999</v>
      </c>
      <c r="BP165">
        <v>7.8677700000000002</v>
      </c>
      <c r="BQ165">
        <v>2.2345100000000002</v>
      </c>
      <c r="BR165">
        <v>0.779192</v>
      </c>
      <c r="BS165">
        <v>19.2119</v>
      </c>
      <c r="BT165">
        <v>3.33378</v>
      </c>
      <c r="BU165">
        <v>1800</v>
      </c>
      <c r="BV165">
        <v>0.90998100000000004</v>
      </c>
      <c r="BW165">
        <v>3.4006700000000001E-2</v>
      </c>
      <c r="BX165">
        <v>2.2006000000000001E-2</v>
      </c>
      <c r="BY165">
        <v>3.4006399999999999E-2</v>
      </c>
      <c r="BZ165">
        <v>25.458300000000001</v>
      </c>
      <c r="CA165">
        <v>33528.300000000003</v>
      </c>
      <c r="CB165">
        <v>1690229084.0999999</v>
      </c>
      <c r="CC165" t="s">
        <v>332</v>
      </c>
      <c r="CD165">
        <v>1690229084.0999999</v>
      </c>
      <c r="CE165">
        <v>1690229076.5999999</v>
      </c>
      <c r="CF165">
        <v>13</v>
      </c>
      <c r="CG165">
        <v>0.23300000000000001</v>
      </c>
      <c r="CH165">
        <v>-0.13100000000000001</v>
      </c>
      <c r="CI165">
        <v>-0.20599999999999999</v>
      </c>
      <c r="CJ165">
        <v>8.7999999999999995E-2</v>
      </c>
      <c r="CK165">
        <v>799</v>
      </c>
      <c r="CL165">
        <v>16</v>
      </c>
      <c r="CM165">
        <v>0.04</v>
      </c>
      <c r="CN165">
        <v>0.04</v>
      </c>
      <c r="CO165">
        <v>-248.27331707317069</v>
      </c>
      <c r="CP165">
        <v>-8.0272264808366991</v>
      </c>
      <c r="CQ165">
        <v>0.79547876177822208</v>
      </c>
      <c r="CR165">
        <v>-1</v>
      </c>
      <c r="CS165">
        <v>14.608617073170731</v>
      </c>
      <c r="CT165">
        <v>0.64760696864112466</v>
      </c>
      <c r="CU165">
        <v>6.5764754080271132E-2</v>
      </c>
      <c r="CV165">
        <v>-1</v>
      </c>
      <c r="CW165">
        <v>0</v>
      </c>
      <c r="CX165">
        <v>0</v>
      </c>
      <c r="CY165" t="s">
        <v>333</v>
      </c>
      <c r="CZ165">
        <v>2.3645299999999998</v>
      </c>
      <c r="DA165">
        <v>2.71374</v>
      </c>
      <c r="DB165">
        <v>0.11325399999999999</v>
      </c>
      <c r="DC165">
        <v>0.14608099999999999</v>
      </c>
      <c r="DD165">
        <v>0.109024</v>
      </c>
      <c r="DE165">
        <v>4.9042500000000003E-2</v>
      </c>
      <c r="DF165">
        <v>32391.5</v>
      </c>
      <c r="DG165">
        <v>27541.200000000001</v>
      </c>
      <c r="DH165">
        <v>31184.1</v>
      </c>
      <c r="DI165">
        <v>28103.5</v>
      </c>
      <c r="DJ165">
        <v>37722.699999999997</v>
      </c>
      <c r="DK165">
        <v>38009.1</v>
      </c>
      <c r="DL165">
        <v>44381.4</v>
      </c>
      <c r="DM165">
        <v>42599.9</v>
      </c>
      <c r="DN165">
        <v>1.4818</v>
      </c>
      <c r="DO165">
        <v>2.0402</v>
      </c>
      <c r="DP165">
        <v>0.13449</v>
      </c>
      <c r="DQ165">
        <v>0.18252099999999999</v>
      </c>
      <c r="DR165">
        <v>24.807400000000001</v>
      </c>
      <c r="DS165">
        <v>24.618099999999998</v>
      </c>
      <c r="DT165">
        <v>45.1</v>
      </c>
      <c r="DU165">
        <v>29.2</v>
      </c>
      <c r="DV165">
        <v>18.527000000000001</v>
      </c>
      <c r="DW165">
        <v>61.659799999999997</v>
      </c>
      <c r="DX165">
        <v>36.041699999999999</v>
      </c>
      <c r="DY165">
        <v>1</v>
      </c>
      <c r="DZ165">
        <v>-9.9339399999999994E-2</v>
      </c>
      <c r="EA165">
        <v>0.29299599999999998</v>
      </c>
      <c r="EB165">
        <v>20.1892</v>
      </c>
      <c r="EC165">
        <v>5.24125</v>
      </c>
      <c r="ED165">
        <v>12.039899999999999</v>
      </c>
      <c r="EE165">
        <v>5.0167000000000002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1.8689100000000001</v>
      </c>
      <c r="EL165">
        <v>1.8646199999999999</v>
      </c>
      <c r="EM165">
        <v>1.8691899999999999</v>
      </c>
      <c r="EN165">
        <v>1.86724</v>
      </c>
      <c r="EO165">
        <v>1.8633900000000001</v>
      </c>
      <c r="EP165">
        <v>1.86449</v>
      </c>
      <c r="EQ165">
        <v>1.8701300000000001</v>
      </c>
      <c r="ER165">
        <v>1.8694299999999999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-0.03</v>
      </c>
      <c r="FG165">
        <v>0.17860000000000001</v>
      </c>
      <c r="FH165">
        <v>0.3448811944559278</v>
      </c>
      <c r="FI165">
        <v>-6.1462078757559423E-4</v>
      </c>
      <c r="FJ165">
        <v>-1.8861989874597051E-7</v>
      </c>
      <c r="FK165">
        <v>1.1980462299894961E-10</v>
      </c>
      <c r="FL165">
        <v>0.17862261546663211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34.799999999999997</v>
      </c>
      <c r="FU165">
        <v>35</v>
      </c>
      <c r="FV165">
        <v>1.7724599999999999</v>
      </c>
      <c r="FW165">
        <v>2.5903299999999998</v>
      </c>
      <c r="FX165">
        <v>1.5490699999999999</v>
      </c>
      <c r="FY165">
        <v>2.32666</v>
      </c>
      <c r="FZ165">
        <v>1.50146</v>
      </c>
      <c r="GA165">
        <v>2.2851599999999999</v>
      </c>
      <c r="GB165">
        <v>33.896099999999997</v>
      </c>
      <c r="GC165">
        <v>23.982399999999998</v>
      </c>
      <c r="GD165">
        <v>19</v>
      </c>
      <c r="GE165">
        <v>285.04500000000002</v>
      </c>
      <c r="GF165">
        <v>585.81899999999996</v>
      </c>
      <c r="GG165">
        <v>23.8338</v>
      </c>
      <c r="GH165">
        <v>26.134599999999999</v>
      </c>
      <c r="GI165">
        <v>29.9999</v>
      </c>
      <c r="GJ165">
        <v>26.299600000000002</v>
      </c>
      <c r="GK165">
        <v>26.293700000000001</v>
      </c>
      <c r="GL165">
        <v>35.446199999999997</v>
      </c>
      <c r="GM165">
        <v>57.200899999999997</v>
      </c>
      <c r="GN165">
        <v>59.843000000000004</v>
      </c>
      <c r="GO165">
        <v>23.821000000000002</v>
      </c>
      <c r="GP165">
        <v>800</v>
      </c>
      <c r="GQ165">
        <v>7.8055199999999996</v>
      </c>
      <c r="GR165">
        <v>99.7804</v>
      </c>
      <c r="GS165">
        <v>99.651600000000002</v>
      </c>
    </row>
    <row r="166" spans="1:201" x14ac:dyDescent="0.25">
      <c r="A166">
        <v>150</v>
      </c>
      <c r="B166">
        <v>1690231185</v>
      </c>
      <c r="C166">
        <v>1679.900000095367</v>
      </c>
      <c r="D166" t="s">
        <v>633</v>
      </c>
      <c r="E166" t="s">
        <v>634</v>
      </c>
      <c r="F166" t="s">
        <v>330</v>
      </c>
      <c r="H166">
        <v>1690231185</v>
      </c>
      <c r="I166">
        <f t="shared" si="60"/>
        <v>1.4391019240258894E-3</v>
      </c>
      <c r="J166">
        <f t="shared" si="61"/>
        <v>1.4391019240258893</v>
      </c>
      <c r="K166">
        <f t="shared" si="62"/>
        <v>23.129954546888673</v>
      </c>
      <c r="L166">
        <f t="shared" si="63"/>
        <v>548.95899999999995</v>
      </c>
      <c r="M166">
        <f t="shared" si="64"/>
        <v>150.80423174557131</v>
      </c>
      <c r="N166">
        <f t="shared" si="65"/>
        <v>14.950335855112687</v>
      </c>
      <c r="O166">
        <f t="shared" si="66"/>
        <v>54.422354901375797</v>
      </c>
      <c r="P166">
        <f t="shared" si="67"/>
        <v>9.6978316304350595E-2</v>
      </c>
      <c r="Q166">
        <f t="shared" si="68"/>
        <v>2.1800865666140594</v>
      </c>
      <c r="R166">
        <f t="shared" si="69"/>
        <v>9.4643900410325166E-2</v>
      </c>
      <c r="S166">
        <f t="shared" si="70"/>
        <v>5.9357495471133587E-2</v>
      </c>
      <c r="T166">
        <f t="shared" si="71"/>
        <v>276.11633908800002</v>
      </c>
      <c r="U166">
        <f t="shared" si="72"/>
        <v>27.558036846089689</v>
      </c>
      <c r="V166">
        <f t="shared" si="73"/>
        <v>27.558036846089689</v>
      </c>
      <c r="W166">
        <f t="shared" si="74"/>
        <v>3.6981578781189013</v>
      </c>
      <c r="X166">
        <f t="shared" si="75"/>
        <v>66.615375951559457</v>
      </c>
      <c r="Y166">
        <f t="shared" si="76"/>
        <v>2.2358452454386</v>
      </c>
      <c r="Z166">
        <f t="shared" si="77"/>
        <v>3.356350112118911</v>
      </c>
      <c r="AA166">
        <f t="shared" si="78"/>
        <v>1.4623126326803013</v>
      </c>
      <c r="AB166">
        <f t="shared" si="79"/>
        <v>-63.464394849541719</v>
      </c>
      <c r="AC166">
        <f t="shared" si="80"/>
        <v>-193.68667620426805</v>
      </c>
      <c r="AD166">
        <f t="shared" si="81"/>
        <v>-19.122682886090985</v>
      </c>
      <c r="AE166">
        <f t="shared" si="82"/>
        <v>-0.15741485190071103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52637.746133410066</v>
      </c>
      <c r="AK166">
        <f t="shared" si="86"/>
        <v>1800</v>
      </c>
      <c r="AL166">
        <f t="shared" si="87"/>
        <v>1499.1110117999999</v>
      </c>
      <c r="AM166">
        <f t="shared" si="88"/>
        <v>0.83283945100000001</v>
      </c>
      <c r="AN166">
        <f t="shared" si="89"/>
        <v>0.15339796616000001</v>
      </c>
      <c r="AO166">
        <v>31.5</v>
      </c>
      <c r="AP166">
        <v>0.5</v>
      </c>
      <c r="AQ166" t="s">
        <v>331</v>
      </c>
      <c r="AR166">
        <v>2</v>
      </c>
      <c r="AS166">
        <v>1690231185</v>
      </c>
      <c r="AT166">
        <v>548.95899999999995</v>
      </c>
      <c r="AU166">
        <v>800.01400000000001</v>
      </c>
      <c r="AV166">
        <v>22.553000000000001</v>
      </c>
      <c r="AW166">
        <v>7.7893699999999999</v>
      </c>
      <c r="AX166">
        <v>548.98800000000006</v>
      </c>
      <c r="AY166">
        <v>22.374300000000002</v>
      </c>
      <c r="AZ166">
        <v>300.125</v>
      </c>
      <c r="BA166">
        <v>99.037400000000005</v>
      </c>
      <c r="BB166">
        <v>9.9976200000000001E-2</v>
      </c>
      <c r="BC166">
        <v>25.9101</v>
      </c>
      <c r="BD166">
        <v>26.995999999999999</v>
      </c>
      <c r="BE166">
        <v>27.599499999999999</v>
      </c>
      <c r="BF166">
        <v>0</v>
      </c>
      <c r="BG166">
        <v>0</v>
      </c>
      <c r="BH166">
        <v>10015.6</v>
      </c>
      <c r="BI166">
        <v>1065.28</v>
      </c>
      <c r="BJ166">
        <v>1.4016500000000001</v>
      </c>
      <c r="BK166">
        <v>-251.05500000000001</v>
      </c>
      <c r="BL166">
        <v>561.625</v>
      </c>
      <c r="BM166">
        <v>806.29399999999998</v>
      </c>
      <c r="BN166">
        <v>14.7636</v>
      </c>
      <c r="BO166">
        <v>800.01400000000001</v>
      </c>
      <c r="BP166">
        <v>7.7893699999999999</v>
      </c>
      <c r="BQ166">
        <v>2.2335799999999999</v>
      </c>
      <c r="BR166">
        <v>0.77143899999999999</v>
      </c>
      <c r="BS166">
        <v>19.205300000000001</v>
      </c>
      <c r="BT166">
        <v>3.1923400000000002</v>
      </c>
      <c r="BU166">
        <v>1800</v>
      </c>
      <c r="BV166">
        <v>0.90998500000000004</v>
      </c>
      <c r="BW166">
        <v>3.40021E-2</v>
      </c>
      <c r="BX166">
        <v>2.2006299999999999E-2</v>
      </c>
      <c r="BY166">
        <v>3.4006799999999997E-2</v>
      </c>
      <c r="BZ166">
        <v>25.166699999999999</v>
      </c>
      <c r="CA166">
        <v>33528.199999999997</v>
      </c>
      <c r="CB166">
        <v>1690229084.0999999</v>
      </c>
      <c r="CC166" t="s">
        <v>332</v>
      </c>
      <c r="CD166">
        <v>1690229084.0999999</v>
      </c>
      <c r="CE166">
        <v>1690229076.5999999</v>
      </c>
      <c r="CF166">
        <v>13</v>
      </c>
      <c r="CG166">
        <v>0.23300000000000001</v>
      </c>
      <c r="CH166">
        <v>-0.13100000000000001</v>
      </c>
      <c r="CI166">
        <v>-0.20599999999999999</v>
      </c>
      <c r="CJ166">
        <v>8.7999999999999995E-2</v>
      </c>
      <c r="CK166">
        <v>799</v>
      </c>
      <c r="CL166">
        <v>16</v>
      </c>
      <c r="CM166">
        <v>0.04</v>
      </c>
      <c r="CN166">
        <v>0.04</v>
      </c>
      <c r="CO166">
        <v>-249.6263414634146</v>
      </c>
      <c r="CP166">
        <v>-8.2160696864112079</v>
      </c>
      <c r="CQ166">
        <v>0.81198638129142031</v>
      </c>
      <c r="CR166">
        <v>-1</v>
      </c>
      <c r="CS166">
        <v>14.69386341463415</v>
      </c>
      <c r="CT166">
        <v>0.36499233449477059</v>
      </c>
      <c r="CU166">
        <v>3.6158012006230512E-2</v>
      </c>
      <c r="CV166">
        <v>-1</v>
      </c>
      <c r="CW166">
        <v>0</v>
      </c>
      <c r="CX166">
        <v>0</v>
      </c>
      <c r="CY166" t="s">
        <v>333</v>
      </c>
      <c r="CZ166">
        <v>2.3645399999999999</v>
      </c>
      <c r="DA166">
        <v>2.7137799999999999</v>
      </c>
      <c r="DB166">
        <v>0.11306099999999999</v>
      </c>
      <c r="DC166">
        <v>0.14608299999999999</v>
      </c>
      <c r="DD166">
        <v>0.10899300000000001</v>
      </c>
      <c r="DE166">
        <v>4.86563E-2</v>
      </c>
      <c r="DF166">
        <v>32398.6</v>
      </c>
      <c r="DG166">
        <v>27541.3</v>
      </c>
      <c r="DH166">
        <v>31184.1</v>
      </c>
      <c r="DI166">
        <v>28103.599999999999</v>
      </c>
      <c r="DJ166">
        <v>37724.199999999997</v>
      </c>
      <c r="DK166">
        <v>38024.9</v>
      </c>
      <c r="DL166">
        <v>44381.7</v>
      </c>
      <c r="DM166">
        <v>42600.2</v>
      </c>
      <c r="DN166">
        <v>1.4822299999999999</v>
      </c>
      <c r="DO166">
        <v>2.0398200000000002</v>
      </c>
      <c r="DP166">
        <v>0.13345899999999999</v>
      </c>
      <c r="DQ166">
        <v>0.181925</v>
      </c>
      <c r="DR166">
        <v>24.8095</v>
      </c>
      <c r="DS166">
        <v>24.62</v>
      </c>
      <c r="DT166">
        <v>44.8</v>
      </c>
      <c r="DU166">
        <v>29.2</v>
      </c>
      <c r="DV166">
        <v>18.404299999999999</v>
      </c>
      <c r="DW166">
        <v>61.919800000000002</v>
      </c>
      <c r="DX166">
        <v>36.506399999999999</v>
      </c>
      <c r="DY166">
        <v>1</v>
      </c>
      <c r="DZ166">
        <v>-9.9250500000000005E-2</v>
      </c>
      <c r="EA166">
        <v>0.32344000000000001</v>
      </c>
      <c r="EB166">
        <v>20.188800000000001</v>
      </c>
      <c r="EC166">
        <v>5.2415500000000002</v>
      </c>
      <c r="ED166">
        <v>12.039899999999999</v>
      </c>
      <c r="EE166">
        <v>5.0169499999999996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1.8646199999999999</v>
      </c>
      <c r="EM166">
        <v>1.8691899999999999</v>
      </c>
      <c r="EN166">
        <v>1.8672200000000001</v>
      </c>
      <c r="EO166">
        <v>1.8633900000000001</v>
      </c>
      <c r="EP166">
        <v>1.8645099999999999</v>
      </c>
      <c r="EQ166">
        <v>1.8701300000000001</v>
      </c>
      <c r="ER166">
        <v>1.8693900000000001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-2.9000000000000001E-2</v>
      </c>
      <c r="FG166">
        <v>0.1787</v>
      </c>
      <c r="FH166">
        <v>0.3448811944559278</v>
      </c>
      <c r="FI166">
        <v>-6.1462078757559423E-4</v>
      </c>
      <c r="FJ166">
        <v>-1.8861989874597051E-7</v>
      </c>
      <c r="FK166">
        <v>1.1980462299894961E-10</v>
      </c>
      <c r="FL166">
        <v>0.17862261546663211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35</v>
      </c>
      <c r="FU166">
        <v>35.1</v>
      </c>
      <c r="FV166">
        <v>1.7724599999999999</v>
      </c>
      <c r="FW166">
        <v>2.5866699999999998</v>
      </c>
      <c r="FX166">
        <v>1.5490699999999999</v>
      </c>
      <c r="FY166">
        <v>2.32666</v>
      </c>
      <c r="FZ166">
        <v>1.50146</v>
      </c>
      <c r="GA166">
        <v>2.35107</v>
      </c>
      <c r="GB166">
        <v>33.896099999999997</v>
      </c>
      <c r="GC166">
        <v>23.982399999999998</v>
      </c>
      <c r="GD166">
        <v>19</v>
      </c>
      <c r="GE166">
        <v>285.20699999999999</v>
      </c>
      <c r="GF166">
        <v>585.46500000000003</v>
      </c>
      <c r="GG166">
        <v>23.812200000000001</v>
      </c>
      <c r="GH166">
        <v>26.130199999999999</v>
      </c>
      <c r="GI166">
        <v>30</v>
      </c>
      <c r="GJ166">
        <v>26.295200000000001</v>
      </c>
      <c r="GK166">
        <v>26.2898</v>
      </c>
      <c r="GL166">
        <v>35.441200000000002</v>
      </c>
      <c r="GM166">
        <v>57.200899999999997</v>
      </c>
      <c r="GN166">
        <v>59.454700000000003</v>
      </c>
      <c r="GO166">
        <v>23.832100000000001</v>
      </c>
      <c r="GP166">
        <v>800</v>
      </c>
      <c r="GQ166">
        <v>7.7054200000000002</v>
      </c>
      <c r="GR166">
        <v>99.780799999999999</v>
      </c>
      <c r="GS166">
        <v>99.652199999999993</v>
      </c>
    </row>
    <row r="167" spans="1:201" x14ac:dyDescent="0.25">
      <c r="A167">
        <v>151</v>
      </c>
      <c r="B167">
        <v>1690231195</v>
      </c>
      <c r="C167">
        <v>1689.900000095367</v>
      </c>
      <c r="D167" t="s">
        <v>635</v>
      </c>
      <c r="E167" t="s">
        <v>636</v>
      </c>
      <c r="F167" t="s">
        <v>330</v>
      </c>
      <c r="H167">
        <v>1690231195</v>
      </c>
      <c r="I167">
        <f t="shared" si="60"/>
        <v>1.4481537030531621E-3</v>
      </c>
      <c r="J167">
        <f t="shared" si="61"/>
        <v>1.4481537030531622</v>
      </c>
      <c r="K167">
        <f t="shared" si="62"/>
        <v>23.239311773495981</v>
      </c>
      <c r="L167">
        <f t="shared" si="63"/>
        <v>547.69200000000001</v>
      </c>
      <c r="M167">
        <f t="shared" si="64"/>
        <v>150.47297845456418</v>
      </c>
      <c r="N167">
        <f t="shared" si="65"/>
        <v>14.917471640558052</v>
      </c>
      <c r="O167">
        <f t="shared" si="66"/>
        <v>54.296658188550005</v>
      </c>
      <c r="P167">
        <f t="shared" si="67"/>
        <v>9.7677980603543241E-2</v>
      </c>
      <c r="Q167">
        <f t="shared" si="68"/>
        <v>2.1815991147767999</v>
      </c>
      <c r="R167">
        <f t="shared" si="69"/>
        <v>9.5311800979270819E-2</v>
      </c>
      <c r="S167">
        <f t="shared" si="70"/>
        <v>5.977769337570718E-2</v>
      </c>
      <c r="T167">
        <f t="shared" si="71"/>
        <v>276.11771769079843</v>
      </c>
      <c r="U167">
        <f t="shared" si="72"/>
        <v>27.550819864544994</v>
      </c>
      <c r="V167">
        <f t="shared" si="73"/>
        <v>27.550819864544994</v>
      </c>
      <c r="W167">
        <f t="shared" si="74"/>
        <v>3.6965971313709818</v>
      </c>
      <c r="X167">
        <f t="shared" si="75"/>
        <v>66.613905559822157</v>
      </c>
      <c r="Y167">
        <f t="shared" si="76"/>
        <v>2.2353855223350001</v>
      </c>
      <c r="Z167">
        <f t="shared" si="77"/>
        <v>3.3557340671573863</v>
      </c>
      <c r="AA167">
        <f t="shared" si="78"/>
        <v>1.4612116090359817</v>
      </c>
      <c r="AB167">
        <f t="shared" si="79"/>
        <v>-63.863578304644449</v>
      </c>
      <c r="AC167">
        <f t="shared" si="80"/>
        <v>-193.33684018797121</v>
      </c>
      <c r="AD167">
        <f t="shared" si="81"/>
        <v>-19.073923825112409</v>
      </c>
      <c r="AE167">
        <f t="shared" si="82"/>
        <v>-0.15662462692961299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52701.212924223662</v>
      </c>
      <c r="AK167">
        <f t="shared" si="86"/>
        <v>1800.01</v>
      </c>
      <c r="AL167">
        <f t="shared" si="87"/>
        <v>1499.11866159074</v>
      </c>
      <c r="AM167">
        <f t="shared" si="88"/>
        <v>0.83283907400000001</v>
      </c>
      <c r="AN167">
        <f t="shared" si="89"/>
        <v>0.15339787984000003</v>
      </c>
      <c r="AO167">
        <v>31.5</v>
      </c>
      <c r="AP167">
        <v>0.5</v>
      </c>
      <c r="AQ167" t="s">
        <v>331</v>
      </c>
      <c r="AR167">
        <v>2</v>
      </c>
      <c r="AS167">
        <v>1690231195</v>
      </c>
      <c r="AT167">
        <v>547.69200000000001</v>
      </c>
      <c r="AU167">
        <v>799.947</v>
      </c>
      <c r="AV167">
        <v>22.548400000000001</v>
      </c>
      <c r="AW167">
        <v>7.6906999999999996</v>
      </c>
      <c r="AX167">
        <v>547.721</v>
      </c>
      <c r="AY167">
        <v>22.369800000000001</v>
      </c>
      <c r="AZ167">
        <v>300.10199999999998</v>
      </c>
      <c r="BA167">
        <v>99.037300000000002</v>
      </c>
      <c r="BB167">
        <v>9.9912500000000001E-2</v>
      </c>
      <c r="BC167">
        <v>25.907</v>
      </c>
      <c r="BD167">
        <v>26.958100000000002</v>
      </c>
      <c r="BE167">
        <v>27.594200000000001</v>
      </c>
      <c r="BF167">
        <v>0</v>
      </c>
      <c r="BG167">
        <v>0</v>
      </c>
      <c r="BH167">
        <v>10028.1</v>
      </c>
      <c r="BI167">
        <v>1065.3800000000001</v>
      </c>
      <c r="BJ167">
        <v>1.4016500000000001</v>
      </c>
      <c r="BK167">
        <v>-252.255</v>
      </c>
      <c r="BL167">
        <v>560.327</v>
      </c>
      <c r="BM167">
        <v>806.14700000000005</v>
      </c>
      <c r="BN167">
        <v>14.857699999999999</v>
      </c>
      <c r="BO167">
        <v>799.947</v>
      </c>
      <c r="BP167">
        <v>7.6906999999999996</v>
      </c>
      <c r="BQ167">
        <v>2.2331300000000001</v>
      </c>
      <c r="BR167">
        <v>0.76166599999999995</v>
      </c>
      <c r="BS167">
        <v>19.202000000000002</v>
      </c>
      <c r="BT167">
        <v>3.0122599999999999</v>
      </c>
      <c r="BU167">
        <v>1800.01</v>
      </c>
      <c r="BV167">
        <v>0.90998500000000004</v>
      </c>
      <c r="BW167">
        <v>3.4001900000000002E-2</v>
      </c>
      <c r="BX167">
        <v>2.20062E-2</v>
      </c>
      <c r="BY167">
        <v>3.4006599999999998E-2</v>
      </c>
      <c r="BZ167">
        <v>25.125</v>
      </c>
      <c r="CA167">
        <v>33528.400000000001</v>
      </c>
      <c r="CB167">
        <v>1690229084.0999999</v>
      </c>
      <c r="CC167" t="s">
        <v>332</v>
      </c>
      <c r="CD167">
        <v>1690229084.0999999</v>
      </c>
      <c r="CE167">
        <v>1690229076.5999999</v>
      </c>
      <c r="CF167">
        <v>13</v>
      </c>
      <c r="CG167">
        <v>0.23300000000000001</v>
      </c>
      <c r="CH167">
        <v>-0.13100000000000001</v>
      </c>
      <c r="CI167">
        <v>-0.20599999999999999</v>
      </c>
      <c r="CJ167">
        <v>8.7999999999999995E-2</v>
      </c>
      <c r="CK167">
        <v>799</v>
      </c>
      <c r="CL167">
        <v>16</v>
      </c>
      <c r="CM167">
        <v>0.04</v>
      </c>
      <c r="CN167">
        <v>0.04</v>
      </c>
      <c r="CO167">
        <v>-250.9444146341464</v>
      </c>
      <c r="CP167">
        <v>-7.665972125435653</v>
      </c>
      <c r="CQ167">
        <v>0.7578669352156483</v>
      </c>
      <c r="CR167">
        <v>-1</v>
      </c>
      <c r="CS167">
        <v>14.76075365853659</v>
      </c>
      <c r="CT167">
        <v>0.45370034843207813</v>
      </c>
      <c r="CU167">
        <v>4.5587434605735243E-2</v>
      </c>
      <c r="CV167">
        <v>-1</v>
      </c>
      <c r="CW167">
        <v>0</v>
      </c>
      <c r="CX167">
        <v>0</v>
      </c>
      <c r="CY167" t="s">
        <v>333</v>
      </c>
      <c r="CZ167">
        <v>2.3644500000000002</v>
      </c>
      <c r="DA167">
        <v>2.71373</v>
      </c>
      <c r="DB167">
        <v>0.112874</v>
      </c>
      <c r="DC167">
        <v>0.14607400000000001</v>
      </c>
      <c r="DD167">
        <v>0.10897900000000001</v>
      </c>
      <c r="DE167">
        <v>4.8167500000000002E-2</v>
      </c>
      <c r="DF167">
        <v>32405.9</v>
      </c>
      <c r="DG167">
        <v>27541.9</v>
      </c>
      <c r="DH167">
        <v>31184.6</v>
      </c>
      <c r="DI167">
        <v>28104</v>
      </c>
      <c r="DJ167">
        <v>37725.199999999997</v>
      </c>
      <c r="DK167">
        <v>38044.9</v>
      </c>
      <c r="DL167">
        <v>44382.2</v>
      </c>
      <c r="DM167">
        <v>42600.800000000003</v>
      </c>
      <c r="DN167">
        <v>1.48217</v>
      </c>
      <c r="DO167">
        <v>2.0398999999999998</v>
      </c>
      <c r="DP167">
        <v>0.13112299999999999</v>
      </c>
      <c r="DQ167">
        <v>0.18158199999999999</v>
      </c>
      <c r="DR167">
        <v>24.809799999999999</v>
      </c>
      <c r="DS167">
        <v>24.620200000000001</v>
      </c>
      <c r="DT167">
        <v>44.6</v>
      </c>
      <c r="DU167">
        <v>29.2</v>
      </c>
      <c r="DV167">
        <v>18.321999999999999</v>
      </c>
      <c r="DW167">
        <v>61.699800000000003</v>
      </c>
      <c r="DX167">
        <v>37.275599999999997</v>
      </c>
      <c r="DY167">
        <v>1</v>
      </c>
      <c r="DZ167">
        <v>-0.10017</v>
      </c>
      <c r="EA167">
        <v>0.23399800000000001</v>
      </c>
      <c r="EB167">
        <v>20.189</v>
      </c>
      <c r="EC167">
        <v>5.2413999999999996</v>
      </c>
      <c r="ED167">
        <v>12.039899999999999</v>
      </c>
      <c r="EE167">
        <v>5.0168499999999998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1.86463</v>
      </c>
      <c r="EM167">
        <v>1.8692</v>
      </c>
      <c r="EN167">
        <v>1.8672200000000001</v>
      </c>
      <c r="EO167">
        <v>1.8633999999999999</v>
      </c>
      <c r="EP167">
        <v>1.86449</v>
      </c>
      <c r="EQ167">
        <v>1.8701399999999999</v>
      </c>
      <c r="ER167">
        <v>1.8694200000000001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-2.9000000000000001E-2</v>
      </c>
      <c r="FG167">
        <v>0.17860000000000001</v>
      </c>
      <c r="FH167">
        <v>0.3448811944559278</v>
      </c>
      <c r="FI167">
        <v>-6.1462078757559423E-4</v>
      </c>
      <c r="FJ167">
        <v>-1.8861989874597051E-7</v>
      </c>
      <c r="FK167">
        <v>1.1980462299894961E-10</v>
      </c>
      <c r="FL167">
        <v>0.17862261546663211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35.200000000000003</v>
      </c>
      <c r="FU167">
        <v>35.299999999999997</v>
      </c>
      <c r="FV167">
        <v>1.7724599999999999</v>
      </c>
      <c r="FW167">
        <v>2.5805699999999998</v>
      </c>
      <c r="FX167">
        <v>1.5490699999999999</v>
      </c>
      <c r="FY167">
        <v>2.32666</v>
      </c>
      <c r="FZ167">
        <v>1.50146</v>
      </c>
      <c r="GA167">
        <v>2.3864700000000001</v>
      </c>
      <c r="GB167">
        <v>33.896099999999997</v>
      </c>
      <c r="GC167">
        <v>23.991199999999999</v>
      </c>
      <c r="GD167">
        <v>19</v>
      </c>
      <c r="GE167">
        <v>285.166</v>
      </c>
      <c r="GF167">
        <v>585.47699999999998</v>
      </c>
      <c r="GG167">
        <v>23.834599999999998</v>
      </c>
      <c r="GH167">
        <v>26.125800000000002</v>
      </c>
      <c r="GI167">
        <v>29.999700000000001</v>
      </c>
      <c r="GJ167">
        <v>26.290800000000001</v>
      </c>
      <c r="GK167">
        <v>26.285499999999999</v>
      </c>
      <c r="GL167">
        <v>35.4435</v>
      </c>
      <c r="GM167">
        <v>57.478900000000003</v>
      </c>
      <c r="GN167">
        <v>58.669800000000002</v>
      </c>
      <c r="GO167">
        <v>23.844799999999999</v>
      </c>
      <c r="GP167">
        <v>800</v>
      </c>
      <c r="GQ167">
        <v>7.6004100000000001</v>
      </c>
      <c r="GR167">
        <v>99.7821</v>
      </c>
      <c r="GS167">
        <v>99.653499999999994</v>
      </c>
    </row>
    <row r="168" spans="1:201" x14ac:dyDescent="0.25">
      <c r="A168">
        <v>152</v>
      </c>
      <c r="B168">
        <v>1690231205</v>
      </c>
      <c r="C168">
        <v>1699.900000095367</v>
      </c>
      <c r="D168" t="s">
        <v>637</v>
      </c>
      <c r="E168" t="s">
        <v>638</v>
      </c>
      <c r="F168" t="s">
        <v>330</v>
      </c>
      <c r="H168">
        <v>1690231205</v>
      </c>
      <c r="I168">
        <f t="shared" si="60"/>
        <v>1.4625514562655189E-3</v>
      </c>
      <c r="J168">
        <f t="shared" si="61"/>
        <v>1.4625514562655189</v>
      </c>
      <c r="K168">
        <f t="shared" si="62"/>
        <v>23.36447669664172</v>
      </c>
      <c r="L168">
        <f t="shared" si="63"/>
        <v>546.42999999999995</v>
      </c>
      <c r="M168">
        <f t="shared" si="64"/>
        <v>151.00851171950634</v>
      </c>
      <c r="N168">
        <f t="shared" si="65"/>
        <v>14.971179075675812</v>
      </c>
      <c r="O168">
        <f t="shared" si="66"/>
        <v>54.173776624703997</v>
      </c>
      <c r="P168">
        <f t="shared" si="67"/>
        <v>9.8681422469083777E-2</v>
      </c>
      <c r="Q168">
        <f t="shared" si="68"/>
        <v>2.1789221274127675</v>
      </c>
      <c r="R168">
        <f t="shared" si="69"/>
        <v>9.6264137000271643E-2</v>
      </c>
      <c r="S168">
        <f t="shared" si="70"/>
        <v>6.0377337245748702E-2</v>
      </c>
      <c r="T168">
        <f t="shared" si="71"/>
        <v>276.11625238199997</v>
      </c>
      <c r="U168">
        <f t="shared" si="72"/>
        <v>27.5514195847175</v>
      </c>
      <c r="V168">
        <f t="shared" si="73"/>
        <v>27.5514195847175</v>
      </c>
      <c r="W168">
        <f t="shared" si="74"/>
        <v>3.6967268051462172</v>
      </c>
      <c r="X168">
        <f t="shared" si="75"/>
        <v>66.603530637493392</v>
      </c>
      <c r="Y168">
        <f t="shared" si="76"/>
        <v>2.2355270972179202</v>
      </c>
      <c r="Z168">
        <f t="shared" si="77"/>
        <v>3.3564693580365033</v>
      </c>
      <c r="AA168">
        <f t="shared" si="78"/>
        <v>1.461199707928297</v>
      </c>
      <c r="AB168">
        <f t="shared" si="79"/>
        <v>-64.49851922130938</v>
      </c>
      <c r="AC168">
        <f t="shared" si="80"/>
        <v>-192.7354112147986</v>
      </c>
      <c r="AD168">
        <f t="shared" si="81"/>
        <v>-19.038359112997323</v>
      </c>
      <c r="AE168">
        <f t="shared" si="82"/>
        <v>-0.15603716710535309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52589.316117660688</v>
      </c>
      <c r="AK168">
        <f t="shared" si="86"/>
        <v>1800</v>
      </c>
      <c r="AL168">
        <f t="shared" si="87"/>
        <v>1499.1109721999999</v>
      </c>
      <c r="AM168">
        <f t="shared" si="88"/>
        <v>0.83283942899999996</v>
      </c>
      <c r="AN168">
        <f t="shared" si="89"/>
        <v>0.15339791798999999</v>
      </c>
      <c r="AO168">
        <v>31.5</v>
      </c>
      <c r="AP168">
        <v>0.5</v>
      </c>
      <c r="AQ168" t="s">
        <v>331</v>
      </c>
      <c r="AR168">
        <v>2</v>
      </c>
      <c r="AS168">
        <v>1690231205</v>
      </c>
      <c r="AT168">
        <v>546.42999999999995</v>
      </c>
      <c r="AU168">
        <v>800.02499999999998</v>
      </c>
      <c r="AV168">
        <v>22.5489</v>
      </c>
      <c r="AW168">
        <v>7.5456899999999996</v>
      </c>
      <c r="AX168">
        <v>546.45799999999997</v>
      </c>
      <c r="AY168">
        <v>22.3703</v>
      </c>
      <c r="AZ168">
        <v>300.14600000000002</v>
      </c>
      <c r="BA168">
        <v>99.041300000000007</v>
      </c>
      <c r="BB168">
        <v>9.9992800000000007E-2</v>
      </c>
      <c r="BC168">
        <v>25.910699999999999</v>
      </c>
      <c r="BD168">
        <v>26.965499999999999</v>
      </c>
      <c r="BE168">
        <v>27.577300000000001</v>
      </c>
      <c r="BF168">
        <v>0</v>
      </c>
      <c r="BG168">
        <v>0</v>
      </c>
      <c r="BH168">
        <v>10005.6</v>
      </c>
      <c r="BI168">
        <v>1065.48</v>
      </c>
      <c r="BJ168">
        <v>1.4016500000000001</v>
      </c>
      <c r="BK168">
        <v>-253.595</v>
      </c>
      <c r="BL168">
        <v>559.03599999999994</v>
      </c>
      <c r="BM168">
        <v>806.10799999999995</v>
      </c>
      <c r="BN168">
        <v>15.003299999999999</v>
      </c>
      <c r="BO168">
        <v>800.02499999999998</v>
      </c>
      <c r="BP168">
        <v>7.5456899999999996</v>
      </c>
      <c r="BQ168">
        <v>2.2332800000000002</v>
      </c>
      <c r="BR168">
        <v>0.74733499999999997</v>
      </c>
      <c r="BS168">
        <v>19.202999999999999</v>
      </c>
      <c r="BT168">
        <v>2.7444500000000001</v>
      </c>
      <c r="BU168">
        <v>1800</v>
      </c>
      <c r="BV168">
        <v>0.90998599999999996</v>
      </c>
      <c r="BW168">
        <v>3.4001099999999999E-2</v>
      </c>
      <c r="BX168">
        <v>2.20062E-2</v>
      </c>
      <c r="BY168">
        <v>3.4006700000000001E-2</v>
      </c>
      <c r="BZ168">
        <v>25</v>
      </c>
      <c r="CA168">
        <v>33528.300000000003</v>
      </c>
      <c r="CB168">
        <v>1690229084.0999999</v>
      </c>
      <c r="CC168" t="s">
        <v>332</v>
      </c>
      <c r="CD168">
        <v>1690229084.0999999</v>
      </c>
      <c r="CE168">
        <v>1690229076.5999999</v>
      </c>
      <c r="CF168">
        <v>13</v>
      </c>
      <c r="CG168">
        <v>0.23300000000000001</v>
      </c>
      <c r="CH168">
        <v>-0.13100000000000001</v>
      </c>
      <c r="CI168">
        <v>-0.20599999999999999</v>
      </c>
      <c r="CJ168">
        <v>8.7999999999999995E-2</v>
      </c>
      <c r="CK168">
        <v>799</v>
      </c>
      <c r="CL168">
        <v>16</v>
      </c>
      <c r="CM168">
        <v>0.04</v>
      </c>
      <c r="CN168">
        <v>0.04</v>
      </c>
      <c r="CO168">
        <v>-252.1456</v>
      </c>
      <c r="CP168">
        <v>-7.5795196998120256</v>
      </c>
      <c r="CQ168">
        <v>0.73277942793176232</v>
      </c>
      <c r="CR168">
        <v>-1</v>
      </c>
      <c r="CS168">
        <v>14.845402500000001</v>
      </c>
      <c r="CT168">
        <v>0.62568517823637393</v>
      </c>
      <c r="CU168">
        <v>6.0962986670191857E-2</v>
      </c>
      <c r="CV168">
        <v>-1</v>
      </c>
      <c r="CW168">
        <v>0</v>
      </c>
      <c r="CX168">
        <v>0</v>
      </c>
      <c r="CY168" t="s">
        <v>333</v>
      </c>
      <c r="CZ168">
        <v>2.3646099999999999</v>
      </c>
      <c r="DA168">
        <v>2.7137899999999999</v>
      </c>
      <c r="DB168">
        <v>0.112693</v>
      </c>
      <c r="DC168">
        <v>0.146088</v>
      </c>
      <c r="DD168">
        <v>0.108986</v>
      </c>
      <c r="DE168">
        <v>4.7447099999999999E-2</v>
      </c>
      <c r="DF168">
        <v>32413.3</v>
      </c>
      <c r="DG168">
        <v>27541.7</v>
      </c>
      <c r="DH168">
        <v>31185.3</v>
      </c>
      <c r="DI168">
        <v>28104.2</v>
      </c>
      <c r="DJ168">
        <v>37725.699999999997</v>
      </c>
      <c r="DK168">
        <v>38074.1</v>
      </c>
      <c r="DL168">
        <v>44383.199999999997</v>
      </c>
      <c r="DM168">
        <v>42601.1</v>
      </c>
      <c r="DN168">
        <v>1.4817499999999999</v>
      </c>
      <c r="DO168">
        <v>2.03965</v>
      </c>
      <c r="DP168">
        <v>0.131465</v>
      </c>
      <c r="DQ168">
        <v>0.18054600000000001</v>
      </c>
      <c r="DR168">
        <v>24.811599999999999</v>
      </c>
      <c r="DS168">
        <v>24.620200000000001</v>
      </c>
      <c r="DT168">
        <v>44.3</v>
      </c>
      <c r="DU168">
        <v>29.2</v>
      </c>
      <c r="DV168">
        <v>18.1966</v>
      </c>
      <c r="DW168">
        <v>61.719799999999999</v>
      </c>
      <c r="DX168">
        <v>36.935099999999998</v>
      </c>
      <c r="DY168">
        <v>1</v>
      </c>
      <c r="DZ168">
        <v>-0.100795</v>
      </c>
      <c r="EA168">
        <v>0.139213</v>
      </c>
      <c r="EB168">
        <v>20.189399999999999</v>
      </c>
      <c r="EC168">
        <v>5.2409499999999998</v>
      </c>
      <c r="ED168">
        <v>12.039899999999999</v>
      </c>
      <c r="EE168">
        <v>5.0166000000000004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1.8689100000000001</v>
      </c>
      <c r="EL168">
        <v>1.8646199999999999</v>
      </c>
      <c r="EM168">
        <v>1.8692</v>
      </c>
      <c r="EN168">
        <v>1.8672299999999999</v>
      </c>
      <c r="EO168">
        <v>1.8633999999999999</v>
      </c>
      <c r="EP168">
        <v>1.8644700000000001</v>
      </c>
      <c r="EQ168">
        <v>1.87015</v>
      </c>
      <c r="ER168">
        <v>1.86944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-2.8000000000000001E-2</v>
      </c>
      <c r="FG168">
        <v>0.17860000000000001</v>
      </c>
      <c r="FH168">
        <v>0.3448811944559278</v>
      </c>
      <c r="FI168">
        <v>-6.1462078757559423E-4</v>
      </c>
      <c r="FJ168">
        <v>-1.8861989874597051E-7</v>
      </c>
      <c r="FK168">
        <v>1.1980462299894961E-10</v>
      </c>
      <c r="FL168">
        <v>0.17862261546663211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35.299999999999997</v>
      </c>
      <c r="FU168">
        <v>35.5</v>
      </c>
      <c r="FV168">
        <v>1.7724599999999999</v>
      </c>
      <c r="FW168">
        <v>2.5903299999999998</v>
      </c>
      <c r="FX168">
        <v>1.5490699999999999</v>
      </c>
      <c r="FY168">
        <v>2.32666</v>
      </c>
      <c r="FZ168">
        <v>1.50146</v>
      </c>
      <c r="GA168">
        <v>2.3571800000000001</v>
      </c>
      <c r="GB168">
        <v>33.8735</v>
      </c>
      <c r="GC168">
        <v>23.982399999999998</v>
      </c>
      <c r="GD168">
        <v>19</v>
      </c>
      <c r="GE168">
        <v>284.96600000000001</v>
      </c>
      <c r="GF168">
        <v>585.21400000000006</v>
      </c>
      <c r="GG168">
        <v>23.866199999999999</v>
      </c>
      <c r="GH168">
        <v>26.121300000000002</v>
      </c>
      <c r="GI168">
        <v>29.999700000000001</v>
      </c>
      <c r="GJ168">
        <v>26.2865</v>
      </c>
      <c r="GK168">
        <v>26.2805</v>
      </c>
      <c r="GL168">
        <v>35.4375</v>
      </c>
      <c r="GM168">
        <v>57.7654</v>
      </c>
      <c r="GN168">
        <v>58.282299999999999</v>
      </c>
      <c r="GO168">
        <v>23.901800000000001</v>
      </c>
      <c r="GP168">
        <v>800</v>
      </c>
      <c r="GQ168">
        <v>7.4926599999999999</v>
      </c>
      <c r="GR168">
        <v>99.784400000000005</v>
      </c>
      <c r="GS168">
        <v>99.654200000000003</v>
      </c>
    </row>
    <row r="169" spans="1:201" x14ac:dyDescent="0.25">
      <c r="A169">
        <v>153</v>
      </c>
      <c r="B169">
        <v>1690231215</v>
      </c>
      <c r="C169">
        <v>1709.900000095367</v>
      </c>
      <c r="D169" t="s">
        <v>639</v>
      </c>
      <c r="E169" t="s">
        <v>640</v>
      </c>
      <c r="F169" t="s">
        <v>330</v>
      </c>
      <c r="H169">
        <v>1690231215</v>
      </c>
      <c r="I169">
        <f t="shared" si="60"/>
        <v>1.4683106736580135E-3</v>
      </c>
      <c r="J169">
        <f t="shared" si="61"/>
        <v>1.4683106736580136</v>
      </c>
      <c r="K169">
        <f t="shared" si="62"/>
        <v>23.471978408135762</v>
      </c>
      <c r="L169">
        <f t="shared" si="63"/>
        <v>545.25400000000002</v>
      </c>
      <c r="M169">
        <f t="shared" si="64"/>
        <v>149.05917161880046</v>
      </c>
      <c r="N169">
        <f t="shared" si="65"/>
        <v>14.777465420737544</v>
      </c>
      <c r="O169">
        <f t="shared" si="66"/>
        <v>54.055527365499998</v>
      </c>
      <c r="P169">
        <f t="shared" si="67"/>
        <v>9.8938882680785045E-2</v>
      </c>
      <c r="Q169">
        <f t="shared" si="68"/>
        <v>2.1764589197759028</v>
      </c>
      <c r="R169">
        <f t="shared" si="69"/>
        <v>9.6506457567549442E-2</v>
      </c>
      <c r="S169">
        <f t="shared" si="70"/>
        <v>6.0530098856909686E-2</v>
      </c>
      <c r="T169">
        <f t="shared" si="71"/>
        <v>276.11626584599998</v>
      </c>
      <c r="U169">
        <f t="shared" si="72"/>
        <v>27.558229069959054</v>
      </c>
      <c r="V169">
        <f t="shared" si="73"/>
        <v>27.558229069959054</v>
      </c>
      <c r="W169">
        <f t="shared" si="74"/>
        <v>3.6981994563756611</v>
      </c>
      <c r="X169">
        <f t="shared" si="75"/>
        <v>66.559321519539424</v>
      </c>
      <c r="Y169">
        <f t="shared" si="76"/>
        <v>2.234982621825</v>
      </c>
      <c r="Z169">
        <f t="shared" si="77"/>
        <v>3.3578807157294852</v>
      </c>
      <c r="AA169">
        <f t="shared" si="78"/>
        <v>1.4632168345506611</v>
      </c>
      <c r="AB169">
        <f t="shared" si="79"/>
        <v>-64.752500708318394</v>
      </c>
      <c r="AC169">
        <f t="shared" si="80"/>
        <v>-192.48344127451364</v>
      </c>
      <c r="AD169">
        <f t="shared" si="81"/>
        <v>-19.036313073197</v>
      </c>
      <c r="AE169">
        <f t="shared" si="82"/>
        <v>-0.15598921002904831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52485.688902108464</v>
      </c>
      <c r="AK169">
        <f t="shared" si="86"/>
        <v>1800</v>
      </c>
      <c r="AL169">
        <f t="shared" si="87"/>
        <v>1499.1100415999999</v>
      </c>
      <c r="AM169">
        <f t="shared" si="88"/>
        <v>0.83283891199999993</v>
      </c>
      <c r="AN169">
        <f t="shared" si="89"/>
        <v>0.15339792547</v>
      </c>
      <c r="AO169">
        <v>31.5</v>
      </c>
      <c r="AP169">
        <v>0.5</v>
      </c>
      <c r="AQ169" t="s">
        <v>331</v>
      </c>
      <c r="AR169">
        <v>2</v>
      </c>
      <c r="AS169">
        <v>1690231215</v>
      </c>
      <c r="AT169">
        <v>545.25400000000002</v>
      </c>
      <c r="AU169">
        <v>799.976</v>
      </c>
      <c r="AV169">
        <v>22.5441</v>
      </c>
      <c r="AW169">
        <v>7.4826899999999998</v>
      </c>
      <c r="AX169">
        <v>545.28099999999995</v>
      </c>
      <c r="AY169">
        <v>22.365400000000001</v>
      </c>
      <c r="AZ169">
        <v>300.16500000000002</v>
      </c>
      <c r="BA169">
        <v>99.038200000000003</v>
      </c>
      <c r="BB169">
        <v>0.10005</v>
      </c>
      <c r="BC169">
        <v>25.9178</v>
      </c>
      <c r="BD169">
        <v>27.004100000000001</v>
      </c>
      <c r="BE169">
        <v>27.596800000000002</v>
      </c>
      <c r="BF169">
        <v>0</v>
      </c>
      <c r="BG169">
        <v>0</v>
      </c>
      <c r="BH169">
        <v>9985.6200000000008</v>
      </c>
      <c r="BI169">
        <v>1065.6199999999999</v>
      </c>
      <c r="BJ169">
        <v>1.4016500000000001</v>
      </c>
      <c r="BK169">
        <v>-254.721</v>
      </c>
      <c r="BL169">
        <v>557.83000000000004</v>
      </c>
      <c r="BM169">
        <v>806.00699999999995</v>
      </c>
      <c r="BN169">
        <v>15.061400000000001</v>
      </c>
      <c r="BO169">
        <v>799.976</v>
      </c>
      <c r="BP169">
        <v>7.4826899999999998</v>
      </c>
      <c r="BQ169">
        <v>2.23272</v>
      </c>
      <c r="BR169">
        <v>0.74107199999999995</v>
      </c>
      <c r="BS169">
        <v>19.199100000000001</v>
      </c>
      <c r="BT169">
        <v>2.6259800000000002</v>
      </c>
      <c r="BU169">
        <v>1800</v>
      </c>
      <c r="BV169">
        <v>0.90998299999999999</v>
      </c>
      <c r="BW169">
        <v>3.4004300000000001E-2</v>
      </c>
      <c r="BX169">
        <v>2.2006100000000001E-2</v>
      </c>
      <c r="BY169">
        <v>3.4006500000000002E-2</v>
      </c>
      <c r="BZ169">
        <v>25</v>
      </c>
      <c r="CA169">
        <v>33528.199999999997</v>
      </c>
      <c r="CB169">
        <v>1690229084.0999999</v>
      </c>
      <c r="CC169" t="s">
        <v>332</v>
      </c>
      <c r="CD169">
        <v>1690229084.0999999</v>
      </c>
      <c r="CE169">
        <v>1690229076.5999999</v>
      </c>
      <c r="CF169">
        <v>13</v>
      </c>
      <c r="CG169">
        <v>0.23300000000000001</v>
      </c>
      <c r="CH169">
        <v>-0.13100000000000001</v>
      </c>
      <c r="CI169">
        <v>-0.20599999999999999</v>
      </c>
      <c r="CJ169">
        <v>8.7999999999999995E-2</v>
      </c>
      <c r="CK169">
        <v>799</v>
      </c>
      <c r="CL169">
        <v>16</v>
      </c>
      <c r="CM169">
        <v>0.04</v>
      </c>
      <c r="CN169">
        <v>0.04</v>
      </c>
      <c r="CO169">
        <v>-253.41924390243901</v>
      </c>
      <c r="CP169">
        <v>-7.590125435539842</v>
      </c>
      <c r="CQ169">
        <v>0.75193749028233015</v>
      </c>
      <c r="CR169">
        <v>-1</v>
      </c>
      <c r="CS169">
        <v>14.96342682926829</v>
      </c>
      <c r="CT169">
        <v>0.71045435540068969</v>
      </c>
      <c r="CU169">
        <v>7.1496935033711587E-2</v>
      </c>
      <c r="CV169">
        <v>-1</v>
      </c>
      <c r="CW169">
        <v>0</v>
      </c>
      <c r="CX169">
        <v>0</v>
      </c>
      <c r="CY169" t="s">
        <v>333</v>
      </c>
      <c r="CZ169">
        <v>2.36469</v>
      </c>
      <c r="DA169">
        <v>2.7138300000000002</v>
      </c>
      <c r="DB169">
        <v>0.11251700000000001</v>
      </c>
      <c r="DC169">
        <v>0.14607700000000001</v>
      </c>
      <c r="DD169">
        <v>0.10896699999999999</v>
      </c>
      <c r="DE169">
        <v>4.7130600000000002E-2</v>
      </c>
      <c r="DF169">
        <v>32420.3</v>
      </c>
      <c r="DG169">
        <v>27542.400000000001</v>
      </c>
      <c r="DH169">
        <v>31185.8</v>
      </c>
      <c r="DI169">
        <v>28104.5</v>
      </c>
      <c r="DJ169">
        <v>37727.300000000003</v>
      </c>
      <c r="DK169">
        <v>38087.199999999997</v>
      </c>
      <c r="DL169">
        <v>44384.1</v>
      </c>
      <c r="DM169">
        <v>42601.599999999999</v>
      </c>
      <c r="DN169">
        <v>1.4824999999999999</v>
      </c>
      <c r="DO169">
        <v>2.0396999999999998</v>
      </c>
      <c r="DP169">
        <v>0.13364899999999999</v>
      </c>
      <c r="DQ169">
        <v>0.18173800000000001</v>
      </c>
      <c r="DR169">
        <v>24.814499999999999</v>
      </c>
      <c r="DS169">
        <v>24.620200000000001</v>
      </c>
      <c r="DT169">
        <v>44.1</v>
      </c>
      <c r="DU169">
        <v>29.2</v>
      </c>
      <c r="DV169">
        <v>18.115600000000001</v>
      </c>
      <c r="DW169">
        <v>62.009799999999998</v>
      </c>
      <c r="DX169">
        <v>36.225999999999999</v>
      </c>
      <c r="DY169">
        <v>1</v>
      </c>
      <c r="DZ169">
        <v>-0.10161299999999999</v>
      </c>
      <c r="EA169">
        <v>8.1585000000000005E-2</v>
      </c>
      <c r="EB169">
        <v>20.189499999999999</v>
      </c>
      <c r="EC169">
        <v>5.2415500000000002</v>
      </c>
      <c r="ED169">
        <v>12.039899999999999</v>
      </c>
      <c r="EE169">
        <v>5.0167000000000002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1.86463</v>
      </c>
      <c r="EM169">
        <v>1.8691899999999999</v>
      </c>
      <c r="EN169">
        <v>1.8672299999999999</v>
      </c>
      <c r="EO169">
        <v>1.8633900000000001</v>
      </c>
      <c r="EP169">
        <v>1.8644799999999999</v>
      </c>
      <c r="EQ169">
        <v>1.8701399999999999</v>
      </c>
      <c r="ER169">
        <v>1.8694200000000001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-2.7E-2</v>
      </c>
      <c r="FG169">
        <v>0.1787</v>
      </c>
      <c r="FH169">
        <v>0.3448811944559278</v>
      </c>
      <c r="FI169">
        <v>-6.1462078757559423E-4</v>
      </c>
      <c r="FJ169">
        <v>-1.8861989874597051E-7</v>
      </c>
      <c r="FK169">
        <v>1.1980462299894961E-10</v>
      </c>
      <c r="FL169">
        <v>0.17862261546663211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35.5</v>
      </c>
      <c r="FU169">
        <v>35.6</v>
      </c>
      <c r="FV169">
        <v>1.7724599999999999</v>
      </c>
      <c r="FW169">
        <v>2.5939899999999998</v>
      </c>
      <c r="FX169">
        <v>1.5490699999999999</v>
      </c>
      <c r="FY169">
        <v>2.32666</v>
      </c>
      <c r="FZ169">
        <v>1.50146</v>
      </c>
      <c r="GA169">
        <v>2.2900399999999999</v>
      </c>
      <c r="GB169">
        <v>33.8735</v>
      </c>
      <c r="GC169">
        <v>23.982399999999998</v>
      </c>
      <c r="GD169">
        <v>19</v>
      </c>
      <c r="GE169">
        <v>285.267</v>
      </c>
      <c r="GF169">
        <v>585.21100000000001</v>
      </c>
      <c r="GG169">
        <v>23.927499999999998</v>
      </c>
      <c r="GH169">
        <v>26.1175</v>
      </c>
      <c r="GI169">
        <v>29.999700000000001</v>
      </c>
      <c r="GJ169">
        <v>26.2821</v>
      </c>
      <c r="GK169">
        <v>26.276700000000002</v>
      </c>
      <c r="GL169">
        <v>35.437199999999997</v>
      </c>
      <c r="GM169">
        <v>57.7654</v>
      </c>
      <c r="GN169">
        <v>57.497</v>
      </c>
      <c r="GO169">
        <v>23.9376</v>
      </c>
      <c r="GP169">
        <v>800</v>
      </c>
      <c r="GQ169">
        <v>7.3885300000000003</v>
      </c>
      <c r="GR169">
        <v>99.786299999999997</v>
      </c>
      <c r="GS169">
        <v>99.6554</v>
      </c>
    </row>
    <row r="170" spans="1:201" x14ac:dyDescent="0.25">
      <c r="A170">
        <v>154</v>
      </c>
      <c r="B170">
        <v>1690231225</v>
      </c>
      <c r="C170">
        <v>1719.900000095367</v>
      </c>
      <c r="D170" t="s">
        <v>641</v>
      </c>
      <c r="E170" t="s">
        <v>642</v>
      </c>
      <c r="F170" t="s">
        <v>330</v>
      </c>
      <c r="H170">
        <v>1690231225</v>
      </c>
      <c r="I170">
        <f t="shared" si="60"/>
        <v>1.4790050526638826E-3</v>
      </c>
      <c r="J170">
        <f t="shared" si="61"/>
        <v>1.4790050526638827</v>
      </c>
      <c r="K170">
        <f t="shared" si="62"/>
        <v>23.572100195134066</v>
      </c>
      <c r="L170">
        <f t="shared" si="63"/>
        <v>544.15599999999995</v>
      </c>
      <c r="M170">
        <f t="shared" si="64"/>
        <v>148.72983840294754</v>
      </c>
      <c r="N170">
        <f t="shared" si="65"/>
        <v>14.745003747836918</v>
      </c>
      <c r="O170">
        <f t="shared" si="66"/>
        <v>53.947360836027997</v>
      </c>
      <c r="P170">
        <f t="shared" si="67"/>
        <v>9.9569351480788826E-2</v>
      </c>
      <c r="Q170">
        <f t="shared" si="68"/>
        <v>2.1765513801944882</v>
      </c>
      <c r="R170">
        <f t="shared" si="69"/>
        <v>9.7106344783348453E-2</v>
      </c>
      <c r="S170">
        <f t="shared" si="70"/>
        <v>6.0907682298560889E-2</v>
      </c>
      <c r="T170">
        <f t="shared" si="71"/>
        <v>276.11620599600002</v>
      </c>
      <c r="U170">
        <f t="shared" si="72"/>
        <v>27.563491743235399</v>
      </c>
      <c r="V170">
        <f t="shared" si="73"/>
        <v>27.563491743235399</v>
      </c>
      <c r="W170">
        <f t="shared" si="74"/>
        <v>3.6993379374853501</v>
      </c>
      <c r="X170">
        <f t="shared" si="75"/>
        <v>66.511137014876738</v>
      </c>
      <c r="Y170">
        <f t="shared" si="76"/>
        <v>2.2345550532635001</v>
      </c>
      <c r="Z170">
        <f t="shared" si="77"/>
        <v>3.359670505653348</v>
      </c>
      <c r="AA170">
        <f t="shared" si="78"/>
        <v>1.46478288422185</v>
      </c>
      <c r="AB170">
        <f t="shared" si="79"/>
        <v>-65.224122822477227</v>
      </c>
      <c r="AC170">
        <f t="shared" si="80"/>
        <v>-192.05307208216743</v>
      </c>
      <c r="AD170">
        <f t="shared" si="81"/>
        <v>-18.994298382954153</v>
      </c>
      <c r="AE170">
        <f t="shared" si="82"/>
        <v>-0.15528729159876775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52487.974678095969</v>
      </c>
      <c r="AK170">
        <f t="shared" si="86"/>
        <v>1800</v>
      </c>
      <c r="AL170">
        <f t="shared" si="87"/>
        <v>1499.1114365999997</v>
      </c>
      <c r="AM170">
        <f t="shared" si="88"/>
        <v>0.83283968699999988</v>
      </c>
      <c r="AN170">
        <f t="shared" si="89"/>
        <v>0.15339789222</v>
      </c>
      <c r="AO170">
        <v>31.5</v>
      </c>
      <c r="AP170">
        <v>0.5</v>
      </c>
      <c r="AQ170" t="s">
        <v>331</v>
      </c>
      <c r="AR170">
        <v>2</v>
      </c>
      <c r="AS170">
        <v>1690231225</v>
      </c>
      <c r="AT170">
        <v>544.15599999999995</v>
      </c>
      <c r="AU170">
        <v>799.97199999999998</v>
      </c>
      <c r="AV170">
        <v>22.5395</v>
      </c>
      <c r="AW170">
        <v>7.3683699999999996</v>
      </c>
      <c r="AX170">
        <v>544.18200000000002</v>
      </c>
      <c r="AY170">
        <v>22.360900000000001</v>
      </c>
      <c r="AZ170">
        <v>300.166</v>
      </c>
      <c r="BA170">
        <v>99.039500000000004</v>
      </c>
      <c r="BB170">
        <v>0.100013</v>
      </c>
      <c r="BC170">
        <v>25.9268</v>
      </c>
      <c r="BD170">
        <v>26.994299999999999</v>
      </c>
      <c r="BE170">
        <v>27.595199999999998</v>
      </c>
      <c r="BF170">
        <v>0</v>
      </c>
      <c r="BG170">
        <v>0</v>
      </c>
      <c r="BH170">
        <v>9986.25</v>
      </c>
      <c r="BI170">
        <v>1065.6099999999999</v>
      </c>
      <c r="BJ170">
        <v>1.4016500000000001</v>
      </c>
      <c r="BK170">
        <v>-255.816</v>
      </c>
      <c r="BL170">
        <v>556.70399999999995</v>
      </c>
      <c r="BM170">
        <v>805.91099999999994</v>
      </c>
      <c r="BN170">
        <v>15.171099999999999</v>
      </c>
      <c r="BO170">
        <v>799.97199999999998</v>
      </c>
      <c r="BP170">
        <v>7.3683699999999996</v>
      </c>
      <c r="BQ170">
        <v>2.2323</v>
      </c>
      <c r="BR170">
        <v>0.72975999999999996</v>
      </c>
      <c r="BS170">
        <v>19.196000000000002</v>
      </c>
      <c r="BT170">
        <v>2.4097499999999998</v>
      </c>
      <c r="BU170">
        <v>1800</v>
      </c>
      <c r="BV170">
        <v>0.90998800000000002</v>
      </c>
      <c r="BW170">
        <v>3.3999300000000003E-2</v>
      </c>
      <c r="BX170">
        <v>2.2006100000000001E-2</v>
      </c>
      <c r="BY170">
        <v>3.4006599999999998E-2</v>
      </c>
      <c r="BZ170">
        <v>25</v>
      </c>
      <c r="CA170">
        <v>33528.300000000003</v>
      </c>
      <c r="CB170">
        <v>1690229084.0999999</v>
      </c>
      <c r="CC170" t="s">
        <v>332</v>
      </c>
      <c r="CD170">
        <v>1690229084.0999999</v>
      </c>
      <c r="CE170">
        <v>1690229076.5999999</v>
      </c>
      <c r="CF170">
        <v>13</v>
      </c>
      <c r="CG170">
        <v>0.23300000000000001</v>
      </c>
      <c r="CH170">
        <v>-0.13100000000000001</v>
      </c>
      <c r="CI170">
        <v>-0.20599999999999999</v>
      </c>
      <c r="CJ170">
        <v>8.7999999999999995E-2</v>
      </c>
      <c r="CK170">
        <v>799</v>
      </c>
      <c r="CL170">
        <v>16</v>
      </c>
      <c r="CM170">
        <v>0.04</v>
      </c>
      <c r="CN170">
        <v>0.04</v>
      </c>
      <c r="CO170">
        <v>-254.6112439024391</v>
      </c>
      <c r="CP170">
        <v>-6.7514216027879188</v>
      </c>
      <c r="CQ170">
        <v>0.66633477927583407</v>
      </c>
      <c r="CR170">
        <v>-1</v>
      </c>
      <c r="CS170">
        <v>15.065907317073171</v>
      </c>
      <c r="CT170">
        <v>0.48258815331010801</v>
      </c>
      <c r="CU170">
        <v>4.835289176029077E-2</v>
      </c>
      <c r="CV170">
        <v>-1</v>
      </c>
      <c r="CW170">
        <v>0</v>
      </c>
      <c r="CX170">
        <v>0</v>
      </c>
      <c r="CY170" t="s">
        <v>333</v>
      </c>
      <c r="CZ170">
        <v>2.3647200000000002</v>
      </c>
      <c r="DA170">
        <v>2.7137899999999999</v>
      </c>
      <c r="DB170">
        <v>0.112356</v>
      </c>
      <c r="DC170">
        <v>0.14607800000000001</v>
      </c>
      <c r="DD170">
        <v>0.108954</v>
      </c>
      <c r="DE170">
        <v>4.65572E-2</v>
      </c>
      <c r="DF170">
        <v>32425.599999999999</v>
      </c>
      <c r="DG170">
        <v>27542.6</v>
      </c>
      <c r="DH170">
        <v>31185.3</v>
      </c>
      <c r="DI170">
        <v>28104.799999999999</v>
      </c>
      <c r="DJ170">
        <v>37727.300000000003</v>
      </c>
      <c r="DK170">
        <v>38110.6</v>
      </c>
      <c r="DL170">
        <v>44383.5</v>
      </c>
      <c r="DM170">
        <v>42602</v>
      </c>
      <c r="DN170">
        <v>1.4825200000000001</v>
      </c>
      <c r="DO170">
        <v>2.0396999999999998</v>
      </c>
      <c r="DP170">
        <v>0.13297400000000001</v>
      </c>
      <c r="DQ170">
        <v>0.181641</v>
      </c>
      <c r="DR170">
        <v>24.815799999999999</v>
      </c>
      <c r="DS170">
        <v>24.620200000000001</v>
      </c>
      <c r="DT170">
        <v>43.8</v>
      </c>
      <c r="DU170">
        <v>29.2</v>
      </c>
      <c r="DV170">
        <v>17.995100000000001</v>
      </c>
      <c r="DW170">
        <v>61.969799999999999</v>
      </c>
      <c r="DX170">
        <v>36.241999999999997</v>
      </c>
      <c r="DY170">
        <v>1</v>
      </c>
      <c r="DZ170">
        <v>-0.10114099999999999</v>
      </c>
      <c r="EA170">
        <v>0.36776999999999999</v>
      </c>
      <c r="EB170">
        <v>20.188700000000001</v>
      </c>
      <c r="EC170">
        <v>5.2418500000000003</v>
      </c>
      <c r="ED170">
        <v>12.039899999999999</v>
      </c>
      <c r="EE170">
        <v>5.0168999999999997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1.86463</v>
      </c>
      <c r="EM170">
        <v>1.8691899999999999</v>
      </c>
      <c r="EN170">
        <v>1.8672299999999999</v>
      </c>
      <c r="EO170">
        <v>1.8633999999999999</v>
      </c>
      <c r="EP170">
        <v>1.86449</v>
      </c>
      <c r="EQ170">
        <v>1.8701399999999999</v>
      </c>
      <c r="ER170">
        <v>1.8694200000000001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-2.5999999999999999E-2</v>
      </c>
      <c r="FG170">
        <v>0.17860000000000001</v>
      </c>
      <c r="FH170">
        <v>0.3448811944559278</v>
      </c>
      <c r="FI170">
        <v>-6.1462078757559423E-4</v>
      </c>
      <c r="FJ170">
        <v>-1.8861989874597051E-7</v>
      </c>
      <c r="FK170">
        <v>1.1980462299894961E-10</v>
      </c>
      <c r="FL170">
        <v>0.17862261546663211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35.700000000000003</v>
      </c>
      <c r="FU170">
        <v>35.799999999999997</v>
      </c>
      <c r="FV170">
        <v>1.7724599999999999</v>
      </c>
      <c r="FW170">
        <v>2.5891099999999998</v>
      </c>
      <c r="FX170">
        <v>1.5490699999999999</v>
      </c>
      <c r="FY170">
        <v>2.32666</v>
      </c>
      <c r="FZ170">
        <v>1.50146</v>
      </c>
      <c r="GA170">
        <v>2.3339799999999999</v>
      </c>
      <c r="GB170">
        <v>33.8735</v>
      </c>
      <c r="GC170">
        <v>23.982399999999998</v>
      </c>
      <c r="GD170">
        <v>19</v>
      </c>
      <c r="GE170">
        <v>285.25900000000001</v>
      </c>
      <c r="GF170">
        <v>585.16200000000003</v>
      </c>
      <c r="GG170">
        <v>23.9145</v>
      </c>
      <c r="GH170">
        <v>26.113099999999999</v>
      </c>
      <c r="GI170">
        <v>30.000499999999999</v>
      </c>
      <c r="GJ170">
        <v>26.277699999999999</v>
      </c>
      <c r="GK170">
        <v>26.272300000000001</v>
      </c>
      <c r="GL170">
        <v>35.435899999999997</v>
      </c>
      <c r="GM170">
        <v>58.052700000000002</v>
      </c>
      <c r="GN170">
        <v>56.721400000000003</v>
      </c>
      <c r="GO170">
        <v>23.901399999999999</v>
      </c>
      <c r="GP170">
        <v>800</v>
      </c>
      <c r="GQ170">
        <v>7.2883899999999997</v>
      </c>
      <c r="GR170">
        <v>99.784800000000004</v>
      </c>
      <c r="GS170">
        <v>99.656300000000002</v>
      </c>
    </row>
    <row r="171" spans="1:201" x14ac:dyDescent="0.25">
      <c r="A171">
        <v>155</v>
      </c>
      <c r="B171">
        <v>1690231235</v>
      </c>
      <c r="C171">
        <v>1729.900000095367</v>
      </c>
      <c r="D171" t="s">
        <v>643</v>
      </c>
      <c r="E171" t="s">
        <v>644</v>
      </c>
      <c r="F171" t="s">
        <v>330</v>
      </c>
      <c r="H171">
        <v>1690231235</v>
      </c>
      <c r="I171">
        <f t="shared" si="60"/>
        <v>1.4903133534803522E-3</v>
      </c>
      <c r="J171">
        <f t="shared" si="61"/>
        <v>1.4903133534803523</v>
      </c>
      <c r="K171">
        <f t="shared" si="62"/>
        <v>23.667029448579871</v>
      </c>
      <c r="L171">
        <f t="shared" si="63"/>
        <v>542.99900000000002</v>
      </c>
      <c r="M171">
        <f t="shared" si="64"/>
        <v>149.23587058002889</v>
      </c>
      <c r="N171">
        <f t="shared" si="65"/>
        <v>14.795096913499803</v>
      </c>
      <c r="O171">
        <f t="shared" si="66"/>
        <v>53.832384919987</v>
      </c>
      <c r="P171">
        <f t="shared" si="67"/>
        <v>0.10041598900981302</v>
      </c>
      <c r="Q171">
        <f t="shared" si="68"/>
        <v>2.1769254447550366</v>
      </c>
      <c r="R171">
        <f t="shared" si="69"/>
        <v>9.7911904589707971E-2</v>
      </c>
      <c r="S171">
        <f t="shared" si="70"/>
        <v>6.1414721383099689E-2</v>
      </c>
      <c r="T171">
        <f t="shared" si="71"/>
        <v>276.11620244999995</v>
      </c>
      <c r="U171">
        <f t="shared" si="72"/>
        <v>27.553973825482402</v>
      </c>
      <c r="V171">
        <f t="shared" si="73"/>
        <v>27.553973825482402</v>
      </c>
      <c r="W171">
        <f t="shared" si="74"/>
        <v>3.6972791372510043</v>
      </c>
      <c r="X171">
        <f t="shared" si="75"/>
        <v>66.498714315964364</v>
      </c>
      <c r="Y171">
        <f t="shared" si="76"/>
        <v>2.2334235126666</v>
      </c>
      <c r="Z171">
        <f t="shared" si="77"/>
        <v>3.358596531738391</v>
      </c>
      <c r="AA171">
        <f t="shared" si="78"/>
        <v>1.4638556245844043</v>
      </c>
      <c r="AB171">
        <f t="shared" si="79"/>
        <v>-65.72281888848353</v>
      </c>
      <c r="AC171">
        <f t="shared" si="80"/>
        <v>-191.60278980912068</v>
      </c>
      <c r="AD171">
        <f t="shared" si="81"/>
        <v>-18.945093631483122</v>
      </c>
      <c r="AE171">
        <f t="shared" si="82"/>
        <v>-0.15449987908738194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52504.441761248847</v>
      </c>
      <c r="AK171">
        <f t="shared" si="86"/>
        <v>1800</v>
      </c>
      <c r="AL171">
        <f t="shared" si="87"/>
        <v>1499.1107489999999</v>
      </c>
      <c r="AM171">
        <f t="shared" si="88"/>
        <v>0.83283930499999992</v>
      </c>
      <c r="AN171">
        <f t="shared" si="89"/>
        <v>0.15339789024999997</v>
      </c>
      <c r="AO171">
        <v>31.5</v>
      </c>
      <c r="AP171">
        <v>0.5</v>
      </c>
      <c r="AQ171" t="s">
        <v>331</v>
      </c>
      <c r="AR171">
        <v>2</v>
      </c>
      <c r="AS171">
        <v>1690231235</v>
      </c>
      <c r="AT171">
        <v>542.99900000000002</v>
      </c>
      <c r="AU171">
        <v>799.94500000000005</v>
      </c>
      <c r="AV171">
        <v>22.528199999999998</v>
      </c>
      <c r="AW171">
        <v>7.2356999999999996</v>
      </c>
      <c r="AX171">
        <v>543.02499999999998</v>
      </c>
      <c r="AY171">
        <v>22.349599999999999</v>
      </c>
      <c r="AZ171">
        <v>300.06400000000002</v>
      </c>
      <c r="BA171">
        <v>99.039000000000001</v>
      </c>
      <c r="BB171">
        <v>0.100013</v>
      </c>
      <c r="BC171">
        <v>25.921399999999998</v>
      </c>
      <c r="BD171">
        <v>26.992000000000001</v>
      </c>
      <c r="BE171">
        <v>27.617899999999999</v>
      </c>
      <c r="BF171">
        <v>0</v>
      </c>
      <c r="BG171">
        <v>0</v>
      </c>
      <c r="BH171">
        <v>9989.3799999999992</v>
      </c>
      <c r="BI171">
        <v>1065.79</v>
      </c>
      <c r="BJ171">
        <v>1.4577199999999999</v>
      </c>
      <c r="BK171">
        <v>-256.94600000000003</v>
      </c>
      <c r="BL171">
        <v>555.51400000000001</v>
      </c>
      <c r="BM171">
        <v>805.77599999999995</v>
      </c>
      <c r="BN171">
        <v>15.2925</v>
      </c>
      <c r="BO171">
        <v>799.94500000000005</v>
      </c>
      <c r="BP171">
        <v>7.2356999999999996</v>
      </c>
      <c r="BQ171">
        <v>2.2311700000000001</v>
      </c>
      <c r="BR171">
        <v>0.71661699999999995</v>
      </c>
      <c r="BS171">
        <v>19.187899999999999</v>
      </c>
      <c r="BT171">
        <v>2.15476</v>
      </c>
      <c r="BU171">
        <v>1800</v>
      </c>
      <c r="BV171">
        <v>0.90998599999999996</v>
      </c>
      <c r="BW171">
        <v>3.40016E-2</v>
      </c>
      <c r="BX171">
        <v>2.2006000000000001E-2</v>
      </c>
      <c r="BY171">
        <v>3.4006300000000003E-2</v>
      </c>
      <c r="BZ171">
        <v>25</v>
      </c>
      <c r="CA171">
        <v>33528.300000000003</v>
      </c>
      <c r="CB171">
        <v>1690229084.0999999</v>
      </c>
      <c r="CC171" t="s">
        <v>332</v>
      </c>
      <c r="CD171">
        <v>1690229084.0999999</v>
      </c>
      <c r="CE171">
        <v>1690229076.5999999</v>
      </c>
      <c r="CF171">
        <v>13</v>
      </c>
      <c r="CG171">
        <v>0.23300000000000001</v>
      </c>
      <c r="CH171">
        <v>-0.13100000000000001</v>
      </c>
      <c r="CI171">
        <v>-0.20599999999999999</v>
      </c>
      <c r="CJ171">
        <v>8.7999999999999995E-2</v>
      </c>
      <c r="CK171">
        <v>799</v>
      </c>
      <c r="CL171">
        <v>16</v>
      </c>
      <c r="CM171">
        <v>0.04</v>
      </c>
      <c r="CN171">
        <v>0.04</v>
      </c>
      <c r="CO171">
        <v>-255.7550975609756</v>
      </c>
      <c r="CP171">
        <v>-7.0060348432053949</v>
      </c>
      <c r="CQ171">
        <v>0.69236127623035115</v>
      </c>
      <c r="CR171">
        <v>-1</v>
      </c>
      <c r="CS171">
        <v>15.15655853658537</v>
      </c>
      <c r="CT171">
        <v>0.65796167247387582</v>
      </c>
      <c r="CU171">
        <v>6.578474126440155E-2</v>
      </c>
      <c r="CV171">
        <v>-1</v>
      </c>
      <c r="CW171">
        <v>0</v>
      </c>
      <c r="CX171">
        <v>0</v>
      </c>
      <c r="CY171" t="s">
        <v>333</v>
      </c>
      <c r="CZ171">
        <v>2.3643700000000001</v>
      </c>
      <c r="DA171">
        <v>2.7137899999999999</v>
      </c>
      <c r="DB171">
        <v>0.11218500000000001</v>
      </c>
      <c r="DC171">
        <v>0.14607300000000001</v>
      </c>
      <c r="DD171">
        <v>0.108916</v>
      </c>
      <c r="DE171">
        <v>4.58871E-2</v>
      </c>
      <c r="DF171">
        <v>32432.5</v>
      </c>
      <c r="DG171">
        <v>27542.9</v>
      </c>
      <c r="DH171">
        <v>31185.9</v>
      </c>
      <c r="DI171">
        <v>28104.9</v>
      </c>
      <c r="DJ171">
        <v>37729.599999999999</v>
      </c>
      <c r="DK171">
        <v>38137.800000000003</v>
      </c>
      <c r="DL171">
        <v>44384.3</v>
      </c>
      <c r="DM171">
        <v>42602.400000000001</v>
      </c>
      <c r="DN171">
        <v>1.4823999999999999</v>
      </c>
      <c r="DO171">
        <v>2.0395500000000002</v>
      </c>
      <c r="DP171">
        <v>0.13270199999999999</v>
      </c>
      <c r="DQ171">
        <v>0.18291199999999999</v>
      </c>
      <c r="DR171">
        <v>24.817900000000002</v>
      </c>
      <c r="DS171">
        <v>24.622299999999999</v>
      </c>
      <c r="DT171">
        <v>43.6</v>
      </c>
      <c r="DU171">
        <v>29.2</v>
      </c>
      <c r="DV171">
        <v>17.910399999999999</v>
      </c>
      <c r="DW171">
        <v>61.9298</v>
      </c>
      <c r="DX171">
        <v>37.055300000000003</v>
      </c>
      <c r="DY171">
        <v>1</v>
      </c>
      <c r="DZ171">
        <v>-0.10185</v>
      </c>
      <c r="EA171">
        <v>0.21362700000000001</v>
      </c>
      <c r="EB171">
        <v>20.1892</v>
      </c>
      <c r="EC171">
        <v>5.2415500000000002</v>
      </c>
      <c r="ED171">
        <v>12.039899999999999</v>
      </c>
      <c r="EE171">
        <v>5.0168499999999998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1.8689100000000001</v>
      </c>
      <c r="EL171">
        <v>1.8646400000000001</v>
      </c>
      <c r="EM171">
        <v>1.8692</v>
      </c>
      <c r="EN171">
        <v>1.8672200000000001</v>
      </c>
      <c r="EO171">
        <v>1.8633999999999999</v>
      </c>
      <c r="EP171">
        <v>1.86449</v>
      </c>
      <c r="EQ171">
        <v>1.8701399999999999</v>
      </c>
      <c r="ER171">
        <v>1.8694500000000001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-2.5999999999999999E-2</v>
      </c>
      <c r="FG171">
        <v>0.17860000000000001</v>
      </c>
      <c r="FH171">
        <v>0.3448811944559278</v>
      </c>
      <c r="FI171">
        <v>-6.1462078757559423E-4</v>
      </c>
      <c r="FJ171">
        <v>-1.8861989874597051E-7</v>
      </c>
      <c r="FK171">
        <v>1.1980462299894961E-10</v>
      </c>
      <c r="FL171">
        <v>0.17862261546663211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35.799999999999997</v>
      </c>
      <c r="FU171">
        <v>36</v>
      </c>
      <c r="FV171">
        <v>1.7724599999999999</v>
      </c>
      <c r="FW171">
        <v>2.5878899999999998</v>
      </c>
      <c r="FX171">
        <v>1.5490699999999999</v>
      </c>
      <c r="FY171">
        <v>2.32666</v>
      </c>
      <c r="FZ171">
        <v>1.50146</v>
      </c>
      <c r="GA171">
        <v>2.3828100000000001</v>
      </c>
      <c r="GB171">
        <v>33.8735</v>
      </c>
      <c r="GC171">
        <v>23.991199999999999</v>
      </c>
      <c r="GD171">
        <v>19</v>
      </c>
      <c r="GE171">
        <v>285.185</v>
      </c>
      <c r="GF171">
        <v>584.98099999999999</v>
      </c>
      <c r="GG171">
        <v>23.9025</v>
      </c>
      <c r="GH171">
        <v>26.109200000000001</v>
      </c>
      <c r="GI171">
        <v>29.9999</v>
      </c>
      <c r="GJ171">
        <v>26.273299999999999</v>
      </c>
      <c r="GK171">
        <v>26.267299999999999</v>
      </c>
      <c r="GL171">
        <v>35.433399999999999</v>
      </c>
      <c r="GM171">
        <v>58.342300000000002</v>
      </c>
      <c r="GN171">
        <v>56.326099999999997</v>
      </c>
      <c r="GO171">
        <v>23.914000000000001</v>
      </c>
      <c r="GP171">
        <v>800</v>
      </c>
      <c r="GQ171">
        <v>7.1913900000000002</v>
      </c>
      <c r="GR171">
        <v>99.786600000000007</v>
      </c>
      <c r="GS171">
        <v>99.657200000000003</v>
      </c>
    </row>
    <row r="172" spans="1:201" x14ac:dyDescent="0.25">
      <c r="A172">
        <v>156</v>
      </c>
      <c r="B172">
        <v>1690231245</v>
      </c>
      <c r="C172">
        <v>1739.900000095367</v>
      </c>
      <c r="D172" t="s">
        <v>645</v>
      </c>
      <c r="E172" t="s">
        <v>646</v>
      </c>
      <c r="F172" t="s">
        <v>330</v>
      </c>
      <c r="H172">
        <v>1690231245</v>
      </c>
      <c r="I172">
        <f t="shared" si="60"/>
        <v>1.495693835774295E-3</v>
      </c>
      <c r="J172">
        <f t="shared" si="61"/>
        <v>1.495693835774295</v>
      </c>
      <c r="K172">
        <f t="shared" si="62"/>
        <v>23.769457454022309</v>
      </c>
      <c r="L172">
        <f t="shared" si="63"/>
        <v>541.96100000000001</v>
      </c>
      <c r="M172">
        <f t="shared" si="64"/>
        <v>147.39923372088165</v>
      </c>
      <c r="N172">
        <f t="shared" si="65"/>
        <v>14.612845923321148</v>
      </c>
      <c r="O172">
        <f t="shared" si="66"/>
        <v>53.728858621108998</v>
      </c>
      <c r="P172">
        <f t="shared" si="67"/>
        <v>0.10063877101901192</v>
      </c>
      <c r="Q172">
        <f t="shared" si="68"/>
        <v>2.1789532339450299</v>
      </c>
      <c r="R172">
        <f t="shared" si="69"/>
        <v>9.8125990702355198E-2</v>
      </c>
      <c r="S172">
        <f t="shared" si="70"/>
        <v>6.1549281901138134E-2</v>
      </c>
      <c r="T172">
        <f t="shared" si="71"/>
        <v>276.116413104</v>
      </c>
      <c r="U172">
        <f t="shared" si="72"/>
        <v>27.55564493373317</v>
      </c>
      <c r="V172">
        <f t="shared" si="73"/>
        <v>27.55564493373317</v>
      </c>
      <c r="W172">
        <f t="shared" si="74"/>
        <v>3.6976405386852234</v>
      </c>
      <c r="X172">
        <f t="shared" si="75"/>
        <v>66.428492290767394</v>
      </c>
      <c r="Y172">
        <f t="shared" si="76"/>
        <v>2.2317123966327999</v>
      </c>
      <c r="Z172">
        <f t="shared" si="77"/>
        <v>3.3595710510247061</v>
      </c>
      <c r="AA172">
        <f t="shared" si="78"/>
        <v>1.4659281420524235</v>
      </c>
      <c r="AB172">
        <f t="shared" si="79"/>
        <v>-65.960098157646414</v>
      </c>
      <c r="AC172">
        <f t="shared" si="80"/>
        <v>-191.40196283446514</v>
      </c>
      <c r="AD172">
        <f t="shared" si="81"/>
        <v>-18.908245386883351</v>
      </c>
      <c r="AE172">
        <f t="shared" si="82"/>
        <v>-0.15389327499488559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52587.790384246189</v>
      </c>
      <c r="AK172">
        <f t="shared" si="86"/>
        <v>1800</v>
      </c>
      <c r="AL172">
        <f t="shared" si="87"/>
        <v>1499.1097013999999</v>
      </c>
      <c r="AM172">
        <f t="shared" si="88"/>
        <v>0.83283872299999995</v>
      </c>
      <c r="AN172">
        <f t="shared" si="89"/>
        <v>0.15339800728</v>
      </c>
      <c r="AO172">
        <v>31.5</v>
      </c>
      <c r="AP172">
        <v>0.5</v>
      </c>
      <c r="AQ172" t="s">
        <v>331</v>
      </c>
      <c r="AR172">
        <v>2</v>
      </c>
      <c r="AS172">
        <v>1690231245</v>
      </c>
      <c r="AT172">
        <v>541.96100000000001</v>
      </c>
      <c r="AU172">
        <v>799.976</v>
      </c>
      <c r="AV172">
        <v>22.511199999999999</v>
      </c>
      <c r="AW172">
        <v>7.1644500000000004</v>
      </c>
      <c r="AX172">
        <v>541.98599999999999</v>
      </c>
      <c r="AY172">
        <v>22.3325</v>
      </c>
      <c r="AZ172">
        <v>300.08800000000002</v>
      </c>
      <c r="BA172">
        <v>99.037899999999993</v>
      </c>
      <c r="BB172">
        <v>9.9969000000000002E-2</v>
      </c>
      <c r="BC172">
        <v>25.926300000000001</v>
      </c>
      <c r="BD172">
        <v>26.998000000000001</v>
      </c>
      <c r="BE172">
        <v>27.6127</v>
      </c>
      <c r="BF172">
        <v>0</v>
      </c>
      <c r="BG172">
        <v>0</v>
      </c>
      <c r="BH172">
        <v>10006.200000000001</v>
      </c>
      <c r="BI172">
        <v>1065.8699999999999</v>
      </c>
      <c r="BJ172">
        <v>1.4577199999999999</v>
      </c>
      <c r="BK172">
        <v>-258.01499999999999</v>
      </c>
      <c r="BL172">
        <v>554.44299999999998</v>
      </c>
      <c r="BM172">
        <v>805.74900000000002</v>
      </c>
      <c r="BN172">
        <v>15.3467</v>
      </c>
      <c r="BO172">
        <v>799.976</v>
      </c>
      <c r="BP172">
        <v>7.1644500000000004</v>
      </c>
      <c r="BQ172">
        <v>2.22946</v>
      </c>
      <c r="BR172">
        <v>0.70955199999999996</v>
      </c>
      <c r="BS172">
        <v>19.175599999999999</v>
      </c>
      <c r="BT172">
        <v>2.0159799999999999</v>
      </c>
      <c r="BU172">
        <v>1800</v>
      </c>
      <c r="BV172">
        <v>0.90998000000000001</v>
      </c>
      <c r="BW172">
        <v>3.4008200000000002E-2</v>
      </c>
      <c r="BX172">
        <v>2.2005899999999998E-2</v>
      </c>
      <c r="BY172">
        <v>3.40062E-2</v>
      </c>
      <c r="BZ172">
        <v>25</v>
      </c>
      <c r="CA172">
        <v>33528.300000000003</v>
      </c>
      <c r="CB172">
        <v>1690229084.0999999</v>
      </c>
      <c r="CC172" t="s">
        <v>332</v>
      </c>
      <c r="CD172">
        <v>1690229084.0999999</v>
      </c>
      <c r="CE172">
        <v>1690229076.5999999</v>
      </c>
      <c r="CF172">
        <v>13</v>
      </c>
      <c r="CG172">
        <v>0.23300000000000001</v>
      </c>
      <c r="CH172">
        <v>-0.13100000000000001</v>
      </c>
      <c r="CI172">
        <v>-0.20599999999999999</v>
      </c>
      <c r="CJ172">
        <v>8.7999999999999995E-2</v>
      </c>
      <c r="CK172">
        <v>799</v>
      </c>
      <c r="CL172">
        <v>16</v>
      </c>
      <c r="CM172">
        <v>0.04</v>
      </c>
      <c r="CN172">
        <v>0.04</v>
      </c>
      <c r="CO172">
        <v>-256.84829999999999</v>
      </c>
      <c r="CP172">
        <v>-6.5808855534701536</v>
      </c>
      <c r="CQ172">
        <v>0.6374765956488152</v>
      </c>
      <c r="CR172">
        <v>-1</v>
      </c>
      <c r="CS172">
        <v>15.2590825</v>
      </c>
      <c r="CT172">
        <v>0.61340600375230525</v>
      </c>
      <c r="CU172">
        <v>6.1022638780619802E-2</v>
      </c>
      <c r="CV172">
        <v>-1</v>
      </c>
      <c r="CW172">
        <v>0</v>
      </c>
      <c r="CX172">
        <v>0</v>
      </c>
      <c r="CY172" t="s">
        <v>333</v>
      </c>
      <c r="CZ172">
        <v>2.3644500000000002</v>
      </c>
      <c r="DA172">
        <v>2.7137600000000002</v>
      </c>
      <c r="DB172">
        <v>0.11203100000000001</v>
      </c>
      <c r="DC172">
        <v>0.14607500000000001</v>
      </c>
      <c r="DD172">
        <v>0.108857</v>
      </c>
      <c r="DE172">
        <v>4.5525500000000003E-2</v>
      </c>
      <c r="DF172">
        <v>32438.2</v>
      </c>
      <c r="DG172">
        <v>27543.3</v>
      </c>
      <c r="DH172">
        <v>31185.9</v>
      </c>
      <c r="DI172">
        <v>28105.4</v>
      </c>
      <c r="DJ172">
        <v>37732.199999999997</v>
      </c>
      <c r="DK172">
        <v>38152.6</v>
      </c>
      <c r="DL172">
        <v>44384.5</v>
      </c>
      <c r="DM172">
        <v>42602.8</v>
      </c>
      <c r="DN172">
        <v>1.4824999999999999</v>
      </c>
      <c r="DO172">
        <v>2.0394700000000001</v>
      </c>
      <c r="DP172">
        <v>0.132993</v>
      </c>
      <c r="DQ172">
        <v>0.18267</v>
      </c>
      <c r="DR172">
        <v>24.819199999999999</v>
      </c>
      <c r="DS172">
        <v>24.620999999999999</v>
      </c>
      <c r="DT172">
        <v>43.4</v>
      </c>
      <c r="DU172">
        <v>29.2</v>
      </c>
      <c r="DV172">
        <v>17.8291</v>
      </c>
      <c r="DW172">
        <v>61.4998</v>
      </c>
      <c r="DX172">
        <v>37.1995</v>
      </c>
      <c r="DY172">
        <v>1</v>
      </c>
      <c r="DZ172">
        <v>-0.102144</v>
      </c>
      <c r="EA172">
        <v>0.17364399999999999</v>
      </c>
      <c r="EB172">
        <v>20.1892</v>
      </c>
      <c r="EC172">
        <v>5.2416999999999998</v>
      </c>
      <c r="ED172">
        <v>12.039899999999999</v>
      </c>
      <c r="EE172">
        <v>5.01675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1.8689100000000001</v>
      </c>
      <c r="EL172">
        <v>1.8646199999999999</v>
      </c>
      <c r="EM172">
        <v>1.8692</v>
      </c>
      <c r="EN172">
        <v>1.8672299999999999</v>
      </c>
      <c r="EO172">
        <v>1.8633999999999999</v>
      </c>
      <c r="EP172">
        <v>1.8645</v>
      </c>
      <c r="EQ172">
        <v>1.8701399999999999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-2.5000000000000001E-2</v>
      </c>
      <c r="FG172">
        <v>0.1787</v>
      </c>
      <c r="FH172">
        <v>0.3448811944559278</v>
      </c>
      <c r="FI172">
        <v>-6.1462078757559423E-4</v>
      </c>
      <c r="FJ172">
        <v>-1.8861989874597051E-7</v>
      </c>
      <c r="FK172">
        <v>1.1980462299894961E-10</v>
      </c>
      <c r="FL172">
        <v>0.17862261546663211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36</v>
      </c>
      <c r="FU172">
        <v>36.1</v>
      </c>
      <c r="FV172">
        <v>1.7724599999999999</v>
      </c>
      <c r="FW172">
        <v>2.5903299999999998</v>
      </c>
      <c r="FX172">
        <v>1.5490699999999999</v>
      </c>
      <c r="FY172">
        <v>2.32666</v>
      </c>
      <c r="FZ172">
        <v>1.50146</v>
      </c>
      <c r="GA172">
        <v>2.3767100000000001</v>
      </c>
      <c r="GB172">
        <v>33.8735</v>
      </c>
      <c r="GC172">
        <v>23.991199999999999</v>
      </c>
      <c r="GD172">
        <v>19</v>
      </c>
      <c r="GE172">
        <v>285.20699999999999</v>
      </c>
      <c r="GF172">
        <v>584.87</v>
      </c>
      <c r="GG172">
        <v>23.920500000000001</v>
      </c>
      <c r="GH172">
        <v>26.104800000000001</v>
      </c>
      <c r="GI172">
        <v>29.999700000000001</v>
      </c>
      <c r="GJ172">
        <v>26.268699999999999</v>
      </c>
      <c r="GK172">
        <v>26.263000000000002</v>
      </c>
      <c r="GL172">
        <v>35.426499999999997</v>
      </c>
      <c r="GM172">
        <v>58.342300000000002</v>
      </c>
      <c r="GN172">
        <v>55.545999999999999</v>
      </c>
      <c r="GO172">
        <v>23.929500000000001</v>
      </c>
      <c r="GP172">
        <v>800</v>
      </c>
      <c r="GQ172">
        <v>7.1024399999999996</v>
      </c>
      <c r="GR172">
        <v>99.787000000000006</v>
      </c>
      <c r="GS172">
        <v>99.658299999999997</v>
      </c>
    </row>
    <row r="173" spans="1:201" x14ac:dyDescent="0.25">
      <c r="A173">
        <v>157</v>
      </c>
      <c r="B173">
        <v>1690231255</v>
      </c>
      <c r="C173">
        <v>1749.900000095367</v>
      </c>
      <c r="D173" t="s">
        <v>647</v>
      </c>
      <c r="E173" t="s">
        <v>648</v>
      </c>
      <c r="F173" t="s">
        <v>330</v>
      </c>
      <c r="H173">
        <v>1690231255</v>
      </c>
      <c r="I173">
        <f t="shared" si="60"/>
        <v>1.5014572117505846E-3</v>
      </c>
      <c r="J173">
        <f t="shared" si="61"/>
        <v>1.5014572117505847</v>
      </c>
      <c r="K173">
        <f t="shared" si="62"/>
        <v>23.895063135044715</v>
      </c>
      <c r="L173">
        <f t="shared" si="63"/>
        <v>540.83600000000001</v>
      </c>
      <c r="M173">
        <f t="shared" si="64"/>
        <v>145.01727323020768</v>
      </c>
      <c r="N173">
        <f t="shared" si="65"/>
        <v>14.376914001314265</v>
      </c>
      <c r="O173">
        <f t="shared" si="66"/>
        <v>53.618113812356</v>
      </c>
      <c r="P173">
        <f t="shared" si="67"/>
        <v>0.10084430480823604</v>
      </c>
      <c r="Q173">
        <f t="shared" si="68"/>
        <v>2.1744201154595721</v>
      </c>
      <c r="R173">
        <f t="shared" si="69"/>
        <v>9.8316271294394367E-2</v>
      </c>
      <c r="S173">
        <f t="shared" si="70"/>
        <v>6.1669524850168682E-2</v>
      </c>
      <c r="T173">
        <f t="shared" si="71"/>
        <v>276.11621946000002</v>
      </c>
      <c r="U173">
        <f t="shared" si="72"/>
        <v>27.566847438269857</v>
      </c>
      <c r="V173">
        <f t="shared" si="73"/>
        <v>27.566847438269857</v>
      </c>
      <c r="W173">
        <f t="shared" si="74"/>
        <v>3.7000640391317741</v>
      </c>
      <c r="X173">
        <f t="shared" si="75"/>
        <v>66.377368492823578</v>
      </c>
      <c r="Y173">
        <f t="shared" si="76"/>
        <v>2.2313286977470002</v>
      </c>
      <c r="Z173">
        <f t="shared" si="77"/>
        <v>3.3615805332629924</v>
      </c>
      <c r="AA173">
        <f t="shared" si="78"/>
        <v>1.4687353413847739</v>
      </c>
      <c r="AB173">
        <f t="shared" si="79"/>
        <v>-66.214263038200784</v>
      </c>
      <c r="AC173">
        <f t="shared" si="80"/>
        <v>-191.13301173835578</v>
      </c>
      <c r="AD173">
        <f t="shared" si="81"/>
        <v>-18.923057067527701</v>
      </c>
      <c r="AE173">
        <f t="shared" si="82"/>
        <v>-0.15411238408421468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52397.85923529994</v>
      </c>
      <c r="AK173">
        <f t="shared" si="86"/>
        <v>1800</v>
      </c>
      <c r="AL173">
        <f t="shared" si="87"/>
        <v>1499.110506</v>
      </c>
      <c r="AM173">
        <f t="shared" si="88"/>
        <v>0.83283916999999996</v>
      </c>
      <c r="AN173">
        <f t="shared" si="89"/>
        <v>0.15339789970000001</v>
      </c>
      <c r="AO173">
        <v>31.5</v>
      </c>
      <c r="AP173">
        <v>0.5</v>
      </c>
      <c r="AQ173" t="s">
        <v>331</v>
      </c>
      <c r="AR173">
        <v>2</v>
      </c>
      <c r="AS173">
        <v>1690231255</v>
      </c>
      <c r="AT173">
        <v>540.83600000000001</v>
      </c>
      <c r="AU173">
        <v>800.11800000000005</v>
      </c>
      <c r="AV173">
        <v>22.507000000000001</v>
      </c>
      <c r="AW173">
        <v>7.1050000000000004</v>
      </c>
      <c r="AX173">
        <v>540.85900000000004</v>
      </c>
      <c r="AY173">
        <v>22.328399999999998</v>
      </c>
      <c r="AZ173">
        <v>300.16500000000002</v>
      </c>
      <c r="BA173">
        <v>99.039199999999994</v>
      </c>
      <c r="BB173">
        <v>0.100121</v>
      </c>
      <c r="BC173">
        <v>25.936399999999999</v>
      </c>
      <c r="BD173">
        <v>27.0151</v>
      </c>
      <c r="BE173">
        <v>27.613199999999999</v>
      </c>
      <c r="BF173">
        <v>0</v>
      </c>
      <c r="BG173">
        <v>0</v>
      </c>
      <c r="BH173">
        <v>9968.75</v>
      </c>
      <c r="BI173">
        <v>1065.94</v>
      </c>
      <c r="BJ173">
        <v>1.4577199999999999</v>
      </c>
      <c r="BK173">
        <v>-259.28300000000002</v>
      </c>
      <c r="BL173">
        <v>553.28800000000001</v>
      </c>
      <c r="BM173">
        <v>805.84400000000005</v>
      </c>
      <c r="BN173">
        <v>15.401999999999999</v>
      </c>
      <c r="BO173">
        <v>800.11800000000005</v>
      </c>
      <c r="BP173">
        <v>7.1050000000000004</v>
      </c>
      <c r="BQ173">
        <v>2.2290800000000002</v>
      </c>
      <c r="BR173">
        <v>0.70367400000000002</v>
      </c>
      <c r="BS173">
        <v>19.172799999999999</v>
      </c>
      <c r="BT173">
        <v>1.89958</v>
      </c>
      <c r="BU173">
        <v>1800</v>
      </c>
      <c r="BV173">
        <v>0.90998500000000004</v>
      </c>
      <c r="BW173">
        <v>3.4002499999999998E-2</v>
      </c>
      <c r="BX173">
        <v>2.2006000000000001E-2</v>
      </c>
      <c r="BY173">
        <v>3.4006399999999999E-2</v>
      </c>
      <c r="BZ173">
        <v>25</v>
      </c>
      <c r="CA173">
        <v>33528.199999999997</v>
      </c>
      <c r="CB173">
        <v>1690229084.0999999</v>
      </c>
      <c r="CC173" t="s">
        <v>332</v>
      </c>
      <c r="CD173">
        <v>1690229084.0999999</v>
      </c>
      <c r="CE173">
        <v>1690229076.5999999</v>
      </c>
      <c r="CF173">
        <v>13</v>
      </c>
      <c r="CG173">
        <v>0.23300000000000001</v>
      </c>
      <c r="CH173">
        <v>-0.13100000000000001</v>
      </c>
      <c r="CI173">
        <v>-0.20599999999999999</v>
      </c>
      <c r="CJ173">
        <v>8.7999999999999995E-2</v>
      </c>
      <c r="CK173">
        <v>799</v>
      </c>
      <c r="CL173">
        <v>16</v>
      </c>
      <c r="CM173">
        <v>0.04</v>
      </c>
      <c r="CN173">
        <v>0.04</v>
      </c>
      <c r="CO173">
        <v>-257.9465121951219</v>
      </c>
      <c r="CP173">
        <v>-6.3571149825780706</v>
      </c>
      <c r="CQ173">
        <v>0.6298346713748888</v>
      </c>
      <c r="CR173">
        <v>-1</v>
      </c>
      <c r="CS173">
        <v>15.340197560975611</v>
      </c>
      <c r="CT173">
        <v>0.31314564459931182</v>
      </c>
      <c r="CU173">
        <v>3.1014209865211001E-2</v>
      </c>
      <c r="CV173">
        <v>-1</v>
      </c>
      <c r="CW173">
        <v>0</v>
      </c>
      <c r="CX173">
        <v>0</v>
      </c>
      <c r="CY173" t="s">
        <v>333</v>
      </c>
      <c r="CZ173">
        <v>2.3647</v>
      </c>
      <c r="DA173">
        <v>2.7138900000000001</v>
      </c>
      <c r="DB173">
        <v>0.11186599999999999</v>
      </c>
      <c r="DC173">
        <v>0.146094</v>
      </c>
      <c r="DD173">
        <v>0.108845</v>
      </c>
      <c r="DE173">
        <v>4.5223800000000001E-2</v>
      </c>
      <c r="DF173">
        <v>32444.7</v>
      </c>
      <c r="DG173">
        <v>27543</v>
      </c>
      <c r="DH173">
        <v>31186.3</v>
      </c>
      <c r="DI173">
        <v>28105.7</v>
      </c>
      <c r="DJ173">
        <v>37733.199999999997</v>
      </c>
      <c r="DK173">
        <v>38165.199999999997</v>
      </c>
      <c r="DL173">
        <v>44385.1</v>
      </c>
      <c r="DM173">
        <v>42603.4</v>
      </c>
      <c r="DN173">
        <v>1.4827999999999999</v>
      </c>
      <c r="DO173">
        <v>2.0392000000000001</v>
      </c>
      <c r="DP173">
        <v>0.133991</v>
      </c>
      <c r="DQ173">
        <v>0.18274799999999999</v>
      </c>
      <c r="DR173">
        <v>24.82</v>
      </c>
      <c r="DS173">
        <v>24.620200000000001</v>
      </c>
      <c r="DT173">
        <v>43.1</v>
      </c>
      <c r="DU173">
        <v>29.2</v>
      </c>
      <c r="DV173">
        <v>17.703600000000002</v>
      </c>
      <c r="DW173">
        <v>61.6098</v>
      </c>
      <c r="DX173">
        <v>36.598599999999998</v>
      </c>
      <c r="DY173">
        <v>1</v>
      </c>
      <c r="DZ173">
        <v>-0.10248</v>
      </c>
      <c r="EA173">
        <v>0.191721</v>
      </c>
      <c r="EB173">
        <v>20.1891</v>
      </c>
      <c r="EC173">
        <v>5.2415500000000002</v>
      </c>
      <c r="ED173">
        <v>12.039899999999999</v>
      </c>
      <c r="EE173">
        <v>5.0168499999999998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1.8689199999999999</v>
      </c>
      <c r="EL173">
        <v>1.86463</v>
      </c>
      <c r="EM173">
        <v>1.8692</v>
      </c>
      <c r="EN173">
        <v>1.8672299999999999</v>
      </c>
      <c r="EO173">
        <v>1.8633999999999999</v>
      </c>
      <c r="EP173">
        <v>1.8645</v>
      </c>
      <c r="EQ173">
        <v>1.87015</v>
      </c>
      <c r="ER173">
        <v>1.8694500000000001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-2.3E-2</v>
      </c>
      <c r="FG173">
        <v>0.17860000000000001</v>
      </c>
      <c r="FH173">
        <v>0.3448811944559278</v>
      </c>
      <c r="FI173">
        <v>-6.1462078757559423E-4</v>
      </c>
      <c r="FJ173">
        <v>-1.8861989874597051E-7</v>
      </c>
      <c r="FK173">
        <v>1.1980462299894961E-10</v>
      </c>
      <c r="FL173">
        <v>0.17862261546663211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36.200000000000003</v>
      </c>
      <c r="FU173">
        <v>36.299999999999997</v>
      </c>
      <c r="FV173">
        <v>1.7724599999999999</v>
      </c>
      <c r="FW173">
        <v>2.5903299999999998</v>
      </c>
      <c r="FX173">
        <v>1.5490699999999999</v>
      </c>
      <c r="FY173">
        <v>2.32666</v>
      </c>
      <c r="FZ173">
        <v>1.50146</v>
      </c>
      <c r="GA173">
        <v>2.3339799999999999</v>
      </c>
      <c r="GB173">
        <v>33.8735</v>
      </c>
      <c r="GC173">
        <v>23.982399999999998</v>
      </c>
      <c r="GD173">
        <v>19</v>
      </c>
      <c r="GE173">
        <v>285.31700000000001</v>
      </c>
      <c r="GF173">
        <v>584.59900000000005</v>
      </c>
      <c r="GG173">
        <v>23.933700000000002</v>
      </c>
      <c r="GH173">
        <v>26.1008</v>
      </c>
      <c r="GI173">
        <v>29.9999</v>
      </c>
      <c r="GJ173">
        <v>26.264399999999998</v>
      </c>
      <c r="GK173">
        <v>26.2591</v>
      </c>
      <c r="GL173">
        <v>35.426400000000001</v>
      </c>
      <c r="GM173">
        <v>58.624200000000002</v>
      </c>
      <c r="GN173">
        <v>55.158499999999997</v>
      </c>
      <c r="GO173">
        <v>23.9176</v>
      </c>
      <c r="GP173">
        <v>800</v>
      </c>
      <c r="GQ173">
        <v>7.00495</v>
      </c>
      <c r="GR173">
        <v>99.788200000000003</v>
      </c>
      <c r="GS173">
        <v>99.659599999999998</v>
      </c>
    </row>
    <row r="174" spans="1:201" x14ac:dyDescent="0.25">
      <c r="A174">
        <v>158</v>
      </c>
      <c r="B174">
        <v>1690231265</v>
      </c>
      <c r="C174">
        <v>1759.900000095367</v>
      </c>
      <c r="D174" t="s">
        <v>649</v>
      </c>
      <c r="E174" t="s">
        <v>650</v>
      </c>
      <c r="F174" t="s">
        <v>330</v>
      </c>
      <c r="H174">
        <v>1690231265</v>
      </c>
      <c r="I174">
        <f t="shared" si="60"/>
        <v>1.5121493974552731E-3</v>
      </c>
      <c r="J174">
        <f t="shared" si="61"/>
        <v>1.5121493974552731</v>
      </c>
      <c r="K174">
        <f t="shared" si="62"/>
        <v>23.97614474678296</v>
      </c>
      <c r="L174">
        <f t="shared" si="63"/>
        <v>539.82100000000003</v>
      </c>
      <c r="M174">
        <f t="shared" si="64"/>
        <v>146.14728705361475</v>
      </c>
      <c r="N174">
        <f t="shared" si="65"/>
        <v>14.488837139998918</v>
      </c>
      <c r="O174">
        <f t="shared" si="66"/>
        <v>53.517097110958005</v>
      </c>
      <c r="P174">
        <f t="shared" si="67"/>
        <v>0.10176365793970064</v>
      </c>
      <c r="Q174">
        <f t="shared" si="68"/>
        <v>2.1768440295954776</v>
      </c>
      <c r="R174">
        <f t="shared" si="69"/>
        <v>9.9192741759055902E-2</v>
      </c>
      <c r="S174">
        <f t="shared" si="70"/>
        <v>6.2221040438353317E-2</v>
      </c>
      <c r="T174">
        <f t="shared" si="71"/>
        <v>276.11468342901441</v>
      </c>
      <c r="U174">
        <f t="shared" si="72"/>
        <v>27.553435054776951</v>
      </c>
      <c r="V174">
        <f t="shared" si="73"/>
        <v>27.553435054776951</v>
      </c>
      <c r="W174">
        <f t="shared" si="74"/>
        <v>3.6971626268308397</v>
      </c>
      <c r="X174">
        <f t="shared" si="75"/>
        <v>66.400166181078959</v>
      </c>
      <c r="Y174">
        <f t="shared" si="76"/>
        <v>2.2310249232518005</v>
      </c>
      <c r="Z174">
        <f t="shared" si="77"/>
        <v>3.3599688849687572</v>
      </c>
      <c r="AA174">
        <f t="shared" si="78"/>
        <v>1.4661377035790393</v>
      </c>
      <c r="AB174">
        <f t="shared" si="79"/>
        <v>-66.685788427777538</v>
      </c>
      <c r="AC174">
        <f t="shared" si="80"/>
        <v>-190.72262466135399</v>
      </c>
      <c r="AD174">
        <f t="shared" si="81"/>
        <v>-18.859369996436037</v>
      </c>
      <c r="AE174">
        <f t="shared" si="82"/>
        <v>-0.1530996565531666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52499.841033870573</v>
      </c>
      <c r="AK174">
        <f t="shared" si="86"/>
        <v>1799.99</v>
      </c>
      <c r="AL174">
        <f t="shared" si="87"/>
        <v>1499.1001904193399</v>
      </c>
      <c r="AM174">
        <f t="shared" si="88"/>
        <v>0.83283806599999999</v>
      </c>
      <c r="AN174">
        <f t="shared" si="89"/>
        <v>0.15339789856</v>
      </c>
      <c r="AO174">
        <v>31.5</v>
      </c>
      <c r="AP174">
        <v>0.5</v>
      </c>
      <c r="AQ174" t="s">
        <v>331</v>
      </c>
      <c r="AR174">
        <v>2</v>
      </c>
      <c r="AS174">
        <v>1690231265</v>
      </c>
      <c r="AT174">
        <v>539.82100000000003</v>
      </c>
      <c r="AU174">
        <v>799.96900000000005</v>
      </c>
      <c r="AV174">
        <v>22.504100000000001</v>
      </c>
      <c r="AW174">
        <v>6.9941300000000002</v>
      </c>
      <c r="AX174">
        <v>539.84400000000005</v>
      </c>
      <c r="AY174">
        <v>22.325399999999998</v>
      </c>
      <c r="AZ174">
        <v>300.19900000000001</v>
      </c>
      <c r="BA174">
        <v>99.038600000000002</v>
      </c>
      <c r="BB174">
        <v>9.9998000000000004E-2</v>
      </c>
      <c r="BC174">
        <v>25.9283</v>
      </c>
      <c r="BD174">
        <v>27.001300000000001</v>
      </c>
      <c r="BE174">
        <v>27.6191</v>
      </c>
      <c r="BF174">
        <v>0</v>
      </c>
      <c r="BG174">
        <v>0</v>
      </c>
      <c r="BH174">
        <v>9988.75</v>
      </c>
      <c r="BI174">
        <v>1066.02</v>
      </c>
      <c r="BJ174">
        <v>1.4577199999999999</v>
      </c>
      <c r="BK174">
        <v>-260.14800000000002</v>
      </c>
      <c r="BL174">
        <v>552.24800000000005</v>
      </c>
      <c r="BM174">
        <v>805.60400000000004</v>
      </c>
      <c r="BN174">
        <v>15.5099</v>
      </c>
      <c r="BO174">
        <v>799.96900000000005</v>
      </c>
      <c r="BP174">
        <v>6.9941300000000002</v>
      </c>
      <c r="BQ174">
        <v>2.2287699999999999</v>
      </c>
      <c r="BR174">
        <v>0.692689</v>
      </c>
      <c r="BS174">
        <v>19.1706</v>
      </c>
      <c r="BT174">
        <v>1.6797200000000001</v>
      </c>
      <c r="BU174">
        <v>1799.99</v>
      </c>
      <c r="BV174">
        <v>0.90997899999999998</v>
      </c>
      <c r="BW174">
        <v>3.4008799999999999E-2</v>
      </c>
      <c r="BX174">
        <v>2.2005799999999999E-2</v>
      </c>
      <c r="BY174">
        <v>3.4006000000000002E-2</v>
      </c>
      <c r="BZ174">
        <v>25</v>
      </c>
      <c r="CA174">
        <v>33528.1</v>
      </c>
      <c r="CB174">
        <v>1690229084.0999999</v>
      </c>
      <c r="CC174" t="s">
        <v>332</v>
      </c>
      <c r="CD174">
        <v>1690229084.0999999</v>
      </c>
      <c r="CE174">
        <v>1690229076.5999999</v>
      </c>
      <c r="CF174">
        <v>13</v>
      </c>
      <c r="CG174">
        <v>0.23300000000000001</v>
      </c>
      <c r="CH174">
        <v>-0.13100000000000001</v>
      </c>
      <c r="CI174">
        <v>-0.20599999999999999</v>
      </c>
      <c r="CJ174">
        <v>8.7999999999999995E-2</v>
      </c>
      <c r="CK174">
        <v>799</v>
      </c>
      <c r="CL174">
        <v>16</v>
      </c>
      <c r="CM174">
        <v>0.04</v>
      </c>
      <c r="CN174">
        <v>0.04</v>
      </c>
      <c r="CO174">
        <v>-259.05914634146342</v>
      </c>
      <c r="CP174">
        <v>-6.7834076655048463</v>
      </c>
      <c r="CQ174">
        <v>0.67219975838253754</v>
      </c>
      <c r="CR174">
        <v>-1</v>
      </c>
      <c r="CS174">
        <v>15.41208780487805</v>
      </c>
      <c r="CT174">
        <v>0.53446829268293683</v>
      </c>
      <c r="CU174">
        <v>5.3731964393836137E-2</v>
      </c>
      <c r="CV174">
        <v>-1</v>
      </c>
      <c r="CW174">
        <v>0</v>
      </c>
      <c r="CX174">
        <v>0</v>
      </c>
      <c r="CY174" t="s">
        <v>333</v>
      </c>
      <c r="CZ174">
        <v>2.3648099999999999</v>
      </c>
      <c r="DA174">
        <v>2.7137799999999999</v>
      </c>
      <c r="DB174">
        <v>0.11171499999999999</v>
      </c>
      <c r="DC174">
        <v>0.14607500000000001</v>
      </c>
      <c r="DD174">
        <v>0.108836</v>
      </c>
      <c r="DE174">
        <v>4.4657599999999999E-2</v>
      </c>
      <c r="DF174">
        <v>32450.7</v>
      </c>
      <c r="DG174">
        <v>27544.1</v>
      </c>
      <c r="DH174">
        <v>31186.799999999999</v>
      </c>
      <c r="DI174">
        <v>28106.1</v>
      </c>
      <c r="DJ174">
        <v>37734.1</v>
      </c>
      <c r="DK174">
        <v>38188.400000000001</v>
      </c>
      <c r="DL174">
        <v>44385.599999999999</v>
      </c>
      <c r="DM174">
        <v>42603.9</v>
      </c>
      <c r="DN174">
        <v>1.4831000000000001</v>
      </c>
      <c r="DO174">
        <v>2.0396200000000002</v>
      </c>
      <c r="DP174">
        <v>0.13314200000000001</v>
      </c>
      <c r="DQ174">
        <v>0.18298600000000001</v>
      </c>
      <c r="DR174">
        <v>24.82</v>
      </c>
      <c r="DS174">
        <v>24.622299999999999</v>
      </c>
      <c r="DT174">
        <v>42.8</v>
      </c>
      <c r="DU174">
        <v>29.2</v>
      </c>
      <c r="DV174">
        <v>17.5825</v>
      </c>
      <c r="DW174">
        <v>61.989800000000002</v>
      </c>
      <c r="DX174">
        <v>36.169899999999998</v>
      </c>
      <c r="DY174">
        <v>1</v>
      </c>
      <c r="DZ174">
        <v>-0.102421</v>
      </c>
      <c r="EA174">
        <v>0.279559</v>
      </c>
      <c r="EB174">
        <v>20.1892</v>
      </c>
      <c r="EC174">
        <v>5.2408000000000001</v>
      </c>
      <c r="ED174">
        <v>12.039899999999999</v>
      </c>
      <c r="EE174">
        <v>5.0170500000000002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1.8689100000000001</v>
      </c>
      <c r="EL174">
        <v>1.86463</v>
      </c>
      <c r="EM174">
        <v>1.8692</v>
      </c>
      <c r="EN174">
        <v>1.8672299999999999</v>
      </c>
      <c r="EO174">
        <v>1.8633999999999999</v>
      </c>
      <c r="EP174">
        <v>1.86449</v>
      </c>
      <c r="EQ174">
        <v>1.87015</v>
      </c>
      <c r="ER174">
        <v>1.86944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-2.3E-2</v>
      </c>
      <c r="FG174">
        <v>0.1787</v>
      </c>
      <c r="FH174">
        <v>0.3448811944559278</v>
      </c>
      <c r="FI174">
        <v>-6.1462078757559423E-4</v>
      </c>
      <c r="FJ174">
        <v>-1.8861989874597051E-7</v>
      </c>
      <c r="FK174">
        <v>1.1980462299894961E-10</v>
      </c>
      <c r="FL174">
        <v>0.17862261546663211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36.299999999999997</v>
      </c>
      <c r="FU174">
        <v>36.5</v>
      </c>
      <c r="FV174">
        <v>1.7712399999999999</v>
      </c>
      <c r="FW174">
        <v>2.5927699999999998</v>
      </c>
      <c r="FX174">
        <v>1.5490699999999999</v>
      </c>
      <c r="FY174">
        <v>2.32666</v>
      </c>
      <c r="FZ174">
        <v>1.50146</v>
      </c>
      <c r="GA174">
        <v>2.3071299999999999</v>
      </c>
      <c r="GB174">
        <v>33.8735</v>
      </c>
      <c r="GC174">
        <v>23.982399999999998</v>
      </c>
      <c r="GD174">
        <v>19</v>
      </c>
      <c r="GE174">
        <v>285.42599999999999</v>
      </c>
      <c r="GF174">
        <v>584.89400000000001</v>
      </c>
      <c r="GG174">
        <v>23.909500000000001</v>
      </c>
      <c r="GH174">
        <v>26.096399999999999</v>
      </c>
      <c r="GI174">
        <v>30.0002</v>
      </c>
      <c r="GJ174">
        <v>26.26</v>
      </c>
      <c r="GK174">
        <v>26.254200000000001</v>
      </c>
      <c r="GL174">
        <v>35.427599999999998</v>
      </c>
      <c r="GM174">
        <v>58.624200000000002</v>
      </c>
      <c r="GN174">
        <v>54.3688</v>
      </c>
      <c r="GO174">
        <v>23.8948</v>
      </c>
      <c r="GP174">
        <v>800</v>
      </c>
      <c r="GQ174">
        <v>7.0034099999999997</v>
      </c>
      <c r="GR174">
        <v>99.789599999999993</v>
      </c>
      <c r="GS174">
        <v>99.660899999999998</v>
      </c>
    </row>
    <row r="175" spans="1:201" x14ac:dyDescent="0.25">
      <c r="A175">
        <v>159</v>
      </c>
      <c r="B175">
        <v>1690231275</v>
      </c>
      <c r="C175">
        <v>1769.900000095367</v>
      </c>
      <c r="D175" t="s">
        <v>651</v>
      </c>
      <c r="E175" t="s">
        <v>652</v>
      </c>
      <c r="F175" t="s">
        <v>330</v>
      </c>
      <c r="H175">
        <v>1690231275</v>
      </c>
      <c r="I175">
        <f t="shared" si="60"/>
        <v>1.516928618620884E-3</v>
      </c>
      <c r="J175">
        <f t="shared" si="61"/>
        <v>1.5169286186208839</v>
      </c>
      <c r="K175">
        <f t="shared" si="62"/>
        <v>24.06595120245284</v>
      </c>
      <c r="L175">
        <f t="shared" si="63"/>
        <v>538.81899999999996</v>
      </c>
      <c r="M175">
        <f t="shared" si="64"/>
        <v>144.52585229442712</v>
      </c>
      <c r="N175">
        <f t="shared" si="65"/>
        <v>14.328107569801011</v>
      </c>
      <c r="O175">
        <f t="shared" si="66"/>
        <v>53.417824355222997</v>
      </c>
      <c r="P175">
        <f t="shared" si="67"/>
        <v>0.10198198884740295</v>
      </c>
      <c r="Q175">
        <f t="shared" si="68"/>
        <v>2.1744906421514214</v>
      </c>
      <c r="R175">
        <f t="shared" si="69"/>
        <v>9.939746196768319E-2</v>
      </c>
      <c r="S175">
        <f t="shared" si="70"/>
        <v>6.2350167703717638E-2</v>
      </c>
      <c r="T175">
        <f t="shared" si="71"/>
        <v>276.11474075869592</v>
      </c>
      <c r="U175">
        <f t="shared" si="72"/>
        <v>27.554498372984909</v>
      </c>
      <c r="V175">
        <f t="shared" si="73"/>
        <v>27.554498372984909</v>
      </c>
      <c r="W175">
        <f t="shared" si="74"/>
        <v>3.6973925749487266</v>
      </c>
      <c r="X175">
        <f t="shared" si="75"/>
        <v>66.354616195558307</v>
      </c>
      <c r="Y175">
        <f t="shared" si="76"/>
        <v>2.2296396592017</v>
      </c>
      <c r="Z175">
        <f t="shared" si="77"/>
        <v>3.3601877111768292</v>
      </c>
      <c r="AA175">
        <f t="shared" si="78"/>
        <v>1.4677529157470266</v>
      </c>
      <c r="AB175">
        <f t="shared" si="79"/>
        <v>-66.896552081180985</v>
      </c>
      <c r="AC175">
        <f t="shared" si="80"/>
        <v>-190.51213406407638</v>
      </c>
      <c r="AD175">
        <f t="shared" si="81"/>
        <v>-18.859148470835304</v>
      </c>
      <c r="AE175">
        <f t="shared" si="82"/>
        <v>-0.15309385739672621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52402.000285999835</v>
      </c>
      <c r="AK175">
        <f t="shared" si="86"/>
        <v>1799.99</v>
      </c>
      <c r="AL175">
        <f t="shared" si="87"/>
        <v>1499.1004514178901</v>
      </c>
      <c r="AM175">
        <f t="shared" si="88"/>
        <v>0.83283821099999999</v>
      </c>
      <c r="AN175">
        <f t="shared" si="89"/>
        <v>0.15339793040999999</v>
      </c>
      <c r="AO175">
        <v>31.5</v>
      </c>
      <c r="AP175">
        <v>0.5</v>
      </c>
      <c r="AQ175" t="s">
        <v>331</v>
      </c>
      <c r="AR175">
        <v>2</v>
      </c>
      <c r="AS175">
        <v>1690231275</v>
      </c>
      <c r="AT175">
        <v>538.81899999999996</v>
      </c>
      <c r="AU175">
        <v>799.95699999999999</v>
      </c>
      <c r="AV175">
        <v>22.490100000000002</v>
      </c>
      <c r="AW175">
        <v>6.9287099999999997</v>
      </c>
      <c r="AX175">
        <v>538.84100000000001</v>
      </c>
      <c r="AY175">
        <v>22.311399999999999</v>
      </c>
      <c r="AZ175">
        <v>300.15699999999998</v>
      </c>
      <c r="BA175">
        <v>99.038700000000006</v>
      </c>
      <c r="BB175">
        <v>0.10001699999999999</v>
      </c>
      <c r="BC175">
        <v>25.929400000000001</v>
      </c>
      <c r="BD175">
        <v>27.012699999999999</v>
      </c>
      <c r="BE175">
        <v>27.599499999999999</v>
      </c>
      <c r="BF175">
        <v>0</v>
      </c>
      <c r="BG175">
        <v>0</v>
      </c>
      <c r="BH175">
        <v>9969.3799999999992</v>
      </c>
      <c r="BI175">
        <v>1066.07</v>
      </c>
      <c r="BJ175">
        <v>1.4577199999999999</v>
      </c>
      <c r="BK175">
        <v>-261.13799999999998</v>
      </c>
      <c r="BL175">
        <v>551.21600000000001</v>
      </c>
      <c r="BM175">
        <v>805.53800000000001</v>
      </c>
      <c r="BN175">
        <v>15.561400000000001</v>
      </c>
      <c r="BO175">
        <v>799.95699999999999</v>
      </c>
      <c r="BP175">
        <v>6.9287099999999997</v>
      </c>
      <c r="BQ175">
        <v>2.2273900000000002</v>
      </c>
      <c r="BR175">
        <v>0.68620999999999999</v>
      </c>
      <c r="BS175">
        <v>19.160699999999999</v>
      </c>
      <c r="BT175">
        <v>1.54861</v>
      </c>
      <c r="BU175">
        <v>1799.99</v>
      </c>
      <c r="BV175">
        <v>0.90997899999999998</v>
      </c>
      <c r="BW175">
        <v>3.4008900000000002E-2</v>
      </c>
      <c r="BX175">
        <v>2.2005799999999999E-2</v>
      </c>
      <c r="BY175">
        <v>3.4006099999999997E-2</v>
      </c>
      <c r="BZ175">
        <v>25</v>
      </c>
      <c r="CA175">
        <v>33528.1</v>
      </c>
      <c r="CB175">
        <v>1690229084.0999999</v>
      </c>
      <c r="CC175" t="s">
        <v>332</v>
      </c>
      <c r="CD175">
        <v>1690229084.0999999</v>
      </c>
      <c r="CE175">
        <v>1690229076.5999999</v>
      </c>
      <c r="CF175">
        <v>13</v>
      </c>
      <c r="CG175">
        <v>0.23300000000000001</v>
      </c>
      <c r="CH175">
        <v>-0.13100000000000001</v>
      </c>
      <c r="CI175">
        <v>-0.20599999999999999</v>
      </c>
      <c r="CJ175">
        <v>8.7999999999999995E-2</v>
      </c>
      <c r="CK175">
        <v>799</v>
      </c>
      <c r="CL175">
        <v>16</v>
      </c>
      <c r="CM175">
        <v>0.04</v>
      </c>
      <c r="CN175">
        <v>0.04</v>
      </c>
      <c r="CO175">
        <v>-260.11109756097562</v>
      </c>
      <c r="CP175">
        <v>-5.6786132404188407</v>
      </c>
      <c r="CQ175">
        <v>0.56165008657539151</v>
      </c>
      <c r="CR175">
        <v>-1</v>
      </c>
      <c r="CS175">
        <v>15.49262926829268</v>
      </c>
      <c r="CT175">
        <v>0.45637839721256412</v>
      </c>
      <c r="CU175">
        <v>4.6409919271441127E-2</v>
      </c>
      <c r="CV175">
        <v>-1</v>
      </c>
      <c r="CW175">
        <v>0</v>
      </c>
      <c r="CX175">
        <v>0</v>
      </c>
      <c r="CY175" t="s">
        <v>333</v>
      </c>
      <c r="CZ175">
        <v>2.36469</v>
      </c>
      <c r="DA175">
        <v>2.7137799999999999</v>
      </c>
      <c r="DB175">
        <v>0.111567</v>
      </c>
      <c r="DC175">
        <v>0.14607300000000001</v>
      </c>
      <c r="DD175">
        <v>0.108789</v>
      </c>
      <c r="DE175">
        <v>4.4322399999999998E-2</v>
      </c>
      <c r="DF175">
        <v>32456.3</v>
      </c>
      <c r="DG175">
        <v>27544.1</v>
      </c>
      <c r="DH175">
        <v>31187</v>
      </c>
      <c r="DI175">
        <v>28106.1</v>
      </c>
      <c r="DJ175">
        <v>37736.300000000003</v>
      </c>
      <c r="DK175">
        <v>38201.9</v>
      </c>
      <c r="DL175">
        <v>44385.9</v>
      </c>
      <c r="DM175">
        <v>42604</v>
      </c>
      <c r="DN175">
        <v>1.4830700000000001</v>
      </c>
      <c r="DO175">
        <v>2.0394000000000001</v>
      </c>
      <c r="DP175">
        <v>0.133716</v>
      </c>
      <c r="DQ175">
        <v>0.18154500000000001</v>
      </c>
      <c r="DR175">
        <v>24.821999999999999</v>
      </c>
      <c r="DS175">
        <v>24.626100000000001</v>
      </c>
      <c r="DT175">
        <v>42.6</v>
      </c>
      <c r="DU175">
        <v>29.2</v>
      </c>
      <c r="DV175">
        <v>17.501200000000001</v>
      </c>
      <c r="DW175">
        <v>61.829799999999999</v>
      </c>
      <c r="DX175">
        <v>36.654600000000002</v>
      </c>
      <c r="DY175">
        <v>1</v>
      </c>
      <c r="DZ175">
        <v>-0.103006</v>
      </c>
      <c r="EA175">
        <v>0.20566699999999999</v>
      </c>
      <c r="EB175">
        <v>20.189399999999999</v>
      </c>
      <c r="EC175">
        <v>5.2408000000000001</v>
      </c>
      <c r="ED175">
        <v>12.039899999999999</v>
      </c>
      <c r="EE175">
        <v>5.0169499999999996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1.8646499999999999</v>
      </c>
      <c r="EM175">
        <v>1.8692</v>
      </c>
      <c r="EN175">
        <v>1.8672299999999999</v>
      </c>
      <c r="EO175">
        <v>1.8633900000000001</v>
      </c>
      <c r="EP175">
        <v>1.86449</v>
      </c>
      <c r="EQ175">
        <v>1.87015</v>
      </c>
      <c r="ER175">
        <v>1.8694299999999999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-2.1999999999999999E-2</v>
      </c>
      <c r="FG175">
        <v>0.1787</v>
      </c>
      <c r="FH175">
        <v>0.3448811944559278</v>
      </c>
      <c r="FI175">
        <v>-6.1462078757559423E-4</v>
      </c>
      <c r="FJ175">
        <v>-1.8861989874597051E-7</v>
      </c>
      <c r="FK175">
        <v>1.1980462299894961E-10</v>
      </c>
      <c r="FL175">
        <v>0.17862261546663211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36.5</v>
      </c>
      <c r="FU175">
        <v>36.6</v>
      </c>
      <c r="FV175">
        <v>1.7712399999999999</v>
      </c>
      <c r="FW175">
        <v>2.5866699999999998</v>
      </c>
      <c r="FX175">
        <v>1.5490699999999999</v>
      </c>
      <c r="FY175">
        <v>2.32666</v>
      </c>
      <c r="FZ175">
        <v>1.50146</v>
      </c>
      <c r="GA175">
        <v>2.35107</v>
      </c>
      <c r="GB175">
        <v>33.8735</v>
      </c>
      <c r="GC175">
        <v>23.982399999999998</v>
      </c>
      <c r="GD175">
        <v>19</v>
      </c>
      <c r="GE175">
        <v>285.39600000000002</v>
      </c>
      <c r="GF175">
        <v>584.66499999999996</v>
      </c>
      <c r="GG175">
        <v>23.898900000000001</v>
      </c>
      <c r="GH175">
        <v>26.091999999999999</v>
      </c>
      <c r="GI175">
        <v>29.9999</v>
      </c>
      <c r="GJ175">
        <v>26.255600000000001</v>
      </c>
      <c r="GK175">
        <v>26.250299999999999</v>
      </c>
      <c r="GL175">
        <v>35.4268</v>
      </c>
      <c r="GM175">
        <v>58.624200000000002</v>
      </c>
      <c r="GN175">
        <v>53.992100000000001</v>
      </c>
      <c r="GO175">
        <v>23.902899999999999</v>
      </c>
      <c r="GP175">
        <v>800</v>
      </c>
      <c r="GQ175">
        <v>6.9340099999999998</v>
      </c>
      <c r="GR175">
        <v>99.790099999999995</v>
      </c>
      <c r="GS175">
        <v>99.661000000000001</v>
      </c>
    </row>
    <row r="176" spans="1:201" x14ac:dyDescent="0.25">
      <c r="A176">
        <v>160</v>
      </c>
      <c r="B176">
        <v>1690231285</v>
      </c>
      <c r="C176">
        <v>1779.900000095367</v>
      </c>
      <c r="D176" t="s">
        <v>653</v>
      </c>
      <c r="E176" t="s">
        <v>654</v>
      </c>
      <c r="F176" t="s">
        <v>330</v>
      </c>
      <c r="H176">
        <v>1690231285</v>
      </c>
      <c r="I176">
        <f t="shared" si="60"/>
        <v>1.523840424660668E-3</v>
      </c>
      <c r="J176">
        <f t="shared" si="61"/>
        <v>1.523840424660668</v>
      </c>
      <c r="K176">
        <f t="shared" si="62"/>
        <v>24.170464651332622</v>
      </c>
      <c r="L176">
        <f t="shared" si="63"/>
        <v>537.80100000000004</v>
      </c>
      <c r="M176">
        <f t="shared" si="64"/>
        <v>143.82042339414946</v>
      </c>
      <c r="N176">
        <f t="shared" si="65"/>
        <v>14.258395247259235</v>
      </c>
      <c r="O176">
        <f t="shared" si="66"/>
        <v>53.317735001767502</v>
      </c>
      <c r="P176">
        <f t="shared" si="67"/>
        <v>0.10250769272547668</v>
      </c>
      <c r="Q176">
        <f t="shared" si="68"/>
        <v>2.1792979043465985</v>
      </c>
      <c r="R176">
        <f t="shared" si="69"/>
        <v>9.9902420351918153E-2</v>
      </c>
      <c r="S176">
        <f t="shared" si="70"/>
        <v>6.2667571086059859E-2</v>
      </c>
      <c r="T176">
        <f t="shared" si="71"/>
        <v>276.11636065200003</v>
      </c>
      <c r="U176">
        <f t="shared" si="72"/>
        <v>27.550081436700058</v>
      </c>
      <c r="V176">
        <f t="shared" si="73"/>
        <v>27.550081436700058</v>
      </c>
      <c r="W176">
        <f t="shared" si="74"/>
        <v>3.6964374711483803</v>
      </c>
      <c r="X176">
        <f t="shared" si="75"/>
        <v>66.343269283801973</v>
      </c>
      <c r="Y176">
        <f t="shared" si="76"/>
        <v>2.2294167654062504</v>
      </c>
      <c r="Z176">
        <f t="shared" si="77"/>
        <v>3.3604264448730943</v>
      </c>
      <c r="AA176">
        <f t="shared" si="78"/>
        <v>1.4670207057421298</v>
      </c>
      <c r="AB176">
        <f t="shared" si="79"/>
        <v>-67.201362727535454</v>
      </c>
      <c r="AC176">
        <f t="shared" si="80"/>
        <v>-190.27337380084825</v>
      </c>
      <c r="AD176">
        <f t="shared" si="81"/>
        <v>-18.793660828488878</v>
      </c>
      <c r="AE176">
        <f t="shared" si="82"/>
        <v>-0.15203670487258591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52601.411725810387</v>
      </c>
      <c r="AK176">
        <f t="shared" si="86"/>
        <v>1800</v>
      </c>
      <c r="AL176">
        <f t="shared" si="87"/>
        <v>1499.1111342000002</v>
      </c>
      <c r="AM176">
        <f t="shared" si="88"/>
        <v>0.83283951900000008</v>
      </c>
      <c r="AN176">
        <f t="shared" si="89"/>
        <v>0.15339797814000003</v>
      </c>
      <c r="AO176">
        <v>31.5</v>
      </c>
      <c r="AP176">
        <v>0.5</v>
      </c>
      <c r="AQ176" t="s">
        <v>331</v>
      </c>
      <c r="AR176">
        <v>2</v>
      </c>
      <c r="AS176">
        <v>1690231285</v>
      </c>
      <c r="AT176">
        <v>537.80100000000004</v>
      </c>
      <c r="AU176">
        <v>800.05600000000004</v>
      </c>
      <c r="AV176">
        <v>22.487500000000001</v>
      </c>
      <c r="AW176">
        <v>6.8553199999999999</v>
      </c>
      <c r="AX176">
        <v>537.822</v>
      </c>
      <c r="AY176">
        <v>22.308900000000001</v>
      </c>
      <c r="AZ176">
        <v>300.16000000000003</v>
      </c>
      <c r="BA176">
        <v>99.040300000000002</v>
      </c>
      <c r="BB176">
        <v>9.9967500000000001E-2</v>
      </c>
      <c r="BC176">
        <v>25.930599999999998</v>
      </c>
      <c r="BD176">
        <v>27.018899999999999</v>
      </c>
      <c r="BE176">
        <v>27.591999999999999</v>
      </c>
      <c r="BF176">
        <v>0</v>
      </c>
      <c r="BG176">
        <v>0</v>
      </c>
      <c r="BH176">
        <v>10008.799999999999</v>
      </c>
      <c r="BI176">
        <v>1066.1300000000001</v>
      </c>
      <c r="BJ176">
        <v>1.4577199999999999</v>
      </c>
      <c r="BK176">
        <v>-262.255</v>
      </c>
      <c r="BL176">
        <v>550.173</v>
      </c>
      <c r="BM176">
        <v>805.57799999999997</v>
      </c>
      <c r="BN176">
        <v>15.632199999999999</v>
      </c>
      <c r="BO176">
        <v>800.05600000000004</v>
      </c>
      <c r="BP176">
        <v>6.8553199999999999</v>
      </c>
      <c r="BQ176">
        <v>2.2271700000000001</v>
      </c>
      <c r="BR176">
        <v>0.67895300000000003</v>
      </c>
      <c r="BS176">
        <v>19.159099999999999</v>
      </c>
      <c r="BT176">
        <v>1.4004300000000001</v>
      </c>
      <c r="BU176">
        <v>1800</v>
      </c>
      <c r="BV176">
        <v>0.90998500000000004</v>
      </c>
      <c r="BW176">
        <v>3.4003800000000001E-2</v>
      </c>
      <c r="BX176">
        <v>2.20057E-2</v>
      </c>
      <c r="BY176">
        <v>3.4006000000000002E-2</v>
      </c>
      <c r="BZ176">
        <v>25</v>
      </c>
      <c r="CA176">
        <v>33528.300000000003</v>
      </c>
      <c r="CB176">
        <v>1690229084.0999999</v>
      </c>
      <c r="CC176" t="s">
        <v>332</v>
      </c>
      <c r="CD176">
        <v>1690229084.0999999</v>
      </c>
      <c r="CE176">
        <v>1690229076.5999999</v>
      </c>
      <c r="CF176">
        <v>13</v>
      </c>
      <c r="CG176">
        <v>0.23300000000000001</v>
      </c>
      <c r="CH176">
        <v>-0.13100000000000001</v>
      </c>
      <c r="CI176">
        <v>-0.20599999999999999</v>
      </c>
      <c r="CJ176">
        <v>8.7999999999999995E-2</v>
      </c>
      <c r="CK176">
        <v>799</v>
      </c>
      <c r="CL176">
        <v>16</v>
      </c>
      <c r="CM176">
        <v>0.04</v>
      </c>
      <c r="CN176">
        <v>0.04</v>
      </c>
      <c r="CO176">
        <v>-261.1635</v>
      </c>
      <c r="CP176">
        <v>-6.2770806754213551</v>
      </c>
      <c r="CQ176">
        <v>0.60494673319227088</v>
      </c>
      <c r="CR176">
        <v>-1</v>
      </c>
      <c r="CS176">
        <v>15.564367499999999</v>
      </c>
      <c r="CT176">
        <v>0.37839061913693589</v>
      </c>
      <c r="CU176">
        <v>3.6584145387722262E-2</v>
      </c>
      <c r="CV176">
        <v>-1</v>
      </c>
      <c r="CW176">
        <v>0</v>
      </c>
      <c r="CX176">
        <v>0</v>
      </c>
      <c r="CY176" t="s">
        <v>333</v>
      </c>
      <c r="CZ176">
        <v>2.3647</v>
      </c>
      <c r="DA176">
        <v>2.7137699999999998</v>
      </c>
      <c r="DB176">
        <v>0.111418</v>
      </c>
      <c r="DC176">
        <v>0.146088</v>
      </c>
      <c r="DD176">
        <v>0.108783</v>
      </c>
      <c r="DE176">
        <v>4.3945999999999999E-2</v>
      </c>
      <c r="DF176">
        <v>32461.599999999999</v>
      </c>
      <c r="DG176">
        <v>27544</v>
      </c>
      <c r="DH176">
        <v>31186.9</v>
      </c>
      <c r="DI176">
        <v>28106.5</v>
      </c>
      <c r="DJ176">
        <v>37736.5</v>
      </c>
      <c r="DK176">
        <v>38217.599999999999</v>
      </c>
      <c r="DL176">
        <v>44385.9</v>
      </c>
      <c r="DM176">
        <v>42604.6</v>
      </c>
      <c r="DN176">
        <v>1.4834700000000001</v>
      </c>
      <c r="DO176">
        <v>2.0396700000000001</v>
      </c>
      <c r="DP176">
        <v>0.133965</v>
      </c>
      <c r="DQ176">
        <v>0.18083299999999999</v>
      </c>
      <c r="DR176">
        <v>24.824200000000001</v>
      </c>
      <c r="DS176">
        <v>24.630299999999998</v>
      </c>
      <c r="DT176">
        <v>42.3</v>
      </c>
      <c r="DU176">
        <v>29.2</v>
      </c>
      <c r="DV176">
        <v>17.377700000000001</v>
      </c>
      <c r="DW176">
        <v>61.939799999999998</v>
      </c>
      <c r="DX176">
        <v>37.135399999999997</v>
      </c>
      <c r="DY176">
        <v>1</v>
      </c>
      <c r="DZ176">
        <v>-0.103377</v>
      </c>
      <c r="EA176">
        <v>0.251751</v>
      </c>
      <c r="EB176">
        <v>20.1892</v>
      </c>
      <c r="EC176">
        <v>5.2413999999999996</v>
      </c>
      <c r="ED176">
        <v>12.039899999999999</v>
      </c>
      <c r="EE176">
        <v>5.0168999999999997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1.8646199999999999</v>
      </c>
      <c r="EM176">
        <v>1.8691899999999999</v>
      </c>
      <c r="EN176">
        <v>1.8672200000000001</v>
      </c>
      <c r="EO176">
        <v>1.8633999999999999</v>
      </c>
      <c r="EP176">
        <v>1.86449</v>
      </c>
      <c r="EQ176">
        <v>1.8701399999999999</v>
      </c>
      <c r="ER176">
        <v>1.8694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-2.1000000000000001E-2</v>
      </c>
      <c r="FG176">
        <v>0.17860000000000001</v>
      </c>
      <c r="FH176">
        <v>0.3448811944559278</v>
      </c>
      <c r="FI176">
        <v>-6.1462078757559423E-4</v>
      </c>
      <c r="FJ176">
        <v>-1.8861989874597051E-7</v>
      </c>
      <c r="FK176">
        <v>1.1980462299894961E-10</v>
      </c>
      <c r="FL176">
        <v>0.17862261546663211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36.700000000000003</v>
      </c>
      <c r="FU176">
        <v>36.799999999999997</v>
      </c>
      <c r="FV176">
        <v>1.7712399999999999</v>
      </c>
      <c r="FW176">
        <v>2.5842299999999998</v>
      </c>
      <c r="FX176">
        <v>1.5490699999999999</v>
      </c>
      <c r="FY176">
        <v>2.32666</v>
      </c>
      <c r="FZ176">
        <v>1.50146</v>
      </c>
      <c r="GA176">
        <v>2.3962400000000001</v>
      </c>
      <c r="GB176">
        <v>33.850900000000003</v>
      </c>
      <c r="GC176">
        <v>23.991199999999999</v>
      </c>
      <c r="GD176">
        <v>19</v>
      </c>
      <c r="GE176">
        <v>285.55</v>
      </c>
      <c r="GF176">
        <v>584.84199999999998</v>
      </c>
      <c r="GG176">
        <v>23.8977</v>
      </c>
      <c r="GH176">
        <v>26.087599999999998</v>
      </c>
      <c r="GI176">
        <v>29.9998</v>
      </c>
      <c r="GJ176">
        <v>26.251799999999999</v>
      </c>
      <c r="GK176">
        <v>26.245899999999999</v>
      </c>
      <c r="GL176">
        <v>35.425600000000003</v>
      </c>
      <c r="GM176">
        <v>58.624200000000002</v>
      </c>
      <c r="GN176">
        <v>53.2333</v>
      </c>
      <c r="GO176">
        <v>23.867100000000001</v>
      </c>
      <c r="GP176">
        <v>800</v>
      </c>
      <c r="GQ176">
        <v>6.8623099999999999</v>
      </c>
      <c r="GR176">
        <v>99.79</v>
      </c>
      <c r="GS176">
        <v>99.662499999999994</v>
      </c>
    </row>
    <row r="177" spans="1:201" x14ac:dyDescent="0.25">
      <c r="A177">
        <v>161</v>
      </c>
      <c r="B177">
        <v>1690231295</v>
      </c>
      <c r="C177">
        <v>1789.900000095367</v>
      </c>
      <c r="D177" t="s">
        <v>655</v>
      </c>
      <c r="E177" t="s">
        <v>656</v>
      </c>
      <c r="F177" t="s">
        <v>330</v>
      </c>
      <c r="H177">
        <v>1690231295</v>
      </c>
      <c r="I177">
        <f t="shared" si="60"/>
        <v>1.5293133654065646E-3</v>
      </c>
      <c r="J177">
        <f t="shared" si="61"/>
        <v>1.5293133654065647</v>
      </c>
      <c r="K177">
        <f t="shared" si="62"/>
        <v>24.243884819417367</v>
      </c>
      <c r="L177">
        <f t="shared" si="63"/>
        <v>536.88900000000001</v>
      </c>
      <c r="M177">
        <f t="shared" si="64"/>
        <v>143.19325735831134</v>
      </c>
      <c r="N177">
        <f t="shared" si="65"/>
        <v>14.19567101228813</v>
      </c>
      <c r="O177">
        <f t="shared" si="66"/>
        <v>53.225268806094306</v>
      </c>
      <c r="P177">
        <f t="shared" si="67"/>
        <v>0.10290109899045079</v>
      </c>
      <c r="Q177">
        <f t="shared" si="68"/>
        <v>2.1766664768052038</v>
      </c>
      <c r="R177">
        <f t="shared" si="69"/>
        <v>0.1002729807078187</v>
      </c>
      <c r="S177">
        <f t="shared" si="70"/>
        <v>6.2901148222048536E-2</v>
      </c>
      <c r="T177">
        <f t="shared" si="71"/>
        <v>276.1148575420471</v>
      </c>
      <c r="U177">
        <f t="shared" si="72"/>
        <v>27.544387818059757</v>
      </c>
      <c r="V177">
        <f t="shared" si="73"/>
        <v>27.544387818059757</v>
      </c>
      <c r="W177">
        <f t="shared" si="74"/>
        <v>3.695206619397521</v>
      </c>
      <c r="X177">
        <f t="shared" si="75"/>
        <v>66.334972412086074</v>
      </c>
      <c r="Y177">
        <f t="shared" si="76"/>
        <v>2.2283990075234703</v>
      </c>
      <c r="Z177">
        <f t="shared" si="77"/>
        <v>3.3593124810246571</v>
      </c>
      <c r="AA177">
        <f t="shared" si="78"/>
        <v>1.4668076118740507</v>
      </c>
      <c r="AB177">
        <f t="shared" si="79"/>
        <v>-67.442719414429504</v>
      </c>
      <c r="AC177">
        <f t="shared" si="80"/>
        <v>-190.03263922040588</v>
      </c>
      <c r="AD177">
        <f t="shared" si="81"/>
        <v>-18.791512317716368</v>
      </c>
      <c r="AE177">
        <f t="shared" si="82"/>
        <v>-0.15201341050465089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52493.004223160351</v>
      </c>
      <c r="AK177">
        <f t="shared" si="86"/>
        <v>1799.99</v>
      </c>
      <c r="AL177">
        <f t="shared" si="87"/>
        <v>1499.10128481326</v>
      </c>
      <c r="AM177">
        <f t="shared" si="88"/>
        <v>0.832838674</v>
      </c>
      <c r="AN177">
        <f t="shared" si="89"/>
        <v>0.15339799529000001</v>
      </c>
      <c r="AO177">
        <v>31.5</v>
      </c>
      <c r="AP177">
        <v>0.5</v>
      </c>
      <c r="AQ177" t="s">
        <v>331</v>
      </c>
      <c r="AR177">
        <v>2</v>
      </c>
      <c r="AS177">
        <v>1690231295</v>
      </c>
      <c r="AT177">
        <v>536.88900000000001</v>
      </c>
      <c r="AU177">
        <v>799.92899999999997</v>
      </c>
      <c r="AV177">
        <v>22.478100000000001</v>
      </c>
      <c r="AW177">
        <v>6.7897299999999996</v>
      </c>
      <c r="AX177">
        <v>536.91</v>
      </c>
      <c r="AY177">
        <v>22.299499999999998</v>
      </c>
      <c r="AZ177">
        <v>300.16199999999998</v>
      </c>
      <c r="BA177">
        <v>99.036500000000004</v>
      </c>
      <c r="BB177">
        <v>9.9948700000000001E-2</v>
      </c>
      <c r="BC177">
        <v>25.925000000000001</v>
      </c>
      <c r="BD177">
        <v>26.993200000000002</v>
      </c>
      <c r="BE177">
        <v>27.586300000000001</v>
      </c>
      <c r="BF177">
        <v>0</v>
      </c>
      <c r="BG177">
        <v>0</v>
      </c>
      <c r="BH177">
        <v>9987.5</v>
      </c>
      <c r="BI177">
        <v>1066.1400000000001</v>
      </c>
      <c r="BJ177">
        <v>1.4577199999999999</v>
      </c>
      <c r="BK177">
        <v>-263.04000000000002</v>
      </c>
      <c r="BL177">
        <v>549.23500000000001</v>
      </c>
      <c r="BM177">
        <v>805.39800000000002</v>
      </c>
      <c r="BN177">
        <v>15.6884</v>
      </c>
      <c r="BO177">
        <v>799.92899999999997</v>
      </c>
      <c r="BP177">
        <v>6.7897299999999996</v>
      </c>
      <c r="BQ177">
        <v>2.2261500000000001</v>
      </c>
      <c r="BR177">
        <v>0.672431</v>
      </c>
      <c r="BS177">
        <v>19.151800000000001</v>
      </c>
      <c r="BT177">
        <v>1.26606</v>
      </c>
      <c r="BU177">
        <v>1799.99</v>
      </c>
      <c r="BV177">
        <v>0.90998000000000001</v>
      </c>
      <c r="BW177">
        <v>3.4008700000000003E-2</v>
      </c>
      <c r="BX177">
        <v>2.20057E-2</v>
      </c>
      <c r="BY177">
        <v>3.4005899999999999E-2</v>
      </c>
      <c r="BZ177">
        <v>25</v>
      </c>
      <c r="CA177">
        <v>33528.1</v>
      </c>
      <c r="CB177">
        <v>1690229084.0999999</v>
      </c>
      <c r="CC177" t="s">
        <v>332</v>
      </c>
      <c r="CD177">
        <v>1690229084.0999999</v>
      </c>
      <c r="CE177">
        <v>1690229076.5999999</v>
      </c>
      <c r="CF177">
        <v>13</v>
      </c>
      <c r="CG177">
        <v>0.23300000000000001</v>
      </c>
      <c r="CH177">
        <v>-0.13100000000000001</v>
      </c>
      <c r="CI177">
        <v>-0.20599999999999999</v>
      </c>
      <c r="CJ177">
        <v>8.7999999999999995E-2</v>
      </c>
      <c r="CK177">
        <v>799</v>
      </c>
      <c r="CL177">
        <v>16</v>
      </c>
      <c r="CM177">
        <v>0.04</v>
      </c>
      <c r="CN177">
        <v>0.04</v>
      </c>
      <c r="CO177">
        <v>-262.05054999999999</v>
      </c>
      <c r="CP177">
        <v>-5.9017035647263079</v>
      </c>
      <c r="CQ177">
        <v>0.57056173855245451</v>
      </c>
      <c r="CR177">
        <v>-1</v>
      </c>
      <c r="CS177">
        <v>15.6216475</v>
      </c>
      <c r="CT177">
        <v>0.39552382739211028</v>
      </c>
      <c r="CU177">
        <v>3.8191864235069643E-2</v>
      </c>
      <c r="CV177">
        <v>-1</v>
      </c>
      <c r="CW177">
        <v>0</v>
      </c>
      <c r="CX177">
        <v>0</v>
      </c>
      <c r="CY177" t="s">
        <v>333</v>
      </c>
      <c r="CZ177">
        <v>2.3647</v>
      </c>
      <c r="DA177">
        <v>2.71373</v>
      </c>
      <c r="DB177">
        <v>0.111279</v>
      </c>
      <c r="DC177">
        <v>0.146067</v>
      </c>
      <c r="DD177">
        <v>0.108747</v>
      </c>
      <c r="DE177">
        <v>4.3606100000000002E-2</v>
      </c>
      <c r="DF177">
        <v>32466.9</v>
      </c>
      <c r="DG177">
        <v>27544.9</v>
      </c>
      <c r="DH177">
        <v>31187.1</v>
      </c>
      <c r="DI177">
        <v>28106.7</v>
      </c>
      <c r="DJ177">
        <v>37738.300000000003</v>
      </c>
      <c r="DK177">
        <v>38231.699999999997</v>
      </c>
      <c r="DL177">
        <v>44386.3</v>
      </c>
      <c r="DM177">
        <v>42605.1</v>
      </c>
      <c r="DN177">
        <v>1.48295</v>
      </c>
      <c r="DO177">
        <v>2.03912</v>
      </c>
      <c r="DP177">
        <v>0.13226599999999999</v>
      </c>
      <c r="DQ177">
        <v>0.18046799999999999</v>
      </c>
      <c r="DR177">
        <v>24.8263</v>
      </c>
      <c r="DS177">
        <v>24.630600000000001</v>
      </c>
      <c r="DT177">
        <v>42</v>
      </c>
      <c r="DU177">
        <v>29.2</v>
      </c>
      <c r="DV177">
        <v>17.253499999999999</v>
      </c>
      <c r="DW177">
        <v>61.989800000000002</v>
      </c>
      <c r="DX177">
        <v>37.063299999999998</v>
      </c>
      <c r="DY177">
        <v>1</v>
      </c>
      <c r="DZ177">
        <v>-0.103437</v>
      </c>
      <c r="EA177">
        <v>0.30892199999999997</v>
      </c>
      <c r="EB177">
        <v>20.1891</v>
      </c>
      <c r="EC177">
        <v>5.2413999999999996</v>
      </c>
      <c r="ED177">
        <v>12.039899999999999</v>
      </c>
      <c r="EE177">
        <v>5.0167999999999999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1.8672299999999999</v>
      </c>
      <c r="EO177">
        <v>1.8633999999999999</v>
      </c>
      <c r="EP177">
        <v>1.8645</v>
      </c>
      <c r="EQ177">
        <v>1.87015</v>
      </c>
      <c r="ER177">
        <v>1.8694299999999999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-2.1000000000000001E-2</v>
      </c>
      <c r="FG177">
        <v>0.17860000000000001</v>
      </c>
      <c r="FH177">
        <v>0.3448811944559278</v>
      </c>
      <c r="FI177">
        <v>-6.1462078757559423E-4</v>
      </c>
      <c r="FJ177">
        <v>-1.8861989874597051E-7</v>
      </c>
      <c r="FK177">
        <v>1.1980462299894961E-10</v>
      </c>
      <c r="FL177">
        <v>0.17862261546663211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36.799999999999997</v>
      </c>
      <c r="FU177">
        <v>37</v>
      </c>
      <c r="FV177">
        <v>1.7724599999999999</v>
      </c>
      <c r="FW177">
        <v>2.5866699999999998</v>
      </c>
      <c r="FX177">
        <v>1.5490699999999999</v>
      </c>
      <c r="FY177">
        <v>2.32666</v>
      </c>
      <c r="FZ177">
        <v>1.50146</v>
      </c>
      <c r="GA177">
        <v>2.3754900000000001</v>
      </c>
      <c r="GB177">
        <v>33.8735</v>
      </c>
      <c r="GC177">
        <v>23.982399999999998</v>
      </c>
      <c r="GD177">
        <v>19</v>
      </c>
      <c r="GE177">
        <v>285.30200000000002</v>
      </c>
      <c r="GF177">
        <v>584.34400000000005</v>
      </c>
      <c r="GG177">
        <v>23.8596</v>
      </c>
      <c r="GH177">
        <v>26.083400000000001</v>
      </c>
      <c r="GI177">
        <v>30.0001</v>
      </c>
      <c r="GJ177">
        <v>26.2468</v>
      </c>
      <c r="GK177">
        <v>26.242100000000001</v>
      </c>
      <c r="GL177">
        <v>35.427100000000003</v>
      </c>
      <c r="GM177">
        <v>58.624200000000002</v>
      </c>
      <c r="GN177">
        <v>52.838999999999999</v>
      </c>
      <c r="GO177">
        <v>23.8812</v>
      </c>
      <c r="GP177">
        <v>800</v>
      </c>
      <c r="GQ177">
        <v>6.7947100000000002</v>
      </c>
      <c r="GR177">
        <v>99.790800000000004</v>
      </c>
      <c r="GS177">
        <v>99.663399999999996</v>
      </c>
    </row>
    <row r="178" spans="1:201" x14ac:dyDescent="0.25">
      <c r="A178">
        <v>162</v>
      </c>
      <c r="B178">
        <v>1690231305</v>
      </c>
      <c r="C178">
        <v>1799.900000095367</v>
      </c>
      <c r="D178" t="s">
        <v>657</v>
      </c>
      <c r="E178" t="s">
        <v>658</v>
      </c>
      <c r="F178" t="s">
        <v>330</v>
      </c>
      <c r="H178">
        <v>1690231305</v>
      </c>
      <c r="I178">
        <f t="shared" si="60"/>
        <v>1.5359262712360338E-3</v>
      </c>
      <c r="J178">
        <f t="shared" si="61"/>
        <v>1.5359262712360338</v>
      </c>
      <c r="K178">
        <f t="shared" si="62"/>
        <v>24.333911726445415</v>
      </c>
      <c r="L178">
        <f t="shared" si="63"/>
        <v>536.00800000000004</v>
      </c>
      <c r="M178">
        <f t="shared" si="64"/>
        <v>142.51515962902599</v>
      </c>
      <c r="N178">
        <f t="shared" si="65"/>
        <v>14.12849947088673</v>
      </c>
      <c r="O178">
        <f t="shared" si="66"/>
        <v>53.138127649745606</v>
      </c>
      <c r="P178">
        <f t="shared" si="67"/>
        <v>0.1033391164290804</v>
      </c>
      <c r="Q178">
        <f t="shared" si="68"/>
        <v>2.1798623187801054</v>
      </c>
      <c r="R178">
        <f t="shared" si="69"/>
        <v>0.10069266498025828</v>
      </c>
      <c r="S178">
        <f t="shared" si="70"/>
        <v>6.3165043806822446E-2</v>
      </c>
      <c r="T178">
        <f t="shared" si="71"/>
        <v>276.1161381</v>
      </c>
      <c r="U178">
        <f t="shared" si="72"/>
        <v>27.542671331380671</v>
      </c>
      <c r="V178">
        <f t="shared" si="73"/>
        <v>27.542671331380671</v>
      </c>
      <c r="W178">
        <f t="shared" si="74"/>
        <v>3.6948356178916342</v>
      </c>
      <c r="X178">
        <f t="shared" si="75"/>
        <v>66.306912618308246</v>
      </c>
      <c r="Y178">
        <f t="shared" si="76"/>
        <v>2.2278124922722204</v>
      </c>
      <c r="Z178">
        <f t="shared" si="77"/>
        <v>3.3598495304652309</v>
      </c>
      <c r="AA178">
        <f t="shared" si="78"/>
        <v>1.4670231256194137</v>
      </c>
      <c r="AB178">
        <f t="shared" si="79"/>
        <v>-67.734348561509094</v>
      </c>
      <c r="AC178">
        <f t="shared" si="80"/>
        <v>-189.79262163078599</v>
      </c>
      <c r="AD178">
        <f t="shared" si="81"/>
        <v>-18.740354528030064</v>
      </c>
      <c r="AE178">
        <f t="shared" si="82"/>
        <v>-0.15118662032514862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52625.311756019197</v>
      </c>
      <c r="AK178">
        <f t="shared" si="86"/>
        <v>1800</v>
      </c>
      <c r="AL178">
        <f t="shared" si="87"/>
        <v>1499.1085169999999</v>
      </c>
      <c r="AM178">
        <f t="shared" si="88"/>
        <v>0.83283806499999991</v>
      </c>
      <c r="AN178">
        <f t="shared" si="89"/>
        <v>0.15339785450000001</v>
      </c>
      <c r="AO178">
        <v>31.5</v>
      </c>
      <c r="AP178">
        <v>0.5</v>
      </c>
      <c r="AQ178" t="s">
        <v>331</v>
      </c>
      <c r="AR178">
        <v>2</v>
      </c>
      <c r="AS178">
        <v>1690231305</v>
      </c>
      <c r="AT178">
        <v>536.00800000000004</v>
      </c>
      <c r="AU178">
        <v>800</v>
      </c>
      <c r="AV178">
        <v>22.472100000000001</v>
      </c>
      <c r="AW178">
        <v>6.7167399999999997</v>
      </c>
      <c r="AX178">
        <v>536.02800000000002</v>
      </c>
      <c r="AY178">
        <v>22.293500000000002</v>
      </c>
      <c r="AZ178">
        <v>300.18</v>
      </c>
      <c r="BA178">
        <v>99.036900000000003</v>
      </c>
      <c r="BB178">
        <v>9.9918199999999999E-2</v>
      </c>
      <c r="BC178">
        <v>25.927700000000002</v>
      </c>
      <c r="BD178">
        <v>26.981300000000001</v>
      </c>
      <c r="BE178">
        <v>27.585699999999999</v>
      </c>
      <c r="BF178">
        <v>0</v>
      </c>
      <c r="BG178">
        <v>0</v>
      </c>
      <c r="BH178">
        <v>10013.799999999999</v>
      </c>
      <c r="BI178">
        <v>1066.19</v>
      </c>
      <c r="BJ178">
        <v>1.4577199999999999</v>
      </c>
      <c r="BK178">
        <v>-263.99200000000002</v>
      </c>
      <c r="BL178">
        <v>548.33000000000004</v>
      </c>
      <c r="BM178">
        <v>805.40899999999999</v>
      </c>
      <c r="BN178">
        <v>15.7554</v>
      </c>
      <c r="BO178">
        <v>800</v>
      </c>
      <c r="BP178">
        <v>6.7167399999999997</v>
      </c>
      <c r="BQ178">
        <v>2.2255699999999998</v>
      </c>
      <c r="BR178">
        <v>0.66520500000000005</v>
      </c>
      <c r="BS178">
        <v>19.147600000000001</v>
      </c>
      <c r="BT178">
        <v>1.11582</v>
      </c>
      <c r="BU178">
        <v>1800</v>
      </c>
      <c r="BV178">
        <v>0.90998000000000001</v>
      </c>
      <c r="BW178">
        <v>3.4008400000000001E-2</v>
      </c>
      <c r="BX178">
        <v>2.2005500000000001E-2</v>
      </c>
      <c r="BY178">
        <v>3.4005599999999997E-2</v>
      </c>
      <c r="BZ178">
        <v>25</v>
      </c>
      <c r="CA178">
        <v>33528.199999999997</v>
      </c>
      <c r="CB178">
        <v>1690229084.0999999</v>
      </c>
      <c r="CC178" t="s">
        <v>332</v>
      </c>
      <c r="CD178">
        <v>1690229084.0999999</v>
      </c>
      <c r="CE178">
        <v>1690229076.5999999</v>
      </c>
      <c r="CF178">
        <v>13</v>
      </c>
      <c r="CG178">
        <v>0.23300000000000001</v>
      </c>
      <c r="CH178">
        <v>-0.13100000000000001</v>
      </c>
      <c r="CI178">
        <v>-0.20599999999999999</v>
      </c>
      <c r="CJ178">
        <v>8.7999999999999995E-2</v>
      </c>
      <c r="CK178">
        <v>799</v>
      </c>
      <c r="CL178">
        <v>16</v>
      </c>
      <c r="CM178">
        <v>0.04</v>
      </c>
      <c r="CN178">
        <v>0.04</v>
      </c>
      <c r="CO178">
        <v>-262.981425</v>
      </c>
      <c r="CP178">
        <v>-5.4170318949340936</v>
      </c>
      <c r="CQ178">
        <v>0.52341340675894121</v>
      </c>
      <c r="CR178">
        <v>-1</v>
      </c>
      <c r="CS178">
        <v>15.682757499999999</v>
      </c>
      <c r="CT178">
        <v>0.33990731707313471</v>
      </c>
      <c r="CU178">
        <v>3.2903000528067293E-2</v>
      </c>
      <c r="CV178">
        <v>-1</v>
      </c>
      <c r="CW178">
        <v>0</v>
      </c>
      <c r="CX178">
        <v>0</v>
      </c>
      <c r="CY178" t="s">
        <v>333</v>
      </c>
      <c r="CZ178">
        <v>2.3647800000000001</v>
      </c>
      <c r="DA178">
        <v>2.7137199999999999</v>
      </c>
      <c r="DB178">
        <v>0.111148</v>
      </c>
      <c r="DC178">
        <v>0.14607600000000001</v>
      </c>
      <c r="DD178">
        <v>0.10872800000000001</v>
      </c>
      <c r="DE178">
        <v>4.3228700000000002E-2</v>
      </c>
      <c r="DF178">
        <v>32472.5</v>
      </c>
      <c r="DG178">
        <v>27544.9</v>
      </c>
      <c r="DH178">
        <v>31187.8</v>
      </c>
      <c r="DI178">
        <v>28106.9</v>
      </c>
      <c r="DJ178">
        <v>37739.800000000003</v>
      </c>
      <c r="DK178">
        <v>38247</v>
      </c>
      <c r="DL178">
        <v>44387.1</v>
      </c>
      <c r="DM178">
        <v>42605.4</v>
      </c>
      <c r="DN178">
        <v>1.4829000000000001</v>
      </c>
      <c r="DO178">
        <v>2.03932</v>
      </c>
      <c r="DP178">
        <v>0.13153999999999999</v>
      </c>
      <c r="DQ178">
        <v>0.18043400000000001</v>
      </c>
      <c r="DR178">
        <v>24.8263</v>
      </c>
      <c r="DS178">
        <v>24.630600000000001</v>
      </c>
      <c r="DT178">
        <v>41.7</v>
      </c>
      <c r="DU178">
        <v>29.2</v>
      </c>
      <c r="DV178">
        <v>17.1297</v>
      </c>
      <c r="DW178">
        <v>61.229799999999997</v>
      </c>
      <c r="DX178">
        <v>36.265999999999998</v>
      </c>
      <c r="DY178">
        <v>1</v>
      </c>
      <c r="DZ178">
        <v>-0.104258</v>
      </c>
      <c r="EA178">
        <v>0.21723000000000001</v>
      </c>
      <c r="EB178">
        <v>20.189299999999999</v>
      </c>
      <c r="EC178">
        <v>5.2416999999999998</v>
      </c>
      <c r="ED178">
        <v>12.039899999999999</v>
      </c>
      <c r="EE178">
        <v>5.0166500000000003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1.8692</v>
      </c>
      <c r="EN178">
        <v>1.8672200000000001</v>
      </c>
      <c r="EO178">
        <v>1.8633999999999999</v>
      </c>
      <c r="EP178">
        <v>1.86449</v>
      </c>
      <c r="EQ178">
        <v>1.8701399999999999</v>
      </c>
      <c r="ER178">
        <v>1.8694299999999999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-0.02</v>
      </c>
      <c r="FG178">
        <v>0.17860000000000001</v>
      </c>
      <c r="FH178">
        <v>0.3448811944559278</v>
      </c>
      <c r="FI178">
        <v>-6.1462078757559423E-4</v>
      </c>
      <c r="FJ178">
        <v>-1.8861989874597051E-7</v>
      </c>
      <c r="FK178">
        <v>1.1980462299894961E-10</v>
      </c>
      <c r="FL178">
        <v>0.17862261546663211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37</v>
      </c>
      <c r="FU178">
        <v>37.1</v>
      </c>
      <c r="FV178">
        <v>1.7712399999999999</v>
      </c>
      <c r="FW178">
        <v>2.5939899999999998</v>
      </c>
      <c r="FX178">
        <v>1.5490699999999999</v>
      </c>
      <c r="FY178">
        <v>2.32666</v>
      </c>
      <c r="FZ178">
        <v>1.50146</v>
      </c>
      <c r="GA178">
        <v>2.2949199999999998</v>
      </c>
      <c r="GB178">
        <v>33.850900000000003</v>
      </c>
      <c r="GC178">
        <v>23.973700000000001</v>
      </c>
      <c r="GD178">
        <v>19</v>
      </c>
      <c r="GE178">
        <v>285.26400000000001</v>
      </c>
      <c r="GF178">
        <v>584.45899999999995</v>
      </c>
      <c r="GG178">
        <v>23.880099999999999</v>
      </c>
      <c r="GH178">
        <v>26.079000000000001</v>
      </c>
      <c r="GI178">
        <v>29.999600000000001</v>
      </c>
      <c r="GJ178">
        <v>26.242999999999999</v>
      </c>
      <c r="GK178">
        <v>26.2377</v>
      </c>
      <c r="GL178">
        <v>35.421700000000001</v>
      </c>
      <c r="GM178">
        <v>58.624200000000002</v>
      </c>
      <c r="GN178">
        <v>52.041899999999998</v>
      </c>
      <c r="GO178">
        <v>23.892199999999999</v>
      </c>
      <c r="GP178">
        <v>800</v>
      </c>
      <c r="GQ178">
        <v>6.7244700000000002</v>
      </c>
      <c r="GR178">
        <v>99.7928</v>
      </c>
      <c r="GS178">
        <v>99.664199999999994</v>
      </c>
    </row>
    <row r="179" spans="1:201" x14ac:dyDescent="0.25">
      <c r="A179">
        <v>163</v>
      </c>
      <c r="B179">
        <v>1690231315</v>
      </c>
      <c r="C179">
        <v>1809.900000095367</v>
      </c>
      <c r="D179" t="s">
        <v>659</v>
      </c>
      <c r="E179" t="s">
        <v>660</v>
      </c>
      <c r="F179" t="s">
        <v>330</v>
      </c>
      <c r="H179">
        <v>1690231315</v>
      </c>
      <c r="I179">
        <f t="shared" si="60"/>
        <v>1.5404675924800782E-3</v>
      </c>
      <c r="J179">
        <f t="shared" si="61"/>
        <v>1.5404675924800781</v>
      </c>
      <c r="K179">
        <f t="shared" si="62"/>
        <v>24.406068995160748</v>
      </c>
      <c r="L179">
        <f t="shared" si="63"/>
        <v>535.18399999999997</v>
      </c>
      <c r="M179">
        <f t="shared" si="64"/>
        <v>141.22646323374749</v>
      </c>
      <c r="N179">
        <f t="shared" si="65"/>
        <v>14.000803827738919</v>
      </c>
      <c r="O179">
        <f t="shared" si="66"/>
        <v>53.056672412327991</v>
      </c>
      <c r="P179">
        <f t="shared" si="67"/>
        <v>0.10352124213668487</v>
      </c>
      <c r="Q179">
        <f t="shared" si="68"/>
        <v>2.1791762748618249</v>
      </c>
      <c r="R179">
        <f t="shared" si="69"/>
        <v>0.10086477036592974</v>
      </c>
      <c r="S179">
        <f t="shared" si="70"/>
        <v>6.3273477133307859E-2</v>
      </c>
      <c r="T179">
        <f t="shared" si="71"/>
        <v>276.11618518799997</v>
      </c>
      <c r="U179">
        <f t="shared" si="72"/>
        <v>27.547972933517183</v>
      </c>
      <c r="V179">
        <f t="shared" si="73"/>
        <v>27.547972933517183</v>
      </c>
      <c r="W179">
        <f t="shared" si="74"/>
        <v>3.6959816112691732</v>
      </c>
      <c r="X179">
        <f t="shared" si="75"/>
        <v>66.261438354539422</v>
      </c>
      <c r="Y179">
        <f t="shared" si="76"/>
        <v>2.2271283360679499</v>
      </c>
      <c r="Z179">
        <f t="shared" si="77"/>
        <v>3.3611228361078496</v>
      </c>
      <c r="AA179">
        <f t="shared" si="78"/>
        <v>1.4688532752012233</v>
      </c>
      <c r="AB179">
        <f t="shared" si="79"/>
        <v>-67.93462082837145</v>
      </c>
      <c r="AC179">
        <f t="shared" si="80"/>
        <v>-189.60384640011628</v>
      </c>
      <c r="AD179">
        <f t="shared" si="81"/>
        <v>-18.728705079153567</v>
      </c>
      <c r="AE179">
        <f t="shared" si="82"/>
        <v>-0.15098711964131439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52595.674934411101</v>
      </c>
      <c r="AK179">
        <f t="shared" si="86"/>
        <v>1800</v>
      </c>
      <c r="AL179">
        <f t="shared" si="87"/>
        <v>1499.1090678</v>
      </c>
      <c r="AM179">
        <f t="shared" si="88"/>
        <v>0.83283837100000002</v>
      </c>
      <c r="AN179">
        <f t="shared" si="89"/>
        <v>0.15339788065999999</v>
      </c>
      <c r="AO179">
        <v>31.5</v>
      </c>
      <c r="AP179">
        <v>0.5</v>
      </c>
      <c r="AQ179" t="s">
        <v>331</v>
      </c>
      <c r="AR179">
        <v>2</v>
      </c>
      <c r="AS179">
        <v>1690231315</v>
      </c>
      <c r="AT179">
        <v>535.18399999999997</v>
      </c>
      <c r="AU179">
        <v>800.01599999999996</v>
      </c>
      <c r="AV179">
        <v>22.4651</v>
      </c>
      <c r="AW179">
        <v>6.65883</v>
      </c>
      <c r="AX179">
        <v>535.20399999999995</v>
      </c>
      <c r="AY179">
        <v>22.2864</v>
      </c>
      <c r="AZ179">
        <v>300.10000000000002</v>
      </c>
      <c r="BA179">
        <v>99.037300000000002</v>
      </c>
      <c r="BB179">
        <v>9.9954500000000002E-2</v>
      </c>
      <c r="BC179">
        <v>25.934100000000001</v>
      </c>
      <c r="BD179">
        <v>27.0106</v>
      </c>
      <c r="BE179">
        <v>27.602699999999999</v>
      </c>
      <c r="BF179">
        <v>0</v>
      </c>
      <c r="BG179">
        <v>0</v>
      </c>
      <c r="BH179">
        <v>10008.1</v>
      </c>
      <c r="BI179">
        <v>1066.27</v>
      </c>
      <c r="BJ179">
        <v>1.4577199999999999</v>
      </c>
      <c r="BK179">
        <v>-264.83300000000003</v>
      </c>
      <c r="BL179">
        <v>547.48299999999995</v>
      </c>
      <c r="BM179">
        <v>805.37900000000002</v>
      </c>
      <c r="BN179">
        <v>15.8062</v>
      </c>
      <c r="BO179">
        <v>800.01599999999996</v>
      </c>
      <c r="BP179">
        <v>6.65883</v>
      </c>
      <c r="BQ179">
        <v>2.2248800000000002</v>
      </c>
      <c r="BR179">
        <v>0.65947299999999998</v>
      </c>
      <c r="BS179">
        <v>19.142600000000002</v>
      </c>
      <c r="BT179">
        <v>0.99561699999999997</v>
      </c>
      <c r="BU179">
        <v>1800</v>
      </c>
      <c r="BV179">
        <v>0.90998100000000004</v>
      </c>
      <c r="BW179">
        <v>3.4008099999999999E-2</v>
      </c>
      <c r="BX179">
        <v>2.2005299999999998E-2</v>
      </c>
      <c r="BY179">
        <v>3.4005399999999998E-2</v>
      </c>
      <c r="BZ179">
        <v>25</v>
      </c>
      <c r="CA179">
        <v>33528.300000000003</v>
      </c>
      <c r="CB179">
        <v>1690229084.0999999</v>
      </c>
      <c r="CC179" t="s">
        <v>332</v>
      </c>
      <c r="CD179">
        <v>1690229084.0999999</v>
      </c>
      <c r="CE179">
        <v>1690229076.5999999</v>
      </c>
      <c r="CF179">
        <v>13</v>
      </c>
      <c r="CG179">
        <v>0.23300000000000001</v>
      </c>
      <c r="CH179">
        <v>-0.13100000000000001</v>
      </c>
      <c r="CI179">
        <v>-0.20599999999999999</v>
      </c>
      <c r="CJ179">
        <v>8.7999999999999995E-2</v>
      </c>
      <c r="CK179">
        <v>799</v>
      </c>
      <c r="CL179">
        <v>16</v>
      </c>
      <c r="CM179">
        <v>0.04</v>
      </c>
      <c r="CN179">
        <v>0.04</v>
      </c>
      <c r="CO179">
        <v>-263.86402500000003</v>
      </c>
      <c r="CP179">
        <v>-5.2627879924953618</v>
      </c>
      <c r="CQ179">
        <v>0.50747593477424857</v>
      </c>
      <c r="CR179">
        <v>-1</v>
      </c>
      <c r="CS179">
        <v>15.74249</v>
      </c>
      <c r="CT179">
        <v>0.37089005628516741</v>
      </c>
      <c r="CU179">
        <v>3.5883023841365463E-2</v>
      </c>
      <c r="CV179">
        <v>-1</v>
      </c>
      <c r="CW179">
        <v>0</v>
      </c>
      <c r="CX179">
        <v>0</v>
      </c>
      <c r="CY179" t="s">
        <v>333</v>
      </c>
      <c r="CZ179">
        <v>2.3645200000000002</v>
      </c>
      <c r="DA179">
        <v>2.7137500000000001</v>
      </c>
      <c r="DB179">
        <v>0.111027</v>
      </c>
      <c r="DC179">
        <v>0.14607899999999999</v>
      </c>
      <c r="DD179">
        <v>0.108706</v>
      </c>
      <c r="DE179">
        <v>4.2928599999999997E-2</v>
      </c>
      <c r="DF179">
        <v>32477.200000000001</v>
      </c>
      <c r="DG179">
        <v>27545.4</v>
      </c>
      <c r="DH179">
        <v>31188.1</v>
      </c>
      <c r="DI179">
        <v>28107.5</v>
      </c>
      <c r="DJ179">
        <v>37741.300000000003</v>
      </c>
      <c r="DK179">
        <v>38259.800000000003</v>
      </c>
      <c r="DL179">
        <v>44387.7</v>
      </c>
      <c r="DM179">
        <v>42606.2</v>
      </c>
      <c r="DN179">
        <v>1.4830700000000001</v>
      </c>
      <c r="DO179">
        <v>2.0392700000000001</v>
      </c>
      <c r="DP179">
        <v>0.13320499999999999</v>
      </c>
      <c r="DQ179">
        <v>0.181396</v>
      </c>
      <c r="DR179">
        <v>24.828299999999999</v>
      </c>
      <c r="DS179">
        <v>24.631900000000002</v>
      </c>
      <c r="DT179">
        <v>41.4</v>
      </c>
      <c r="DU179">
        <v>29.2</v>
      </c>
      <c r="DV179">
        <v>17.008299999999998</v>
      </c>
      <c r="DW179">
        <v>61.489800000000002</v>
      </c>
      <c r="DX179">
        <v>36.209899999999998</v>
      </c>
      <c r="DY179">
        <v>1</v>
      </c>
      <c r="DZ179">
        <v>-0.10474600000000001</v>
      </c>
      <c r="EA179">
        <v>0.20247000000000001</v>
      </c>
      <c r="EB179">
        <v>20.1892</v>
      </c>
      <c r="EC179">
        <v>5.2415500000000002</v>
      </c>
      <c r="ED179">
        <v>12.039899999999999</v>
      </c>
      <c r="EE179">
        <v>5.0167999999999999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1.8691899999999999</v>
      </c>
      <c r="EN179">
        <v>1.8672200000000001</v>
      </c>
      <c r="EO179">
        <v>1.8633999999999999</v>
      </c>
      <c r="EP179">
        <v>1.8644799999999999</v>
      </c>
      <c r="EQ179">
        <v>1.87012</v>
      </c>
      <c r="ER179">
        <v>1.86944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-0.02</v>
      </c>
      <c r="FG179">
        <v>0.1787</v>
      </c>
      <c r="FH179">
        <v>0.3448811944559278</v>
      </c>
      <c r="FI179">
        <v>-6.1462078757559423E-4</v>
      </c>
      <c r="FJ179">
        <v>-1.8861989874597051E-7</v>
      </c>
      <c r="FK179">
        <v>1.1980462299894961E-10</v>
      </c>
      <c r="FL179">
        <v>0.17862261546663211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37.200000000000003</v>
      </c>
      <c r="FU179">
        <v>37.299999999999997</v>
      </c>
      <c r="FV179">
        <v>1.7712399999999999</v>
      </c>
      <c r="FW179">
        <v>2.5878899999999998</v>
      </c>
      <c r="FX179">
        <v>1.5490699999999999</v>
      </c>
      <c r="FY179">
        <v>2.32666</v>
      </c>
      <c r="FZ179">
        <v>1.50146</v>
      </c>
      <c r="GA179">
        <v>2.3071299999999999</v>
      </c>
      <c r="GB179">
        <v>33.850900000000003</v>
      </c>
      <c r="GC179">
        <v>23.982399999999998</v>
      </c>
      <c r="GD179">
        <v>19</v>
      </c>
      <c r="GE179">
        <v>285.31900000000002</v>
      </c>
      <c r="GF179">
        <v>584.36900000000003</v>
      </c>
      <c r="GG179">
        <v>23.897200000000002</v>
      </c>
      <c r="GH179">
        <v>26.075099999999999</v>
      </c>
      <c r="GI179">
        <v>29.9998</v>
      </c>
      <c r="GJ179">
        <v>26.238600000000002</v>
      </c>
      <c r="GK179">
        <v>26.2334</v>
      </c>
      <c r="GL179">
        <v>35.420400000000001</v>
      </c>
      <c r="GM179">
        <v>58.624200000000002</v>
      </c>
      <c r="GN179">
        <v>51.647300000000001</v>
      </c>
      <c r="GO179">
        <v>23.889199999999999</v>
      </c>
      <c r="GP179">
        <v>800</v>
      </c>
      <c r="GQ179">
        <v>6.6550099999999999</v>
      </c>
      <c r="GR179">
        <v>99.793999999999997</v>
      </c>
      <c r="GS179">
        <v>99.666200000000003</v>
      </c>
    </row>
    <row r="180" spans="1:201" x14ac:dyDescent="0.25">
      <c r="A180">
        <v>164</v>
      </c>
      <c r="B180">
        <v>1690231325</v>
      </c>
      <c r="C180">
        <v>1819.900000095367</v>
      </c>
      <c r="D180" t="s">
        <v>661</v>
      </c>
      <c r="E180" t="s">
        <v>662</v>
      </c>
      <c r="F180" t="s">
        <v>330</v>
      </c>
      <c r="H180">
        <v>1690231325</v>
      </c>
      <c r="I180">
        <f t="shared" si="60"/>
        <v>1.5476689885385538E-3</v>
      </c>
      <c r="J180">
        <f t="shared" si="61"/>
        <v>1.5476689885385539</v>
      </c>
      <c r="K180">
        <f t="shared" si="62"/>
        <v>24.482872364506427</v>
      </c>
      <c r="L180">
        <f t="shared" si="63"/>
        <v>534.40800000000002</v>
      </c>
      <c r="M180">
        <f t="shared" si="64"/>
        <v>141.31690694276728</v>
      </c>
      <c r="N180">
        <f t="shared" si="65"/>
        <v>14.009798361460874</v>
      </c>
      <c r="O180">
        <f t="shared" si="66"/>
        <v>52.979848517232007</v>
      </c>
      <c r="P180">
        <f t="shared" si="67"/>
        <v>0.104097094562023</v>
      </c>
      <c r="Q180">
        <f t="shared" si="68"/>
        <v>2.1722672101744003</v>
      </c>
      <c r="R180">
        <f t="shared" si="69"/>
        <v>0.10140309547776048</v>
      </c>
      <c r="S180">
        <f t="shared" si="70"/>
        <v>6.361317274236708E-2</v>
      </c>
      <c r="T180">
        <f t="shared" si="71"/>
        <v>276.11607752999998</v>
      </c>
      <c r="U180">
        <f t="shared" si="72"/>
        <v>27.542887253305807</v>
      </c>
      <c r="V180">
        <f t="shared" si="73"/>
        <v>27.542887253305807</v>
      </c>
      <c r="W180">
        <f t="shared" si="74"/>
        <v>3.6948822854785881</v>
      </c>
      <c r="X180">
        <f t="shared" si="75"/>
        <v>66.285789273889634</v>
      </c>
      <c r="Y180">
        <f t="shared" si="76"/>
        <v>2.2269841116744002</v>
      </c>
      <c r="Z180">
        <f t="shared" si="77"/>
        <v>3.359670505653348</v>
      </c>
      <c r="AA180">
        <f t="shared" si="78"/>
        <v>1.4678981738041879</v>
      </c>
      <c r="AB180">
        <f t="shared" si="79"/>
        <v>-68.252202394550224</v>
      </c>
      <c r="AC180">
        <f t="shared" si="80"/>
        <v>-189.26203039867474</v>
      </c>
      <c r="AD180">
        <f t="shared" si="81"/>
        <v>-18.753239831289328</v>
      </c>
      <c r="AE180">
        <f t="shared" si="82"/>
        <v>-0.15139509451429944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52310.272422949769</v>
      </c>
      <c r="AK180">
        <f t="shared" si="86"/>
        <v>1800</v>
      </c>
      <c r="AL180">
        <f t="shared" si="87"/>
        <v>1499.108931</v>
      </c>
      <c r="AM180">
        <f t="shared" si="88"/>
        <v>0.83283829499999995</v>
      </c>
      <c r="AN180">
        <f t="shared" si="89"/>
        <v>0.15339782084999998</v>
      </c>
      <c r="AO180">
        <v>31.5</v>
      </c>
      <c r="AP180">
        <v>0.5</v>
      </c>
      <c r="AQ180" t="s">
        <v>331</v>
      </c>
      <c r="AR180">
        <v>2</v>
      </c>
      <c r="AS180">
        <v>1690231325</v>
      </c>
      <c r="AT180">
        <v>534.40800000000002</v>
      </c>
      <c r="AU180">
        <v>800.05100000000004</v>
      </c>
      <c r="AV180">
        <v>22.4636</v>
      </c>
      <c r="AW180">
        <v>6.5847899999999999</v>
      </c>
      <c r="AX180">
        <v>534.42700000000002</v>
      </c>
      <c r="AY180">
        <v>22.285</v>
      </c>
      <c r="AZ180">
        <v>300.12599999999998</v>
      </c>
      <c r="BA180">
        <v>99.037400000000005</v>
      </c>
      <c r="BB180">
        <v>0.100054</v>
      </c>
      <c r="BC180">
        <v>25.9268</v>
      </c>
      <c r="BD180">
        <v>27.0154</v>
      </c>
      <c r="BE180">
        <v>27.601700000000001</v>
      </c>
      <c r="BF180">
        <v>0</v>
      </c>
      <c r="BG180">
        <v>0</v>
      </c>
      <c r="BH180">
        <v>9951.25</v>
      </c>
      <c r="BI180">
        <v>1066.24</v>
      </c>
      <c r="BJ180">
        <v>1.4577199999999999</v>
      </c>
      <c r="BK180">
        <v>-265.64299999999997</v>
      </c>
      <c r="BL180">
        <v>546.68899999999996</v>
      </c>
      <c r="BM180">
        <v>805.35400000000004</v>
      </c>
      <c r="BN180">
        <v>15.8788</v>
      </c>
      <c r="BO180">
        <v>800.05100000000004</v>
      </c>
      <c r="BP180">
        <v>6.5847899999999999</v>
      </c>
      <c r="BQ180">
        <v>2.2247400000000002</v>
      </c>
      <c r="BR180">
        <v>0.65214000000000005</v>
      </c>
      <c r="BS180">
        <v>19.1416</v>
      </c>
      <c r="BT180">
        <v>0.84050599999999998</v>
      </c>
      <c r="BU180">
        <v>1800</v>
      </c>
      <c r="BV180">
        <v>0.90998199999999996</v>
      </c>
      <c r="BW180">
        <v>3.4007700000000002E-2</v>
      </c>
      <c r="BX180">
        <v>2.2005E-2</v>
      </c>
      <c r="BY180">
        <v>3.4004899999999998E-2</v>
      </c>
      <c r="BZ180">
        <v>25</v>
      </c>
      <c r="CA180">
        <v>33528.199999999997</v>
      </c>
      <c r="CB180">
        <v>1690229084.0999999</v>
      </c>
      <c r="CC180" t="s">
        <v>332</v>
      </c>
      <c r="CD180">
        <v>1690229084.0999999</v>
      </c>
      <c r="CE180">
        <v>1690229076.5999999</v>
      </c>
      <c r="CF180">
        <v>13</v>
      </c>
      <c r="CG180">
        <v>0.23300000000000001</v>
      </c>
      <c r="CH180">
        <v>-0.13100000000000001</v>
      </c>
      <c r="CI180">
        <v>-0.20599999999999999</v>
      </c>
      <c r="CJ180">
        <v>8.7999999999999995E-2</v>
      </c>
      <c r="CK180">
        <v>799</v>
      </c>
      <c r="CL180">
        <v>16</v>
      </c>
      <c r="CM180">
        <v>0.04</v>
      </c>
      <c r="CN180">
        <v>0.04</v>
      </c>
      <c r="CO180">
        <v>-264.73463414634142</v>
      </c>
      <c r="CP180">
        <v>-4.876745644599378</v>
      </c>
      <c r="CQ180">
        <v>0.48190889514956531</v>
      </c>
      <c r="CR180">
        <v>-1</v>
      </c>
      <c r="CS180">
        <v>15.806534146341461</v>
      </c>
      <c r="CT180">
        <v>0.37018118466895023</v>
      </c>
      <c r="CU180">
        <v>3.6693075107663523E-2</v>
      </c>
      <c r="CV180">
        <v>-1</v>
      </c>
      <c r="CW180">
        <v>0</v>
      </c>
      <c r="CX180">
        <v>0</v>
      </c>
      <c r="CY180" t="s">
        <v>333</v>
      </c>
      <c r="CZ180">
        <v>2.3646099999999999</v>
      </c>
      <c r="DA180">
        <v>2.7138</v>
      </c>
      <c r="DB180">
        <v>0.110912</v>
      </c>
      <c r="DC180">
        <v>0.14608299999999999</v>
      </c>
      <c r="DD180">
        <v>0.10870199999999999</v>
      </c>
      <c r="DE180">
        <v>4.2543299999999999E-2</v>
      </c>
      <c r="DF180">
        <v>32481</v>
      </c>
      <c r="DG180">
        <v>27545.5</v>
      </c>
      <c r="DH180">
        <v>31187.599999999999</v>
      </c>
      <c r="DI180">
        <v>28107.8</v>
      </c>
      <c r="DJ180">
        <v>37740.9</v>
      </c>
      <c r="DK180">
        <v>38275.599999999999</v>
      </c>
      <c r="DL180">
        <v>44387.1</v>
      </c>
      <c r="DM180">
        <v>42606.6</v>
      </c>
      <c r="DN180">
        <v>1.4836800000000001</v>
      </c>
      <c r="DO180">
        <v>2.0392299999999999</v>
      </c>
      <c r="DP180">
        <v>0.13350000000000001</v>
      </c>
      <c r="DQ180">
        <v>0.18120900000000001</v>
      </c>
      <c r="DR180">
        <v>24.828299999999999</v>
      </c>
      <c r="DS180">
        <v>24.633900000000001</v>
      </c>
      <c r="DT180">
        <v>41.1</v>
      </c>
      <c r="DU180">
        <v>29.2</v>
      </c>
      <c r="DV180">
        <v>16.884</v>
      </c>
      <c r="DW180">
        <v>61.9298</v>
      </c>
      <c r="DX180">
        <v>36.931100000000001</v>
      </c>
      <c r="DY180">
        <v>1</v>
      </c>
      <c r="DZ180">
        <v>-0.10466499999999999</v>
      </c>
      <c r="EA180">
        <v>0.30220599999999997</v>
      </c>
      <c r="EB180">
        <v>20.1891</v>
      </c>
      <c r="EC180">
        <v>5.24125</v>
      </c>
      <c r="ED180">
        <v>12.039899999999999</v>
      </c>
      <c r="EE180">
        <v>5.0167999999999999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1.8691899999999999</v>
      </c>
      <c r="EN180">
        <v>1.8672299999999999</v>
      </c>
      <c r="EO180">
        <v>1.8633999999999999</v>
      </c>
      <c r="EP180">
        <v>1.86449</v>
      </c>
      <c r="EQ180">
        <v>1.8701399999999999</v>
      </c>
      <c r="ER180">
        <v>1.8694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-1.9E-2</v>
      </c>
      <c r="FG180">
        <v>0.17860000000000001</v>
      </c>
      <c r="FH180">
        <v>0.3448811944559278</v>
      </c>
      <c r="FI180">
        <v>-6.1462078757559423E-4</v>
      </c>
      <c r="FJ180">
        <v>-1.8861989874597051E-7</v>
      </c>
      <c r="FK180">
        <v>1.1980462299894961E-10</v>
      </c>
      <c r="FL180">
        <v>0.17862261546663211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37.299999999999997</v>
      </c>
      <c r="FU180">
        <v>37.5</v>
      </c>
      <c r="FV180">
        <v>1.7712399999999999</v>
      </c>
      <c r="FW180">
        <v>2.5830099999999998</v>
      </c>
      <c r="FX180">
        <v>1.5490699999999999</v>
      </c>
      <c r="FY180">
        <v>2.32666</v>
      </c>
      <c r="FZ180">
        <v>1.50146</v>
      </c>
      <c r="GA180">
        <v>2.3962400000000001</v>
      </c>
      <c r="GB180">
        <v>33.850900000000003</v>
      </c>
      <c r="GC180">
        <v>23.991199999999999</v>
      </c>
      <c r="GD180">
        <v>19</v>
      </c>
      <c r="GE180">
        <v>285.55900000000003</v>
      </c>
      <c r="GF180">
        <v>584.28</v>
      </c>
      <c r="GG180">
        <v>23.881799999999998</v>
      </c>
      <c r="GH180">
        <v>26.071300000000001</v>
      </c>
      <c r="GI180">
        <v>30.0002</v>
      </c>
      <c r="GJ180">
        <v>26.2347</v>
      </c>
      <c r="GK180">
        <v>26.229199999999999</v>
      </c>
      <c r="GL180">
        <v>35.421999999999997</v>
      </c>
      <c r="GM180">
        <v>58.624200000000002</v>
      </c>
      <c r="GN180">
        <v>51.252600000000001</v>
      </c>
      <c r="GO180">
        <v>23.862100000000002</v>
      </c>
      <c r="GP180">
        <v>800</v>
      </c>
      <c r="GQ180">
        <v>6.5890000000000004</v>
      </c>
      <c r="GR180">
        <v>99.792599999999993</v>
      </c>
      <c r="GS180">
        <v>99.667199999999994</v>
      </c>
    </row>
    <row r="181" spans="1:201" x14ac:dyDescent="0.25">
      <c r="A181">
        <v>165</v>
      </c>
      <c r="B181">
        <v>1690231335</v>
      </c>
      <c r="C181">
        <v>1829.900000095367</v>
      </c>
      <c r="D181" t="s">
        <v>663</v>
      </c>
      <c r="E181" t="s">
        <v>664</v>
      </c>
      <c r="F181" t="s">
        <v>330</v>
      </c>
      <c r="H181">
        <v>1690231335</v>
      </c>
      <c r="I181">
        <f t="shared" si="60"/>
        <v>1.5523286296241811E-3</v>
      </c>
      <c r="J181">
        <f t="shared" si="61"/>
        <v>1.5523286296241812</v>
      </c>
      <c r="K181">
        <f t="shared" si="62"/>
        <v>24.560575387136666</v>
      </c>
      <c r="L181">
        <f t="shared" si="63"/>
        <v>533.529</v>
      </c>
      <c r="M181">
        <f t="shared" si="64"/>
        <v>140.65218072708706</v>
      </c>
      <c r="N181">
        <f t="shared" si="65"/>
        <v>13.943591307664196</v>
      </c>
      <c r="O181">
        <f t="shared" si="66"/>
        <v>52.891539173655296</v>
      </c>
      <c r="P181">
        <f t="shared" si="67"/>
        <v>0.10447885491563001</v>
      </c>
      <c r="Q181">
        <f t="shared" si="68"/>
        <v>2.1804485178239803</v>
      </c>
      <c r="R181">
        <f t="shared" si="69"/>
        <v>0.10177523499316021</v>
      </c>
      <c r="S181">
        <f t="shared" si="70"/>
        <v>6.3846604153833628E-2</v>
      </c>
      <c r="T181">
        <f t="shared" si="71"/>
        <v>276.1178076012979</v>
      </c>
      <c r="U181">
        <f t="shared" si="72"/>
        <v>27.536184948161583</v>
      </c>
      <c r="V181">
        <f t="shared" si="73"/>
        <v>27.536184948161583</v>
      </c>
      <c r="W181">
        <f t="shared" si="74"/>
        <v>3.6934339442295139</v>
      </c>
      <c r="X181">
        <f t="shared" si="75"/>
        <v>66.270363547077366</v>
      </c>
      <c r="Y181">
        <f t="shared" si="76"/>
        <v>2.2265185864625803</v>
      </c>
      <c r="Z181">
        <f t="shared" si="77"/>
        <v>3.3597500712077704</v>
      </c>
      <c r="AA181">
        <f t="shared" si="78"/>
        <v>1.4669153577669336</v>
      </c>
      <c r="AB181">
        <f t="shared" si="79"/>
        <v>-68.457692566426388</v>
      </c>
      <c r="AC181">
        <f t="shared" si="80"/>
        <v>-189.13994647428416</v>
      </c>
      <c r="AD181">
        <f t="shared" si="81"/>
        <v>-18.670233916925536</v>
      </c>
      <c r="AE181">
        <f t="shared" si="82"/>
        <v>-0.15006535633818885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52649.741065206472</v>
      </c>
      <c r="AK181">
        <f t="shared" si="86"/>
        <v>1800.01</v>
      </c>
      <c r="AL181">
        <f t="shared" si="87"/>
        <v>1499.1180945875899</v>
      </c>
      <c r="AM181">
        <f t="shared" si="88"/>
        <v>0.83283875899999993</v>
      </c>
      <c r="AN181">
        <f t="shared" si="89"/>
        <v>0.15339792979</v>
      </c>
      <c r="AO181">
        <v>31.5</v>
      </c>
      <c r="AP181">
        <v>0.5</v>
      </c>
      <c r="AQ181" t="s">
        <v>331</v>
      </c>
      <c r="AR181">
        <v>2</v>
      </c>
      <c r="AS181">
        <v>1690231335</v>
      </c>
      <c r="AT181">
        <v>533.529</v>
      </c>
      <c r="AU181">
        <v>800.01800000000003</v>
      </c>
      <c r="AV181">
        <v>22.459399999999999</v>
      </c>
      <c r="AW181">
        <v>6.5316000000000001</v>
      </c>
      <c r="AX181">
        <v>533.548</v>
      </c>
      <c r="AY181">
        <v>22.2807</v>
      </c>
      <c r="AZ181">
        <v>300.10500000000002</v>
      </c>
      <c r="BA181">
        <v>99.035300000000007</v>
      </c>
      <c r="BB181">
        <v>9.9965700000000005E-2</v>
      </c>
      <c r="BC181">
        <v>25.927199999999999</v>
      </c>
      <c r="BD181">
        <v>26.996300000000002</v>
      </c>
      <c r="BE181">
        <v>27.600999999999999</v>
      </c>
      <c r="BF181">
        <v>0</v>
      </c>
      <c r="BG181">
        <v>0</v>
      </c>
      <c r="BH181">
        <v>10018.799999999999</v>
      </c>
      <c r="BI181">
        <v>1066.28</v>
      </c>
      <c r="BJ181">
        <v>1.4507099999999999</v>
      </c>
      <c r="BK181">
        <v>-266.48899999999998</v>
      </c>
      <c r="BL181">
        <v>545.78700000000003</v>
      </c>
      <c r="BM181">
        <v>805.27800000000002</v>
      </c>
      <c r="BN181">
        <v>15.9278</v>
      </c>
      <c r="BO181">
        <v>800.01800000000003</v>
      </c>
      <c r="BP181">
        <v>6.5316000000000001</v>
      </c>
      <c r="BQ181">
        <v>2.2242700000000002</v>
      </c>
      <c r="BR181">
        <v>0.64685899999999996</v>
      </c>
      <c r="BS181">
        <v>19.138200000000001</v>
      </c>
      <c r="BT181">
        <v>0.72781700000000005</v>
      </c>
      <c r="BU181">
        <v>1800.01</v>
      </c>
      <c r="BV181">
        <v>0.90998199999999996</v>
      </c>
      <c r="BW181">
        <v>3.4007900000000001E-2</v>
      </c>
      <c r="BX181">
        <v>2.2005199999999999E-2</v>
      </c>
      <c r="BY181">
        <v>3.4005100000000003E-2</v>
      </c>
      <c r="BZ181">
        <v>25</v>
      </c>
      <c r="CA181">
        <v>33528.300000000003</v>
      </c>
      <c r="CB181">
        <v>1690229084.0999999</v>
      </c>
      <c r="CC181" t="s">
        <v>332</v>
      </c>
      <c r="CD181">
        <v>1690229084.0999999</v>
      </c>
      <c r="CE181">
        <v>1690229076.5999999</v>
      </c>
      <c r="CF181">
        <v>13</v>
      </c>
      <c r="CG181">
        <v>0.23300000000000001</v>
      </c>
      <c r="CH181">
        <v>-0.13100000000000001</v>
      </c>
      <c r="CI181">
        <v>-0.20599999999999999</v>
      </c>
      <c r="CJ181">
        <v>8.7999999999999995E-2</v>
      </c>
      <c r="CK181">
        <v>799</v>
      </c>
      <c r="CL181">
        <v>16</v>
      </c>
      <c r="CM181">
        <v>0.04</v>
      </c>
      <c r="CN181">
        <v>0.04</v>
      </c>
      <c r="CO181">
        <v>-265.57826829268288</v>
      </c>
      <c r="CP181">
        <v>-5.1915679442501634</v>
      </c>
      <c r="CQ181">
        <v>0.51527690989669872</v>
      </c>
      <c r="CR181">
        <v>-1</v>
      </c>
      <c r="CS181">
        <v>15.868112195121951</v>
      </c>
      <c r="CT181">
        <v>0.37187456445993289</v>
      </c>
      <c r="CU181">
        <v>3.6847332994939849E-2</v>
      </c>
      <c r="CV181">
        <v>-1</v>
      </c>
      <c r="CW181">
        <v>0</v>
      </c>
      <c r="CX181">
        <v>0</v>
      </c>
      <c r="CY181" t="s">
        <v>333</v>
      </c>
      <c r="CZ181">
        <v>2.3645499999999999</v>
      </c>
      <c r="DA181">
        <v>2.7137699999999998</v>
      </c>
      <c r="DB181">
        <v>0.110779</v>
      </c>
      <c r="DC181">
        <v>0.14607600000000001</v>
      </c>
      <c r="DD181">
        <v>0.108686</v>
      </c>
      <c r="DE181">
        <v>4.2264900000000001E-2</v>
      </c>
      <c r="DF181">
        <v>32486</v>
      </c>
      <c r="DG181">
        <v>27545.8</v>
      </c>
      <c r="DH181">
        <v>31187.8</v>
      </c>
      <c r="DI181">
        <v>28107.8</v>
      </c>
      <c r="DJ181">
        <v>37741.9</v>
      </c>
      <c r="DK181">
        <v>38286.800000000003</v>
      </c>
      <c r="DL181">
        <v>44387.5</v>
      </c>
      <c r="DM181">
        <v>42606.7</v>
      </c>
      <c r="DN181">
        <v>1.4831799999999999</v>
      </c>
      <c r="DO181">
        <v>2.03912</v>
      </c>
      <c r="DP181">
        <v>0.13233300000000001</v>
      </c>
      <c r="DQ181">
        <v>0.18124299999999999</v>
      </c>
      <c r="DR181">
        <v>24.828299999999999</v>
      </c>
      <c r="DS181">
        <v>24.6327</v>
      </c>
      <c r="DT181">
        <v>40.799999999999997</v>
      </c>
      <c r="DU181">
        <v>29.2</v>
      </c>
      <c r="DV181">
        <v>16.761500000000002</v>
      </c>
      <c r="DW181">
        <v>60.989800000000002</v>
      </c>
      <c r="DX181">
        <v>37.387799999999999</v>
      </c>
      <c r="DY181">
        <v>1</v>
      </c>
      <c r="DZ181">
        <v>-0.104794</v>
      </c>
      <c r="EA181">
        <v>0.31920799999999999</v>
      </c>
      <c r="EB181">
        <v>20.1891</v>
      </c>
      <c r="EC181">
        <v>5.2411000000000003</v>
      </c>
      <c r="ED181">
        <v>12.039899999999999</v>
      </c>
      <c r="EE181">
        <v>5.0169499999999996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1.8691899999999999</v>
      </c>
      <c r="EN181">
        <v>1.8672299999999999</v>
      </c>
      <c r="EO181">
        <v>1.8633900000000001</v>
      </c>
      <c r="EP181">
        <v>1.8644700000000001</v>
      </c>
      <c r="EQ181">
        <v>1.87015</v>
      </c>
      <c r="ER181">
        <v>1.8694299999999999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-1.9E-2</v>
      </c>
      <c r="FG181">
        <v>0.1787</v>
      </c>
      <c r="FH181">
        <v>0.3448811944559278</v>
      </c>
      <c r="FI181">
        <v>-6.1462078757559423E-4</v>
      </c>
      <c r="FJ181">
        <v>-1.8861989874597051E-7</v>
      </c>
      <c r="FK181">
        <v>1.1980462299894961E-10</v>
      </c>
      <c r="FL181">
        <v>0.17862261546663211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37.5</v>
      </c>
      <c r="FU181">
        <v>37.6</v>
      </c>
      <c r="FV181">
        <v>1.7712399999999999</v>
      </c>
      <c r="FW181">
        <v>2.5842299999999998</v>
      </c>
      <c r="FX181">
        <v>1.5490699999999999</v>
      </c>
      <c r="FY181">
        <v>2.32666</v>
      </c>
      <c r="FZ181">
        <v>1.50146</v>
      </c>
      <c r="GA181">
        <v>2.3852500000000001</v>
      </c>
      <c r="GB181">
        <v>33.850900000000003</v>
      </c>
      <c r="GC181">
        <v>23.991199999999999</v>
      </c>
      <c r="GD181">
        <v>19</v>
      </c>
      <c r="GE181">
        <v>285.32799999999997</v>
      </c>
      <c r="GF181">
        <v>584.15099999999995</v>
      </c>
      <c r="GG181">
        <v>23.8504</v>
      </c>
      <c r="GH181">
        <v>26.067399999999999</v>
      </c>
      <c r="GI181">
        <v>30</v>
      </c>
      <c r="GJ181">
        <v>26.230799999999999</v>
      </c>
      <c r="GK181">
        <v>26.225100000000001</v>
      </c>
      <c r="GL181">
        <v>35.420900000000003</v>
      </c>
      <c r="GM181">
        <v>58.624200000000002</v>
      </c>
      <c r="GN181">
        <v>50.4724</v>
      </c>
      <c r="GO181">
        <v>23.869800000000001</v>
      </c>
      <c r="GP181">
        <v>800</v>
      </c>
      <c r="GQ181">
        <v>6.5221799999999996</v>
      </c>
      <c r="GR181">
        <v>99.793300000000002</v>
      </c>
      <c r="GS181">
        <v>99.667199999999994</v>
      </c>
    </row>
    <row r="182" spans="1:201" x14ac:dyDescent="0.25">
      <c r="A182">
        <v>166</v>
      </c>
      <c r="B182">
        <v>1690231345</v>
      </c>
      <c r="C182">
        <v>1839.900000095367</v>
      </c>
      <c r="D182" t="s">
        <v>665</v>
      </c>
      <c r="E182" t="s">
        <v>666</v>
      </c>
      <c r="F182" t="s">
        <v>330</v>
      </c>
      <c r="H182">
        <v>1690231345</v>
      </c>
      <c r="I182">
        <f t="shared" si="60"/>
        <v>1.5580201160259675E-3</v>
      </c>
      <c r="J182">
        <f t="shared" si="61"/>
        <v>1.5580201160259675</v>
      </c>
      <c r="K182">
        <f t="shared" si="62"/>
        <v>24.621473328797123</v>
      </c>
      <c r="L182">
        <f t="shared" si="63"/>
        <v>532.81200000000001</v>
      </c>
      <c r="M182">
        <f t="shared" si="64"/>
        <v>140.17045222688989</v>
      </c>
      <c r="N182">
        <f t="shared" si="65"/>
        <v>13.895948829192049</v>
      </c>
      <c r="O182">
        <f t="shared" si="66"/>
        <v>52.820891778211205</v>
      </c>
      <c r="P182">
        <f t="shared" si="67"/>
        <v>0.10481057157708625</v>
      </c>
      <c r="Q182">
        <f t="shared" si="68"/>
        <v>2.1768899199700993</v>
      </c>
      <c r="R182">
        <f t="shared" si="69"/>
        <v>0.10208567450106891</v>
      </c>
      <c r="S182">
        <f t="shared" si="70"/>
        <v>6.4042467157547717E-2</v>
      </c>
      <c r="T182">
        <f t="shared" si="71"/>
        <v>276.11629235999999</v>
      </c>
      <c r="U182">
        <f t="shared" si="72"/>
        <v>27.537120134085733</v>
      </c>
      <c r="V182">
        <f t="shared" si="73"/>
        <v>27.537120134085733</v>
      </c>
      <c r="W182">
        <f t="shared" si="74"/>
        <v>3.6936360044086594</v>
      </c>
      <c r="X182">
        <f t="shared" si="75"/>
        <v>66.24710999980401</v>
      </c>
      <c r="Y182">
        <f t="shared" si="76"/>
        <v>2.2258032142752002</v>
      </c>
      <c r="Z182">
        <f t="shared" si="77"/>
        <v>3.3598495304652309</v>
      </c>
      <c r="AA182">
        <f t="shared" si="78"/>
        <v>1.4678327901334591</v>
      </c>
      <c r="AB182">
        <f t="shared" si="79"/>
        <v>-68.708687116745168</v>
      </c>
      <c r="AC182">
        <f t="shared" si="80"/>
        <v>-188.88233453087415</v>
      </c>
      <c r="AD182">
        <f t="shared" si="81"/>
        <v>-18.675417903731525</v>
      </c>
      <c r="AE182">
        <f t="shared" si="82"/>
        <v>-0.15014719135083965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52501.797841943757</v>
      </c>
      <c r="AK182">
        <f t="shared" si="86"/>
        <v>1800</v>
      </c>
      <c r="AL182">
        <f t="shared" si="87"/>
        <v>1499.1101819999999</v>
      </c>
      <c r="AM182">
        <f t="shared" si="88"/>
        <v>0.83283898999999995</v>
      </c>
      <c r="AN182">
        <f t="shared" si="89"/>
        <v>0.1533979402</v>
      </c>
      <c r="AO182">
        <v>31.5</v>
      </c>
      <c r="AP182">
        <v>0.5</v>
      </c>
      <c r="AQ182" t="s">
        <v>331</v>
      </c>
      <c r="AR182">
        <v>2</v>
      </c>
      <c r="AS182">
        <v>1690231345</v>
      </c>
      <c r="AT182">
        <v>532.81200000000001</v>
      </c>
      <c r="AU182">
        <v>799.947</v>
      </c>
      <c r="AV182">
        <v>22.452000000000002</v>
      </c>
      <c r="AW182">
        <v>6.4664799999999998</v>
      </c>
      <c r="AX182">
        <v>532.83000000000004</v>
      </c>
      <c r="AY182">
        <v>22.273299999999999</v>
      </c>
      <c r="AZ182">
        <v>300.12</v>
      </c>
      <c r="BA182">
        <v>99.036100000000005</v>
      </c>
      <c r="BB182">
        <v>9.99776E-2</v>
      </c>
      <c r="BC182">
        <v>25.927700000000002</v>
      </c>
      <c r="BD182">
        <v>27.027000000000001</v>
      </c>
      <c r="BE182">
        <v>27.577400000000001</v>
      </c>
      <c r="BF182">
        <v>0</v>
      </c>
      <c r="BG182">
        <v>0</v>
      </c>
      <c r="BH182">
        <v>9989.3799999999992</v>
      </c>
      <c r="BI182">
        <v>1066.3499999999999</v>
      </c>
      <c r="BJ182">
        <v>1.4016500000000001</v>
      </c>
      <c r="BK182">
        <v>-267.13499999999999</v>
      </c>
      <c r="BL182">
        <v>545.04999999999995</v>
      </c>
      <c r="BM182">
        <v>805.154</v>
      </c>
      <c r="BN182">
        <v>15.9855</v>
      </c>
      <c r="BO182">
        <v>799.947</v>
      </c>
      <c r="BP182">
        <v>6.4664799999999998</v>
      </c>
      <c r="BQ182">
        <v>2.22356</v>
      </c>
      <c r="BR182">
        <v>0.64041499999999996</v>
      </c>
      <c r="BS182">
        <v>19.132999999999999</v>
      </c>
      <c r="BT182">
        <v>0.58921100000000004</v>
      </c>
      <c r="BU182">
        <v>1800</v>
      </c>
      <c r="BV182">
        <v>0.90998299999999999</v>
      </c>
      <c r="BW182">
        <v>3.4007599999999999E-2</v>
      </c>
      <c r="BX182">
        <v>2.2005E-2</v>
      </c>
      <c r="BY182">
        <v>3.4004800000000002E-2</v>
      </c>
      <c r="BZ182">
        <v>25</v>
      </c>
      <c r="CA182">
        <v>33528.199999999997</v>
      </c>
      <c r="CB182">
        <v>1690229084.0999999</v>
      </c>
      <c r="CC182" t="s">
        <v>332</v>
      </c>
      <c r="CD182">
        <v>1690229084.0999999</v>
      </c>
      <c r="CE182">
        <v>1690229076.5999999</v>
      </c>
      <c r="CF182">
        <v>13</v>
      </c>
      <c r="CG182">
        <v>0.23300000000000001</v>
      </c>
      <c r="CH182">
        <v>-0.13100000000000001</v>
      </c>
      <c r="CI182">
        <v>-0.20599999999999999</v>
      </c>
      <c r="CJ182">
        <v>8.7999999999999995E-2</v>
      </c>
      <c r="CK182">
        <v>799</v>
      </c>
      <c r="CL182">
        <v>16</v>
      </c>
      <c r="CM182">
        <v>0.04</v>
      </c>
      <c r="CN182">
        <v>0.04</v>
      </c>
      <c r="CO182">
        <v>-266.370025</v>
      </c>
      <c r="CP182">
        <v>-4.6777373358340579</v>
      </c>
      <c r="CQ182">
        <v>0.45871954871685849</v>
      </c>
      <c r="CR182">
        <v>-1</v>
      </c>
      <c r="CS182">
        <v>15.9239175</v>
      </c>
      <c r="CT182">
        <v>0.31742026266412249</v>
      </c>
      <c r="CU182">
        <v>3.0757786717350109E-2</v>
      </c>
      <c r="CV182">
        <v>-1</v>
      </c>
      <c r="CW182">
        <v>0</v>
      </c>
      <c r="CX182">
        <v>0</v>
      </c>
      <c r="CY182" t="s">
        <v>333</v>
      </c>
      <c r="CZ182">
        <v>2.3645999999999998</v>
      </c>
      <c r="DA182">
        <v>2.7137600000000002</v>
      </c>
      <c r="DB182">
        <v>0.11067299999999999</v>
      </c>
      <c r="DC182">
        <v>0.146068</v>
      </c>
      <c r="DD182">
        <v>0.10866199999999999</v>
      </c>
      <c r="DE182">
        <v>4.1924299999999998E-2</v>
      </c>
      <c r="DF182">
        <v>32490.400000000001</v>
      </c>
      <c r="DG182">
        <v>27546.400000000001</v>
      </c>
      <c r="DH182">
        <v>31188.3</v>
      </c>
      <c r="DI182">
        <v>28108.2</v>
      </c>
      <c r="DJ182">
        <v>37743.300000000003</v>
      </c>
      <c r="DK182">
        <v>38301.1</v>
      </c>
      <c r="DL182">
        <v>44388</v>
      </c>
      <c r="DM182">
        <v>42607.3</v>
      </c>
      <c r="DN182">
        <v>1.4833000000000001</v>
      </c>
      <c r="DO182">
        <v>2.03877</v>
      </c>
      <c r="DP182">
        <v>0.13420699999999999</v>
      </c>
      <c r="DQ182">
        <v>0.179783</v>
      </c>
      <c r="DR182">
        <v>24.828299999999999</v>
      </c>
      <c r="DS182">
        <v>24.632899999999999</v>
      </c>
      <c r="DT182">
        <v>40.5</v>
      </c>
      <c r="DU182">
        <v>29.2</v>
      </c>
      <c r="DV182">
        <v>16.636099999999999</v>
      </c>
      <c r="DW182">
        <v>61.519799999999996</v>
      </c>
      <c r="DX182">
        <v>36.967100000000002</v>
      </c>
      <c r="DY182">
        <v>1</v>
      </c>
      <c r="DZ182">
        <v>-0.105521</v>
      </c>
      <c r="EA182">
        <v>0.24960199999999999</v>
      </c>
      <c r="EB182">
        <v>20.189299999999999</v>
      </c>
      <c r="EC182">
        <v>5.2413999999999996</v>
      </c>
      <c r="ED182">
        <v>12.039899999999999</v>
      </c>
      <c r="EE182">
        <v>5.0166500000000003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1.8691800000000001</v>
      </c>
      <c r="EN182">
        <v>1.8672299999999999</v>
      </c>
      <c r="EO182">
        <v>1.8633999999999999</v>
      </c>
      <c r="EP182">
        <v>1.8644700000000001</v>
      </c>
      <c r="EQ182">
        <v>1.8701300000000001</v>
      </c>
      <c r="ER182">
        <v>1.86941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-1.7999999999999999E-2</v>
      </c>
      <c r="FG182">
        <v>0.1787</v>
      </c>
      <c r="FH182">
        <v>0.3448811944559278</v>
      </c>
      <c r="FI182">
        <v>-6.1462078757559423E-4</v>
      </c>
      <c r="FJ182">
        <v>-1.8861989874597051E-7</v>
      </c>
      <c r="FK182">
        <v>1.1980462299894961E-10</v>
      </c>
      <c r="FL182">
        <v>0.17862261546663211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37.700000000000003</v>
      </c>
      <c r="FU182">
        <v>37.799999999999997</v>
      </c>
      <c r="FV182">
        <v>1.7712399999999999</v>
      </c>
      <c r="FW182">
        <v>2.5915499999999998</v>
      </c>
      <c r="FX182">
        <v>1.5490699999999999</v>
      </c>
      <c r="FY182">
        <v>2.32666</v>
      </c>
      <c r="FZ182">
        <v>1.50146</v>
      </c>
      <c r="GA182">
        <v>2.34863</v>
      </c>
      <c r="GB182">
        <v>33.850900000000003</v>
      </c>
      <c r="GC182">
        <v>23.982399999999998</v>
      </c>
      <c r="GD182">
        <v>19</v>
      </c>
      <c r="GE182">
        <v>285.363</v>
      </c>
      <c r="GF182">
        <v>583.81799999999998</v>
      </c>
      <c r="GG182">
        <v>23.8642</v>
      </c>
      <c r="GH182">
        <v>26.063400000000001</v>
      </c>
      <c r="GI182">
        <v>29.9998</v>
      </c>
      <c r="GJ182">
        <v>26.226800000000001</v>
      </c>
      <c r="GK182">
        <v>26.221299999999999</v>
      </c>
      <c r="GL182">
        <v>35.416400000000003</v>
      </c>
      <c r="GM182">
        <v>58.624200000000002</v>
      </c>
      <c r="GN182">
        <v>50.092700000000001</v>
      </c>
      <c r="GO182">
        <v>23.835000000000001</v>
      </c>
      <c r="GP182">
        <v>800</v>
      </c>
      <c r="GQ182">
        <v>6.4549399999999997</v>
      </c>
      <c r="GR182">
        <v>99.794600000000003</v>
      </c>
      <c r="GS182">
        <v>99.668700000000001</v>
      </c>
    </row>
    <row r="183" spans="1:201" x14ac:dyDescent="0.25">
      <c r="A183">
        <v>167</v>
      </c>
      <c r="B183">
        <v>1690231355</v>
      </c>
      <c r="C183">
        <v>1849.900000095367</v>
      </c>
      <c r="D183" t="s">
        <v>667</v>
      </c>
      <c r="E183" t="s">
        <v>668</v>
      </c>
      <c r="F183" t="s">
        <v>330</v>
      </c>
      <c r="H183">
        <v>1690231355</v>
      </c>
      <c r="I183">
        <f t="shared" si="60"/>
        <v>1.5638000407935733E-3</v>
      </c>
      <c r="J183">
        <f t="shared" si="61"/>
        <v>1.5638000407935733</v>
      </c>
      <c r="K183">
        <f t="shared" si="62"/>
        <v>24.710003429195787</v>
      </c>
      <c r="L183">
        <f t="shared" si="63"/>
        <v>532.01099999999997</v>
      </c>
      <c r="M183">
        <f t="shared" si="64"/>
        <v>139.97953205771319</v>
      </c>
      <c r="N183">
        <f t="shared" si="65"/>
        <v>13.877116154681563</v>
      </c>
      <c r="O183">
        <f t="shared" si="66"/>
        <v>52.741842568271998</v>
      </c>
      <c r="P183">
        <f t="shared" si="67"/>
        <v>0.10535417828457909</v>
      </c>
      <c r="Q183">
        <f t="shared" si="68"/>
        <v>2.1825717936086946</v>
      </c>
      <c r="R183">
        <f t="shared" si="69"/>
        <v>0.10260830725955992</v>
      </c>
      <c r="S183">
        <f t="shared" si="70"/>
        <v>6.4370936783149285E-2</v>
      </c>
      <c r="T183">
        <f t="shared" si="71"/>
        <v>276.11764898441669</v>
      </c>
      <c r="U183">
        <f t="shared" si="72"/>
        <v>27.526647706186861</v>
      </c>
      <c r="V183">
        <f t="shared" si="73"/>
        <v>27.526647706186861</v>
      </c>
      <c r="W183">
        <f t="shared" si="74"/>
        <v>3.6913738386150921</v>
      </c>
      <c r="X183">
        <f t="shared" si="75"/>
        <v>66.258619312594575</v>
      </c>
      <c r="Y183">
        <f t="shared" si="76"/>
        <v>2.2255705140240001</v>
      </c>
      <c r="Z183">
        <f t="shared" si="77"/>
        <v>3.3589147149659353</v>
      </c>
      <c r="AA183">
        <f t="shared" si="78"/>
        <v>1.465803324591092</v>
      </c>
      <c r="AB183">
        <f t="shared" si="79"/>
        <v>-68.963581798996586</v>
      </c>
      <c r="AC183">
        <f t="shared" si="80"/>
        <v>-188.69611081203541</v>
      </c>
      <c r="AD183">
        <f t="shared" si="81"/>
        <v>-18.607021848598997</v>
      </c>
      <c r="AE183">
        <f t="shared" si="82"/>
        <v>-0.14906547521431435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52738.865278791913</v>
      </c>
      <c r="AK183">
        <f t="shared" si="86"/>
        <v>1800.01</v>
      </c>
      <c r="AL183">
        <f t="shared" si="87"/>
        <v>1499.11809098757</v>
      </c>
      <c r="AM183">
        <f t="shared" si="88"/>
        <v>0.83283875699999999</v>
      </c>
      <c r="AN183">
        <f t="shared" si="89"/>
        <v>0.15339784166999998</v>
      </c>
      <c r="AO183">
        <v>31.5</v>
      </c>
      <c r="AP183">
        <v>0.5</v>
      </c>
      <c r="AQ183" t="s">
        <v>331</v>
      </c>
      <c r="AR183">
        <v>2</v>
      </c>
      <c r="AS183">
        <v>1690231355</v>
      </c>
      <c r="AT183">
        <v>532.01099999999997</v>
      </c>
      <c r="AU183">
        <v>800.03899999999999</v>
      </c>
      <c r="AV183">
        <v>22.4495</v>
      </c>
      <c r="AW183">
        <v>6.4079499999999996</v>
      </c>
      <c r="AX183">
        <v>532.029</v>
      </c>
      <c r="AY183">
        <v>22.270800000000001</v>
      </c>
      <c r="AZ183">
        <v>300.18200000000002</v>
      </c>
      <c r="BA183">
        <v>99.036699999999996</v>
      </c>
      <c r="BB183">
        <v>0.100052</v>
      </c>
      <c r="BC183">
        <v>25.922999999999998</v>
      </c>
      <c r="BD183">
        <v>27.0107</v>
      </c>
      <c r="BE183">
        <v>27.596499999999999</v>
      </c>
      <c r="BF183">
        <v>0</v>
      </c>
      <c r="BG183">
        <v>0</v>
      </c>
      <c r="BH183">
        <v>10036.200000000001</v>
      </c>
      <c r="BI183">
        <v>1066.46</v>
      </c>
      <c r="BJ183">
        <v>1.4016500000000001</v>
      </c>
      <c r="BK183">
        <v>-268.02800000000002</v>
      </c>
      <c r="BL183">
        <v>544.22900000000004</v>
      </c>
      <c r="BM183">
        <v>805.19899999999996</v>
      </c>
      <c r="BN183">
        <v>16.041499999999999</v>
      </c>
      <c r="BO183">
        <v>800.03899999999999</v>
      </c>
      <c r="BP183">
        <v>6.4079499999999996</v>
      </c>
      <c r="BQ183">
        <v>2.2233200000000002</v>
      </c>
      <c r="BR183">
        <v>0.63462200000000002</v>
      </c>
      <c r="BS183">
        <v>19.131399999999999</v>
      </c>
      <c r="BT183">
        <v>0.46357300000000001</v>
      </c>
      <c r="BU183">
        <v>1800.01</v>
      </c>
      <c r="BV183">
        <v>0.90998400000000002</v>
      </c>
      <c r="BW183">
        <v>3.4007099999999998E-2</v>
      </c>
      <c r="BX183">
        <v>2.2004599999999999E-2</v>
      </c>
      <c r="BY183">
        <v>3.4004300000000001E-2</v>
      </c>
      <c r="BZ183">
        <v>25</v>
      </c>
      <c r="CA183">
        <v>33528.400000000001</v>
      </c>
      <c r="CB183">
        <v>1690229084.0999999</v>
      </c>
      <c r="CC183" t="s">
        <v>332</v>
      </c>
      <c r="CD183">
        <v>1690229084.0999999</v>
      </c>
      <c r="CE183">
        <v>1690229076.5999999</v>
      </c>
      <c r="CF183">
        <v>13</v>
      </c>
      <c r="CG183">
        <v>0.23300000000000001</v>
      </c>
      <c r="CH183">
        <v>-0.13100000000000001</v>
      </c>
      <c r="CI183">
        <v>-0.20599999999999999</v>
      </c>
      <c r="CJ183">
        <v>8.7999999999999995E-2</v>
      </c>
      <c r="CK183">
        <v>799</v>
      </c>
      <c r="CL183">
        <v>16</v>
      </c>
      <c r="CM183">
        <v>0.04</v>
      </c>
      <c r="CN183">
        <v>0.04</v>
      </c>
      <c r="CO183">
        <v>-267.12460975609758</v>
      </c>
      <c r="CP183">
        <v>-4.2366271777009938</v>
      </c>
      <c r="CQ183">
        <v>0.42565346480434862</v>
      </c>
      <c r="CR183">
        <v>-1</v>
      </c>
      <c r="CS183">
        <v>15.97974146341463</v>
      </c>
      <c r="CT183">
        <v>0.33284947735191878</v>
      </c>
      <c r="CU183">
        <v>3.3067189364875987E-2</v>
      </c>
      <c r="CV183">
        <v>-1</v>
      </c>
      <c r="CW183">
        <v>0</v>
      </c>
      <c r="CX183">
        <v>0</v>
      </c>
      <c r="CY183" t="s">
        <v>333</v>
      </c>
      <c r="CZ183">
        <v>2.3648099999999999</v>
      </c>
      <c r="DA183">
        <v>2.7138800000000001</v>
      </c>
      <c r="DB183">
        <v>0.110555</v>
      </c>
      <c r="DC183">
        <v>0.14607999999999999</v>
      </c>
      <c r="DD183">
        <v>0.108655</v>
      </c>
      <c r="DE183">
        <v>4.1617300000000003E-2</v>
      </c>
      <c r="DF183">
        <v>32494.9</v>
      </c>
      <c r="DG183">
        <v>27546.400000000001</v>
      </c>
      <c r="DH183">
        <v>31188.400000000001</v>
      </c>
      <c r="DI183">
        <v>28108.6</v>
      </c>
      <c r="DJ183">
        <v>37743.800000000003</v>
      </c>
      <c r="DK183">
        <v>38313.800000000003</v>
      </c>
      <c r="DL183">
        <v>44388.3</v>
      </c>
      <c r="DM183">
        <v>42607.8</v>
      </c>
      <c r="DN183">
        <v>1.48353</v>
      </c>
      <c r="DO183">
        <v>2.0388799999999998</v>
      </c>
      <c r="DP183">
        <v>0.13303799999999999</v>
      </c>
      <c r="DQ183">
        <v>0.18084</v>
      </c>
      <c r="DR183">
        <v>24.831199999999999</v>
      </c>
      <c r="DS183">
        <v>24.634699999999999</v>
      </c>
      <c r="DT183">
        <v>40.200000000000003</v>
      </c>
      <c r="DU183">
        <v>29.2</v>
      </c>
      <c r="DV183">
        <v>16.515899999999998</v>
      </c>
      <c r="DW183">
        <v>61.089799999999997</v>
      </c>
      <c r="DX183">
        <v>36.318100000000001</v>
      </c>
      <c r="DY183">
        <v>1</v>
      </c>
      <c r="DZ183">
        <v>-0.10524600000000001</v>
      </c>
      <c r="EA183">
        <v>0.38030799999999998</v>
      </c>
      <c r="EB183">
        <v>20.188800000000001</v>
      </c>
      <c r="EC183">
        <v>5.2409499999999998</v>
      </c>
      <c r="ED183">
        <v>12.039899999999999</v>
      </c>
      <c r="EE183">
        <v>5.0168999999999997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1.8691800000000001</v>
      </c>
      <c r="EN183">
        <v>1.8672200000000001</v>
      </c>
      <c r="EO183">
        <v>1.8633999999999999</v>
      </c>
      <c r="EP183">
        <v>1.8644700000000001</v>
      </c>
      <c r="EQ183">
        <v>1.87012</v>
      </c>
      <c r="ER183">
        <v>1.8694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-1.7999999999999999E-2</v>
      </c>
      <c r="FG183">
        <v>0.1787</v>
      </c>
      <c r="FH183">
        <v>0.3448811944559278</v>
      </c>
      <c r="FI183">
        <v>-6.1462078757559423E-4</v>
      </c>
      <c r="FJ183">
        <v>-1.8861989874597051E-7</v>
      </c>
      <c r="FK183">
        <v>1.1980462299894961E-10</v>
      </c>
      <c r="FL183">
        <v>0.17862261546663211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37.799999999999997</v>
      </c>
      <c r="FU183">
        <v>38</v>
      </c>
      <c r="FV183">
        <v>1.7712399999999999</v>
      </c>
      <c r="FW183">
        <v>2.5927699999999998</v>
      </c>
      <c r="FX183">
        <v>1.5490699999999999</v>
      </c>
      <c r="FY183">
        <v>2.32666</v>
      </c>
      <c r="FZ183">
        <v>1.50146</v>
      </c>
      <c r="GA183">
        <v>2.3144499999999999</v>
      </c>
      <c r="GB183">
        <v>33.850900000000003</v>
      </c>
      <c r="GC183">
        <v>23.982399999999998</v>
      </c>
      <c r="GD183">
        <v>19</v>
      </c>
      <c r="GE183">
        <v>285.44099999999997</v>
      </c>
      <c r="GF183">
        <v>583.86400000000003</v>
      </c>
      <c r="GG183">
        <v>23.819199999999999</v>
      </c>
      <c r="GH183">
        <v>26.059200000000001</v>
      </c>
      <c r="GI183">
        <v>30.0001</v>
      </c>
      <c r="GJ183">
        <v>26.2226</v>
      </c>
      <c r="GK183">
        <v>26.218</v>
      </c>
      <c r="GL183">
        <v>35.416600000000003</v>
      </c>
      <c r="GM183">
        <v>58.624200000000002</v>
      </c>
      <c r="GN183">
        <v>49.327599999999997</v>
      </c>
      <c r="GO183">
        <v>23.7974</v>
      </c>
      <c r="GP183">
        <v>800</v>
      </c>
      <c r="GQ183">
        <v>6.3881500000000004</v>
      </c>
      <c r="GR183">
        <v>99.795199999999994</v>
      </c>
      <c r="GS183">
        <v>99.669899999999998</v>
      </c>
    </row>
    <row r="184" spans="1:201" x14ac:dyDescent="0.25">
      <c r="A184">
        <v>168</v>
      </c>
      <c r="B184">
        <v>1690231365</v>
      </c>
      <c r="C184">
        <v>1859.900000095367</v>
      </c>
      <c r="D184" t="s">
        <v>669</v>
      </c>
      <c r="E184" t="s">
        <v>670</v>
      </c>
      <c r="F184" t="s">
        <v>330</v>
      </c>
      <c r="H184">
        <v>1690231365</v>
      </c>
      <c r="I184">
        <f t="shared" si="60"/>
        <v>1.5673306224950015E-3</v>
      </c>
      <c r="J184">
        <f t="shared" si="61"/>
        <v>1.5673306224950014</v>
      </c>
      <c r="K184">
        <f t="shared" si="62"/>
        <v>24.747981051499654</v>
      </c>
      <c r="L184">
        <f t="shared" si="63"/>
        <v>531.43799999999999</v>
      </c>
      <c r="M184">
        <f t="shared" si="64"/>
        <v>138.99499152080739</v>
      </c>
      <c r="N184">
        <f t="shared" si="65"/>
        <v>13.779438892274843</v>
      </c>
      <c r="O184">
        <f t="shared" si="66"/>
        <v>52.684757672987992</v>
      </c>
      <c r="P184">
        <f t="shared" si="67"/>
        <v>0.1054129659068045</v>
      </c>
      <c r="Q184">
        <f t="shared" si="68"/>
        <v>2.1736227303630238</v>
      </c>
      <c r="R184">
        <f t="shared" si="69"/>
        <v>0.10265307429628644</v>
      </c>
      <c r="S184">
        <f t="shared" si="70"/>
        <v>6.4400118194003708E-2</v>
      </c>
      <c r="T184">
        <f t="shared" si="71"/>
        <v>276.11603893800003</v>
      </c>
      <c r="U184">
        <f t="shared" si="72"/>
        <v>27.532535685847243</v>
      </c>
      <c r="V184">
        <f t="shared" si="73"/>
        <v>27.532535685847243</v>
      </c>
      <c r="W184">
        <f t="shared" si="74"/>
        <v>3.6926455616218341</v>
      </c>
      <c r="X184">
        <f t="shared" si="75"/>
        <v>66.212930343163478</v>
      </c>
      <c r="Y184">
        <f t="shared" si="76"/>
        <v>2.2241807120456003</v>
      </c>
      <c r="Z184">
        <f t="shared" si="77"/>
        <v>3.3591334812071918</v>
      </c>
      <c r="AA184">
        <f t="shared" si="78"/>
        <v>1.4684648495762338</v>
      </c>
      <c r="AB184">
        <f t="shared" si="79"/>
        <v>-69.119280452029571</v>
      </c>
      <c r="AC184">
        <f t="shared" si="80"/>
        <v>-188.48348817426546</v>
      </c>
      <c r="AD184">
        <f t="shared" si="81"/>
        <v>-18.663229941030263</v>
      </c>
      <c r="AE184">
        <f t="shared" si="82"/>
        <v>-0.14995962932522389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52366.891443448047</v>
      </c>
      <c r="AK184">
        <f t="shared" si="86"/>
        <v>1800</v>
      </c>
      <c r="AL184">
        <f t="shared" si="87"/>
        <v>1499.1090857999998</v>
      </c>
      <c r="AM184">
        <f t="shared" si="88"/>
        <v>0.83283838099999985</v>
      </c>
      <c r="AN184">
        <f t="shared" si="89"/>
        <v>0.15339779941000001</v>
      </c>
      <c r="AO184">
        <v>31.5</v>
      </c>
      <c r="AP184">
        <v>0.5</v>
      </c>
      <c r="AQ184" t="s">
        <v>331</v>
      </c>
      <c r="AR184">
        <v>2</v>
      </c>
      <c r="AS184">
        <v>1690231365</v>
      </c>
      <c r="AT184">
        <v>531.43799999999999</v>
      </c>
      <c r="AU184">
        <v>799.94100000000003</v>
      </c>
      <c r="AV184">
        <v>22.435600000000001</v>
      </c>
      <c r="AW184">
        <v>6.3536400000000004</v>
      </c>
      <c r="AX184">
        <v>531.45500000000004</v>
      </c>
      <c r="AY184">
        <v>22.256900000000002</v>
      </c>
      <c r="AZ184">
        <v>300.108</v>
      </c>
      <c r="BA184">
        <v>99.036199999999994</v>
      </c>
      <c r="BB184">
        <v>0.100026</v>
      </c>
      <c r="BC184">
        <v>25.924099999999999</v>
      </c>
      <c r="BD184">
        <v>27.017499999999998</v>
      </c>
      <c r="BE184">
        <v>27.5867</v>
      </c>
      <c r="BF184">
        <v>0</v>
      </c>
      <c r="BG184">
        <v>0</v>
      </c>
      <c r="BH184">
        <v>9962.5</v>
      </c>
      <c r="BI184">
        <v>1066.46</v>
      </c>
      <c r="BJ184">
        <v>1.4016500000000001</v>
      </c>
      <c r="BK184">
        <v>-268.50200000000001</v>
      </c>
      <c r="BL184">
        <v>543.63499999999999</v>
      </c>
      <c r="BM184">
        <v>805.05600000000004</v>
      </c>
      <c r="BN184">
        <v>16.081900000000001</v>
      </c>
      <c r="BO184">
        <v>799.94100000000003</v>
      </c>
      <c r="BP184">
        <v>6.3536400000000004</v>
      </c>
      <c r="BQ184">
        <v>2.22193</v>
      </c>
      <c r="BR184">
        <v>0.62924000000000002</v>
      </c>
      <c r="BS184">
        <v>19.121300000000002</v>
      </c>
      <c r="BT184">
        <v>0.34591699999999997</v>
      </c>
      <c r="BU184">
        <v>1800</v>
      </c>
      <c r="BV184">
        <v>0.90998299999999999</v>
      </c>
      <c r="BW184">
        <v>3.4007299999999997E-2</v>
      </c>
      <c r="BX184">
        <v>2.2004800000000001E-2</v>
      </c>
      <c r="BY184">
        <v>3.40045E-2</v>
      </c>
      <c r="BZ184">
        <v>25</v>
      </c>
      <c r="CA184">
        <v>33528.300000000003</v>
      </c>
      <c r="CB184">
        <v>1690229084.0999999</v>
      </c>
      <c r="CC184" t="s">
        <v>332</v>
      </c>
      <c r="CD184">
        <v>1690229084.0999999</v>
      </c>
      <c r="CE184">
        <v>1690229076.5999999</v>
      </c>
      <c r="CF184">
        <v>13</v>
      </c>
      <c r="CG184">
        <v>0.23300000000000001</v>
      </c>
      <c r="CH184">
        <v>-0.13100000000000001</v>
      </c>
      <c r="CI184">
        <v>-0.20599999999999999</v>
      </c>
      <c r="CJ184">
        <v>8.7999999999999995E-2</v>
      </c>
      <c r="CK184">
        <v>799</v>
      </c>
      <c r="CL184">
        <v>16</v>
      </c>
      <c r="CM184">
        <v>0.04</v>
      </c>
      <c r="CN184">
        <v>0.04</v>
      </c>
      <c r="CO184">
        <v>-267.85056097560982</v>
      </c>
      <c r="CP184">
        <v>-4.3508362369338949</v>
      </c>
      <c r="CQ184">
        <v>0.43494395763359461</v>
      </c>
      <c r="CR184">
        <v>-1</v>
      </c>
      <c r="CS184">
        <v>16.033273170731711</v>
      </c>
      <c r="CT184">
        <v>0.30090313588850492</v>
      </c>
      <c r="CU184">
        <v>2.9938758828488149E-2</v>
      </c>
      <c r="CV184">
        <v>-1</v>
      </c>
      <c r="CW184">
        <v>0</v>
      </c>
      <c r="CX184">
        <v>0</v>
      </c>
      <c r="CY184" t="s">
        <v>333</v>
      </c>
      <c r="CZ184">
        <v>2.3645399999999999</v>
      </c>
      <c r="DA184">
        <v>2.7137799999999999</v>
      </c>
      <c r="DB184">
        <v>0.110469</v>
      </c>
      <c r="DC184">
        <v>0.146068</v>
      </c>
      <c r="DD184">
        <v>0.108608</v>
      </c>
      <c r="DE184">
        <v>4.1331300000000001E-2</v>
      </c>
      <c r="DF184">
        <v>32498</v>
      </c>
      <c r="DG184">
        <v>27546.9</v>
      </c>
      <c r="DH184">
        <v>31188.400000000001</v>
      </c>
      <c r="DI184">
        <v>28108.7</v>
      </c>
      <c r="DJ184">
        <v>37746</v>
      </c>
      <c r="DK184">
        <v>38325.4</v>
      </c>
      <c r="DL184">
        <v>44388.4</v>
      </c>
      <c r="DM184">
        <v>42607.9</v>
      </c>
      <c r="DN184">
        <v>1.4834499999999999</v>
      </c>
      <c r="DO184">
        <v>2.0390000000000001</v>
      </c>
      <c r="DP184">
        <v>0.13337299999999999</v>
      </c>
      <c r="DQ184">
        <v>0.18024399999999999</v>
      </c>
      <c r="DR184">
        <v>24.8325</v>
      </c>
      <c r="DS184">
        <v>24.634699999999999</v>
      </c>
      <c r="DT184">
        <v>39.9</v>
      </c>
      <c r="DU184">
        <v>29.2</v>
      </c>
      <c r="DV184">
        <v>16.392399999999999</v>
      </c>
      <c r="DW184">
        <v>61.8598</v>
      </c>
      <c r="DX184">
        <v>36.2059</v>
      </c>
      <c r="DY184">
        <v>1</v>
      </c>
      <c r="DZ184">
        <v>-0.105457</v>
      </c>
      <c r="EA184">
        <v>0.358184</v>
      </c>
      <c r="EB184">
        <v>20.188700000000001</v>
      </c>
      <c r="EC184">
        <v>5.2415500000000002</v>
      </c>
      <c r="ED184">
        <v>12.039899999999999</v>
      </c>
      <c r="EE184">
        <v>5.0168999999999997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1.86917</v>
      </c>
      <c r="EN184">
        <v>1.8672200000000001</v>
      </c>
      <c r="EO184">
        <v>1.8633999999999999</v>
      </c>
      <c r="EP184">
        <v>1.8644799999999999</v>
      </c>
      <c r="EQ184">
        <v>1.87012</v>
      </c>
      <c r="ER184">
        <v>1.86937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-1.7000000000000001E-2</v>
      </c>
      <c r="FG184">
        <v>0.1787</v>
      </c>
      <c r="FH184">
        <v>0.3448811944559278</v>
      </c>
      <c r="FI184">
        <v>-6.1462078757559423E-4</v>
      </c>
      <c r="FJ184">
        <v>-1.8861989874597051E-7</v>
      </c>
      <c r="FK184">
        <v>1.1980462299894961E-10</v>
      </c>
      <c r="FL184">
        <v>0.17862261546663211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38</v>
      </c>
      <c r="FU184">
        <v>38.1</v>
      </c>
      <c r="FV184">
        <v>1.7712399999999999</v>
      </c>
      <c r="FW184">
        <v>2.5854499999999998</v>
      </c>
      <c r="FX184">
        <v>1.5490699999999999</v>
      </c>
      <c r="FY184">
        <v>2.32666</v>
      </c>
      <c r="FZ184">
        <v>1.50146</v>
      </c>
      <c r="GA184">
        <v>2.2997999999999998</v>
      </c>
      <c r="GB184">
        <v>33.828299999999999</v>
      </c>
      <c r="GC184">
        <v>23.982399999999998</v>
      </c>
      <c r="GD184">
        <v>19</v>
      </c>
      <c r="GE184">
        <v>285.39100000000002</v>
      </c>
      <c r="GF184">
        <v>583.91999999999996</v>
      </c>
      <c r="GG184">
        <v>23.784300000000002</v>
      </c>
      <c r="GH184">
        <v>26.0565</v>
      </c>
      <c r="GI184">
        <v>30</v>
      </c>
      <c r="GJ184">
        <v>26.218699999999998</v>
      </c>
      <c r="GK184">
        <v>26.213899999999999</v>
      </c>
      <c r="GL184">
        <v>35.418300000000002</v>
      </c>
      <c r="GM184">
        <v>58.624200000000002</v>
      </c>
      <c r="GN184">
        <v>48.948</v>
      </c>
      <c r="GO184">
        <v>23.783799999999999</v>
      </c>
      <c r="GP184">
        <v>800</v>
      </c>
      <c r="GQ184">
        <v>6.3336899999999998</v>
      </c>
      <c r="GR184">
        <v>99.795400000000001</v>
      </c>
      <c r="GS184">
        <v>99.670199999999994</v>
      </c>
    </row>
    <row r="185" spans="1:201" x14ac:dyDescent="0.25">
      <c r="A185">
        <v>169</v>
      </c>
      <c r="B185">
        <v>1690231375</v>
      </c>
      <c r="C185">
        <v>1869.900000095367</v>
      </c>
      <c r="D185" t="s">
        <v>671</v>
      </c>
      <c r="E185" t="s">
        <v>672</v>
      </c>
      <c r="F185" t="s">
        <v>330</v>
      </c>
      <c r="H185">
        <v>1690231375</v>
      </c>
      <c r="I185">
        <f t="shared" si="60"/>
        <v>1.5718849703459758E-3</v>
      </c>
      <c r="J185">
        <f t="shared" si="61"/>
        <v>1.5718849703459759</v>
      </c>
      <c r="K185">
        <f t="shared" si="62"/>
        <v>24.812475396608651</v>
      </c>
      <c r="L185">
        <f t="shared" si="63"/>
        <v>530.81500000000005</v>
      </c>
      <c r="M185">
        <f t="shared" si="64"/>
        <v>139.05623285965098</v>
      </c>
      <c r="N185">
        <f t="shared" si="65"/>
        <v>13.785564498470034</v>
      </c>
      <c r="O185">
        <f t="shared" si="66"/>
        <v>52.623203352855008</v>
      </c>
      <c r="P185">
        <f t="shared" si="67"/>
        <v>0.10587543997149379</v>
      </c>
      <c r="Q185">
        <f t="shared" si="68"/>
        <v>2.1791676979632708</v>
      </c>
      <c r="R185">
        <f t="shared" si="69"/>
        <v>0.10309850632530687</v>
      </c>
      <c r="S185">
        <f t="shared" si="70"/>
        <v>6.4679996425020592E-2</v>
      </c>
      <c r="T185">
        <f t="shared" si="71"/>
        <v>276.11609626800004</v>
      </c>
      <c r="U185">
        <f t="shared" si="72"/>
        <v>27.516866503523936</v>
      </c>
      <c r="V185">
        <f t="shared" si="73"/>
        <v>27.516866503523936</v>
      </c>
      <c r="W185">
        <f t="shared" si="74"/>
        <v>3.6892620775651594</v>
      </c>
      <c r="X185">
        <f t="shared" si="75"/>
        <v>66.214110069096392</v>
      </c>
      <c r="Y185">
        <f t="shared" si="76"/>
        <v>2.2228511400357003</v>
      </c>
      <c r="Z185">
        <f t="shared" si="77"/>
        <v>3.3570656431326933</v>
      </c>
      <c r="AA185">
        <f t="shared" si="78"/>
        <v>1.4664109375294592</v>
      </c>
      <c r="AB185">
        <f t="shared" si="79"/>
        <v>-69.32012719225753</v>
      </c>
      <c r="AC185">
        <f t="shared" si="80"/>
        <v>-188.34527354056218</v>
      </c>
      <c r="AD185">
        <f t="shared" si="81"/>
        <v>-18.599662151570012</v>
      </c>
      <c r="AE185">
        <f t="shared" si="82"/>
        <v>-0.14896661638965725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52598.892663980201</v>
      </c>
      <c r="AK185">
        <f t="shared" si="86"/>
        <v>1800</v>
      </c>
      <c r="AL185">
        <f t="shared" si="87"/>
        <v>1499.1093467999997</v>
      </c>
      <c r="AM185">
        <f t="shared" si="88"/>
        <v>0.83283852599999986</v>
      </c>
      <c r="AN185">
        <f t="shared" si="89"/>
        <v>0.15339783126000001</v>
      </c>
      <c r="AO185">
        <v>31.5</v>
      </c>
      <c r="AP185">
        <v>0.5</v>
      </c>
      <c r="AQ185" t="s">
        <v>331</v>
      </c>
      <c r="AR185">
        <v>2</v>
      </c>
      <c r="AS185">
        <v>1690231375</v>
      </c>
      <c r="AT185">
        <v>530.81500000000005</v>
      </c>
      <c r="AU185">
        <v>800.00199999999995</v>
      </c>
      <c r="AV185">
        <v>22.4221</v>
      </c>
      <c r="AW185">
        <v>6.2936699999999997</v>
      </c>
      <c r="AX185">
        <v>530.83100000000002</v>
      </c>
      <c r="AY185">
        <v>22.243400000000001</v>
      </c>
      <c r="AZ185">
        <v>300.11700000000002</v>
      </c>
      <c r="BA185">
        <v>99.036600000000007</v>
      </c>
      <c r="BB185">
        <v>0.10001699999999999</v>
      </c>
      <c r="BC185">
        <v>25.913699999999999</v>
      </c>
      <c r="BD185">
        <v>27.004799999999999</v>
      </c>
      <c r="BE185">
        <v>27.569299999999998</v>
      </c>
      <c r="BF185">
        <v>0</v>
      </c>
      <c r="BG185">
        <v>0</v>
      </c>
      <c r="BH185">
        <v>10008.1</v>
      </c>
      <c r="BI185">
        <v>1066.47</v>
      </c>
      <c r="BJ185">
        <v>1.4016500000000001</v>
      </c>
      <c r="BK185">
        <v>-269.18700000000001</v>
      </c>
      <c r="BL185">
        <v>542.99</v>
      </c>
      <c r="BM185">
        <v>805.06899999999996</v>
      </c>
      <c r="BN185">
        <v>16.128399999999999</v>
      </c>
      <c r="BO185">
        <v>800.00199999999995</v>
      </c>
      <c r="BP185">
        <v>6.2936699999999997</v>
      </c>
      <c r="BQ185">
        <v>2.2206100000000002</v>
      </c>
      <c r="BR185">
        <v>0.62330399999999997</v>
      </c>
      <c r="BS185">
        <v>19.111799999999999</v>
      </c>
      <c r="BT185">
        <v>0.215116</v>
      </c>
      <c r="BU185">
        <v>1800</v>
      </c>
      <c r="BV185">
        <v>0.90998299999999999</v>
      </c>
      <c r="BW185">
        <v>3.40074E-2</v>
      </c>
      <c r="BX185">
        <v>2.2004800000000001E-2</v>
      </c>
      <c r="BY185">
        <v>3.4004600000000003E-2</v>
      </c>
      <c r="BZ185">
        <v>25</v>
      </c>
      <c r="CA185">
        <v>33528.199999999997</v>
      </c>
      <c r="CB185">
        <v>1690229084.0999999</v>
      </c>
      <c r="CC185" t="s">
        <v>332</v>
      </c>
      <c r="CD185">
        <v>1690229084.0999999</v>
      </c>
      <c r="CE185">
        <v>1690229076.5999999</v>
      </c>
      <c r="CF185">
        <v>13</v>
      </c>
      <c r="CG185">
        <v>0.23300000000000001</v>
      </c>
      <c r="CH185">
        <v>-0.13100000000000001</v>
      </c>
      <c r="CI185">
        <v>-0.20599999999999999</v>
      </c>
      <c r="CJ185">
        <v>8.7999999999999995E-2</v>
      </c>
      <c r="CK185">
        <v>799</v>
      </c>
      <c r="CL185">
        <v>16</v>
      </c>
      <c r="CM185">
        <v>0.04</v>
      </c>
      <c r="CN185">
        <v>0.04</v>
      </c>
      <c r="CO185">
        <v>-268.53641463414641</v>
      </c>
      <c r="CP185">
        <v>-3.5687874564460311</v>
      </c>
      <c r="CQ185">
        <v>0.36115978327345988</v>
      </c>
      <c r="CR185">
        <v>-1</v>
      </c>
      <c r="CS185">
        <v>16.079290243902442</v>
      </c>
      <c r="CT185">
        <v>0.2440243902438968</v>
      </c>
      <c r="CU185">
        <v>2.4271681832227849E-2</v>
      </c>
      <c r="CV185">
        <v>-1</v>
      </c>
      <c r="CW185">
        <v>0</v>
      </c>
      <c r="CX185">
        <v>0</v>
      </c>
      <c r="CY185" t="s">
        <v>333</v>
      </c>
      <c r="CZ185">
        <v>2.3645900000000002</v>
      </c>
      <c r="DA185">
        <v>2.7138100000000001</v>
      </c>
      <c r="DB185">
        <v>0.110377</v>
      </c>
      <c r="DC185">
        <v>0.14607600000000001</v>
      </c>
      <c r="DD185">
        <v>0.10856300000000001</v>
      </c>
      <c r="DE185">
        <v>4.1015099999999999E-2</v>
      </c>
      <c r="DF185">
        <v>32501.7</v>
      </c>
      <c r="DG185">
        <v>27546.799999999999</v>
      </c>
      <c r="DH185">
        <v>31188.7</v>
      </c>
      <c r="DI185">
        <v>28108.9</v>
      </c>
      <c r="DJ185">
        <v>37748.199999999997</v>
      </c>
      <c r="DK185">
        <v>38338.300000000003</v>
      </c>
      <c r="DL185">
        <v>44388.7</v>
      </c>
      <c r="DM185">
        <v>42608.2</v>
      </c>
      <c r="DN185">
        <v>1.4834499999999999</v>
      </c>
      <c r="DO185">
        <v>2.0388999999999999</v>
      </c>
      <c r="DP185">
        <v>0.13272100000000001</v>
      </c>
      <c r="DQ185">
        <v>0.179175</v>
      </c>
      <c r="DR185">
        <v>24.830400000000001</v>
      </c>
      <c r="DS185">
        <v>24.634699999999999</v>
      </c>
      <c r="DT185">
        <v>39.6</v>
      </c>
      <c r="DU185">
        <v>29.2</v>
      </c>
      <c r="DV185">
        <v>16.2683</v>
      </c>
      <c r="DW185">
        <v>61.819800000000001</v>
      </c>
      <c r="DX185">
        <v>36.770800000000001</v>
      </c>
      <c r="DY185">
        <v>1</v>
      </c>
      <c r="DZ185">
        <v>-0.10606500000000001</v>
      </c>
      <c r="EA185">
        <v>0.36575400000000002</v>
      </c>
      <c r="EB185">
        <v>20.188800000000001</v>
      </c>
      <c r="EC185">
        <v>5.2415500000000002</v>
      </c>
      <c r="ED185">
        <v>12.039899999999999</v>
      </c>
      <c r="EE185">
        <v>5.0164999999999997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1.8689100000000001</v>
      </c>
      <c r="EL185">
        <v>1.8646199999999999</v>
      </c>
      <c r="EM185">
        <v>1.86917</v>
      </c>
      <c r="EN185">
        <v>1.8672200000000001</v>
      </c>
      <c r="EO185">
        <v>1.8633999999999999</v>
      </c>
      <c r="EP185">
        <v>1.8644799999999999</v>
      </c>
      <c r="EQ185">
        <v>1.8701300000000001</v>
      </c>
      <c r="ER185">
        <v>1.86937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-1.6E-2</v>
      </c>
      <c r="FG185">
        <v>0.1787</v>
      </c>
      <c r="FH185">
        <v>0.3448811944559278</v>
      </c>
      <c r="FI185">
        <v>-6.1462078757559423E-4</v>
      </c>
      <c r="FJ185">
        <v>-1.8861989874597051E-7</v>
      </c>
      <c r="FK185">
        <v>1.1980462299894961E-10</v>
      </c>
      <c r="FL185">
        <v>0.17862261546663211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38.200000000000003</v>
      </c>
      <c r="FU185">
        <v>38.299999999999997</v>
      </c>
      <c r="FV185">
        <v>1.7712399999999999</v>
      </c>
      <c r="FW185">
        <v>2.5866699999999998</v>
      </c>
      <c r="FX185">
        <v>1.5490699999999999</v>
      </c>
      <c r="FY185">
        <v>2.32666</v>
      </c>
      <c r="FZ185">
        <v>1.50146</v>
      </c>
      <c r="GA185">
        <v>2.36938</v>
      </c>
      <c r="GB185">
        <v>33.850900000000003</v>
      </c>
      <c r="GC185">
        <v>23.982399999999998</v>
      </c>
      <c r="GD185">
        <v>19</v>
      </c>
      <c r="GE185">
        <v>285.37400000000002</v>
      </c>
      <c r="GF185">
        <v>583.78800000000001</v>
      </c>
      <c r="GG185">
        <v>23.7681</v>
      </c>
      <c r="GH185">
        <v>26.052499999999998</v>
      </c>
      <c r="GI185">
        <v>29.9999</v>
      </c>
      <c r="GJ185">
        <v>26.2149</v>
      </c>
      <c r="GK185">
        <v>26.209499999999998</v>
      </c>
      <c r="GL185">
        <v>35.416200000000003</v>
      </c>
      <c r="GM185">
        <v>58.624200000000002</v>
      </c>
      <c r="GN185">
        <v>48.2</v>
      </c>
      <c r="GO185">
        <v>23.748000000000001</v>
      </c>
      <c r="GP185">
        <v>800</v>
      </c>
      <c r="GQ185">
        <v>6.2777599999999998</v>
      </c>
      <c r="GR185">
        <v>99.796199999999999</v>
      </c>
      <c r="GS185">
        <v>99.6708</v>
      </c>
    </row>
    <row r="186" spans="1:201" x14ac:dyDescent="0.25">
      <c r="A186">
        <v>170</v>
      </c>
      <c r="B186">
        <v>1690231385</v>
      </c>
      <c r="C186">
        <v>1879.900000095367</v>
      </c>
      <c r="D186" t="s">
        <v>673</v>
      </c>
      <c r="E186" t="s">
        <v>674</v>
      </c>
      <c r="F186" t="s">
        <v>330</v>
      </c>
      <c r="H186">
        <v>1690231385</v>
      </c>
      <c r="I186">
        <f t="shared" si="60"/>
        <v>1.5754274480890632E-3</v>
      </c>
      <c r="J186">
        <f t="shared" si="61"/>
        <v>1.5754274480890631</v>
      </c>
      <c r="K186">
        <f t="shared" si="62"/>
        <v>24.880634804365542</v>
      </c>
      <c r="L186">
        <f t="shared" si="63"/>
        <v>530.09500000000003</v>
      </c>
      <c r="M186">
        <f t="shared" si="64"/>
        <v>138.39431883436211</v>
      </c>
      <c r="N186">
        <f t="shared" si="65"/>
        <v>13.719636723095796</v>
      </c>
      <c r="O186">
        <f t="shared" si="66"/>
        <v>52.550645792287504</v>
      </c>
      <c r="P186">
        <f t="shared" si="67"/>
        <v>0.10617919158328001</v>
      </c>
      <c r="Q186">
        <f t="shared" si="68"/>
        <v>2.1828580315608699</v>
      </c>
      <c r="R186">
        <f t="shared" si="69"/>
        <v>0.10339111537130803</v>
      </c>
      <c r="S186">
        <f t="shared" si="70"/>
        <v>6.4863846903663244E-2</v>
      </c>
      <c r="T186">
        <f t="shared" si="71"/>
        <v>276.11602869599994</v>
      </c>
      <c r="U186">
        <f t="shared" si="72"/>
        <v>27.509792738742799</v>
      </c>
      <c r="V186">
        <f t="shared" si="73"/>
        <v>27.509792738742799</v>
      </c>
      <c r="W186">
        <f t="shared" si="74"/>
        <v>3.6877355091907837</v>
      </c>
      <c r="X186">
        <f t="shared" si="75"/>
        <v>66.207938730046294</v>
      </c>
      <c r="Y186">
        <f t="shared" si="76"/>
        <v>2.2221965422799999</v>
      </c>
      <c r="Z186">
        <f t="shared" si="77"/>
        <v>3.3563898603469569</v>
      </c>
      <c r="AA186">
        <f t="shared" si="78"/>
        <v>1.4655389669107839</v>
      </c>
      <c r="AB186">
        <f t="shared" si="79"/>
        <v>-69.476350460727687</v>
      </c>
      <c r="AC186">
        <f t="shared" si="80"/>
        <v>-188.23189187388817</v>
      </c>
      <c r="AD186">
        <f t="shared" si="81"/>
        <v>-18.556066444660722</v>
      </c>
      <c r="AE186">
        <f t="shared" si="82"/>
        <v>-0.14828008327663156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52752.973275393248</v>
      </c>
      <c r="AK186">
        <f t="shared" si="86"/>
        <v>1800</v>
      </c>
      <c r="AL186">
        <f t="shared" si="87"/>
        <v>1499.1093756</v>
      </c>
      <c r="AM186">
        <f t="shared" si="88"/>
        <v>0.83283854199999996</v>
      </c>
      <c r="AN186">
        <f t="shared" si="89"/>
        <v>0.15339779371999998</v>
      </c>
      <c r="AO186">
        <v>31.5</v>
      </c>
      <c r="AP186">
        <v>0.5</v>
      </c>
      <c r="AQ186" t="s">
        <v>331</v>
      </c>
      <c r="AR186">
        <v>2</v>
      </c>
      <c r="AS186">
        <v>1690231385</v>
      </c>
      <c r="AT186">
        <v>530.09500000000003</v>
      </c>
      <c r="AU186">
        <v>800.05200000000002</v>
      </c>
      <c r="AV186">
        <v>22.416</v>
      </c>
      <c r="AW186">
        <v>6.2483199999999997</v>
      </c>
      <c r="AX186">
        <v>530.11099999999999</v>
      </c>
      <c r="AY186">
        <v>22.237400000000001</v>
      </c>
      <c r="AZ186">
        <v>300.065</v>
      </c>
      <c r="BA186">
        <v>99.034400000000005</v>
      </c>
      <c r="BB186">
        <v>9.9992499999999998E-2</v>
      </c>
      <c r="BC186">
        <v>25.910299999999999</v>
      </c>
      <c r="BD186">
        <v>27.007000000000001</v>
      </c>
      <c r="BE186">
        <v>27.580500000000001</v>
      </c>
      <c r="BF186">
        <v>0</v>
      </c>
      <c r="BG186">
        <v>0</v>
      </c>
      <c r="BH186">
        <v>10038.799999999999</v>
      </c>
      <c r="BI186">
        <v>1066.3900000000001</v>
      </c>
      <c r="BJ186">
        <v>1.4016500000000001</v>
      </c>
      <c r="BK186">
        <v>-269.95699999999999</v>
      </c>
      <c r="BL186">
        <v>542.25</v>
      </c>
      <c r="BM186">
        <v>805.08199999999999</v>
      </c>
      <c r="BN186">
        <v>16.1677</v>
      </c>
      <c r="BO186">
        <v>800.05200000000002</v>
      </c>
      <c r="BP186">
        <v>6.2483199999999997</v>
      </c>
      <c r="BQ186">
        <v>2.2199499999999999</v>
      </c>
      <c r="BR186">
        <v>0.61879799999999996</v>
      </c>
      <c r="BS186">
        <v>19.106999999999999</v>
      </c>
      <c r="BT186">
        <v>0.115082</v>
      </c>
      <c r="BU186">
        <v>1800</v>
      </c>
      <c r="BV186">
        <v>0.90998400000000002</v>
      </c>
      <c r="BW186">
        <v>3.40069E-2</v>
      </c>
      <c r="BX186">
        <v>2.2004599999999999E-2</v>
      </c>
      <c r="BY186">
        <v>3.4004199999999998E-2</v>
      </c>
      <c r="BZ186">
        <v>25</v>
      </c>
      <c r="CA186">
        <v>33528.199999999997</v>
      </c>
      <c r="CB186">
        <v>1690229084.0999999</v>
      </c>
      <c r="CC186" t="s">
        <v>332</v>
      </c>
      <c r="CD186">
        <v>1690229084.0999999</v>
      </c>
      <c r="CE186">
        <v>1690229076.5999999</v>
      </c>
      <c r="CF186">
        <v>13</v>
      </c>
      <c r="CG186">
        <v>0.23300000000000001</v>
      </c>
      <c r="CH186">
        <v>-0.13100000000000001</v>
      </c>
      <c r="CI186">
        <v>-0.20599999999999999</v>
      </c>
      <c r="CJ186">
        <v>8.7999999999999995E-2</v>
      </c>
      <c r="CK186">
        <v>799</v>
      </c>
      <c r="CL186">
        <v>16</v>
      </c>
      <c r="CM186">
        <v>0.04</v>
      </c>
      <c r="CN186">
        <v>0.04</v>
      </c>
      <c r="CO186">
        <v>-269.17746341463408</v>
      </c>
      <c r="CP186">
        <v>-3.9587665505231699</v>
      </c>
      <c r="CQ186">
        <v>0.39970630056366241</v>
      </c>
      <c r="CR186">
        <v>-1</v>
      </c>
      <c r="CS186">
        <v>16.122187804878049</v>
      </c>
      <c r="CT186">
        <v>0.26995818815332512</v>
      </c>
      <c r="CU186">
        <v>2.6854187983526869E-2</v>
      </c>
      <c r="CV186">
        <v>-1</v>
      </c>
      <c r="CW186">
        <v>0</v>
      </c>
      <c r="CX186">
        <v>0</v>
      </c>
      <c r="CY186" t="s">
        <v>333</v>
      </c>
      <c r="CZ186">
        <v>2.36443</v>
      </c>
      <c r="DA186">
        <v>2.7138200000000001</v>
      </c>
      <c r="DB186">
        <v>0.110267</v>
      </c>
      <c r="DC186">
        <v>0.14607999999999999</v>
      </c>
      <c r="DD186">
        <v>0.10854</v>
      </c>
      <c r="DE186">
        <v>4.0774299999999999E-2</v>
      </c>
      <c r="DF186">
        <v>32506.3</v>
      </c>
      <c r="DG186">
        <v>27547</v>
      </c>
      <c r="DH186">
        <v>31189.3</v>
      </c>
      <c r="DI186">
        <v>28109.1</v>
      </c>
      <c r="DJ186">
        <v>37749.699999999997</v>
      </c>
      <c r="DK186">
        <v>38348.5</v>
      </c>
      <c r="DL186">
        <v>44389.5</v>
      </c>
      <c r="DM186">
        <v>42608.800000000003</v>
      </c>
      <c r="DN186">
        <v>1.4836</v>
      </c>
      <c r="DO186">
        <v>2.0388299999999999</v>
      </c>
      <c r="DP186">
        <v>0.13306399999999999</v>
      </c>
      <c r="DQ186">
        <v>0.17998700000000001</v>
      </c>
      <c r="DR186">
        <v>24.827000000000002</v>
      </c>
      <c r="DS186">
        <v>24.6327</v>
      </c>
      <c r="DT186">
        <v>39.4</v>
      </c>
      <c r="DU186">
        <v>29.2</v>
      </c>
      <c r="DV186">
        <v>16.184699999999999</v>
      </c>
      <c r="DW186">
        <v>61.5398</v>
      </c>
      <c r="DX186">
        <v>37.339700000000001</v>
      </c>
      <c r="DY186">
        <v>1</v>
      </c>
      <c r="DZ186">
        <v>-0.106082</v>
      </c>
      <c r="EA186">
        <v>0.35803600000000002</v>
      </c>
      <c r="EB186">
        <v>20.188700000000001</v>
      </c>
      <c r="EC186">
        <v>5.2409499999999998</v>
      </c>
      <c r="ED186">
        <v>12.039899999999999</v>
      </c>
      <c r="EE186">
        <v>5.0166000000000004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1.8691800000000001</v>
      </c>
      <c r="EN186">
        <v>1.8672200000000001</v>
      </c>
      <c r="EO186">
        <v>1.8633999999999999</v>
      </c>
      <c r="EP186">
        <v>1.8644700000000001</v>
      </c>
      <c r="EQ186">
        <v>1.8701300000000001</v>
      </c>
      <c r="ER186">
        <v>1.86941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-1.6E-2</v>
      </c>
      <c r="FG186">
        <v>0.17860000000000001</v>
      </c>
      <c r="FH186">
        <v>0.3448811944559278</v>
      </c>
      <c r="FI186">
        <v>-6.1462078757559423E-4</v>
      </c>
      <c r="FJ186">
        <v>-1.8861989874597051E-7</v>
      </c>
      <c r="FK186">
        <v>1.1980462299894961E-10</v>
      </c>
      <c r="FL186">
        <v>0.17862261546663211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38.299999999999997</v>
      </c>
      <c r="FU186">
        <v>38.5</v>
      </c>
      <c r="FV186">
        <v>1.7712399999999999</v>
      </c>
      <c r="FW186">
        <v>2.5842299999999998</v>
      </c>
      <c r="FX186">
        <v>1.5490699999999999</v>
      </c>
      <c r="FY186">
        <v>2.32666</v>
      </c>
      <c r="FZ186">
        <v>1.50146</v>
      </c>
      <c r="GA186">
        <v>2.3840300000000001</v>
      </c>
      <c r="GB186">
        <v>33.828299999999999</v>
      </c>
      <c r="GC186">
        <v>23.991199999999999</v>
      </c>
      <c r="GD186">
        <v>19</v>
      </c>
      <c r="GE186">
        <v>285.42099999999999</v>
      </c>
      <c r="GF186">
        <v>583.67999999999995</v>
      </c>
      <c r="GG186">
        <v>23.741199999999999</v>
      </c>
      <c r="GH186">
        <v>26.0488</v>
      </c>
      <c r="GI186">
        <v>29.9999</v>
      </c>
      <c r="GJ186">
        <v>26.210999999999999</v>
      </c>
      <c r="GK186">
        <v>26.205400000000001</v>
      </c>
      <c r="GL186">
        <v>35.414099999999998</v>
      </c>
      <c r="GM186">
        <v>58.624200000000002</v>
      </c>
      <c r="GN186">
        <v>47.826700000000002</v>
      </c>
      <c r="GO186">
        <v>23.739699999999999</v>
      </c>
      <c r="GP186">
        <v>800</v>
      </c>
      <c r="GQ186">
        <v>6.2209000000000003</v>
      </c>
      <c r="GR186">
        <v>99.798000000000002</v>
      </c>
      <c r="GS186">
        <v>99.671999999999997</v>
      </c>
    </row>
    <row r="187" spans="1:201" x14ac:dyDescent="0.25">
      <c r="A187">
        <v>171</v>
      </c>
      <c r="B187">
        <v>1690231395</v>
      </c>
      <c r="C187">
        <v>1889.900000095367</v>
      </c>
      <c r="D187" t="s">
        <v>675</v>
      </c>
      <c r="E187" t="s">
        <v>676</v>
      </c>
      <c r="F187" t="s">
        <v>330</v>
      </c>
      <c r="H187">
        <v>1690231395</v>
      </c>
      <c r="I187">
        <f t="shared" si="60"/>
        <v>1.5807019641924237E-3</v>
      </c>
      <c r="J187">
        <f t="shared" si="61"/>
        <v>1.5807019641924238</v>
      </c>
      <c r="K187">
        <f t="shared" si="62"/>
        <v>24.938630996841688</v>
      </c>
      <c r="L187">
        <f t="shared" si="63"/>
        <v>529.51099999999997</v>
      </c>
      <c r="M187">
        <f t="shared" si="64"/>
        <v>138.10957424562781</v>
      </c>
      <c r="N187">
        <f t="shared" si="65"/>
        <v>13.691248023162409</v>
      </c>
      <c r="O187">
        <f t="shared" si="66"/>
        <v>52.492135115116795</v>
      </c>
      <c r="P187">
        <f t="shared" si="67"/>
        <v>0.10651795156030004</v>
      </c>
      <c r="Q187">
        <f t="shared" si="68"/>
        <v>2.1802665256117768</v>
      </c>
      <c r="R187">
        <f t="shared" si="69"/>
        <v>0.10370906950795812</v>
      </c>
      <c r="S187">
        <f t="shared" si="70"/>
        <v>6.5064365885437458E-2</v>
      </c>
      <c r="T187">
        <f t="shared" si="71"/>
        <v>276.11607641400002</v>
      </c>
      <c r="U187">
        <f t="shared" si="72"/>
        <v>27.507126038311441</v>
      </c>
      <c r="V187">
        <f t="shared" si="73"/>
        <v>27.507126038311441</v>
      </c>
      <c r="W187">
        <f t="shared" si="74"/>
        <v>3.6871601595072852</v>
      </c>
      <c r="X187">
        <f t="shared" si="75"/>
        <v>66.18929207382088</v>
      </c>
      <c r="Y187">
        <f t="shared" si="76"/>
        <v>2.2212286911072003</v>
      </c>
      <c r="Z187">
        <f t="shared" si="77"/>
        <v>3.3558731654507881</v>
      </c>
      <c r="AA187">
        <f t="shared" si="78"/>
        <v>1.4659314684000848</v>
      </c>
      <c r="AB187">
        <f t="shared" si="79"/>
        <v>-69.708956620885886</v>
      </c>
      <c r="AC187">
        <f t="shared" si="80"/>
        <v>-188.00058137767007</v>
      </c>
      <c r="AD187">
        <f t="shared" si="81"/>
        <v>-18.554803535353869</v>
      </c>
      <c r="AE187">
        <f t="shared" si="82"/>
        <v>-0.14826511990980862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52645.562756662854</v>
      </c>
      <c r="AK187">
        <f t="shared" si="86"/>
        <v>1800</v>
      </c>
      <c r="AL187">
        <f t="shared" si="87"/>
        <v>1499.1099174000001</v>
      </c>
      <c r="AM187">
        <f t="shared" si="88"/>
        <v>0.832838843</v>
      </c>
      <c r="AN187">
        <f t="shared" si="89"/>
        <v>0.15339782023000001</v>
      </c>
      <c r="AO187">
        <v>31.5</v>
      </c>
      <c r="AP187">
        <v>0.5</v>
      </c>
      <c r="AQ187" t="s">
        <v>331</v>
      </c>
      <c r="AR187">
        <v>2</v>
      </c>
      <c r="AS187">
        <v>1690231395</v>
      </c>
      <c r="AT187">
        <v>529.51099999999997</v>
      </c>
      <c r="AU187">
        <v>800.04600000000005</v>
      </c>
      <c r="AV187">
        <v>22.406500000000001</v>
      </c>
      <c r="AW187">
        <v>6.1875600000000004</v>
      </c>
      <c r="AX187">
        <v>529.52599999999995</v>
      </c>
      <c r="AY187">
        <v>22.227900000000002</v>
      </c>
      <c r="AZ187">
        <v>300.12099999999998</v>
      </c>
      <c r="BA187">
        <v>99.033299999999997</v>
      </c>
      <c r="BB187">
        <v>9.9928799999999998E-2</v>
      </c>
      <c r="BC187">
        <v>25.907699999999998</v>
      </c>
      <c r="BD187">
        <v>27.0044</v>
      </c>
      <c r="BE187">
        <v>27.563199999999998</v>
      </c>
      <c r="BF187">
        <v>0</v>
      </c>
      <c r="BG187">
        <v>0</v>
      </c>
      <c r="BH187">
        <v>10017.5</v>
      </c>
      <c r="BI187">
        <v>1066.3900000000001</v>
      </c>
      <c r="BJ187">
        <v>1.4016500000000001</v>
      </c>
      <c r="BK187">
        <v>-270.53500000000003</v>
      </c>
      <c r="BL187">
        <v>541.64700000000005</v>
      </c>
      <c r="BM187">
        <v>805.02700000000004</v>
      </c>
      <c r="BN187">
        <v>16.219000000000001</v>
      </c>
      <c r="BO187">
        <v>800.04600000000005</v>
      </c>
      <c r="BP187">
        <v>6.1875600000000004</v>
      </c>
      <c r="BQ187">
        <v>2.2189899999999998</v>
      </c>
      <c r="BR187">
        <v>0.61277499999999996</v>
      </c>
      <c r="BS187">
        <v>19.100100000000001</v>
      </c>
      <c r="BT187">
        <v>-1.9654600000000001E-2</v>
      </c>
      <c r="BU187">
        <v>1800</v>
      </c>
      <c r="BV187">
        <v>0.90998500000000004</v>
      </c>
      <c r="BW187">
        <v>3.4006700000000001E-2</v>
      </c>
      <c r="BX187">
        <v>2.20044E-2</v>
      </c>
      <c r="BY187">
        <v>3.4003899999999997E-2</v>
      </c>
      <c r="BZ187">
        <v>25</v>
      </c>
      <c r="CA187">
        <v>33528.199999999997</v>
      </c>
      <c r="CB187">
        <v>1690229084.0999999</v>
      </c>
      <c r="CC187" t="s">
        <v>332</v>
      </c>
      <c r="CD187">
        <v>1690229084.0999999</v>
      </c>
      <c r="CE187">
        <v>1690229076.5999999</v>
      </c>
      <c r="CF187">
        <v>13</v>
      </c>
      <c r="CG187">
        <v>0.23300000000000001</v>
      </c>
      <c r="CH187">
        <v>-0.13100000000000001</v>
      </c>
      <c r="CI187">
        <v>-0.20599999999999999</v>
      </c>
      <c r="CJ187">
        <v>8.7999999999999995E-2</v>
      </c>
      <c r="CK187">
        <v>799</v>
      </c>
      <c r="CL187">
        <v>16</v>
      </c>
      <c r="CM187">
        <v>0.04</v>
      </c>
      <c r="CN187">
        <v>0.04</v>
      </c>
      <c r="CO187">
        <v>-269.85804878048782</v>
      </c>
      <c r="CP187">
        <v>-4.1503484320555977</v>
      </c>
      <c r="CQ187">
        <v>0.41080022746921402</v>
      </c>
      <c r="CR187">
        <v>-1</v>
      </c>
      <c r="CS187">
        <v>16.166151219512191</v>
      </c>
      <c r="CT187">
        <v>0.26034982578397559</v>
      </c>
      <c r="CU187">
        <v>2.585650950686599E-2</v>
      </c>
      <c r="CV187">
        <v>-1</v>
      </c>
      <c r="CW187">
        <v>0</v>
      </c>
      <c r="CX187">
        <v>0</v>
      </c>
      <c r="CY187" t="s">
        <v>333</v>
      </c>
      <c r="CZ187">
        <v>2.3646099999999999</v>
      </c>
      <c r="DA187">
        <v>2.71374</v>
      </c>
      <c r="DB187">
        <v>0.110179</v>
      </c>
      <c r="DC187">
        <v>0.14607700000000001</v>
      </c>
      <c r="DD187">
        <v>0.10850799999999999</v>
      </c>
      <c r="DE187">
        <v>4.0451500000000001E-2</v>
      </c>
      <c r="DF187">
        <v>32509.7</v>
      </c>
      <c r="DG187">
        <v>27547.3</v>
      </c>
      <c r="DH187">
        <v>31189.4</v>
      </c>
      <c r="DI187">
        <v>28109.3</v>
      </c>
      <c r="DJ187">
        <v>37751.199999999997</v>
      </c>
      <c r="DK187">
        <v>38361.599999999999</v>
      </c>
      <c r="DL187">
        <v>44389.599999999999</v>
      </c>
      <c r="DM187">
        <v>42609</v>
      </c>
      <c r="DN187">
        <v>1.48353</v>
      </c>
      <c r="DO187">
        <v>2.0386500000000001</v>
      </c>
      <c r="DP187">
        <v>0.133079</v>
      </c>
      <c r="DQ187">
        <v>0.17913100000000001</v>
      </c>
      <c r="DR187">
        <v>24.824200000000001</v>
      </c>
      <c r="DS187">
        <v>24.629300000000001</v>
      </c>
      <c r="DT187">
        <v>39.1</v>
      </c>
      <c r="DU187">
        <v>29.2</v>
      </c>
      <c r="DV187">
        <v>16.0625</v>
      </c>
      <c r="DW187">
        <v>61.259799999999998</v>
      </c>
      <c r="DX187">
        <v>37.379800000000003</v>
      </c>
      <c r="DY187">
        <v>1</v>
      </c>
      <c r="DZ187">
        <v>-0.106519</v>
      </c>
      <c r="EA187">
        <v>0.35351900000000003</v>
      </c>
      <c r="EB187">
        <v>20.188600000000001</v>
      </c>
      <c r="EC187">
        <v>5.2406499999999996</v>
      </c>
      <c r="ED187">
        <v>12.039899999999999</v>
      </c>
      <c r="EE187">
        <v>5.0164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1.86917</v>
      </c>
      <c r="EN187">
        <v>1.8672200000000001</v>
      </c>
      <c r="EO187">
        <v>1.8633999999999999</v>
      </c>
      <c r="EP187">
        <v>1.8644799999999999</v>
      </c>
      <c r="EQ187">
        <v>1.8701399999999999</v>
      </c>
      <c r="ER187">
        <v>1.8694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-1.4999999999999999E-2</v>
      </c>
      <c r="FG187">
        <v>0.17860000000000001</v>
      </c>
      <c r="FH187">
        <v>0.3448811944559278</v>
      </c>
      <c r="FI187">
        <v>-6.1462078757559423E-4</v>
      </c>
      <c r="FJ187">
        <v>-1.8861989874597051E-7</v>
      </c>
      <c r="FK187">
        <v>1.1980462299894961E-10</v>
      </c>
      <c r="FL187">
        <v>0.17862261546663211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38.5</v>
      </c>
      <c r="FU187">
        <v>38.6</v>
      </c>
      <c r="FV187">
        <v>1.7712399999999999</v>
      </c>
      <c r="FW187">
        <v>2.5830099999999998</v>
      </c>
      <c r="FX187">
        <v>1.5490699999999999</v>
      </c>
      <c r="FY187">
        <v>2.32666</v>
      </c>
      <c r="FZ187">
        <v>1.50146</v>
      </c>
      <c r="GA187">
        <v>2.3840300000000001</v>
      </c>
      <c r="GB187">
        <v>33.828299999999999</v>
      </c>
      <c r="GC187">
        <v>23.991199999999999</v>
      </c>
      <c r="GD187">
        <v>19</v>
      </c>
      <c r="GE187">
        <v>285.37099999999998</v>
      </c>
      <c r="GF187">
        <v>583.49199999999996</v>
      </c>
      <c r="GG187">
        <v>23.732500000000002</v>
      </c>
      <c r="GH187">
        <v>26.0458</v>
      </c>
      <c r="GI187">
        <v>29.9999</v>
      </c>
      <c r="GJ187">
        <v>26.207000000000001</v>
      </c>
      <c r="GK187">
        <v>26.201599999999999</v>
      </c>
      <c r="GL187">
        <v>35.410400000000003</v>
      </c>
      <c r="GM187">
        <v>58.624200000000002</v>
      </c>
      <c r="GN187">
        <v>47.450899999999997</v>
      </c>
      <c r="GO187">
        <v>23.7179</v>
      </c>
      <c r="GP187">
        <v>800</v>
      </c>
      <c r="GQ187">
        <v>6.1635</v>
      </c>
      <c r="GR187">
        <v>99.798299999999998</v>
      </c>
      <c r="GS187">
        <v>99.672700000000006</v>
      </c>
    </row>
    <row r="188" spans="1:201" x14ac:dyDescent="0.25">
      <c r="A188">
        <v>172</v>
      </c>
      <c r="B188">
        <v>1690231405</v>
      </c>
      <c r="C188">
        <v>1899.900000095367</v>
      </c>
      <c r="D188" t="s">
        <v>677</v>
      </c>
      <c r="E188" t="s">
        <v>678</v>
      </c>
      <c r="F188" t="s">
        <v>330</v>
      </c>
      <c r="H188">
        <v>1690231405</v>
      </c>
      <c r="I188">
        <f t="shared" si="60"/>
        <v>1.5838373568857289E-3</v>
      </c>
      <c r="J188">
        <f t="shared" si="61"/>
        <v>1.5838373568857289</v>
      </c>
      <c r="K188">
        <f t="shared" si="62"/>
        <v>24.999309140127934</v>
      </c>
      <c r="L188">
        <f t="shared" si="63"/>
        <v>528.93100000000004</v>
      </c>
      <c r="M188">
        <f t="shared" si="64"/>
        <v>136.64069265376955</v>
      </c>
      <c r="N188">
        <f t="shared" si="65"/>
        <v>13.546360687253136</v>
      </c>
      <c r="O188">
        <f t="shared" si="66"/>
        <v>52.437454505774006</v>
      </c>
      <c r="P188">
        <f t="shared" si="67"/>
        <v>0.10653922715249814</v>
      </c>
      <c r="Q188">
        <f t="shared" si="68"/>
        <v>2.1700696485207573</v>
      </c>
      <c r="R188">
        <f t="shared" si="69"/>
        <v>0.10371641184241627</v>
      </c>
      <c r="S188">
        <f t="shared" si="70"/>
        <v>6.5070146565854387E-2</v>
      </c>
      <c r="T188">
        <f t="shared" si="71"/>
        <v>276.11623179000003</v>
      </c>
      <c r="U188">
        <f t="shared" si="72"/>
        <v>27.513293069499106</v>
      </c>
      <c r="V188">
        <f t="shared" si="73"/>
        <v>27.513293069499106</v>
      </c>
      <c r="W188">
        <f t="shared" si="74"/>
        <v>3.6884908363642528</v>
      </c>
      <c r="X188">
        <f t="shared" si="75"/>
        <v>66.141355332212967</v>
      </c>
      <c r="Y188">
        <f t="shared" si="76"/>
        <v>2.2196725686384</v>
      </c>
      <c r="Z188">
        <f t="shared" si="77"/>
        <v>3.3559526524509367</v>
      </c>
      <c r="AA188">
        <f t="shared" si="78"/>
        <v>1.4688182677258528</v>
      </c>
      <c r="AB188">
        <f t="shared" si="79"/>
        <v>-69.847227438660639</v>
      </c>
      <c r="AC188">
        <f t="shared" si="80"/>
        <v>-187.79602354044547</v>
      </c>
      <c r="AD188">
        <f t="shared" si="81"/>
        <v>-18.622319372007979</v>
      </c>
      <c r="AE188">
        <f t="shared" si="82"/>
        <v>-0.14933856111403543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52222.575035592541</v>
      </c>
      <c r="AK188">
        <f t="shared" si="86"/>
        <v>1800</v>
      </c>
      <c r="AL188">
        <f t="shared" si="87"/>
        <v>1499.1105960000002</v>
      </c>
      <c r="AM188">
        <f t="shared" si="88"/>
        <v>0.8328392200000001</v>
      </c>
      <c r="AN188">
        <f t="shared" si="89"/>
        <v>0.15339790655000002</v>
      </c>
      <c r="AO188">
        <v>31.5</v>
      </c>
      <c r="AP188">
        <v>0.5</v>
      </c>
      <c r="AQ188" t="s">
        <v>331</v>
      </c>
      <c r="AR188">
        <v>2</v>
      </c>
      <c r="AS188">
        <v>1690231405</v>
      </c>
      <c r="AT188">
        <v>528.93100000000004</v>
      </c>
      <c r="AU188">
        <v>800.01400000000001</v>
      </c>
      <c r="AV188">
        <v>22.389600000000002</v>
      </c>
      <c r="AW188">
        <v>6.1440000000000001</v>
      </c>
      <c r="AX188">
        <v>528.94600000000003</v>
      </c>
      <c r="AY188">
        <v>22.210899999999999</v>
      </c>
      <c r="AZ188">
        <v>300.22800000000001</v>
      </c>
      <c r="BA188">
        <v>99.038499999999999</v>
      </c>
      <c r="BB188">
        <v>0.100054</v>
      </c>
      <c r="BC188">
        <v>25.908100000000001</v>
      </c>
      <c r="BD188">
        <v>26.9648</v>
      </c>
      <c r="BE188">
        <v>27.585000000000001</v>
      </c>
      <c r="BF188">
        <v>0</v>
      </c>
      <c r="BG188">
        <v>0</v>
      </c>
      <c r="BH188">
        <v>9933.1200000000008</v>
      </c>
      <c r="BI188">
        <v>1066.31</v>
      </c>
      <c r="BJ188">
        <v>1.4016500000000001</v>
      </c>
      <c r="BK188">
        <v>-271.08199999999999</v>
      </c>
      <c r="BL188">
        <v>541.04499999999996</v>
      </c>
      <c r="BM188">
        <v>804.95899999999995</v>
      </c>
      <c r="BN188">
        <v>16.2456</v>
      </c>
      <c r="BO188">
        <v>800.01400000000001</v>
      </c>
      <c r="BP188">
        <v>6.1440000000000001</v>
      </c>
      <c r="BQ188">
        <v>2.2174299999999998</v>
      </c>
      <c r="BR188">
        <v>0.60849299999999995</v>
      </c>
      <c r="BS188">
        <v>19.088799999999999</v>
      </c>
      <c r="BT188">
        <v>-0.116147</v>
      </c>
      <c r="BU188">
        <v>1800</v>
      </c>
      <c r="BV188">
        <v>0.90998500000000004</v>
      </c>
      <c r="BW188">
        <v>3.40069E-2</v>
      </c>
      <c r="BX188">
        <v>2.20045E-2</v>
      </c>
      <c r="BY188">
        <v>3.4004100000000002E-2</v>
      </c>
      <c r="BZ188">
        <v>25</v>
      </c>
      <c r="CA188">
        <v>33528.199999999997</v>
      </c>
      <c r="CB188">
        <v>1690229084.0999999</v>
      </c>
      <c r="CC188" t="s">
        <v>332</v>
      </c>
      <c r="CD188">
        <v>1690229084.0999999</v>
      </c>
      <c r="CE188">
        <v>1690229076.5999999</v>
      </c>
      <c r="CF188">
        <v>13</v>
      </c>
      <c r="CG188">
        <v>0.23300000000000001</v>
      </c>
      <c r="CH188">
        <v>-0.13100000000000001</v>
      </c>
      <c r="CI188">
        <v>-0.20599999999999999</v>
      </c>
      <c r="CJ188">
        <v>8.7999999999999995E-2</v>
      </c>
      <c r="CK188">
        <v>799</v>
      </c>
      <c r="CL188">
        <v>16</v>
      </c>
      <c r="CM188">
        <v>0.04</v>
      </c>
      <c r="CN188">
        <v>0.04</v>
      </c>
      <c r="CO188">
        <v>-270.43135000000001</v>
      </c>
      <c r="CP188">
        <v>-2.9638198874291062</v>
      </c>
      <c r="CQ188">
        <v>0.28977047382367749</v>
      </c>
      <c r="CR188">
        <v>-1</v>
      </c>
      <c r="CS188">
        <v>16.206082500000001</v>
      </c>
      <c r="CT188">
        <v>0.2335846153846067</v>
      </c>
      <c r="CU188">
        <v>2.2789579718590341E-2</v>
      </c>
      <c r="CV188">
        <v>-1</v>
      </c>
      <c r="CW188">
        <v>0</v>
      </c>
      <c r="CX188">
        <v>0</v>
      </c>
      <c r="CY188" t="s">
        <v>333</v>
      </c>
      <c r="CZ188">
        <v>2.36496</v>
      </c>
      <c r="DA188">
        <v>2.7137899999999999</v>
      </c>
      <c r="DB188">
        <v>0.110098</v>
      </c>
      <c r="DC188">
        <v>0.14608099999999999</v>
      </c>
      <c r="DD188">
        <v>0.108456</v>
      </c>
      <c r="DE188">
        <v>4.0222000000000001E-2</v>
      </c>
      <c r="DF188">
        <v>32512.7</v>
      </c>
      <c r="DG188">
        <v>27547.3</v>
      </c>
      <c r="DH188">
        <v>31189.5</v>
      </c>
      <c r="DI188">
        <v>28109.5</v>
      </c>
      <c r="DJ188">
        <v>37753.699999999997</v>
      </c>
      <c r="DK188">
        <v>38371</v>
      </c>
      <c r="DL188">
        <v>44389.9</v>
      </c>
      <c r="DM188">
        <v>42609.2</v>
      </c>
      <c r="DN188">
        <v>1.4836499999999999</v>
      </c>
      <c r="DO188">
        <v>2.0385499999999999</v>
      </c>
      <c r="DP188">
        <v>0.13078699999999999</v>
      </c>
      <c r="DQ188">
        <v>0.180643</v>
      </c>
      <c r="DR188">
        <v>24.821999999999999</v>
      </c>
      <c r="DS188">
        <v>24.6264</v>
      </c>
      <c r="DT188">
        <v>38.9</v>
      </c>
      <c r="DU188">
        <v>29.2</v>
      </c>
      <c r="DV188">
        <v>15.9808</v>
      </c>
      <c r="DW188">
        <v>61.759799999999998</v>
      </c>
      <c r="DX188">
        <v>36.995199999999997</v>
      </c>
      <c r="DY188">
        <v>1</v>
      </c>
      <c r="DZ188">
        <v>-0.106507</v>
      </c>
      <c r="EA188">
        <v>0.36527500000000002</v>
      </c>
      <c r="EB188">
        <v>20.1889</v>
      </c>
      <c r="EC188">
        <v>5.2416999999999998</v>
      </c>
      <c r="ED188">
        <v>12.039899999999999</v>
      </c>
      <c r="EE188">
        <v>5.01675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1.8691599999999999</v>
      </c>
      <c r="EN188">
        <v>1.8672200000000001</v>
      </c>
      <c r="EO188">
        <v>1.86338</v>
      </c>
      <c r="EP188">
        <v>1.8644700000000001</v>
      </c>
      <c r="EQ188">
        <v>1.87012</v>
      </c>
      <c r="ER188">
        <v>1.8693900000000001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-1.4999999999999999E-2</v>
      </c>
      <c r="FG188">
        <v>0.1787</v>
      </c>
      <c r="FH188">
        <v>0.3448811944559278</v>
      </c>
      <c r="FI188">
        <v>-6.1462078757559423E-4</v>
      </c>
      <c r="FJ188">
        <v>-1.8861989874597051E-7</v>
      </c>
      <c r="FK188">
        <v>1.1980462299894961E-10</v>
      </c>
      <c r="FL188">
        <v>0.17862261546663211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38.700000000000003</v>
      </c>
      <c r="FU188">
        <v>38.799999999999997</v>
      </c>
      <c r="FV188">
        <v>1.7712399999999999</v>
      </c>
      <c r="FW188">
        <v>2.5927699999999998</v>
      </c>
      <c r="FX188">
        <v>1.5490699999999999</v>
      </c>
      <c r="FY188">
        <v>2.32666</v>
      </c>
      <c r="FZ188">
        <v>1.50146</v>
      </c>
      <c r="GA188">
        <v>2.3571800000000001</v>
      </c>
      <c r="GB188">
        <v>33.828299999999999</v>
      </c>
      <c r="GC188">
        <v>23.982399999999998</v>
      </c>
      <c r="GD188">
        <v>19</v>
      </c>
      <c r="GE188">
        <v>285.40800000000002</v>
      </c>
      <c r="GF188">
        <v>583.37199999999996</v>
      </c>
      <c r="GG188">
        <v>23.7135</v>
      </c>
      <c r="GH188">
        <v>26.041499999999999</v>
      </c>
      <c r="GI188">
        <v>30.0001</v>
      </c>
      <c r="GJ188">
        <v>26.203299999999999</v>
      </c>
      <c r="GK188">
        <v>26.1983</v>
      </c>
      <c r="GL188">
        <v>35.412399999999998</v>
      </c>
      <c r="GM188">
        <v>58.624200000000002</v>
      </c>
      <c r="GN188">
        <v>46.666400000000003</v>
      </c>
      <c r="GO188">
        <v>23.788699999999999</v>
      </c>
      <c r="GP188">
        <v>800</v>
      </c>
      <c r="GQ188">
        <v>6.1186299999999996</v>
      </c>
      <c r="GR188">
        <v>99.7988</v>
      </c>
      <c r="GS188">
        <v>99.673199999999994</v>
      </c>
    </row>
    <row r="189" spans="1:201" x14ac:dyDescent="0.25">
      <c r="A189">
        <v>173</v>
      </c>
      <c r="B189">
        <v>1690231415</v>
      </c>
      <c r="C189">
        <v>1909.900000095367</v>
      </c>
      <c r="D189" t="s">
        <v>679</v>
      </c>
      <c r="E189" t="s">
        <v>680</v>
      </c>
      <c r="F189" t="s">
        <v>330</v>
      </c>
      <c r="H189">
        <v>1690231415</v>
      </c>
      <c r="I189">
        <f t="shared" si="60"/>
        <v>1.5875430218389383E-3</v>
      </c>
      <c r="J189">
        <f t="shared" si="61"/>
        <v>1.5875430218389384</v>
      </c>
      <c r="K189">
        <f t="shared" si="62"/>
        <v>25.026287819696687</v>
      </c>
      <c r="L189">
        <f t="shared" si="63"/>
        <v>528.52599999999995</v>
      </c>
      <c r="M189">
        <f t="shared" si="64"/>
        <v>137.1266469723459</v>
      </c>
      <c r="N189">
        <f t="shared" si="65"/>
        <v>13.594016414448355</v>
      </c>
      <c r="O189">
        <f t="shared" si="66"/>
        <v>52.395294992603993</v>
      </c>
      <c r="P189">
        <f t="shared" si="67"/>
        <v>0.10690117608158801</v>
      </c>
      <c r="Q189">
        <f t="shared" si="68"/>
        <v>2.176416046561477</v>
      </c>
      <c r="R189">
        <f t="shared" si="69"/>
        <v>0.10406747355210853</v>
      </c>
      <c r="S189">
        <f t="shared" si="70"/>
        <v>6.529051141590908E-2</v>
      </c>
      <c r="T189">
        <f t="shared" si="71"/>
        <v>276.11589906</v>
      </c>
      <c r="U189">
        <f t="shared" si="72"/>
        <v>27.503066226315241</v>
      </c>
      <c r="V189">
        <f t="shared" si="73"/>
        <v>27.503066226315241</v>
      </c>
      <c r="W189">
        <f t="shared" si="74"/>
        <v>3.6862843916781842</v>
      </c>
      <c r="X189">
        <f t="shared" si="75"/>
        <v>66.14068285061478</v>
      </c>
      <c r="Y189">
        <f t="shared" si="76"/>
        <v>2.219032333536</v>
      </c>
      <c r="Z189">
        <f t="shared" si="77"/>
        <v>3.3550187840483936</v>
      </c>
      <c r="AA189">
        <f t="shared" si="78"/>
        <v>1.4672520581421842</v>
      </c>
      <c r="AB189">
        <f t="shared" si="79"/>
        <v>-70.010647263097184</v>
      </c>
      <c r="AC189">
        <f t="shared" si="80"/>
        <v>-187.6967437276459</v>
      </c>
      <c r="AD189">
        <f t="shared" si="81"/>
        <v>-18.556813542796409</v>
      </c>
      <c r="AE189">
        <f t="shared" si="82"/>
        <v>-0.14830547353949441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52486.362529578473</v>
      </c>
      <c r="AK189">
        <f t="shared" si="86"/>
        <v>1800</v>
      </c>
      <c r="AL189">
        <f t="shared" si="87"/>
        <v>1499.1094979999998</v>
      </c>
      <c r="AM189">
        <f t="shared" si="88"/>
        <v>0.83283860999999992</v>
      </c>
      <c r="AN189">
        <f t="shared" si="89"/>
        <v>0.15339772169999999</v>
      </c>
      <c r="AO189">
        <v>31.5</v>
      </c>
      <c r="AP189">
        <v>0.5</v>
      </c>
      <c r="AQ189" t="s">
        <v>331</v>
      </c>
      <c r="AR189">
        <v>2</v>
      </c>
      <c r="AS189">
        <v>1690231415</v>
      </c>
      <c r="AT189">
        <v>528.52599999999995</v>
      </c>
      <c r="AU189">
        <v>799.93299999999999</v>
      </c>
      <c r="AV189">
        <v>22.384</v>
      </c>
      <c r="AW189">
        <v>6.0986700000000003</v>
      </c>
      <c r="AX189">
        <v>528.54100000000005</v>
      </c>
      <c r="AY189">
        <v>22.205300000000001</v>
      </c>
      <c r="AZ189">
        <v>300.19799999999998</v>
      </c>
      <c r="BA189">
        <v>99.034700000000001</v>
      </c>
      <c r="BB189">
        <v>0.100054</v>
      </c>
      <c r="BC189">
        <v>25.903400000000001</v>
      </c>
      <c r="BD189">
        <v>26.985299999999999</v>
      </c>
      <c r="BE189">
        <v>27.546800000000001</v>
      </c>
      <c r="BF189">
        <v>0</v>
      </c>
      <c r="BG189">
        <v>0</v>
      </c>
      <c r="BH189">
        <v>9985.6200000000008</v>
      </c>
      <c r="BI189">
        <v>1066.19</v>
      </c>
      <c r="BJ189">
        <v>1.4016500000000001</v>
      </c>
      <c r="BK189">
        <v>-271.40699999999998</v>
      </c>
      <c r="BL189">
        <v>540.62699999999995</v>
      </c>
      <c r="BM189">
        <v>804.84100000000001</v>
      </c>
      <c r="BN189">
        <v>16.285299999999999</v>
      </c>
      <c r="BO189">
        <v>799.93299999999999</v>
      </c>
      <c r="BP189">
        <v>6.0986700000000003</v>
      </c>
      <c r="BQ189">
        <v>2.21679</v>
      </c>
      <c r="BR189">
        <v>0.60397999999999996</v>
      </c>
      <c r="BS189">
        <v>19.084199999999999</v>
      </c>
      <c r="BT189">
        <v>-0.21848400000000001</v>
      </c>
      <c r="BU189">
        <v>1800</v>
      </c>
      <c r="BV189">
        <v>0.90998599999999996</v>
      </c>
      <c r="BW189">
        <v>3.40062E-2</v>
      </c>
      <c r="BX189">
        <v>2.2003999999999999E-2</v>
      </c>
      <c r="BY189">
        <v>3.4003400000000003E-2</v>
      </c>
      <c r="BZ189">
        <v>25</v>
      </c>
      <c r="CA189">
        <v>33528.199999999997</v>
      </c>
      <c r="CB189">
        <v>1690229084.0999999</v>
      </c>
      <c r="CC189" t="s">
        <v>332</v>
      </c>
      <c r="CD189">
        <v>1690229084.0999999</v>
      </c>
      <c r="CE189">
        <v>1690229076.5999999</v>
      </c>
      <c r="CF189">
        <v>13</v>
      </c>
      <c r="CG189">
        <v>0.23300000000000001</v>
      </c>
      <c r="CH189">
        <v>-0.13100000000000001</v>
      </c>
      <c r="CI189">
        <v>-0.20599999999999999</v>
      </c>
      <c r="CJ189">
        <v>8.7999999999999995E-2</v>
      </c>
      <c r="CK189">
        <v>799</v>
      </c>
      <c r="CL189">
        <v>16</v>
      </c>
      <c r="CM189">
        <v>0.04</v>
      </c>
      <c r="CN189">
        <v>0.04</v>
      </c>
      <c r="CO189">
        <v>-270.95142499999997</v>
      </c>
      <c r="CP189">
        <v>-3.2369943714816789</v>
      </c>
      <c r="CQ189">
        <v>0.31557636853066212</v>
      </c>
      <c r="CR189">
        <v>-1</v>
      </c>
      <c r="CS189">
        <v>16.243457500000002</v>
      </c>
      <c r="CT189">
        <v>0.21014071294557971</v>
      </c>
      <c r="CU189">
        <v>2.0541274151084189E-2</v>
      </c>
      <c r="CV189">
        <v>-1</v>
      </c>
      <c r="CW189">
        <v>0</v>
      </c>
      <c r="CX189">
        <v>0</v>
      </c>
      <c r="CY189" t="s">
        <v>333</v>
      </c>
      <c r="CZ189">
        <v>2.3648699999999998</v>
      </c>
      <c r="DA189">
        <v>2.7138300000000002</v>
      </c>
      <c r="DB189">
        <v>0.11003400000000001</v>
      </c>
      <c r="DC189">
        <v>0.146066</v>
      </c>
      <c r="DD189">
        <v>0.108433</v>
      </c>
      <c r="DE189">
        <v>3.9979000000000001E-2</v>
      </c>
      <c r="DF189">
        <v>32515</v>
      </c>
      <c r="DG189">
        <v>27548.2</v>
      </c>
      <c r="DH189">
        <v>31189.4</v>
      </c>
      <c r="DI189">
        <v>28109.9</v>
      </c>
      <c r="DJ189">
        <v>37754.5</v>
      </c>
      <c r="DK189">
        <v>38381.300000000003</v>
      </c>
      <c r="DL189">
        <v>44389.8</v>
      </c>
      <c r="DM189">
        <v>42609.8</v>
      </c>
      <c r="DN189">
        <v>1.4838199999999999</v>
      </c>
      <c r="DO189">
        <v>2.0386000000000002</v>
      </c>
      <c r="DP189">
        <v>0.13204299999999999</v>
      </c>
      <c r="DQ189">
        <v>0.17830699999999999</v>
      </c>
      <c r="DR189">
        <v>24.821999999999999</v>
      </c>
      <c r="DS189">
        <v>24.6264</v>
      </c>
      <c r="DT189">
        <v>38.6</v>
      </c>
      <c r="DU189">
        <v>29.2</v>
      </c>
      <c r="DV189">
        <v>15.8584</v>
      </c>
      <c r="DW189">
        <v>61.9298</v>
      </c>
      <c r="DX189">
        <v>36.302100000000003</v>
      </c>
      <c r="DY189">
        <v>1</v>
      </c>
      <c r="DZ189">
        <v>-0.107863</v>
      </c>
      <c r="EA189">
        <v>0.11347</v>
      </c>
      <c r="EB189">
        <v>20.189699999999998</v>
      </c>
      <c r="EC189">
        <v>5.2413999999999996</v>
      </c>
      <c r="ED189">
        <v>12.039899999999999</v>
      </c>
      <c r="EE189">
        <v>5.0167000000000002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1.86913</v>
      </c>
      <c r="EN189">
        <v>1.8672200000000001</v>
      </c>
      <c r="EO189">
        <v>1.8633900000000001</v>
      </c>
      <c r="EP189">
        <v>1.8644700000000001</v>
      </c>
      <c r="EQ189">
        <v>1.87012</v>
      </c>
      <c r="ER189">
        <v>1.8693900000000001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-1.4999999999999999E-2</v>
      </c>
      <c r="FG189">
        <v>0.1787</v>
      </c>
      <c r="FH189">
        <v>0.3448811944559278</v>
      </c>
      <c r="FI189">
        <v>-6.1462078757559423E-4</v>
      </c>
      <c r="FJ189">
        <v>-1.8861989874597051E-7</v>
      </c>
      <c r="FK189">
        <v>1.1980462299894961E-10</v>
      </c>
      <c r="FL189">
        <v>0.17862261546663211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38.799999999999997</v>
      </c>
      <c r="FU189">
        <v>39</v>
      </c>
      <c r="FV189">
        <v>1.7712399999999999</v>
      </c>
      <c r="FW189">
        <v>2.5915499999999998</v>
      </c>
      <c r="FX189">
        <v>1.5490699999999999</v>
      </c>
      <c r="FY189">
        <v>2.32666</v>
      </c>
      <c r="FZ189">
        <v>1.50146</v>
      </c>
      <c r="GA189">
        <v>2.3010299999999999</v>
      </c>
      <c r="GB189">
        <v>33.828299999999999</v>
      </c>
      <c r="GC189">
        <v>23.982399999999998</v>
      </c>
      <c r="GD189">
        <v>19</v>
      </c>
      <c r="GE189">
        <v>285.46800000000002</v>
      </c>
      <c r="GF189">
        <v>583.36599999999999</v>
      </c>
      <c r="GG189">
        <v>23.808800000000002</v>
      </c>
      <c r="GH189">
        <v>26.039300000000001</v>
      </c>
      <c r="GI189">
        <v>29.999700000000001</v>
      </c>
      <c r="GJ189">
        <v>26.200099999999999</v>
      </c>
      <c r="GK189">
        <v>26.194199999999999</v>
      </c>
      <c r="GL189">
        <v>35.4116</v>
      </c>
      <c r="GM189">
        <v>58.624200000000002</v>
      </c>
      <c r="GN189">
        <v>46.276200000000003</v>
      </c>
      <c r="GO189">
        <v>23.83</v>
      </c>
      <c r="GP189">
        <v>800</v>
      </c>
      <c r="GQ189">
        <v>6.0650500000000003</v>
      </c>
      <c r="GR189">
        <v>99.798500000000004</v>
      </c>
      <c r="GS189">
        <v>99.674499999999995</v>
      </c>
    </row>
    <row r="190" spans="1:201" x14ac:dyDescent="0.25">
      <c r="A190">
        <v>174</v>
      </c>
      <c r="B190">
        <v>1690231425</v>
      </c>
      <c r="C190">
        <v>1919.900000095367</v>
      </c>
      <c r="D190" t="s">
        <v>681</v>
      </c>
      <c r="E190" t="s">
        <v>682</v>
      </c>
      <c r="F190" t="s">
        <v>330</v>
      </c>
      <c r="H190">
        <v>1690231425</v>
      </c>
      <c r="I190">
        <f t="shared" si="60"/>
        <v>1.5938510347835802E-3</v>
      </c>
      <c r="J190">
        <f t="shared" si="61"/>
        <v>1.5938510347835801</v>
      </c>
      <c r="K190">
        <f t="shared" si="62"/>
        <v>25.085842795446123</v>
      </c>
      <c r="L190">
        <f t="shared" si="63"/>
        <v>527.96400000000006</v>
      </c>
      <c r="M190">
        <f t="shared" si="64"/>
        <v>136.77704342226144</v>
      </c>
      <c r="N190">
        <f t="shared" si="65"/>
        <v>13.559300285492707</v>
      </c>
      <c r="O190">
        <f t="shared" si="66"/>
        <v>52.339356348192005</v>
      </c>
      <c r="P190">
        <f t="shared" si="67"/>
        <v>0.10722128538537186</v>
      </c>
      <c r="Q190">
        <f t="shared" si="68"/>
        <v>2.1766395270641485</v>
      </c>
      <c r="R190">
        <f t="shared" si="69"/>
        <v>0.10437111468494698</v>
      </c>
      <c r="S190">
        <f t="shared" si="70"/>
        <v>6.5481712681584536E-2</v>
      </c>
      <c r="T190">
        <f t="shared" si="71"/>
        <v>276.11591779800005</v>
      </c>
      <c r="U190">
        <f t="shared" si="72"/>
        <v>27.512541010924625</v>
      </c>
      <c r="V190">
        <f t="shared" si="73"/>
        <v>27.512541010924625</v>
      </c>
      <c r="W190">
        <f t="shared" si="74"/>
        <v>3.6883285402346941</v>
      </c>
      <c r="X190">
        <f t="shared" si="75"/>
        <v>66.110145997660226</v>
      </c>
      <c r="Y190">
        <f t="shared" si="76"/>
        <v>2.2195581233231998</v>
      </c>
      <c r="Z190">
        <f t="shared" si="77"/>
        <v>3.3573638203760043</v>
      </c>
      <c r="AA190">
        <f t="shared" si="78"/>
        <v>1.4687704169114943</v>
      </c>
      <c r="AB190">
        <f t="shared" si="79"/>
        <v>-70.288830633955882</v>
      </c>
      <c r="AC190">
        <f t="shared" si="80"/>
        <v>-187.44315992800705</v>
      </c>
      <c r="AD190">
        <f t="shared" si="81"/>
        <v>-18.531812768937019</v>
      </c>
      <c r="AE190">
        <f t="shared" si="82"/>
        <v>-0.14788553289989181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52493.559098231737</v>
      </c>
      <c r="AK190">
        <f t="shared" si="86"/>
        <v>1800</v>
      </c>
      <c r="AL190">
        <f t="shared" si="87"/>
        <v>1499.1099138000002</v>
      </c>
      <c r="AM190">
        <f t="shared" si="88"/>
        <v>0.83283884100000005</v>
      </c>
      <c r="AN190">
        <f t="shared" si="89"/>
        <v>0.15339773211000002</v>
      </c>
      <c r="AO190">
        <v>31.5</v>
      </c>
      <c r="AP190">
        <v>0.5</v>
      </c>
      <c r="AQ190" t="s">
        <v>331</v>
      </c>
      <c r="AR190">
        <v>2</v>
      </c>
      <c r="AS190">
        <v>1690231425</v>
      </c>
      <c r="AT190">
        <v>527.96400000000006</v>
      </c>
      <c r="AU190">
        <v>800.03599999999994</v>
      </c>
      <c r="AV190">
        <v>22.389399999999998</v>
      </c>
      <c r="AW190">
        <v>6.0385799999999996</v>
      </c>
      <c r="AX190">
        <v>527.97900000000004</v>
      </c>
      <c r="AY190">
        <v>22.210699999999999</v>
      </c>
      <c r="AZ190">
        <v>300.18200000000002</v>
      </c>
      <c r="BA190">
        <v>99.034300000000002</v>
      </c>
      <c r="BB190">
        <v>0.10002800000000001</v>
      </c>
      <c r="BC190">
        <v>25.915199999999999</v>
      </c>
      <c r="BD190">
        <v>26.977799999999998</v>
      </c>
      <c r="BE190">
        <v>27.547499999999999</v>
      </c>
      <c r="BF190">
        <v>0</v>
      </c>
      <c r="BG190">
        <v>0</v>
      </c>
      <c r="BH190">
        <v>9987.5</v>
      </c>
      <c r="BI190">
        <v>1066.19</v>
      </c>
      <c r="BJ190">
        <v>1.4016500000000001</v>
      </c>
      <c r="BK190">
        <v>-272.07100000000003</v>
      </c>
      <c r="BL190">
        <v>540.05600000000004</v>
      </c>
      <c r="BM190">
        <v>804.89599999999996</v>
      </c>
      <c r="BN190">
        <v>16.3508</v>
      </c>
      <c r="BO190">
        <v>800.03599999999994</v>
      </c>
      <c r="BP190">
        <v>6.0385799999999996</v>
      </c>
      <c r="BQ190">
        <v>2.21732</v>
      </c>
      <c r="BR190">
        <v>0.59802699999999998</v>
      </c>
      <c r="BS190">
        <v>19.088000000000001</v>
      </c>
      <c r="BT190">
        <v>-0.35453699999999999</v>
      </c>
      <c r="BU190">
        <v>1800</v>
      </c>
      <c r="BV190">
        <v>0.90998699999999999</v>
      </c>
      <c r="BW190">
        <v>3.4005899999999999E-2</v>
      </c>
      <c r="BX190">
        <v>2.20038E-2</v>
      </c>
      <c r="BY190">
        <v>3.4003100000000001E-2</v>
      </c>
      <c r="BZ190">
        <v>25</v>
      </c>
      <c r="CA190">
        <v>33528.300000000003</v>
      </c>
      <c r="CB190">
        <v>1690229084.0999999</v>
      </c>
      <c r="CC190" t="s">
        <v>332</v>
      </c>
      <c r="CD190">
        <v>1690229084.0999999</v>
      </c>
      <c r="CE190">
        <v>1690229076.5999999</v>
      </c>
      <c r="CF190">
        <v>13</v>
      </c>
      <c r="CG190">
        <v>0.23300000000000001</v>
      </c>
      <c r="CH190">
        <v>-0.13100000000000001</v>
      </c>
      <c r="CI190">
        <v>-0.20599999999999999</v>
      </c>
      <c r="CJ190">
        <v>8.7999999999999995E-2</v>
      </c>
      <c r="CK190">
        <v>799</v>
      </c>
      <c r="CL190">
        <v>16</v>
      </c>
      <c r="CM190">
        <v>0.04</v>
      </c>
      <c r="CN190">
        <v>0.04</v>
      </c>
      <c r="CO190">
        <v>-271.48256097560977</v>
      </c>
      <c r="CP190">
        <v>-3.0186480836236118</v>
      </c>
      <c r="CQ190">
        <v>0.30401508697964458</v>
      </c>
      <c r="CR190">
        <v>-1</v>
      </c>
      <c r="CS190">
        <v>16.286668292682929</v>
      </c>
      <c r="CT190">
        <v>0.29669686411147511</v>
      </c>
      <c r="CU190">
        <v>2.9471097366943848E-2</v>
      </c>
      <c r="CV190">
        <v>-1</v>
      </c>
      <c r="CW190">
        <v>0</v>
      </c>
      <c r="CX190">
        <v>0</v>
      </c>
      <c r="CY190" t="s">
        <v>333</v>
      </c>
      <c r="CZ190">
        <v>2.3648099999999999</v>
      </c>
      <c r="DA190">
        <v>2.7138100000000001</v>
      </c>
      <c r="DB190">
        <v>0.10995000000000001</v>
      </c>
      <c r="DC190">
        <v>0.14607800000000001</v>
      </c>
      <c r="DD190">
        <v>0.10845200000000001</v>
      </c>
      <c r="DE190">
        <v>3.9657699999999997E-2</v>
      </c>
      <c r="DF190">
        <v>32518.5</v>
      </c>
      <c r="DG190">
        <v>27548.1</v>
      </c>
      <c r="DH190">
        <v>31189.8</v>
      </c>
      <c r="DI190">
        <v>28110.2</v>
      </c>
      <c r="DJ190">
        <v>37754.1</v>
      </c>
      <c r="DK190">
        <v>38394.5</v>
      </c>
      <c r="DL190">
        <v>44390.3</v>
      </c>
      <c r="DM190">
        <v>42610.2</v>
      </c>
      <c r="DN190">
        <v>1.4841</v>
      </c>
      <c r="DO190">
        <v>2.0384199999999999</v>
      </c>
      <c r="DP190">
        <v>0.13145399999999999</v>
      </c>
      <c r="DQ190">
        <v>0.17847499999999999</v>
      </c>
      <c r="DR190">
        <v>24.824200000000001</v>
      </c>
      <c r="DS190">
        <v>24.624400000000001</v>
      </c>
      <c r="DT190">
        <v>38.4</v>
      </c>
      <c r="DU190">
        <v>29.2</v>
      </c>
      <c r="DV190">
        <v>15.7783</v>
      </c>
      <c r="DW190">
        <v>61.589799999999997</v>
      </c>
      <c r="DX190">
        <v>36.081699999999998</v>
      </c>
      <c r="DY190">
        <v>1</v>
      </c>
      <c r="DZ190">
        <v>-0.107891</v>
      </c>
      <c r="EA190">
        <v>0.220692</v>
      </c>
      <c r="EB190">
        <v>20.1892</v>
      </c>
      <c r="EC190">
        <v>5.2413999999999996</v>
      </c>
      <c r="ED190">
        <v>12.039899999999999</v>
      </c>
      <c r="EE190">
        <v>5.01675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1.8646100000000001</v>
      </c>
      <c r="EM190">
        <v>1.8691800000000001</v>
      </c>
      <c r="EN190">
        <v>1.8672200000000001</v>
      </c>
      <c r="EO190">
        <v>1.86338</v>
      </c>
      <c r="EP190">
        <v>1.8644700000000001</v>
      </c>
      <c r="EQ190">
        <v>1.8701300000000001</v>
      </c>
      <c r="ER190">
        <v>1.86938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-1.4999999999999999E-2</v>
      </c>
      <c r="FG190">
        <v>0.1787</v>
      </c>
      <c r="FH190">
        <v>0.3448811944559278</v>
      </c>
      <c r="FI190">
        <v>-6.1462078757559423E-4</v>
      </c>
      <c r="FJ190">
        <v>-1.8861989874597051E-7</v>
      </c>
      <c r="FK190">
        <v>1.1980462299894961E-10</v>
      </c>
      <c r="FL190">
        <v>0.17862261546663211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39</v>
      </c>
      <c r="FU190">
        <v>39.1</v>
      </c>
      <c r="FV190">
        <v>1.7712399999999999</v>
      </c>
      <c r="FW190">
        <v>2.5842299999999998</v>
      </c>
      <c r="FX190">
        <v>1.5490699999999999</v>
      </c>
      <c r="FY190">
        <v>2.32666</v>
      </c>
      <c r="FZ190">
        <v>1.50146</v>
      </c>
      <c r="GA190">
        <v>2.3071299999999999</v>
      </c>
      <c r="GB190">
        <v>33.828299999999999</v>
      </c>
      <c r="GC190">
        <v>23.973700000000001</v>
      </c>
      <c r="GD190">
        <v>19</v>
      </c>
      <c r="GE190">
        <v>285.56900000000002</v>
      </c>
      <c r="GF190">
        <v>583.18200000000002</v>
      </c>
      <c r="GG190">
        <v>23.843399999999999</v>
      </c>
      <c r="GH190">
        <v>26.035</v>
      </c>
      <c r="GI190">
        <v>30</v>
      </c>
      <c r="GJ190">
        <v>26.196200000000001</v>
      </c>
      <c r="GK190">
        <v>26.1906</v>
      </c>
      <c r="GL190">
        <v>35.406399999999998</v>
      </c>
      <c r="GM190">
        <v>58.624200000000002</v>
      </c>
      <c r="GN190">
        <v>45.888399999999997</v>
      </c>
      <c r="GO190">
        <v>23.847799999999999</v>
      </c>
      <c r="GP190">
        <v>800</v>
      </c>
      <c r="GQ190">
        <v>6.0007599999999996</v>
      </c>
      <c r="GR190">
        <v>99.799599999999998</v>
      </c>
      <c r="GS190">
        <v>99.675600000000003</v>
      </c>
    </row>
    <row r="191" spans="1:201" x14ac:dyDescent="0.25">
      <c r="A191">
        <v>175</v>
      </c>
      <c r="B191">
        <v>1690231435</v>
      </c>
      <c r="C191">
        <v>1929.900000095367</v>
      </c>
      <c r="D191" t="s">
        <v>683</v>
      </c>
      <c r="E191" t="s">
        <v>684</v>
      </c>
      <c r="F191" t="s">
        <v>330</v>
      </c>
      <c r="H191">
        <v>1690231435</v>
      </c>
      <c r="I191">
        <f t="shared" si="60"/>
        <v>1.5977521335400675E-3</v>
      </c>
      <c r="J191">
        <f t="shared" si="61"/>
        <v>1.5977521335400675</v>
      </c>
      <c r="K191">
        <f t="shared" si="62"/>
        <v>25.128492605694166</v>
      </c>
      <c r="L191">
        <f t="shared" si="63"/>
        <v>527.43600000000004</v>
      </c>
      <c r="M191">
        <f t="shared" si="64"/>
        <v>136.33182892593737</v>
      </c>
      <c r="N191">
        <f t="shared" si="65"/>
        <v>13.515229957525305</v>
      </c>
      <c r="O191">
        <f t="shared" si="66"/>
        <v>52.287267647160007</v>
      </c>
      <c r="P191">
        <f t="shared" si="67"/>
        <v>0.10742867886837108</v>
      </c>
      <c r="Q191">
        <f t="shared" si="68"/>
        <v>2.1773281386165286</v>
      </c>
      <c r="R191">
        <f t="shared" si="69"/>
        <v>0.10456850890868159</v>
      </c>
      <c r="S191">
        <f t="shared" si="70"/>
        <v>6.560595037288941E-2</v>
      </c>
      <c r="T191">
        <f t="shared" si="71"/>
        <v>276.11584061400004</v>
      </c>
      <c r="U191">
        <f t="shared" si="72"/>
        <v>27.513841169299965</v>
      </c>
      <c r="V191">
        <f t="shared" si="73"/>
        <v>27.513841169299965</v>
      </c>
      <c r="W191">
        <f t="shared" si="74"/>
        <v>3.6886091216042067</v>
      </c>
      <c r="X191">
        <f t="shared" si="75"/>
        <v>66.0818014516191</v>
      </c>
      <c r="Y191">
        <f t="shared" si="76"/>
        <v>2.219013760078</v>
      </c>
      <c r="Z191">
        <f t="shared" si="77"/>
        <v>3.3579801266504834</v>
      </c>
      <c r="AA191">
        <f t="shared" si="78"/>
        <v>1.4695953615262067</v>
      </c>
      <c r="AB191">
        <f t="shared" si="79"/>
        <v>-70.460869089116983</v>
      </c>
      <c r="AC191">
        <f t="shared" si="80"/>
        <v>-187.29118748063564</v>
      </c>
      <c r="AD191">
        <f t="shared" si="81"/>
        <v>-18.511338961164721</v>
      </c>
      <c r="AE191">
        <f t="shared" si="82"/>
        <v>-0.14755491691730072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52521.617139958711</v>
      </c>
      <c r="AK191">
        <f t="shared" si="86"/>
        <v>1800</v>
      </c>
      <c r="AL191">
        <f t="shared" si="87"/>
        <v>1499.1102234000002</v>
      </c>
      <c r="AM191">
        <f t="shared" si="88"/>
        <v>0.83283901300000007</v>
      </c>
      <c r="AN191">
        <f t="shared" si="89"/>
        <v>0.15339768923000002</v>
      </c>
      <c r="AO191">
        <v>31.5</v>
      </c>
      <c r="AP191">
        <v>0.5</v>
      </c>
      <c r="AQ191" t="s">
        <v>331</v>
      </c>
      <c r="AR191">
        <v>2</v>
      </c>
      <c r="AS191">
        <v>1690231435</v>
      </c>
      <c r="AT191">
        <v>527.43600000000004</v>
      </c>
      <c r="AU191">
        <v>800.00099999999998</v>
      </c>
      <c r="AV191">
        <v>22.383800000000001</v>
      </c>
      <c r="AW191">
        <v>5.9908999999999999</v>
      </c>
      <c r="AX191">
        <v>527.45000000000005</v>
      </c>
      <c r="AY191">
        <v>22.205200000000001</v>
      </c>
      <c r="AZ191">
        <v>300.14600000000002</v>
      </c>
      <c r="BA191">
        <v>99.034800000000004</v>
      </c>
      <c r="BB191">
        <v>0.10001</v>
      </c>
      <c r="BC191">
        <v>25.918299999999999</v>
      </c>
      <c r="BD191">
        <v>26.9968</v>
      </c>
      <c r="BE191">
        <v>27.552600000000002</v>
      </c>
      <c r="BF191">
        <v>0</v>
      </c>
      <c r="BG191">
        <v>0</v>
      </c>
      <c r="BH191">
        <v>9993.1200000000008</v>
      </c>
      <c r="BI191">
        <v>1066.26</v>
      </c>
      <c r="BJ191">
        <v>1.4016500000000001</v>
      </c>
      <c r="BK191">
        <v>-272.565</v>
      </c>
      <c r="BL191">
        <v>539.51300000000003</v>
      </c>
      <c r="BM191">
        <v>804.82299999999998</v>
      </c>
      <c r="BN191">
        <v>16.392900000000001</v>
      </c>
      <c r="BO191">
        <v>800.00099999999998</v>
      </c>
      <c r="BP191">
        <v>5.9908999999999999</v>
      </c>
      <c r="BQ191">
        <v>2.21678</v>
      </c>
      <c r="BR191">
        <v>0.59330700000000003</v>
      </c>
      <c r="BS191">
        <v>19.084099999999999</v>
      </c>
      <c r="BT191">
        <v>-0.46326200000000001</v>
      </c>
      <c r="BU191">
        <v>1800</v>
      </c>
      <c r="BV191">
        <v>0.90998900000000005</v>
      </c>
      <c r="BW191">
        <v>3.4005100000000003E-2</v>
      </c>
      <c r="BX191">
        <v>2.2003399999999999E-2</v>
      </c>
      <c r="BY191">
        <v>3.4002299999999999E-2</v>
      </c>
      <c r="BZ191">
        <v>25</v>
      </c>
      <c r="CA191">
        <v>33528.300000000003</v>
      </c>
      <c r="CB191">
        <v>1690229084.0999999</v>
      </c>
      <c r="CC191" t="s">
        <v>332</v>
      </c>
      <c r="CD191">
        <v>1690229084.0999999</v>
      </c>
      <c r="CE191">
        <v>1690229076.5999999</v>
      </c>
      <c r="CF191">
        <v>13</v>
      </c>
      <c r="CG191">
        <v>0.23300000000000001</v>
      </c>
      <c r="CH191">
        <v>-0.13100000000000001</v>
      </c>
      <c r="CI191">
        <v>-0.20599999999999999</v>
      </c>
      <c r="CJ191">
        <v>8.7999999999999995E-2</v>
      </c>
      <c r="CK191">
        <v>799</v>
      </c>
      <c r="CL191">
        <v>16</v>
      </c>
      <c r="CM191">
        <v>0.04</v>
      </c>
      <c r="CN191">
        <v>0.04</v>
      </c>
      <c r="CO191">
        <v>-271.99970731707322</v>
      </c>
      <c r="CP191">
        <v>-3.5062369337990509</v>
      </c>
      <c r="CQ191">
        <v>0.35006461033625791</v>
      </c>
      <c r="CR191">
        <v>-1</v>
      </c>
      <c r="CS191">
        <v>16.338860975609759</v>
      </c>
      <c r="CT191">
        <v>0.32899233449481069</v>
      </c>
      <c r="CU191">
        <v>3.2628731002799657E-2</v>
      </c>
      <c r="CV191">
        <v>-1</v>
      </c>
      <c r="CW191">
        <v>0</v>
      </c>
      <c r="CX191">
        <v>0</v>
      </c>
      <c r="CY191" t="s">
        <v>333</v>
      </c>
      <c r="CZ191">
        <v>2.3647100000000001</v>
      </c>
      <c r="DA191">
        <v>2.7137899999999999</v>
      </c>
      <c r="DB191">
        <v>0.109872</v>
      </c>
      <c r="DC191">
        <v>0.14607500000000001</v>
      </c>
      <c r="DD191">
        <v>0.108434</v>
      </c>
      <c r="DE191">
        <v>3.9402399999999997E-2</v>
      </c>
      <c r="DF191">
        <v>32521.599999999999</v>
      </c>
      <c r="DG191">
        <v>27548.6</v>
      </c>
      <c r="DH191">
        <v>31190</v>
      </c>
      <c r="DI191">
        <v>28110.6</v>
      </c>
      <c r="DJ191">
        <v>37755.300000000003</v>
      </c>
      <c r="DK191">
        <v>38405.1</v>
      </c>
      <c r="DL191">
        <v>44390.8</v>
      </c>
      <c r="DM191">
        <v>42610.6</v>
      </c>
      <c r="DN191">
        <v>1.4838199999999999</v>
      </c>
      <c r="DO191">
        <v>2.0386000000000002</v>
      </c>
      <c r="DP191">
        <v>0.13248599999999999</v>
      </c>
      <c r="DQ191">
        <v>0.178784</v>
      </c>
      <c r="DR191">
        <v>24.8263</v>
      </c>
      <c r="DS191">
        <v>24.624400000000001</v>
      </c>
      <c r="DT191">
        <v>38.1</v>
      </c>
      <c r="DU191">
        <v>29.2</v>
      </c>
      <c r="DV191">
        <v>15.651999999999999</v>
      </c>
      <c r="DW191">
        <v>61.7898</v>
      </c>
      <c r="DX191">
        <v>36.522399999999998</v>
      </c>
      <c r="DY191">
        <v>1</v>
      </c>
      <c r="DZ191">
        <v>-0.107863</v>
      </c>
      <c r="EA191">
        <v>0.24126400000000001</v>
      </c>
      <c r="EB191">
        <v>20.189299999999999</v>
      </c>
      <c r="EC191">
        <v>5.2418500000000003</v>
      </c>
      <c r="ED191">
        <v>12.039899999999999</v>
      </c>
      <c r="EE191">
        <v>5.0168999999999997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1.8691899999999999</v>
      </c>
      <c r="EN191">
        <v>1.8672200000000001</v>
      </c>
      <c r="EO191">
        <v>1.8633999999999999</v>
      </c>
      <c r="EP191">
        <v>1.86449</v>
      </c>
      <c r="EQ191">
        <v>1.8701300000000001</v>
      </c>
      <c r="ER191">
        <v>1.86938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-1.4E-2</v>
      </c>
      <c r="FG191">
        <v>0.17860000000000001</v>
      </c>
      <c r="FH191">
        <v>0.3448811944559278</v>
      </c>
      <c r="FI191">
        <v>-6.1462078757559423E-4</v>
      </c>
      <c r="FJ191">
        <v>-1.8861989874597051E-7</v>
      </c>
      <c r="FK191">
        <v>1.1980462299894961E-10</v>
      </c>
      <c r="FL191">
        <v>0.17862261546663211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39.200000000000003</v>
      </c>
      <c r="FU191">
        <v>39.299999999999997</v>
      </c>
      <c r="FV191">
        <v>1.7712399999999999</v>
      </c>
      <c r="FW191">
        <v>2.5830099999999998</v>
      </c>
      <c r="FX191">
        <v>1.5490699999999999</v>
      </c>
      <c r="FY191">
        <v>2.32666</v>
      </c>
      <c r="FZ191">
        <v>1.50146</v>
      </c>
      <c r="GA191">
        <v>2.36816</v>
      </c>
      <c r="GB191">
        <v>33.828299999999999</v>
      </c>
      <c r="GC191">
        <v>23.982399999999998</v>
      </c>
      <c r="GD191">
        <v>19</v>
      </c>
      <c r="GE191">
        <v>285.43900000000002</v>
      </c>
      <c r="GF191">
        <v>583.29200000000003</v>
      </c>
      <c r="GG191">
        <v>23.854600000000001</v>
      </c>
      <c r="GH191">
        <v>26.032699999999998</v>
      </c>
      <c r="GI191">
        <v>30</v>
      </c>
      <c r="GJ191">
        <v>26.1934</v>
      </c>
      <c r="GK191">
        <v>26.1876</v>
      </c>
      <c r="GL191">
        <v>35.406599999999997</v>
      </c>
      <c r="GM191">
        <v>58.624200000000002</v>
      </c>
      <c r="GN191">
        <v>45.119300000000003</v>
      </c>
      <c r="GO191">
        <v>23.850899999999999</v>
      </c>
      <c r="GP191">
        <v>800</v>
      </c>
      <c r="GQ191">
        <v>5.9512900000000002</v>
      </c>
      <c r="GR191">
        <v>99.800600000000003</v>
      </c>
      <c r="GS191">
        <v>99.676699999999997</v>
      </c>
    </row>
    <row r="192" spans="1:201" x14ac:dyDescent="0.25">
      <c r="A192">
        <v>176</v>
      </c>
      <c r="B192">
        <v>1690231445</v>
      </c>
      <c r="C192">
        <v>1939.900000095367</v>
      </c>
      <c r="D192" t="s">
        <v>685</v>
      </c>
      <c r="E192" t="s">
        <v>686</v>
      </c>
      <c r="F192" t="s">
        <v>330</v>
      </c>
      <c r="H192">
        <v>1690231445</v>
      </c>
      <c r="I192">
        <f t="shared" si="60"/>
        <v>1.6022870801646835E-3</v>
      </c>
      <c r="J192">
        <f t="shared" si="61"/>
        <v>1.6022870801646836</v>
      </c>
      <c r="K192">
        <f t="shared" si="62"/>
        <v>25.177699084342969</v>
      </c>
      <c r="L192">
        <f t="shared" si="63"/>
        <v>526.88199999999995</v>
      </c>
      <c r="M192">
        <f t="shared" si="64"/>
        <v>135.96489134773665</v>
      </c>
      <c r="N192">
        <f t="shared" si="65"/>
        <v>13.478836783589012</v>
      </c>
      <c r="O192">
        <f t="shared" si="66"/>
        <v>52.232281523675596</v>
      </c>
      <c r="P192">
        <f t="shared" si="67"/>
        <v>0.10769027461443403</v>
      </c>
      <c r="Q192">
        <f t="shared" si="68"/>
        <v>2.181869803354207</v>
      </c>
      <c r="R192">
        <f t="shared" si="69"/>
        <v>0.10482216956247255</v>
      </c>
      <c r="S192">
        <f t="shared" si="70"/>
        <v>6.5765181467866723E-2</v>
      </c>
      <c r="T192">
        <f t="shared" si="71"/>
        <v>276.11576130599997</v>
      </c>
      <c r="U192">
        <f t="shared" si="72"/>
        <v>27.513660442953903</v>
      </c>
      <c r="V192">
        <f t="shared" si="73"/>
        <v>27.513660442953903</v>
      </c>
      <c r="W192">
        <f t="shared" si="74"/>
        <v>3.68857011874438</v>
      </c>
      <c r="X192">
        <f t="shared" si="75"/>
        <v>66.04532107365489</v>
      </c>
      <c r="Y192">
        <f t="shared" si="76"/>
        <v>2.2183666045523402</v>
      </c>
      <c r="Z192">
        <f t="shared" si="77"/>
        <v>3.3588550536053554</v>
      </c>
      <c r="AA192">
        <f t="shared" si="78"/>
        <v>1.4702035141920398</v>
      </c>
      <c r="AB192">
        <f t="shared" si="79"/>
        <v>-70.660860235262547</v>
      </c>
      <c r="AC192">
        <f t="shared" si="80"/>
        <v>-187.14303000356097</v>
      </c>
      <c r="AD192">
        <f t="shared" si="81"/>
        <v>-18.458582767241694</v>
      </c>
      <c r="AE192">
        <f t="shared" si="82"/>
        <v>-0.14671170006522516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52709.6525335486</v>
      </c>
      <c r="AK192">
        <f t="shared" si="86"/>
        <v>1800</v>
      </c>
      <c r="AL192">
        <f t="shared" si="87"/>
        <v>1499.1102215999999</v>
      </c>
      <c r="AM192">
        <f t="shared" si="88"/>
        <v>0.83283901199999999</v>
      </c>
      <c r="AN192">
        <f t="shared" si="89"/>
        <v>0.15339764516999999</v>
      </c>
      <c r="AO192">
        <v>31.5</v>
      </c>
      <c r="AP192">
        <v>0.5</v>
      </c>
      <c r="AQ192" t="s">
        <v>331</v>
      </c>
      <c r="AR192">
        <v>2</v>
      </c>
      <c r="AS192">
        <v>1690231445</v>
      </c>
      <c r="AT192">
        <v>526.88199999999995</v>
      </c>
      <c r="AU192">
        <v>799.95100000000002</v>
      </c>
      <c r="AV192">
        <v>22.377300000000002</v>
      </c>
      <c r="AW192">
        <v>5.9394600000000004</v>
      </c>
      <c r="AX192">
        <v>526.89499999999998</v>
      </c>
      <c r="AY192">
        <v>22.198699999999999</v>
      </c>
      <c r="AZ192">
        <v>300.17700000000002</v>
      </c>
      <c r="BA192">
        <v>99.034700000000001</v>
      </c>
      <c r="BB192">
        <v>9.99858E-2</v>
      </c>
      <c r="BC192">
        <v>25.922699999999999</v>
      </c>
      <c r="BD192">
        <v>26.996600000000001</v>
      </c>
      <c r="BE192">
        <v>27.560199999999998</v>
      </c>
      <c r="BF192">
        <v>0</v>
      </c>
      <c r="BG192">
        <v>0</v>
      </c>
      <c r="BH192">
        <v>10030.6</v>
      </c>
      <c r="BI192">
        <v>1066.22</v>
      </c>
      <c r="BJ192">
        <v>1.4016500000000001</v>
      </c>
      <c r="BK192">
        <v>-273.07</v>
      </c>
      <c r="BL192">
        <v>538.94200000000001</v>
      </c>
      <c r="BM192">
        <v>804.73099999999999</v>
      </c>
      <c r="BN192">
        <v>16.437899999999999</v>
      </c>
      <c r="BO192">
        <v>799.95100000000002</v>
      </c>
      <c r="BP192">
        <v>5.9394600000000004</v>
      </c>
      <c r="BQ192">
        <v>2.2161300000000002</v>
      </c>
      <c r="BR192">
        <v>0.58821199999999996</v>
      </c>
      <c r="BS192">
        <v>19.0794</v>
      </c>
      <c r="BT192">
        <v>-0.58148999999999995</v>
      </c>
      <c r="BU192">
        <v>1800</v>
      </c>
      <c r="BV192">
        <v>0.90998999999999997</v>
      </c>
      <c r="BW192">
        <v>3.4004699999999999E-2</v>
      </c>
      <c r="BX192">
        <v>2.2003100000000001E-2</v>
      </c>
      <c r="BY192">
        <v>3.4001900000000002E-2</v>
      </c>
      <c r="BZ192">
        <v>25</v>
      </c>
      <c r="CA192">
        <v>33528.199999999997</v>
      </c>
      <c r="CB192">
        <v>1690229084.0999999</v>
      </c>
      <c r="CC192" t="s">
        <v>332</v>
      </c>
      <c r="CD192">
        <v>1690229084.0999999</v>
      </c>
      <c r="CE192">
        <v>1690229076.5999999</v>
      </c>
      <c r="CF192">
        <v>13</v>
      </c>
      <c r="CG192">
        <v>0.23300000000000001</v>
      </c>
      <c r="CH192">
        <v>-0.13100000000000001</v>
      </c>
      <c r="CI192">
        <v>-0.20599999999999999</v>
      </c>
      <c r="CJ192">
        <v>8.7999999999999995E-2</v>
      </c>
      <c r="CK192">
        <v>799</v>
      </c>
      <c r="CL192">
        <v>16</v>
      </c>
      <c r="CM192">
        <v>0.04</v>
      </c>
      <c r="CN192">
        <v>0.04</v>
      </c>
      <c r="CO192">
        <v>-272.54712195121948</v>
      </c>
      <c r="CP192">
        <v>-3.3369616724742222</v>
      </c>
      <c r="CQ192">
        <v>0.3340406135028568</v>
      </c>
      <c r="CR192">
        <v>-1</v>
      </c>
      <c r="CS192">
        <v>16.38930487804878</v>
      </c>
      <c r="CT192">
        <v>0.27671080139376059</v>
      </c>
      <c r="CU192">
        <v>2.7527564466783731E-2</v>
      </c>
      <c r="CV192">
        <v>-1</v>
      </c>
      <c r="CW192">
        <v>0</v>
      </c>
      <c r="CX192">
        <v>0</v>
      </c>
      <c r="CY192" t="s">
        <v>333</v>
      </c>
      <c r="CZ192">
        <v>2.36483</v>
      </c>
      <c r="DA192">
        <v>2.7138</v>
      </c>
      <c r="DB192">
        <v>0.109789</v>
      </c>
      <c r="DC192">
        <v>0.146069</v>
      </c>
      <c r="DD192">
        <v>0.108413</v>
      </c>
      <c r="DE192">
        <v>3.9126099999999997E-2</v>
      </c>
      <c r="DF192">
        <v>32524.6</v>
      </c>
      <c r="DG192">
        <v>27548.799999999999</v>
      </c>
      <c r="DH192">
        <v>31190</v>
      </c>
      <c r="DI192">
        <v>28110.6</v>
      </c>
      <c r="DJ192">
        <v>37756.1</v>
      </c>
      <c r="DK192">
        <v>38416.300000000003</v>
      </c>
      <c r="DL192">
        <v>44390.6</v>
      </c>
      <c r="DM192">
        <v>42610.7</v>
      </c>
      <c r="DN192">
        <v>1.4839199999999999</v>
      </c>
      <c r="DO192">
        <v>2.0385499999999999</v>
      </c>
      <c r="DP192">
        <v>0.13234799999999999</v>
      </c>
      <c r="DQ192">
        <v>0.17912700000000001</v>
      </c>
      <c r="DR192">
        <v>24.828299999999999</v>
      </c>
      <c r="DS192">
        <v>24.6264</v>
      </c>
      <c r="DT192">
        <v>37.799999999999997</v>
      </c>
      <c r="DU192">
        <v>29.2</v>
      </c>
      <c r="DV192">
        <v>15.5291</v>
      </c>
      <c r="DW192">
        <v>61.449800000000003</v>
      </c>
      <c r="DX192">
        <v>36.963099999999997</v>
      </c>
      <c r="DY192">
        <v>1</v>
      </c>
      <c r="DZ192">
        <v>-0.108011</v>
      </c>
      <c r="EA192">
        <v>0.22719</v>
      </c>
      <c r="EB192">
        <v>20.189399999999999</v>
      </c>
      <c r="EC192">
        <v>5.2413999999999996</v>
      </c>
      <c r="ED192">
        <v>12.039899999999999</v>
      </c>
      <c r="EE192">
        <v>5.0167000000000002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1.8691899999999999</v>
      </c>
      <c r="EN192">
        <v>1.8672200000000001</v>
      </c>
      <c r="EO192">
        <v>1.8633900000000001</v>
      </c>
      <c r="EP192">
        <v>1.8645</v>
      </c>
      <c r="EQ192">
        <v>1.87012</v>
      </c>
      <c r="ER192">
        <v>1.86938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-1.2999999999999999E-2</v>
      </c>
      <c r="FG192">
        <v>0.17860000000000001</v>
      </c>
      <c r="FH192">
        <v>0.3448811944559278</v>
      </c>
      <c r="FI192">
        <v>-6.1462078757559423E-4</v>
      </c>
      <c r="FJ192">
        <v>-1.8861989874597051E-7</v>
      </c>
      <c r="FK192">
        <v>1.1980462299894961E-10</v>
      </c>
      <c r="FL192">
        <v>0.17862261546663211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39.299999999999997</v>
      </c>
      <c r="FU192">
        <v>39.5</v>
      </c>
      <c r="FV192">
        <v>1.7712399999999999</v>
      </c>
      <c r="FW192">
        <v>2.5830099999999998</v>
      </c>
      <c r="FX192">
        <v>1.5490699999999999</v>
      </c>
      <c r="FY192">
        <v>2.32666</v>
      </c>
      <c r="FZ192">
        <v>1.50024</v>
      </c>
      <c r="GA192">
        <v>2.3877000000000002</v>
      </c>
      <c r="GB192">
        <v>33.828299999999999</v>
      </c>
      <c r="GC192">
        <v>23.991199999999999</v>
      </c>
      <c r="GD192">
        <v>19</v>
      </c>
      <c r="GE192">
        <v>285.46300000000002</v>
      </c>
      <c r="GF192">
        <v>583.20399999999995</v>
      </c>
      <c r="GG192">
        <v>23.8583</v>
      </c>
      <c r="GH192">
        <v>26.029599999999999</v>
      </c>
      <c r="GI192">
        <v>30.0001</v>
      </c>
      <c r="GJ192">
        <v>26.189399999999999</v>
      </c>
      <c r="GK192">
        <v>26.183499999999999</v>
      </c>
      <c r="GL192">
        <v>35.409700000000001</v>
      </c>
      <c r="GM192">
        <v>58.624200000000002</v>
      </c>
      <c r="GN192">
        <v>44.739600000000003</v>
      </c>
      <c r="GO192">
        <v>23.8767</v>
      </c>
      <c r="GP192">
        <v>800</v>
      </c>
      <c r="GQ192">
        <v>5.9000399999999997</v>
      </c>
      <c r="GR192">
        <v>99.800399999999996</v>
      </c>
      <c r="GS192">
        <v>99.6768</v>
      </c>
    </row>
    <row r="193" spans="1:201" x14ac:dyDescent="0.25">
      <c r="A193">
        <v>177</v>
      </c>
      <c r="B193">
        <v>1690231455</v>
      </c>
      <c r="C193">
        <v>1949.900000095367</v>
      </c>
      <c r="D193" t="s">
        <v>687</v>
      </c>
      <c r="E193" t="s">
        <v>688</v>
      </c>
      <c r="F193" t="s">
        <v>330</v>
      </c>
      <c r="H193">
        <v>1690231455</v>
      </c>
      <c r="I193">
        <f t="shared" si="60"/>
        <v>1.6080088134346666E-3</v>
      </c>
      <c r="J193">
        <f t="shared" si="61"/>
        <v>1.6080088134346666</v>
      </c>
      <c r="K193">
        <f t="shared" si="62"/>
        <v>25.229718017357666</v>
      </c>
      <c r="L193">
        <f t="shared" si="63"/>
        <v>526.423</v>
      </c>
      <c r="M193">
        <f t="shared" si="64"/>
        <v>135.75229100517291</v>
      </c>
      <c r="N193">
        <f t="shared" si="65"/>
        <v>13.457981883060487</v>
      </c>
      <c r="O193">
        <f t="shared" si="66"/>
        <v>52.187636351244997</v>
      </c>
      <c r="P193">
        <f t="shared" si="67"/>
        <v>0.10799854765960558</v>
      </c>
      <c r="Q193">
        <f t="shared" si="68"/>
        <v>2.1734717758814299</v>
      </c>
      <c r="R193">
        <f t="shared" si="69"/>
        <v>0.10510341261253128</v>
      </c>
      <c r="S193">
        <f t="shared" si="70"/>
        <v>6.594328491027536E-2</v>
      </c>
      <c r="T193">
        <f t="shared" si="71"/>
        <v>276.11591668199992</v>
      </c>
      <c r="U193">
        <f t="shared" si="72"/>
        <v>27.516399584544679</v>
      </c>
      <c r="V193">
        <f t="shared" si="73"/>
        <v>27.516399584544679</v>
      </c>
      <c r="W193">
        <f t="shared" si="74"/>
        <v>3.6891612961568159</v>
      </c>
      <c r="X193">
        <f t="shared" si="75"/>
        <v>66.026903125559357</v>
      </c>
      <c r="Y193">
        <f t="shared" si="76"/>
        <v>2.2176297983924997</v>
      </c>
      <c r="Z193">
        <f t="shared" si="77"/>
        <v>3.3586760750771059</v>
      </c>
      <c r="AA193">
        <f t="shared" si="78"/>
        <v>1.4715314977643161</v>
      </c>
      <c r="AB193">
        <f t="shared" si="79"/>
        <v>-70.913188672468792</v>
      </c>
      <c r="AC193">
        <f t="shared" si="80"/>
        <v>-186.84913639257212</v>
      </c>
      <c r="AD193">
        <f t="shared" si="81"/>
        <v>-18.500975566599454</v>
      </c>
      <c r="AE193">
        <f t="shared" si="82"/>
        <v>-0.1473839496404139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52361.03918513134</v>
      </c>
      <c r="AK193">
        <f t="shared" si="86"/>
        <v>1800</v>
      </c>
      <c r="AL193">
        <f t="shared" si="87"/>
        <v>1499.1109001999998</v>
      </c>
      <c r="AM193">
        <f t="shared" si="88"/>
        <v>0.83283938899999987</v>
      </c>
      <c r="AN193">
        <f t="shared" si="89"/>
        <v>0.15339773148999997</v>
      </c>
      <c r="AO193">
        <v>31.5</v>
      </c>
      <c r="AP193">
        <v>0.5</v>
      </c>
      <c r="AQ193" t="s">
        <v>331</v>
      </c>
      <c r="AR193">
        <v>2</v>
      </c>
      <c r="AS193">
        <v>1690231455</v>
      </c>
      <c r="AT193">
        <v>526.423</v>
      </c>
      <c r="AU193">
        <v>800.08</v>
      </c>
      <c r="AV193">
        <v>22.369499999999999</v>
      </c>
      <c r="AW193">
        <v>5.8717300000000003</v>
      </c>
      <c r="AX193">
        <v>526.43600000000004</v>
      </c>
      <c r="AY193">
        <v>22.190899999999999</v>
      </c>
      <c r="AZ193">
        <v>300.15699999999998</v>
      </c>
      <c r="BA193">
        <v>99.036299999999997</v>
      </c>
      <c r="BB193">
        <v>0.10001500000000001</v>
      </c>
      <c r="BC193">
        <v>25.921800000000001</v>
      </c>
      <c r="BD193">
        <v>27.0078</v>
      </c>
      <c r="BE193">
        <v>27.5639</v>
      </c>
      <c r="BF193">
        <v>0</v>
      </c>
      <c r="BG193">
        <v>0</v>
      </c>
      <c r="BH193">
        <v>9961.25</v>
      </c>
      <c r="BI193">
        <v>1066.31</v>
      </c>
      <c r="BJ193">
        <v>1.4016500000000001</v>
      </c>
      <c r="BK193">
        <v>-273.65699999999998</v>
      </c>
      <c r="BL193">
        <v>538.46799999999996</v>
      </c>
      <c r="BM193">
        <v>804.80499999999995</v>
      </c>
      <c r="BN193">
        <v>16.497699999999998</v>
      </c>
      <c r="BO193">
        <v>800.08</v>
      </c>
      <c r="BP193">
        <v>5.8717300000000003</v>
      </c>
      <c r="BQ193">
        <v>2.2153900000000002</v>
      </c>
      <c r="BR193">
        <v>0.581515</v>
      </c>
      <c r="BS193">
        <v>19.074000000000002</v>
      </c>
      <c r="BT193">
        <v>-0.73829900000000004</v>
      </c>
      <c r="BU193">
        <v>1800</v>
      </c>
      <c r="BV193">
        <v>0.90998999999999997</v>
      </c>
      <c r="BW193">
        <v>3.4004899999999998E-2</v>
      </c>
      <c r="BX193">
        <v>2.2003200000000001E-2</v>
      </c>
      <c r="BY193">
        <v>3.40021E-2</v>
      </c>
      <c r="BZ193">
        <v>25</v>
      </c>
      <c r="CA193">
        <v>33528.300000000003</v>
      </c>
      <c r="CB193">
        <v>1690229084.0999999</v>
      </c>
      <c r="CC193" t="s">
        <v>332</v>
      </c>
      <c r="CD193">
        <v>1690229084.0999999</v>
      </c>
      <c r="CE193">
        <v>1690229076.5999999</v>
      </c>
      <c r="CF193">
        <v>13</v>
      </c>
      <c r="CG193">
        <v>0.23300000000000001</v>
      </c>
      <c r="CH193">
        <v>-0.13100000000000001</v>
      </c>
      <c r="CI193">
        <v>-0.20599999999999999</v>
      </c>
      <c r="CJ193">
        <v>8.7999999999999995E-2</v>
      </c>
      <c r="CK193">
        <v>799</v>
      </c>
      <c r="CL193">
        <v>16</v>
      </c>
      <c r="CM193">
        <v>0.04</v>
      </c>
      <c r="CN193">
        <v>0.04</v>
      </c>
      <c r="CO193">
        <v>-273.03345000000002</v>
      </c>
      <c r="CP193">
        <v>-2.9492307692308972</v>
      </c>
      <c r="CQ193">
        <v>0.29034806267650409</v>
      </c>
      <c r="CR193">
        <v>-1</v>
      </c>
      <c r="CS193">
        <v>16.435982500000001</v>
      </c>
      <c r="CT193">
        <v>0.29867054409007088</v>
      </c>
      <c r="CU193">
        <v>2.8937569762334862E-2</v>
      </c>
      <c r="CV193">
        <v>-1</v>
      </c>
      <c r="CW193">
        <v>0</v>
      </c>
      <c r="CX193">
        <v>0</v>
      </c>
      <c r="CY193" t="s">
        <v>333</v>
      </c>
      <c r="CZ193">
        <v>2.36476</v>
      </c>
      <c r="DA193">
        <v>2.7137699999999998</v>
      </c>
      <c r="DB193">
        <v>0.109722</v>
      </c>
      <c r="DC193">
        <v>0.14608599999999999</v>
      </c>
      <c r="DD193">
        <v>0.108388</v>
      </c>
      <c r="DE193">
        <v>3.8761700000000003E-2</v>
      </c>
      <c r="DF193">
        <v>32527.3</v>
      </c>
      <c r="DG193">
        <v>27548.6</v>
      </c>
      <c r="DH193">
        <v>31190.3</v>
      </c>
      <c r="DI193">
        <v>28110.9</v>
      </c>
      <c r="DJ193">
        <v>37757.4</v>
      </c>
      <c r="DK193">
        <v>38431.300000000003</v>
      </c>
      <c r="DL193">
        <v>44391</v>
      </c>
      <c r="DM193">
        <v>42611.1</v>
      </c>
      <c r="DN193">
        <v>1.4840500000000001</v>
      </c>
      <c r="DO193">
        <v>2.0384199999999999</v>
      </c>
      <c r="DP193">
        <v>0.13303400000000001</v>
      </c>
      <c r="DQ193">
        <v>0.17935400000000001</v>
      </c>
      <c r="DR193">
        <v>24.828299999999999</v>
      </c>
      <c r="DS193">
        <v>24.6264</v>
      </c>
      <c r="DT193">
        <v>37.5</v>
      </c>
      <c r="DU193">
        <v>29.2</v>
      </c>
      <c r="DV193">
        <v>15.4041</v>
      </c>
      <c r="DW193">
        <v>61.739800000000002</v>
      </c>
      <c r="DX193">
        <v>37.235599999999998</v>
      </c>
      <c r="DY193">
        <v>1</v>
      </c>
      <c r="DZ193">
        <v>-0.108514</v>
      </c>
      <c r="EA193">
        <v>0.20505200000000001</v>
      </c>
      <c r="EB193">
        <v>20.189399999999999</v>
      </c>
      <c r="EC193">
        <v>5.2413999999999996</v>
      </c>
      <c r="ED193">
        <v>12.039899999999999</v>
      </c>
      <c r="EE193">
        <v>5.01675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1.86463</v>
      </c>
      <c r="EM193">
        <v>1.8691800000000001</v>
      </c>
      <c r="EN193">
        <v>1.8672200000000001</v>
      </c>
      <c r="EO193">
        <v>1.8633999999999999</v>
      </c>
      <c r="EP193">
        <v>1.8644799999999999</v>
      </c>
      <c r="EQ193">
        <v>1.8701300000000001</v>
      </c>
      <c r="ER193">
        <v>1.86938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-1.2999999999999999E-2</v>
      </c>
      <c r="FG193">
        <v>0.17860000000000001</v>
      </c>
      <c r="FH193">
        <v>0.3448811944559278</v>
      </c>
      <c r="FI193">
        <v>-6.1462078757559423E-4</v>
      </c>
      <c r="FJ193">
        <v>-1.8861989874597051E-7</v>
      </c>
      <c r="FK193">
        <v>1.1980462299894961E-10</v>
      </c>
      <c r="FL193">
        <v>0.17862261546663211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39.5</v>
      </c>
      <c r="FU193">
        <v>39.6</v>
      </c>
      <c r="FV193">
        <v>1.7712399999999999</v>
      </c>
      <c r="FW193">
        <v>2.5866699999999998</v>
      </c>
      <c r="FX193">
        <v>1.5490699999999999</v>
      </c>
      <c r="FY193">
        <v>2.32666</v>
      </c>
      <c r="FZ193">
        <v>1.50146</v>
      </c>
      <c r="GA193">
        <v>2.3877000000000002</v>
      </c>
      <c r="GB193">
        <v>33.828299999999999</v>
      </c>
      <c r="GC193">
        <v>23.991199999999999</v>
      </c>
      <c r="GD193">
        <v>19</v>
      </c>
      <c r="GE193">
        <v>285.50299999999999</v>
      </c>
      <c r="GF193">
        <v>583.06399999999996</v>
      </c>
      <c r="GG193">
        <v>23.8826</v>
      </c>
      <c r="GH193">
        <v>26.0261</v>
      </c>
      <c r="GI193">
        <v>29.9999</v>
      </c>
      <c r="GJ193">
        <v>26.186299999999999</v>
      </c>
      <c r="GK193">
        <v>26.180199999999999</v>
      </c>
      <c r="GL193">
        <v>35.406399999999998</v>
      </c>
      <c r="GM193">
        <v>58.624200000000002</v>
      </c>
      <c r="GN193">
        <v>44.3613</v>
      </c>
      <c r="GO193">
        <v>23.835599999999999</v>
      </c>
      <c r="GP193">
        <v>800</v>
      </c>
      <c r="GQ193">
        <v>5.8530800000000003</v>
      </c>
      <c r="GR193">
        <v>99.801299999999998</v>
      </c>
      <c r="GS193">
        <v>99.677899999999994</v>
      </c>
    </row>
    <row r="194" spans="1:201" x14ac:dyDescent="0.25">
      <c r="A194">
        <v>178</v>
      </c>
      <c r="B194">
        <v>1690231465</v>
      </c>
      <c r="C194">
        <v>1959.900000095367</v>
      </c>
      <c r="D194" t="s">
        <v>689</v>
      </c>
      <c r="E194" t="s">
        <v>690</v>
      </c>
      <c r="F194" t="s">
        <v>330</v>
      </c>
      <c r="H194">
        <v>1690231465</v>
      </c>
      <c r="I194">
        <f t="shared" si="60"/>
        <v>1.6117526218835938E-3</v>
      </c>
      <c r="J194">
        <f t="shared" si="61"/>
        <v>1.6117526218835938</v>
      </c>
      <c r="K194">
        <f t="shared" si="62"/>
        <v>25.260563858759273</v>
      </c>
      <c r="L194">
        <f t="shared" si="63"/>
        <v>525.98599999999999</v>
      </c>
      <c r="M194">
        <f t="shared" si="64"/>
        <v>135.29197761265905</v>
      </c>
      <c r="N194">
        <f t="shared" si="65"/>
        <v>13.411725631192521</v>
      </c>
      <c r="O194">
        <f t="shared" si="66"/>
        <v>52.141893720003999</v>
      </c>
      <c r="P194">
        <f t="shared" si="67"/>
        <v>0.10812399984862381</v>
      </c>
      <c r="Q194">
        <f t="shared" si="68"/>
        <v>2.1756209999621667</v>
      </c>
      <c r="R194">
        <f t="shared" si="69"/>
        <v>0.10522501596074481</v>
      </c>
      <c r="S194">
        <f t="shared" si="70"/>
        <v>6.6019623126695071E-2</v>
      </c>
      <c r="T194">
        <f t="shared" si="71"/>
        <v>276.11585935199992</v>
      </c>
      <c r="U194">
        <f t="shared" si="72"/>
        <v>27.517776971274969</v>
      </c>
      <c r="V194">
        <f t="shared" si="73"/>
        <v>27.517776971274969</v>
      </c>
      <c r="W194">
        <f t="shared" si="74"/>
        <v>3.6894586029856722</v>
      </c>
      <c r="X194">
        <f t="shared" si="75"/>
        <v>65.970338388938714</v>
      </c>
      <c r="Y194">
        <f t="shared" si="76"/>
        <v>2.2162679035552002</v>
      </c>
      <c r="Z194">
        <f t="shared" si="77"/>
        <v>3.3594914891732661</v>
      </c>
      <c r="AA194">
        <f t="shared" si="78"/>
        <v>1.473190699430472</v>
      </c>
      <c r="AB194">
        <f t="shared" si="79"/>
        <v>-71.078290625066487</v>
      </c>
      <c r="AC194">
        <f t="shared" si="80"/>
        <v>-186.7145600301584</v>
      </c>
      <c r="AD194">
        <f t="shared" si="81"/>
        <v>-18.469892921490345</v>
      </c>
      <c r="AE194">
        <f t="shared" si="82"/>
        <v>-0.14688422471527929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52449.35309352231</v>
      </c>
      <c r="AK194">
        <f t="shared" si="86"/>
        <v>1800</v>
      </c>
      <c r="AL194">
        <f t="shared" si="87"/>
        <v>1499.1106391999999</v>
      </c>
      <c r="AM194">
        <f t="shared" si="88"/>
        <v>0.83283924399999998</v>
      </c>
      <c r="AN194">
        <f t="shared" si="89"/>
        <v>0.15339769963999997</v>
      </c>
      <c r="AO194">
        <v>31.5</v>
      </c>
      <c r="AP194">
        <v>0.5</v>
      </c>
      <c r="AQ194" t="s">
        <v>331</v>
      </c>
      <c r="AR194">
        <v>2</v>
      </c>
      <c r="AS194">
        <v>1690231465</v>
      </c>
      <c r="AT194">
        <v>525.98599999999999</v>
      </c>
      <c r="AU194">
        <v>800.02200000000005</v>
      </c>
      <c r="AV194">
        <v>22.3568</v>
      </c>
      <c r="AW194">
        <v>5.8178700000000001</v>
      </c>
      <c r="AX194">
        <v>525.99900000000002</v>
      </c>
      <c r="AY194">
        <v>22.1782</v>
      </c>
      <c r="AZ194">
        <v>300.11099999999999</v>
      </c>
      <c r="BA194">
        <v>99.031700000000001</v>
      </c>
      <c r="BB194">
        <v>0.10001400000000001</v>
      </c>
      <c r="BC194">
        <v>25.925899999999999</v>
      </c>
      <c r="BD194">
        <v>27.021799999999999</v>
      </c>
      <c r="BE194">
        <v>27.559899999999999</v>
      </c>
      <c r="BF194">
        <v>0</v>
      </c>
      <c r="BG194">
        <v>0</v>
      </c>
      <c r="BH194">
        <v>9979.3799999999992</v>
      </c>
      <c r="BI194">
        <v>1066.3800000000001</v>
      </c>
      <c r="BJ194">
        <v>1.4016500000000001</v>
      </c>
      <c r="BK194">
        <v>-274.03699999999998</v>
      </c>
      <c r="BL194">
        <v>538.01400000000001</v>
      </c>
      <c r="BM194">
        <v>804.70399999999995</v>
      </c>
      <c r="BN194">
        <v>16.538900000000002</v>
      </c>
      <c r="BO194">
        <v>800.02200000000005</v>
      </c>
      <c r="BP194">
        <v>5.8178700000000001</v>
      </c>
      <c r="BQ194">
        <v>2.2140300000000002</v>
      </c>
      <c r="BR194">
        <v>0.57615300000000003</v>
      </c>
      <c r="BS194">
        <v>19.0642</v>
      </c>
      <c r="BT194">
        <v>-0.86498200000000003</v>
      </c>
      <c r="BU194">
        <v>1800</v>
      </c>
      <c r="BV194">
        <v>0.90998999999999997</v>
      </c>
      <c r="BW194">
        <v>3.4004800000000002E-2</v>
      </c>
      <c r="BX194">
        <v>2.2003200000000001E-2</v>
      </c>
      <c r="BY194">
        <v>3.4001999999999998E-2</v>
      </c>
      <c r="BZ194">
        <v>25</v>
      </c>
      <c r="CA194">
        <v>33528.300000000003</v>
      </c>
      <c r="CB194">
        <v>1690229084.0999999</v>
      </c>
      <c r="CC194" t="s">
        <v>332</v>
      </c>
      <c r="CD194">
        <v>1690229084.0999999</v>
      </c>
      <c r="CE194">
        <v>1690229076.5999999</v>
      </c>
      <c r="CF194">
        <v>13</v>
      </c>
      <c r="CG194">
        <v>0.23300000000000001</v>
      </c>
      <c r="CH194">
        <v>-0.13100000000000001</v>
      </c>
      <c r="CI194">
        <v>-0.20599999999999999</v>
      </c>
      <c r="CJ194">
        <v>8.7999999999999995E-2</v>
      </c>
      <c r="CK194">
        <v>799</v>
      </c>
      <c r="CL194">
        <v>16</v>
      </c>
      <c r="CM194">
        <v>0.04</v>
      </c>
      <c r="CN194">
        <v>0.04</v>
      </c>
      <c r="CO194">
        <v>-273.50607500000001</v>
      </c>
      <c r="CP194">
        <v>-2.7608442776729412</v>
      </c>
      <c r="CQ194">
        <v>0.26989205133719513</v>
      </c>
      <c r="CR194">
        <v>-1</v>
      </c>
      <c r="CS194">
        <v>16.486184999999999</v>
      </c>
      <c r="CT194">
        <v>0.30442401500932359</v>
      </c>
      <c r="CU194">
        <v>2.9489841895133938E-2</v>
      </c>
      <c r="CV194">
        <v>-1</v>
      </c>
      <c r="CW194">
        <v>0</v>
      </c>
      <c r="CX194">
        <v>0</v>
      </c>
      <c r="CY194" t="s">
        <v>333</v>
      </c>
      <c r="CZ194">
        <v>2.3646199999999999</v>
      </c>
      <c r="DA194">
        <v>2.7137899999999999</v>
      </c>
      <c r="DB194">
        <v>0.109652</v>
      </c>
      <c r="DC194">
        <v>0.14607300000000001</v>
      </c>
      <c r="DD194">
        <v>0.10834100000000001</v>
      </c>
      <c r="DE194">
        <v>3.84689E-2</v>
      </c>
      <c r="DF194">
        <v>32530.3</v>
      </c>
      <c r="DG194">
        <v>27548.799999999999</v>
      </c>
      <c r="DH194">
        <v>31190.6</v>
      </c>
      <c r="DI194">
        <v>28110.7</v>
      </c>
      <c r="DJ194">
        <v>37759.800000000003</v>
      </c>
      <c r="DK194">
        <v>38442.699999999997</v>
      </c>
      <c r="DL194">
        <v>44391.4</v>
      </c>
      <c r="DM194">
        <v>42610.8</v>
      </c>
      <c r="DN194">
        <v>1.4839800000000001</v>
      </c>
      <c r="DO194">
        <v>2.03857</v>
      </c>
      <c r="DP194">
        <v>0.133876</v>
      </c>
      <c r="DQ194">
        <v>0.17910499999999999</v>
      </c>
      <c r="DR194">
        <v>24.828600000000002</v>
      </c>
      <c r="DS194">
        <v>24.6264</v>
      </c>
      <c r="DT194">
        <v>37.299999999999997</v>
      </c>
      <c r="DU194">
        <v>29.2</v>
      </c>
      <c r="DV194">
        <v>15.325799999999999</v>
      </c>
      <c r="DW194">
        <v>61.9998</v>
      </c>
      <c r="DX194">
        <v>37.3277</v>
      </c>
      <c r="DY194">
        <v>1</v>
      </c>
      <c r="DZ194">
        <v>-0.10823199999999999</v>
      </c>
      <c r="EA194">
        <v>0.38756499999999999</v>
      </c>
      <c r="EB194">
        <v>20.188800000000001</v>
      </c>
      <c r="EC194">
        <v>5.2409499999999998</v>
      </c>
      <c r="ED194">
        <v>12.039899999999999</v>
      </c>
      <c r="EE194">
        <v>5.0168499999999998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1.8691899999999999</v>
      </c>
      <c r="EN194">
        <v>1.8672200000000001</v>
      </c>
      <c r="EO194">
        <v>1.8633999999999999</v>
      </c>
      <c r="EP194">
        <v>1.8644700000000001</v>
      </c>
      <c r="EQ194">
        <v>1.8701300000000001</v>
      </c>
      <c r="ER194">
        <v>1.86937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-1.2999999999999999E-2</v>
      </c>
      <c r="FG194">
        <v>0.17860000000000001</v>
      </c>
      <c r="FH194">
        <v>0.3448811944559278</v>
      </c>
      <c r="FI194">
        <v>-6.1462078757559423E-4</v>
      </c>
      <c r="FJ194">
        <v>-1.8861989874597051E-7</v>
      </c>
      <c r="FK194">
        <v>1.1980462299894961E-10</v>
      </c>
      <c r="FL194">
        <v>0.17862261546663211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39.700000000000003</v>
      </c>
      <c r="FU194">
        <v>39.799999999999997</v>
      </c>
      <c r="FV194">
        <v>1.7712399999999999</v>
      </c>
      <c r="FW194">
        <v>2.5903299999999998</v>
      </c>
      <c r="FX194">
        <v>1.5490699999999999</v>
      </c>
      <c r="FY194">
        <v>2.32666</v>
      </c>
      <c r="FZ194">
        <v>1.50146</v>
      </c>
      <c r="GA194">
        <v>2.3767100000000001</v>
      </c>
      <c r="GB194">
        <v>33.828299999999999</v>
      </c>
      <c r="GC194">
        <v>23.982399999999998</v>
      </c>
      <c r="GD194">
        <v>19</v>
      </c>
      <c r="GE194">
        <v>285.45499999999998</v>
      </c>
      <c r="GF194">
        <v>583.14700000000005</v>
      </c>
      <c r="GG194">
        <v>23.822500000000002</v>
      </c>
      <c r="GH194">
        <v>26.023499999999999</v>
      </c>
      <c r="GI194">
        <v>30.0001</v>
      </c>
      <c r="GJ194">
        <v>26.1829</v>
      </c>
      <c r="GK194">
        <v>26.1767</v>
      </c>
      <c r="GL194">
        <v>35.406100000000002</v>
      </c>
      <c r="GM194">
        <v>58.624200000000002</v>
      </c>
      <c r="GN194">
        <v>43.6173</v>
      </c>
      <c r="GO194">
        <v>23.784199999999998</v>
      </c>
      <c r="GP194">
        <v>800</v>
      </c>
      <c r="GQ194">
        <v>5.8059399999999997</v>
      </c>
      <c r="GR194">
        <v>99.802300000000002</v>
      </c>
      <c r="GS194">
        <v>99.677099999999996</v>
      </c>
    </row>
    <row r="195" spans="1:201" x14ac:dyDescent="0.25">
      <c r="A195">
        <v>179</v>
      </c>
      <c r="B195">
        <v>1690231475</v>
      </c>
      <c r="C195">
        <v>1969.900000095367</v>
      </c>
      <c r="D195" t="s">
        <v>691</v>
      </c>
      <c r="E195" t="s">
        <v>692</v>
      </c>
      <c r="F195" t="s">
        <v>330</v>
      </c>
      <c r="H195">
        <v>1690231475</v>
      </c>
      <c r="I195">
        <f t="shared" si="60"/>
        <v>1.6148800783880245E-3</v>
      </c>
      <c r="J195">
        <f t="shared" si="61"/>
        <v>1.6148800783880246</v>
      </c>
      <c r="K195">
        <f t="shared" si="62"/>
        <v>25.299615283859879</v>
      </c>
      <c r="L195">
        <f t="shared" si="63"/>
        <v>525.51499999999999</v>
      </c>
      <c r="M195">
        <f t="shared" si="64"/>
        <v>135.15645197454626</v>
      </c>
      <c r="N195">
        <f t="shared" si="65"/>
        <v>13.398616739757617</v>
      </c>
      <c r="O195">
        <f t="shared" si="66"/>
        <v>52.096470224889998</v>
      </c>
      <c r="P195">
        <f t="shared" si="67"/>
        <v>0.10838530364315731</v>
      </c>
      <c r="Q195">
        <f t="shared" si="68"/>
        <v>2.1789066742807708</v>
      </c>
      <c r="R195">
        <f t="shared" si="69"/>
        <v>0.10547675952602131</v>
      </c>
      <c r="S195">
        <f t="shared" si="70"/>
        <v>6.6177794741802604E-2</v>
      </c>
      <c r="T195">
        <f t="shared" si="71"/>
        <v>276.11602434000002</v>
      </c>
      <c r="U195">
        <f t="shared" si="72"/>
        <v>27.506134634253005</v>
      </c>
      <c r="V195">
        <f t="shared" si="73"/>
        <v>27.506134634253005</v>
      </c>
      <c r="W195">
        <f t="shared" si="74"/>
        <v>3.686946280687375</v>
      </c>
      <c r="X195">
        <f t="shared" si="75"/>
        <v>65.946011196437297</v>
      </c>
      <c r="Y195">
        <f t="shared" si="76"/>
        <v>2.2143490590493999</v>
      </c>
      <c r="Z195">
        <f t="shared" si="77"/>
        <v>3.3578210704107438</v>
      </c>
      <c r="AA195">
        <f t="shared" si="78"/>
        <v>1.472597221637975</v>
      </c>
      <c r="AB195">
        <f t="shared" si="79"/>
        <v>-71.216211456911878</v>
      </c>
      <c r="AC195">
        <f t="shared" si="80"/>
        <v>-186.61566598717707</v>
      </c>
      <c r="AD195">
        <f t="shared" si="81"/>
        <v>-18.430424118416152</v>
      </c>
      <c r="AE195">
        <f t="shared" si="82"/>
        <v>-0.14627722250509123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52587.320737516013</v>
      </c>
      <c r="AK195">
        <f t="shared" si="86"/>
        <v>1800</v>
      </c>
      <c r="AL195">
        <f t="shared" si="87"/>
        <v>1499.1110370000001</v>
      </c>
      <c r="AM195">
        <f t="shared" si="88"/>
        <v>0.83283946500000006</v>
      </c>
      <c r="AN195">
        <f t="shared" si="89"/>
        <v>0.1533977913</v>
      </c>
      <c r="AO195">
        <v>31.5</v>
      </c>
      <c r="AP195">
        <v>0.5</v>
      </c>
      <c r="AQ195" t="s">
        <v>331</v>
      </c>
      <c r="AR195">
        <v>2</v>
      </c>
      <c r="AS195">
        <v>1690231475</v>
      </c>
      <c r="AT195">
        <v>525.51499999999999</v>
      </c>
      <c r="AU195">
        <v>799.97199999999998</v>
      </c>
      <c r="AV195">
        <v>22.3369</v>
      </c>
      <c r="AW195">
        <v>5.7654300000000003</v>
      </c>
      <c r="AX195">
        <v>525.52800000000002</v>
      </c>
      <c r="AY195">
        <v>22.158300000000001</v>
      </c>
      <c r="AZ195">
        <v>300.10899999999998</v>
      </c>
      <c r="BA195">
        <v>99.034099999999995</v>
      </c>
      <c r="BB195">
        <v>0.100026</v>
      </c>
      <c r="BC195">
        <v>25.9175</v>
      </c>
      <c r="BD195">
        <v>27.001799999999999</v>
      </c>
      <c r="BE195">
        <v>27.55</v>
      </c>
      <c r="BF195">
        <v>0</v>
      </c>
      <c r="BG195">
        <v>0</v>
      </c>
      <c r="BH195">
        <v>10006.200000000001</v>
      </c>
      <c r="BI195">
        <v>1066.33</v>
      </c>
      <c r="BJ195">
        <v>1.4016500000000001</v>
      </c>
      <c r="BK195">
        <v>-274.45600000000002</v>
      </c>
      <c r="BL195">
        <v>537.52200000000005</v>
      </c>
      <c r="BM195">
        <v>804.61</v>
      </c>
      <c r="BN195">
        <v>16.5715</v>
      </c>
      <c r="BO195">
        <v>799.97199999999998</v>
      </c>
      <c r="BP195">
        <v>5.7654300000000003</v>
      </c>
      <c r="BQ195">
        <v>2.21211</v>
      </c>
      <c r="BR195">
        <v>0.57097399999999998</v>
      </c>
      <c r="BS195">
        <v>19.0503</v>
      </c>
      <c r="BT195">
        <v>-0.98835200000000001</v>
      </c>
      <c r="BU195">
        <v>1800</v>
      </c>
      <c r="BV195">
        <v>0.90998900000000005</v>
      </c>
      <c r="BW195">
        <v>3.4005300000000002E-2</v>
      </c>
      <c r="BX195">
        <v>2.2003499999999999E-2</v>
      </c>
      <c r="BY195">
        <v>3.4002600000000001E-2</v>
      </c>
      <c r="BZ195">
        <v>25</v>
      </c>
      <c r="CA195">
        <v>33528.300000000003</v>
      </c>
      <c r="CB195">
        <v>1690229084.0999999</v>
      </c>
      <c r="CC195" t="s">
        <v>332</v>
      </c>
      <c r="CD195">
        <v>1690229084.0999999</v>
      </c>
      <c r="CE195">
        <v>1690229076.5999999</v>
      </c>
      <c r="CF195">
        <v>13</v>
      </c>
      <c r="CG195">
        <v>0.23300000000000001</v>
      </c>
      <c r="CH195">
        <v>-0.13100000000000001</v>
      </c>
      <c r="CI195">
        <v>-0.20599999999999999</v>
      </c>
      <c r="CJ195">
        <v>8.7999999999999995E-2</v>
      </c>
      <c r="CK195">
        <v>799</v>
      </c>
      <c r="CL195">
        <v>16</v>
      </c>
      <c r="CM195">
        <v>0.04</v>
      </c>
      <c r="CN195">
        <v>0.04</v>
      </c>
      <c r="CO195">
        <v>-273.98226829268287</v>
      </c>
      <c r="CP195">
        <v>-2.675351916376544</v>
      </c>
      <c r="CQ195">
        <v>0.27109156264279421</v>
      </c>
      <c r="CR195">
        <v>-1</v>
      </c>
      <c r="CS195">
        <v>16.533992682926829</v>
      </c>
      <c r="CT195">
        <v>0.25504390243904712</v>
      </c>
      <c r="CU195">
        <v>2.5416735318788099E-2</v>
      </c>
      <c r="CV195">
        <v>-1</v>
      </c>
      <c r="CW195">
        <v>0</v>
      </c>
      <c r="CX195">
        <v>0</v>
      </c>
      <c r="CY195" t="s">
        <v>333</v>
      </c>
      <c r="CZ195">
        <v>2.3645999999999998</v>
      </c>
      <c r="DA195">
        <v>2.7138200000000001</v>
      </c>
      <c r="DB195">
        <v>0.109585</v>
      </c>
      <c r="DC195">
        <v>0.14607000000000001</v>
      </c>
      <c r="DD195">
        <v>0.108275</v>
      </c>
      <c r="DE195">
        <v>3.81856E-2</v>
      </c>
      <c r="DF195">
        <v>32532.7</v>
      </c>
      <c r="DG195">
        <v>27549.200000000001</v>
      </c>
      <c r="DH195">
        <v>31190.6</v>
      </c>
      <c r="DI195">
        <v>28111</v>
      </c>
      <c r="DJ195">
        <v>37762.800000000003</v>
      </c>
      <c r="DK195">
        <v>38454.5</v>
      </c>
      <c r="DL195">
        <v>44391.7</v>
      </c>
      <c r="DM195">
        <v>42611.199999999997</v>
      </c>
      <c r="DN195">
        <v>1.48403</v>
      </c>
      <c r="DO195">
        <v>2.0385300000000002</v>
      </c>
      <c r="DP195">
        <v>0.13254199999999999</v>
      </c>
      <c r="DQ195">
        <v>0.17850099999999999</v>
      </c>
      <c r="DR195">
        <v>24.830400000000001</v>
      </c>
      <c r="DS195">
        <v>24.6264</v>
      </c>
      <c r="DT195">
        <v>37</v>
      </c>
      <c r="DU195">
        <v>29.2</v>
      </c>
      <c r="DV195">
        <v>15.202</v>
      </c>
      <c r="DW195">
        <v>61.599800000000002</v>
      </c>
      <c r="DX195">
        <v>36.943100000000001</v>
      </c>
      <c r="DY195">
        <v>1</v>
      </c>
      <c r="DZ195">
        <v>-0.108422</v>
      </c>
      <c r="EA195">
        <v>0.41723300000000002</v>
      </c>
      <c r="EB195">
        <v>20.1889</v>
      </c>
      <c r="EC195">
        <v>5.2418500000000003</v>
      </c>
      <c r="ED195">
        <v>12.039899999999999</v>
      </c>
      <c r="EE195">
        <v>5.01675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1.8691899999999999</v>
      </c>
      <c r="EN195">
        <v>1.8672200000000001</v>
      </c>
      <c r="EO195">
        <v>1.8633900000000001</v>
      </c>
      <c r="EP195">
        <v>1.8644799999999999</v>
      </c>
      <c r="EQ195">
        <v>1.8701300000000001</v>
      </c>
      <c r="ER195">
        <v>1.8693900000000001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-1.2999999999999999E-2</v>
      </c>
      <c r="FG195">
        <v>0.17860000000000001</v>
      </c>
      <c r="FH195">
        <v>0.3448811944559278</v>
      </c>
      <c r="FI195">
        <v>-6.1462078757559423E-4</v>
      </c>
      <c r="FJ195">
        <v>-1.8861989874597051E-7</v>
      </c>
      <c r="FK195">
        <v>1.1980462299894961E-10</v>
      </c>
      <c r="FL195">
        <v>0.17862261546663211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39.799999999999997</v>
      </c>
      <c r="FU195">
        <v>40</v>
      </c>
      <c r="FV195">
        <v>1.7712399999999999</v>
      </c>
      <c r="FW195">
        <v>2.5915499999999998</v>
      </c>
      <c r="FX195">
        <v>1.5490699999999999</v>
      </c>
      <c r="FY195">
        <v>2.32666</v>
      </c>
      <c r="FZ195">
        <v>1.50146</v>
      </c>
      <c r="GA195">
        <v>2.32666</v>
      </c>
      <c r="GB195">
        <v>33.828299999999999</v>
      </c>
      <c r="GC195">
        <v>23.982399999999998</v>
      </c>
      <c r="GD195">
        <v>19</v>
      </c>
      <c r="GE195">
        <v>285.46100000000001</v>
      </c>
      <c r="GF195">
        <v>583.07299999999998</v>
      </c>
      <c r="GG195">
        <v>23.7621</v>
      </c>
      <c r="GH195">
        <v>26.020299999999999</v>
      </c>
      <c r="GI195">
        <v>30</v>
      </c>
      <c r="GJ195">
        <v>26.179200000000002</v>
      </c>
      <c r="GK195">
        <v>26.1737</v>
      </c>
      <c r="GL195">
        <v>35.404200000000003</v>
      </c>
      <c r="GM195">
        <v>58.624200000000002</v>
      </c>
      <c r="GN195">
        <v>43.226300000000002</v>
      </c>
      <c r="GO195">
        <v>23.746099999999998</v>
      </c>
      <c r="GP195">
        <v>800</v>
      </c>
      <c r="GQ195">
        <v>5.7719800000000001</v>
      </c>
      <c r="GR195">
        <v>99.802599999999998</v>
      </c>
      <c r="GS195">
        <v>99.678200000000004</v>
      </c>
    </row>
    <row r="196" spans="1:201" x14ac:dyDescent="0.25">
      <c r="A196">
        <v>180</v>
      </c>
      <c r="B196">
        <v>1690231485</v>
      </c>
      <c r="C196">
        <v>1979.900000095367</v>
      </c>
      <c r="D196" t="s">
        <v>693</v>
      </c>
      <c r="E196" t="s">
        <v>694</v>
      </c>
      <c r="F196" t="s">
        <v>330</v>
      </c>
      <c r="H196">
        <v>1690231485</v>
      </c>
      <c r="I196">
        <f t="shared" si="60"/>
        <v>1.6195389189645746E-3</v>
      </c>
      <c r="J196">
        <f t="shared" si="61"/>
        <v>1.6195389189645746</v>
      </c>
      <c r="K196">
        <f t="shared" si="62"/>
        <v>25.345502029902292</v>
      </c>
      <c r="L196">
        <f t="shared" si="63"/>
        <v>525.05399999999997</v>
      </c>
      <c r="M196">
        <f t="shared" si="64"/>
        <v>134.75748095611004</v>
      </c>
      <c r="N196">
        <f t="shared" si="65"/>
        <v>13.359326121786227</v>
      </c>
      <c r="O196">
        <f t="shared" si="66"/>
        <v>52.051786422402003</v>
      </c>
      <c r="P196">
        <f t="shared" si="67"/>
        <v>0.10860962571502884</v>
      </c>
      <c r="Q196">
        <f t="shared" si="68"/>
        <v>2.1738491269394911</v>
      </c>
      <c r="R196">
        <f t="shared" si="69"/>
        <v>0.10568260706069442</v>
      </c>
      <c r="S196">
        <f t="shared" si="70"/>
        <v>6.6308040050149855E-2</v>
      </c>
      <c r="T196">
        <f t="shared" si="71"/>
        <v>276.11577091800001</v>
      </c>
      <c r="U196">
        <f t="shared" si="72"/>
        <v>27.504406858814924</v>
      </c>
      <c r="V196">
        <f t="shared" si="73"/>
        <v>27.504406858814924</v>
      </c>
      <c r="W196">
        <f t="shared" si="74"/>
        <v>3.6865735679520255</v>
      </c>
      <c r="X196">
        <f t="shared" si="75"/>
        <v>65.906337299803525</v>
      </c>
      <c r="Y196">
        <f t="shared" si="76"/>
        <v>2.2125583084592004</v>
      </c>
      <c r="Z196">
        <f t="shared" si="77"/>
        <v>3.3571252767308555</v>
      </c>
      <c r="AA196">
        <f t="shared" si="78"/>
        <v>1.4740152594928251</v>
      </c>
      <c r="AB196">
        <f t="shared" si="79"/>
        <v>-71.421666326337743</v>
      </c>
      <c r="AC196">
        <f t="shared" si="80"/>
        <v>-186.39020352031034</v>
      </c>
      <c r="AD196">
        <f t="shared" si="81"/>
        <v>-18.450501991171325</v>
      </c>
      <c r="AE196">
        <f t="shared" si="82"/>
        <v>-0.14660091981940582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52378.042222551812</v>
      </c>
      <c r="AK196">
        <f t="shared" si="86"/>
        <v>1800</v>
      </c>
      <c r="AL196">
        <f t="shared" si="87"/>
        <v>1499.1099408000002</v>
      </c>
      <c r="AM196">
        <f t="shared" si="88"/>
        <v>0.83283885600000007</v>
      </c>
      <c r="AN196">
        <f t="shared" si="89"/>
        <v>0.15339765051000001</v>
      </c>
      <c r="AO196">
        <v>31.5</v>
      </c>
      <c r="AP196">
        <v>0.5</v>
      </c>
      <c r="AQ196" t="s">
        <v>331</v>
      </c>
      <c r="AR196">
        <v>2</v>
      </c>
      <c r="AS196">
        <v>1690231485</v>
      </c>
      <c r="AT196">
        <v>525.05399999999997</v>
      </c>
      <c r="AU196">
        <v>800.005</v>
      </c>
      <c r="AV196">
        <v>22.3184</v>
      </c>
      <c r="AW196">
        <v>5.6991399999999999</v>
      </c>
      <c r="AX196">
        <v>525.06600000000003</v>
      </c>
      <c r="AY196">
        <v>22.139800000000001</v>
      </c>
      <c r="AZ196">
        <v>300.11500000000001</v>
      </c>
      <c r="BA196">
        <v>99.036000000000001</v>
      </c>
      <c r="BB196">
        <v>0.100063</v>
      </c>
      <c r="BC196">
        <v>25.914000000000001</v>
      </c>
      <c r="BD196">
        <v>26.9754</v>
      </c>
      <c r="BE196">
        <v>27.5502</v>
      </c>
      <c r="BF196">
        <v>0</v>
      </c>
      <c r="BG196">
        <v>0</v>
      </c>
      <c r="BH196">
        <v>9964.3799999999992</v>
      </c>
      <c r="BI196">
        <v>1066.31</v>
      </c>
      <c r="BJ196">
        <v>1.4016500000000001</v>
      </c>
      <c r="BK196">
        <v>-274.95100000000002</v>
      </c>
      <c r="BL196">
        <v>537.04</v>
      </c>
      <c r="BM196">
        <v>804.59</v>
      </c>
      <c r="BN196">
        <v>16.619199999999999</v>
      </c>
      <c r="BO196">
        <v>800.005</v>
      </c>
      <c r="BP196">
        <v>5.6991399999999999</v>
      </c>
      <c r="BQ196">
        <v>2.2103199999999998</v>
      </c>
      <c r="BR196">
        <v>0.56442000000000003</v>
      </c>
      <c r="BS196">
        <v>19.037299999999998</v>
      </c>
      <c r="BT196">
        <v>-1.1458999999999999</v>
      </c>
      <c r="BU196">
        <v>1800</v>
      </c>
      <c r="BV196">
        <v>0.90998900000000005</v>
      </c>
      <c r="BW196">
        <v>3.4005000000000001E-2</v>
      </c>
      <c r="BX196">
        <v>2.20033E-2</v>
      </c>
      <c r="BY196">
        <v>3.4002299999999999E-2</v>
      </c>
      <c r="BZ196">
        <v>25</v>
      </c>
      <c r="CA196">
        <v>33528.199999999997</v>
      </c>
      <c r="CB196">
        <v>1690229084.0999999</v>
      </c>
      <c r="CC196" t="s">
        <v>332</v>
      </c>
      <c r="CD196">
        <v>1690229084.0999999</v>
      </c>
      <c r="CE196">
        <v>1690229076.5999999</v>
      </c>
      <c r="CF196">
        <v>13</v>
      </c>
      <c r="CG196">
        <v>0.23300000000000001</v>
      </c>
      <c r="CH196">
        <v>-0.13100000000000001</v>
      </c>
      <c r="CI196">
        <v>-0.20599999999999999</v>
      </c>
      <c r="CJ196">
        <v>8.7999999999999995E-2</v>
      </c>
      <c r="CK196">
        <v>799</v>
      </c>
      <c r="CL196">
        <v>16</v>
      </c>
      <c r="CM196">
        <v>0.04</v>
      </c>
      <c r="CN196">
        <v>0.04</v>
      </c>
      <c r="CO196">
        <v>-274.49470000000002</v>
      </c>
      <c r="CP196">
        <v>-3.1177711069408982</v>
      </c>
      <c r="CQ196">
        <v>0.30584842651221877</v>
      </c>
      <c r="CR196">
        <v>-1</v>
      </c>
      <c r="CS196">
        <v>16.577972500000001</v>
      </c>
      <c r="CT196">
        <v>0.23928517823636439</v>
      </c>
      <c r="CU196">
        <v>2.3466348112776151E-2</v>
      </c>
      <c r="CV196">
        <v>-1</v>
      </c>
      <c r="CW196">
        <v>0</v>
      </c>
      <c r="CX196">
        <v>0</v>
      </c>
      <c r="CY196" t="s">
        <v>333</v>
      </c>
      <c r="CZ196">
        <v>2.3646199999999999</v>
      </c>
      <c r="DA196">
        <v>2.7138200000000001</v>
      </c>
      <c r="DB196">
        <v>0.109518</v>
      </c>
      <c r="DC196">
        <v>0.14607600000000001</v>
      </c>
      <c r="DD196">
        <v>0.108214</v>
      </c>
      <c r="DE196">
        <v>3.7825900000000003E-2</v>
      </c>
      <c r="DF196">
        <v>32535.3</v>
      </c>
      <c r="DG196">
        <v>27549</v>
      </c>
      <c r="DH196">
        <v>31190.7</v>
      </c>
      <c r="DI196">
        <v>28111</v>
      </c>
      <c r="DJ196">
        <v>37765.5</v>
      </c>
      <c r="DK196">
        <v>38468.9</v>
      </c>
      <c r="DL196">
        <v>44391.8</v>
      </c>
      <c r="DM196">
        <v>42611.199999999997</v>
      </c>
      <c r="DN196">
        <v>1.48407</v>
      </c>
      <c r="DO196">
        <v>2.0382199999999999</v>
      </c>
      <c r="DP196">
        <v>0.13081400000000001</v>
      </c>
      <c r="DQ196">
        <v>0.178512</v>
      </c>
      <c r="DR196">
        <v>24.8322</v>
      </c>
      <c r="DS196">
        <v>24.6264</v>
      </c>
      <c r="DT196">
        <v>36.700000000000003</v>
      </c>
      <c r="DU196">
        <v>29.2</v>
      </c>
      <c r="DV196">
        <v>15.0762</v>
      </c>
      <c r="DW196">
        <v>61.559800000000003</v>
      </c>
      <c r="DX196">
        <v>36.438299999999998</v>
      </c>
      <c r="DY196">
        <v>1</v>
      </c>
      <c r="DZ196">
        <v>-0.10906</v>
      </c>
      <c r="EA196">
        <v>0.18371999999999999</v>
      </c>
      <c r="EB196">
        <v>20.189399999999999</v>
      </c>
      <c r="EC196">
        <v>5.242</v>
      </c>
      <c r="ED196">
        <v>12.039899999999999</v>
      </c>
      <c r="EE196">
        <v>5.01675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1.86917</v>
      </c>
      <c r="EN196">
        <v>1.8672200000000001</v>
      </c>
      <c r="EO196">
        <v>1.8633999999999999</v>
      </c>
      <c r="EP196">
        <v>1.8644700000000001</v>
      </c>
      <c r="EQ196">
        <v>1.8701300000000001</v>
      </c>
      <c r="ER196">
        <v>1.8694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-1.2E-2</v>
      </c>
      <c r="FG196">
        <v>0.17860000000000001</v>
      </c>
      <c r="FH196">
        <v>0.3448811944559278</v>
      </c>
      <c r="FI196">
        <v>-6.1462078757559423E-4</v>
      </c>
      <c r="FJ196">
        <v>-1.8861989874597051E-7</v>
      </c>
      <c r="FK196">
        <v>1.1980462299894961E-10</v>
      </c>
      <c r="FL196">
        <v>0.17862261546663211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40</v>
      </c>
      <c r="FU196">
        <v>40.1</v>
      </c>
      <c r="FV196">
        <v>1.7712399999999999</v>
      </c>
      <c r="FW196">
        <v>2.5927699999999998</v>
      </c>
      <c r="FX196">
        <v>1.5490699999999999</v>
      </c>
      <c r="FY196">
        <v>2.32666</v>
      </c>
      <c r="FZ196">
        <v>1.50146</v>
      </c>
      <c r="GA196">
        <v>2.3010299999999999</v>
      </c>
      <c r="GB196">
        <v>33.805700000000002</v>
      </c>
      <c r="GC196">
        <v>23.982399999999998</v>
      </c>
      <c r="GD196">
        <v>19</v>
      </c>
      <c r="GE196">
        <v>285.46800000000002</v>
      </c>
      <c r="GF196">
        <v>582.78399999999999</v>
      </c>
      <c r="GG196">
        <v>23.7638</v>
      </c>
      <c r="GH196">
        <v>26.017299999999999</v>
      </c>
      <c r="GI196">
        <v>29.999700000000001</v>
      </c>
      <c r="GJ196">
        <v>26.176200000000001</v>
      </c>
      <c r="GK196">
        <v>26.170200000000001</v>
      </c>
      <c r="GL196">
        <v>35.403300000000002</v>
      </c>
      <c r="GM196">
        <v>58.624200000000002</v>
      </c>
      <c r="GN196">
        <v>42.837600000000002</v>
      </c>
      <c r="GO196">
        <v>23.811800000000002</v>
      </c>
      <c r="GP196">
        <v>800</v>
      </c>
      <c r="GQ196">
        <v>5.73719</v>
      </c>
      <c r="GR196">
        <v>99.802899999999994</v>
      </c>
      <c r="GS196">
        <v>99.678100000000001</v>
      </c>
    </row>
    <row r="197" spans="1:201" x14ac:dyDescent="0.25">
      <c r="A197">
        <v>181</v>
      </c>
      <c r="B197">
        <v>1690231495</v>
      </c>
      <c r="C197">
        <v>1989.900000095367</v>
      </c>
      <c r="D197" t="s">
        <v>695</v>
      </c>
      <c r="E197" t="s">
        <v>696</v>
      </c>
      <c r="F197" t="s">
        <v>330</v>
      </c>
      <c r="H197">
        <v>1690231495</v>
      </c>
      <c r="I197">
        <f t="shared" si="60"/>
        <v>1.6258999911234649E-3</v>
      </c>
      <c r="J197">
        <f t="shared" si="61"/>
        <v>1.6258999911234648</v>
      </c>
      <c r="K197">
        <f t="shared" si="62"/>
        <v>25.393731892928209</v>
      </c>
      <c r="L197">
        <f t="shared" si="63"/>
        <v>524.61699999999996</v>
      </c>
      <c r="M197">
        <f t="shared" si="64"/>
        <v>135.48980911254426</v>
      </c>
      <c r="N197">
        <f t="shared" si="65"/>
        <v>13.431352994656807</v>
      </c>
      <c r="O197">
        <f t="shared" si="66"/>
        <v>52.006244308344002</v>
      </c>
      <c r="P197">
        <f t="shared" si="67"/>
        <v>0.10915658757045828</v>
      </c>
      <c r="Q197">
        <f t="shared" si="68"/>
        <v>2.1781264224198771</v>
      </c>
      <c r="R197">
        <f t="shared" si="69"/>
        <v>0.10620608175095794</v>
      </c>
      <c r="S197">
        <f t="shared" si="70"/>
        <v>6.6637249536145027E-2</v>
      </c>
      <c r="T197">
        <f t="shared" si="71"/>
        <v>276.11576130599997</v>
      </c>
      <c r="U197">
        <f t="shared" si="72"/>
        <v>27.497389562585774</v>
      </c>
      <c r="V197">
        <f t="shared" si="73"/>
        <v>27.497389562585774</v>
      </c>
      <c r="W197">
        <f t="shared" si="74"/>
        <v>3.6850601468616726</v>
      </c>
      <c r="X197">
        <f t="shared" si="75"/>
        <v>65.915464026470801</v>
      </c>
      <c r="Y197">
        <f t="shared" si="76"/>
        <v>2.2126026638736001</v>
      </c>
      <c r="Z197">
        <f t="shared" si="77"/>
        <v>3.3567277368859108</v>
      </c>
      <c r="AA197">
        <f t="shared" si="78"/>
        <v>1.4724574829880726</v>
      </c>
      <c r="AB197">
        <f t="shared" si="79"/>
        <v>-71.702189608544799</v>
      </c>
      <c r="AC197">
        <f t="shared" si="80"/>
        <v>-186.16778064636893</v>
      </c>
      <c r="AD197">
        <f t="shared" si="81"/>
        <v>-18.391464884122041</v>
      </c>
      <c r="AE197">
        <f t="shared" si="82"/>
        <v>-0.14567383303582915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52555.817062933071</v>
      </c>
      <c r="AK197">
        <f t="shared" si="86"/>
        <v>1800</v>
      </c>
      <c r="AL197">
        <f t="shared" si="87"/>
        <v>1499.1102215999999</v>
      </c>
      <c r="AM197">
        <f t="shared" si="88"/>
        <v>0.83283901199999999</v>
      </c>
      <c r="AN197">
        <f t="shared" si="89"/>
        <v>0.15339764516999999</v>
      </c>
      <c r="AO197">
        <v>31.5</v>
      </c>
      <c r="AP197">
        <v>0.5</v>
      </c>
      <c r="AQ197" t="s">
        <v>331</v>
      </c>
      <c r="AR197">
        <v>2</v>
      </c>
      <c r="AS197">
        <v>1690231495</v>
      </c>
      <c r="AT197">
        <v>524.61699999999996</v>
      </c>
      <c r="AU197">
        <v>800.04399999999998</v>
      </c>
      <c r="AV197">
        <v>22.319800000000001</v>
      </c>
      <c r="AW197">
        <v>5.6387900000000002</v>
      </c>
      <c r="AX197">
        <v>524.62900000000002</v>
      </c>
      <c r="AY197">
        <v>22.141100000000002</v>
      </c>
      <c r="AZ197">
        <v>300.178</v>
      </c>
      <c r="BA197">
        <v>99.031800000000004</v>
      </c>
      <c r="BB197">
        <v>0.100032</v>
      </c>
      <c r="BC197">
        <v>25.911999999999999</v>
      </c>
      <c r="BD197">
        <v>26.976900000000001</v>
      </c>
      <c r="BE197">
        <v>27.548500000000001</v>
      </c>
      <c r="BF197">
        <v>0</v>
      </c>
      <c r="BG197">
        <v>0</v>
      </c>
      <c r="BH197">
        <v>10000</v>
      </c>
      <c r="BI197">
        <v>1066.24</v>
      </c>
      <c r="BJ197">
        <v>1.4016500000000001</v>
      </c>
      <c r="BK197">
        <v>-275.42700000000002</v>
      </c>
      <c r="BL197">
        <v>536.59400000000005</v>
      </c>
      <c r="BM197">
        <v>804.58100000000002</v>
      </c>
      <c r="BN197">
        <v>16.681000000000001</v>
      </c>
      <c r="BO197">
        <v>800.04399999999998</v>
      </c>
      <c r="BP197">
        <v>5.6387900000000002</v>
      </c>
      <c r="BQ197">
        <v>2.2103700000000002</v>
      </c>
      <c r="BR197">
        <v>0.558419</v>
      </c>
      <c r="BS197">
        <v>19.037600000000001</v>
      </c>
      <c r="BT197">
        <v>-1.29159</v>
      </c>
      <c r="BU197">
        <v>1800</v>
      </c>
      <c r="BV197">
        <v>0.90998999999999997</v>
      </c>
      <c r="BW197">
        <v>3.4004699999999999E-2</v>
      </c>
      <c r="BX197">
        <v>2.2003100000000001E-2</v>
      </c>
      <c r="BY197">
        <v>3.4001900000000002E-2</v>
      </c>
      <c r="BZ197">
        <v>25</v>
      </c>
      <c r="CA197">
        <v>33528.300000000003</v>
      </c>
      <c r="CB197">
        <v>1690229084.0999999</v>
      </c>
      <c r="CC197" t="s">
        <v>332</v>
      </c>
      <c r="CD197">
        <v>1690229084.0999999</v>
      </c>
      <c r="CE197">
        <v>1690229076.5999999</v>
      </c>
      <c r="CF197">
        <v>13</v>
      </c>
      <c r="CG197">
        <v>0.23300000000000001</v>
      </c>
      <c r="CH197">
        <v>-0.13100000000000001</v>
      </c>
      <c r="CI197">
        <v>-0.20599999999999999</v>
      </c>
      <c r="CJ197">
        <v>8.7999999999999995E-2</v>
      </c>
      <c r="CK197">
        <v>799</v>
      </c>
      <c r="CL197">
        <v>16</v>
      </c>
      <c r="CM197">
        <v>0.04</v>
      </c>
      <c r="CN197">
        <v>0.04</v>
      </c>
      <c r="CO197">
        <v>-274.93639999999999</v>
      </c>
      <c r="CP197">
        <v>-2.9017035647274301</v>
      </c>
      <c r="CQ197">
        <v>0.2824777690367824</v>
      </c>
      <c r="CR197">
        <v>-1</v>
      </c>
      <c r="CS197">
        <v>16.617135000000001</v>
      </c>
      <c r="CT197">
        <v>0.28350168855532709</v>
      </c>
      <c r="CU197">
        <v>2.7672653920432031E-2</v>
      </c>
      <c r="CV197">
        <v>-1</v>
      </c>
      <c r="CW197">
        <v>0</v>
      </c>
      <c r="CX197">
        <v>0</v>
      </c>
      <c r="CY197" t="s">
        <v>333</v>
      </c>
      <c r="CZ197">
        <v>2.3648400000000001</v>
      </c>
      <c r="DA197">
        <v>2.7138200000000001</v>
      </c>
      <c r="DB197">
        <v>0.109448</v>
      </c>
      <c r="DC197">
        <v>0.14607500000000001</v>
      </c>
      <c r="DD197">
        <v>0.10821500000000001</v>
      </c>
      <c r="DE197">
        <v>3.7495199999999999E-2</v>
      </c>
      <c r="DF197">
        <v>32538</v>
      </c>
      <c r="DG197">
        <v>27549.599999999999</v>
      </c>
      <c r="DH197">
        <v>31190.9</v>
      </c>
      <c r="DI197">
        <v>28111.5</v>
      </c>
      <c r="DJ197">
        <v>37765.5</v>
      </c>
      <c r="DK197">
        <v>38482.800000000003</v>
      </c>
      <c r="DL197">
        <v>44391.9</v>
      </c>
      <c r="DM197">
        <v>42611.9</v>
      </c>
      <c r="DN197">
        <v>1.48447</v>
      </c>
      <c r="DO197">
        <v>2.0381499999999999</v>
      </c>
      <c r="DP197">
        <v>0.130888</v>
      </c>
      <c r="DQ197">
        <v>0.17840800000000001</v>
      </c>
      <c r="DR197">
        <v>24.8325</v>
      </c>
      <c r="DS197">
        <v>24.6264</v>
      </c>
      <c r="DT197">
        <v>36.4</v>
      </c>
      <c r="DU197">
        <v>29.2</v>
      </c>
      <c r="DV197">
        <v>14.9512</v>
      </c>
      <c r="DW197">
        <v>61.6098</v>
      </c>
      <c r="DX197">
        <v>36.262</v>
      </c>
      <c r="DY197">
        <v>1</v>
      </c>
      <c r="DZ197">
        <v>-0.10978400000000001</v>
      </c>
      <c r="EA197">
        <v>0.19845299999999999</v>
      </c>
      <c r="EB197">
        <v>20.189499999999999</v>
      </c>
      <c r="EC197">
        <v>5.2421499999999996</v>
      </c>
      <c r="ED197">
        <v>12.039899999999999</v>
      </c>
      <c r="EE197">
        <v>5.0168499999999998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1.8691599999999999</v>
      </c>
      <c r="EN197">
        <v>1.8672200000000001</v>
      </c>
      <c r="EO197">
        <v>1.8633999999999999</v>
      </c>
      <c r="EP197">
        <v>1.8644799999999999</v>
      </c>
      <c r="EQ197">
        <v>1.87012</v>
      </c>
      <c r="ER197">
        <v>1.86938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-1.2E-2</v>
      </c>
      <c r="FG197">
        <v>0.1787</v>
      </c>
      <c r="FH197">
        <v>0.3448811944559278</v>
      </c>
      <c r="FI197">
        <v>-6.1462078757559423E-4</v>
      </c>
      <c r="FJ197">
        <v>-1.8861989874597051E-7</v>
      </c>
      <c r="FK197">
        <v>1.1980462299894961E-10</v>
      </c>
      <c r="FL197">
        <v>0.17862261546663211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40.200000000000003</v>
      </c>
      <c r="FU197">
        <v>40.299999999999997</v>
      </c>
      <c r="FV197">
        <v>1.7700199999999999</v>
      </c>
      <c r="FW197">
        <v>2.5891099999999998</v>
      </c>
      <c r="FX197">
        <v>1.5490699999999999</v>
      </c>
      <c r="FY197">
        <v>2.32666</v>
      </c>
      <c r="FZ197">
        <v>1.50146</v>
      </c>
      <c r="GA197">
        <v>2.2924799999999999</v>
      </c>
      <c r="GB197">
        <v>33.828299999999999</v>
      </c>
      <c r="GC197">
        <v>23.982399999999998</v>
      </c>
      <c r="GD197">
        <v>19</v>
      </c>
      <c r="GE197">
        <v>285.62900000000002</v>
      </c>
      <c r="GF197">
        <v>582.68899999999996</v>
      </c>
      <c r="GG197">
        <v>23.822099999999999</v>
      </c>
      <c r="GH197">
        <v>26.0151</v>
      </c>
      <c r="GI197">
        <v>29.9999</v>
      </c>
      <c r="GJ197">
        <v>26.1737</v>
      </c>
      <c r="GK197">
        <v>26.167100000000001</v>
      </c>
      <c r="GL197">
        <v>35.399500000000003</v>
      </c>
      <c r="GM197">
        <v>58.624200000000002</v>
      </c>
      <c r="GN197">
        <v>42.453400000000002</v>
      </c>
      <c r="GO197">
        <v>23.826599999999999</v>
      </c>
      <c r="GP197">
        <v>800</v>
      </c>
      <c r="GQ197">
        <v>5.6886400000000004</v>
      </c>
      <c r="GR197">
        <v>99.803200000000004</v>
      </c>
      <c r="GS197">
        <v>99.6798</v>
      </c>
    </row>
    <row r="198" spans="1:201" x14ac:dyDescent="0.25">
      <c r="A198">
        <v>182</v>
      </c>
      <c r="B198">
        <v>1690231505</v>
      </c>
      <c r="C198">
        <v>1999.900000095367</v>
      </c>
      <c r="D198" t="s">
        <v>697</v>
      </c>
      <c r="E198" t="s">
        <v>698</v>
      </c>
      <c r="F198" t="s">
        <v>330</v>
      </c>
      <c r="H198">
        <v>1690231505</v>
      </c>
      <c r="I198">
        <f t="shared" si="60"/>
        <v>1.6285754804898924E-3</v>
      </c>
      <c r="J198">
        <f t="shared" si="61"/>
        <v>1.6285754804898924</v>
      </c>
      <c r="K198">
        <f t="shared" si="62"/>
        <v>25.419467790306523</v>
      </c>
      <c r="L198">
        <f t="shared" si="63"/>
        <v>524.19100000000003</v>
      </c>
      <c r="M198">
        <f t="shared" si="64"/>
        <v>134.62953215410712</v>
      </c>
      <c r="N198">
        <f t="shared" si="65"/>
        <v>13.346236788731465</v>
      </c>
      <c r="O198">
        <f t="shared" si="66"/>
        <v>51.964655128666813</v>
      </c>
      <c r="P198">
        <f t="shared" si="67"/>
        <v>0.10914342797921518</v>
      </c>
      <c r="Q198">
        <f t="shared" si="68"/>
        <v>2.1770037572548708</v>
      </c>
      <c r="R198">
        <f t="shared" si="69"/>
        <v>0.10619214627681804</v>
      </c>
      <c r="S198">
        <f t="shared" si="70"/>
        <v>6.662860527810005E-2</v>
      </c>
      <c r="T198">
        <f t="shared" si="71"/>
        <v>276.11434411289952</v>
      </c>
      <c r="U198">
        <f t="shared" si="72"/>
        <v>27.504796802918186</v>
      </c>
      <c r="V198">
        <f t="shared" si="73"/>
        <v>27.504796802918186</v>
      </c>
      <c r="W198">
        <f t="shared" si="74"/>
        <v>3.6866576831477946</v>
      </c>
      <c r="X198">
        <f t="shared" si="75"/>
        <v>65.85503567790137</v>
      </c>
      <c r="Y198">
        <f t="shared" si="76"/>
        <v>2.2115692328386802</v>
      </c>
      <c r="Z198">
        <f t="shared" si="77"/>
        <v>3.3582386070755783</v>
      </c>
      <c r="AA198">
        <f t="shared" si="78"/>
        <v>1.4750884503091144</v>
      </c>
      <c r="AB198">
        <f t="shared" si="79"/>
        <v>-71.820178689604248</v>
      </c>
      <c r="AC198">
        <f t="shared" si="80"/>
        <v>-186.04920119398747</v>
      </c>
      <c r="AD198">
        <f t="shared" si="81"/>
        <v>-18.390609971301814</v>
      </c>
      <c r="AE198">
        <f t="shared" si="82"/>
        <v>-0.14564574199403069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52507.882392409214</v>
      </c>
      <c r="AK198">
        <f t="shared" si="86"/>
        <v>1799.99</v>
      </c>
      <c r="AL198">
        <f t="shared" si="87"/>
        <v>1499.1027266052497</v>
      </c>
      <c r="AM198">
        <f t="shared" si="88"/>
        <v>0.83283947499999988</v>
      </c>
      <c r="AN198">
        <f t="shared" si="89"/>
        <v>0.15339771005</v>
      </c>
      <c r="AO198">
        <v>31.5</v>
      </c>
      <c r="AP198">
        <v>0.5</v>
      </c>
      <c r="AQ198" t="s">
        <v>331</v>
      </c>
      <c r="AR198">
        <v>2</v>
      </c>
      <c r="AS198">
        <v>1690231505</v>
      </c>
      <c r="AT198">
        <v>524.19100000000003</v>
      </c>
      <c r="AU198">
        <v>800.02599999999995</v>
      </c>
      <c r="AV198">
        <v>22.309100000000001</v>
      </c>
      <c r="AW198">
        <v>5.5925500000000001</v>
      </c>
      <c r="AX198">
        <v>524.20299999999997</v>
      </c>
      <c r="AY198">
        <v>22.130400000000002</v>
      </c>
      <c r="AZ198">
        <v>300.036</v>
      </c>
      <c r="BA198">
        <v>99.033100000000005</v>
      </c>
      <c r="BB198">
        <v>9.9954799999999996E-2</v>
      </c>
      <c r="BC198">
        <v>25.919599999999999</v>
      </c>
      <c r="BD198">
        <v>26.990500000000001</v>
      </c>
      <c r="BE198">
        <v>27.555199999999999</v>
      </c>
      <c r="BF198">
        <v>0</v>
      </c>
      <c r="BG198">
        <v>0</v>
      </c>
      <c r="BH198">
        <v>9990.6200000000008</v>
      </c>
      <c r="BI198">
        <v>1066.3599999999999</v>
      </c>
      <c r="BJ198">
        <v>1.4016500000000001</v>
      </c>
      <c r="BK198">
        <v>-275.83499999999998</v>
      </c>
      <c r="BL198">
        <v>536.15200000000004</v>
      </c>
      <c r="BM198">
        <v>804.52499999999998</v>
      </c>
      <c r="BN198">
        <v>16.7165</v>
      </c>
      <c r="BO198">
        <v>800.02599999999995</v>
      </c>
      <c r="BP198">
        <v>5.5925500000000001</v>
      </c>
      <c r="BQ198">
        <v>2.20933</v>
      </c>
      <c r="BR198">
        <v>0.55384699999999998</v>
      </c>
      <c r="BS198">
        <v>19.030200000000001</v>
      </c>
      <c r="BT198">
        <v>-1.4035200000000001</v>
      </c>
      <c r="BU198">
        <v>1799.99</v>
      </c>
      <c r="BV198">
        <v>0.90999099999999999</v>
      </c>
      <c r="BW198">
        <v>3.40045E-2</v>
      </c>
      <c r="BX198">
        <v>2.2003000000000002E-2</v>
      </c>
      <c r="BY198">
        <v>3.4001700000000003E-2</v>
      </c>
      <c r="BZ198">
        <v>25</v>
      </c>
      <c r="CA198">
        <v>33528.199999999997</v>
      </c>
      <c r="CB198">
        <v>1690229084.0999999</v>
      </c>
      <c r="CC198" t="s">
        <v>332</v>
      </c>
      <c r="CD198">
        <v>1690229084.0999999</v>
      </c>
      <c r="CE198">
        <v>1690229076.5999999</v>
      </c>
      <c r="CF198">
        <v>13</v>
      </c>
      <c r="CG198">
        <v>0.23300000000000001</v>
      </c>
      <c r="CH198">
        <v>-0.13100000000000001</v>
      </c>
      <c r="CI198">
        <v>-0.20599999999999999</v>
      </c>
      <c r="CJ198">
        <v>8.7999999999999995E-2</v>
      </c>
      <c r="CK198">
        <v>799</v>
      </c>
      <c r="CL198">
        <v>16</v>
      </c>
      <c r="CM198">
        <v>0.04</v>
      </c>
      <c r="CN198">
        <v>0.04</v>
      </c>
      <c r="CO198">
        <v>-275.360725</v>
      </c>
      <c r="CP198">
        <v>-2.334067542213317</v>
      </c>
      <c r="CQ198">
        <v>0.2278434756033188</v>
      </c>
      <c r="CR198">
        <v>-1</v>
      </c>
      <c r="CS198">
        <v>16.666397499999999</v>
      </c>
      <c r="CT198">
        <v>0.30401988742960728</v>
      </c>
      <c r="CU198">
        <v>2.9536718567741961E-2</v>
      </c>
      <c r="CV198">
        <v>-1</v>
      </c>
      <c r="CW198">
        <v>0</v>
      </c>
      <c r="CX198">
        <v>0</v>
      </c>
      <c r="CY198" t="s">
        <v>333</v>
      </c>
      <c r="CZ198">
        <v>2.3643700000000001</v>
      </c>
      <c r="DA198">
        <v>2.71374</v>
      </c>
      <c r="DB198">
        <v>0.109386</v>
      </c>
      <c r="DC198">
        <v>0.14607500000000001</v>
      </c>
      <c r="DD198">
        <v>0.108181</v>
      </c>
      <c r="DE198">
        <v>3.7242900000000002E-2</v>
      </c>
      <c r="DF198">
        <v>32540.9</v>
      </c>
      <c r="DG198">
        <v>27549.5</v>
      </c>
      <c r="DH198">
        <v>31191.4</v>
      </c>
      <c r="DI198">
        <v>28111.5</v>
      </c>
      <c r="DJ198">
        <v>37767.800000000003</v>
      </c>
      <c r="DK198">
        <v>38492.800000000003</v>
      </c>
      <c r="DL198">
        <v>44392.800000000003</v>
      </c>
      <c r="DM198">
        <v>42611.8</v>
      </c>
      <c r="DN198">
        <v>1.4841</v>
      </c>
      <c r="DO198">
        <v>2.0382199999999999</v>
      </c>
      <c r="DP198">
        <v>0.13184499999999999</v>
      </c>
      <c r="DQ198">
        <v>0.178926</v>
      </c>
      <c r="DR198">
        <v>24.830400000000001</v>
      </c>
      <c r="DS198">
        <v>24.624600000000001</v>
      </c>
      <c r="DT198">
        <v>36.200000000000003</v>
      </c>
      <c r="DU198">
        <v>29.2</v>
      </c>
      <c r="DV198">
        <v>14.8742</v>
      </c>
      <c r="DW198">
        <v>61.809800000000003</v>
      </c>
      <c r="DX198">
        <v>36.314100000000003</v>
      </c>
      <c r="DY198">
        <v>1</v>
      </c>
      <c r="DZ198">
        <v>-0.109822</v>
      </c>
      <c r="EA198">
        <v>0.176735</v>
      </c>
      <c r="EB198">
        <v>20.189599999999999</v>
      </c>
      <c r="EC198">
        <v>5.2415500000000002</v>
      </c>
      <c r="ED198">
        <v>12.039899999999999</v>
      </c>
      <c r="EE198">
        <v>5.0168499999999998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1.86463</v>
      </c>
      <c r="EM198">
        <v>1.8691800000000001</v>
      </c>
      <c r="EN198">
        <v>1.8672200000000001</v>
      </c>
      <c r="EO198">
        <v>1.8633999999999999</v>
      </c>
      <c r="EP198">
        <v>1.86449</v>
      </c>
      <c r="EQ198">
        <v>1.87012</v>
      </c>
      <c r="ER198">
        <v>1.86937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-1.2E-2</v>
      </c>
      <c r="FG198">
        <v>0.1787</v>
      </c>
      <c r="FH198">
        <v>0.3448811944559278</v>
      </c>
      <c r="FI198">
        <v>-6.1462078757559423E-4</v>
      </c>
      <c r="FJ198">
        <v>-1.8861989874597051E-7</v>
      </c>
      <c r="FK198">
        <v>1.1980462299894961E-10</v>
      </c>
      <c r="FL198">
        <v>0.17862261546663211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40.299999999999997</v>
      </c>
      <c r="FU198">
        <v>40.5</v>
      </c>
      <c r="FV198">
        <v>1.7700199999999999</v>
      </c>
      <c r="FW198">
        <v>2.5878899999999998</v>
      </c>
      <c r="FX198">
        <v>1.5490699999999999</v>
      </c>
      <c r="FY198">
        <v>2.32666</v>
      </c>
      <c r="FZ198">
        <v>1.50146</v>
      </c>
      <c r="GA198">
        <v>2.31812</v>
      </c>
      <c r="GB198">
        <v>33.805700000000002</v>
      </c>
      <c r="GC198">
        <v>23.982399999999998</v>
      </c>
      <c r="GD198">
        <v>19</v>
      </c>
      <c r="GE198">
        <v>285.44900000000001</v>
      </c>
      <c r="GF198">
        <v>582.71</v>
      </c>
      <c r="GG198">
        <v>23.845300000000002</v>
      </c>
      <c r="GH198">
        <v>26.012599999999999</v>
      </c>
      <c r="GI198">
        <v>29.9999</v>
      </c>
      <c r="GJ198">
        <v>26.169599999999999</v>
      </c>
      <c r="GK198">
        <v>26.163599999999999</v>
      </c>
      <c r="GL198">
        <v>35.398899999999998</v>
      </c>
      <c r="GM198">
        <v>58.624200000000002</v>
      </c>
      <c r="GN198">
        <v>41.704900000000002</v>
      </c>
      <c r="GO198">
        <v>23.857299999999999</v>
      </c>
      <c r="GP198">
        <v>800</v>
      </c>
      <c r="GQ198">
        <v>5.65679</v>
      </c>
      <c r="GR198">
        <v>99.805199999999999</v>
      </c>
      <c r="GS198">
        <v>99.679599999999994</v>
      </c>
    </row>
    <row r="199" spans="1:201" x14ac:dyDescent="0.25">
      <c r="A199">
        <v>183</v>
      </c>
      <c r="B199">
        <v>1690231515</v>
      </c>
      <c r="C199">
        <v>2009.900000095367</v>
      </c>
      <c r="D199" t="s">
        <v>699</v>
      </c>
      <c r="E199" t="s">
        <v>700</v>
      </c>
      <c r="F199" t="s">
        <v>330</v>
      </c>
      <c r="H199">
        <v>1690231515</v>
      </c>
      <c r="I199">
        <f t="shared" si="60"/>
        <v>1.6294485393239001E-3</v>
      </c>
      <c r="J199">
        <f t="shared" si="61"/>
        <v>1.6294485393239002</v>
      </c>
      <c r="K199">
        <f t="shared" si="62"/>
        <v>25.457522636712085</v>
      </c>
      <c r="L199">
        <f t="shared" si="63"/>
        <v>523.87199999999996</v>
      </c>
      <c r="M199">
        <f t="shared" si="64"/>
        <v>133.81847606572154</v>
      </c>
      <c r="N199">
        <f t="shared" si="65"/>
        <v>13.265788849557495</v>
      </c>
      <c r="O199">
        <f t="shared" si="66"/>
        <v>51.93285367248</v>
      </c>
      <c r="P199">
        <f t="shared" si="67"/>
        <v>0.10916057039185098</v>
      </c>
      <c r="Q199">
        <f t="shared" si="68"/>
        <v>2.1793502638770761</v>
      </c>
      <c r="R199">
        <f t="shared" si="69"/>
        <v>0.10621146119521251</v>
      </c>
      <c r="S199">
        <f t="shared" si="70"/>
        <v>6.664049273880697E-2</v>
      </c>
      <c r="T199">
        <f t="shared" si="71"/>
        <v>276.11733275865993</v>
      </c>
      <c r="U199">
        <f t="shared" si="72"/>
        <v>27.503566158620302</v>
      </c>
      <c r="V199">
        <f t="shared" si="73"/>
        <v>27.503566158620302</v>
      </c>
      <c r="W199">
        <f t="shared" si="74"/>
        <v>3.6863922254492874</v>
      </c>
      <c r="X199">
        <f t="shared" si="75"/>
        <v>65.829151089745991</v>
      </c>
      <c r="Y199">
        <f t="shared" si="76"/>
        <v>2.2107785037580001</v>
      </c>
      <c r="Z199">
        <f t="shared" si="77"/>
        <v>3.3583579115945286</v>
      </c>
      <c r="AA199">
        <f t="shared" si="78"/>
        <v>1.4756137216912872</v>
      </c>
      <c r="AB199">
        <f t="shared" si="79"/>
        <v>-71.858680584184</v>
      </c>
      <c r="AC199">
        <f t="shared" si="80"/>
        <v>-186.0346481704789</v>
      </c>
      <c r="AD199">
        <f t="shared" si="81"/>
        <v>-18.3693135355424</v>
      </c>
      <c r="AE199">
        <f t="shared" si="82"/>
        <v>-0.14530953154539361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52605.252398828801</v>
      </c>
      <c r="AK199">
        <f t="shared" si="86"/>
        <v>1800.01</v>
      </c>
      <c r="AL199">
        <f t="shared" si="87"/>
        <v>1499.1193815947399</v>
      </c>
      <c r="AM199">
        <f t="shared" si="88"/>
        <v>0.83283947400000002</v>
      </c>
      <c r="AN199">
        <f t="shared" si="89"/>
        <v>0.15339766599000002</v>
      </c>
      <c r="AO199">
        <v>31.5</v>
      </c>
      <c r="AP199">
        <v>0.5</v>
      </c>
      <c r="AQ199" t="s">
        <v>331</v>
      </c>
      <c r="AR199">
        <v>2</v>
      </c>
      <c r="AS199">
        <v>1690231515</v>
      </c>
      <c r="AT199">
        <v>523.87199999999996</v>
      </c>
      <c r="AU199">
        <v>799.98900000000003</v>
      </c>
      <c r="AV199">
        <v>22.301200000000001</v>
      </c>
      <c r="AW199">
        <v>5.58263</v>
      </c>
      <c r="AX199">
        <v>523.88300000000004</v>
      </c>
      <c r="AY199">
        <v>22.122599999999998</v>
      </c>
      <c r="AZ199">
        <v>300.16300000000001</v>
      </c>
      <c r="BA199">
        <v>99.032700000000006</v>
      </c>
      <c r="BB199">
        <v>0.10001500000000001</v>
      </c>
      <c r="BC199">
        <v>25.920200000000001</v>
      </c>
      <c r="BD199">
        <v>26.979900000000001</v>
      </c>
      <c r="BE199">
        <v>27.566099999999999</v>
      </c>
      <c r="BF199">
        <v>0</v>
      </c>
      <c r="BG199">
        <v>0</v>
      </c>
      <c r="BH199">
        <v>10010</v>
      </c>
      <c r="BI199">
        <v>1066.3399999999999</v>
      </c>
      <c r="BJ199">
        <v>1.38063</v>
      </c>
      <c r="BK199">
        <v>-276.11700000000002</v>
      </c>
      <c r="BL199">
        <v>535.82100000000003</v>
      </c>
      <c r="BM199">
        <v>804.48</v>
      </c>
      <c r="BN199">
        <v>16.718599999999999</v>
      </c>
      <c r="BO199">
        <v>799.98900000000003</v>
      </c>
      <c r="BP199">
        <v>5.58263</v>
      </c>
      <c r="BQ199">
        <v>2.2085499999999998</v>
      </c>
      <c r="BR199">
        <v>0.55286299999999999</v>
      </c>
      <c r="BS199">
        <v>19.0245</v>
      </c>
      <c r="BT199">
        <v>-1.42771</v>
      </c>
      <c r="BU199">
        <v>1800.01</v>
      </c>
      <c r="BV199">
        <v>0.90999200000000002</v>
      </c>
      <c r="BW199">
        <v>3.4004100000000002E-2</v>
      </c>
      <c r="BX199">
        <v>2.20027E-2</v>
      </c>
      <c r="BY199">
        <v>3.4001299999999998E-2</v>
      </c>
      <c r="BZ199">
        <v>25</v>
      </c>
      <c r="CA199">
        <v>33528.400000000001</v>
      </c>
      <c r="CB199">
        <v>1690229084.0999999</v>
      </c>
      <c r="CC199" t="s">
        <v>332</v>
      </c>
      <c r="CD199">
        <v>1690229084.0999999</v>
      </c>
      <c r="CE199">
        <v>1690229076.5999999</v>
      </c>
      <c r="CF199">
        <v>13</v>
      </c>
      <c r="CG199">
        <v>0.23300000000000001</v>
      </c>
      <c r="CH199">
        <v>-0.13100000000000001</v>
      </c>
      <c r="CI199">
        <v>-0.20599999999999999</v>
      </c>
      <c r="CJ199">
        <v>8.7999999999999995E-2</v>
      </c>
      <c r="CK199">
        <v>799</v>
      </c>
      <c r="CL199">
        <v>16</v>
      </c>
      <c r="CM199">
        <v>0.04</v>
      </c>
      <c r="CN199">
        <v>0.04</v>
      </c>
      <c r="CO199">
        <v>-275.76634999999999</v>
      </c>
      <c r="CP199">
        <v>-2.5454634146333941</v>
      </c>
      <c r="CQ199">
        <v>0.24748773201918561</v>
      </c>
      <c r="CR199">
        <v>-1</v>
      </c>
      <c r="CS199">
        <v>16.705960000000001</v>
      </c>
      <c r="CT199">
        <v>0.1550611632269758</v>
      </c>
      <c r="CU199">
        <v>1.6587236056678958E-2</v>
      </c>
      <c r="CV199">
        <v>-1</v>
      </c>
      <c r="CW199">
        <v>0</v>
      </c>
      <c r="CX199">
        <v>0</v>
      </c>
      <c r="CY199" t="s">
        <v>333</v>
      </c>
      <c r="CZ199">
        <v>2.3647900000000002</v>
      </c>
      <c r="DA199">
        <v>2.7138200000000001</v>
      </c>
      <c r="DB199">
        <v>0.109338</v>
      </c>
      <c r="DC199">
        <v>0.14607100000000001</v>
      </c>
      <c r="DD199">
        <v>0.108154</v>
      </c>
      <c r="DE199">
        <v>3.7188600000000002E-2</v>
      </c>
      <c r="DF199">
        <v>32542.5</v>
      </c>
      <c r="DG199">
        <v>27549.7</v>
      </c>
      <c r="DH199">
        <v>31191.3</v>
      </c>
      <c r="DI199">
        <v>28111.5</v>
      </c>
      <c r="DJ199">
        <v>37768.9</v>
      </c>
      <c r="DK199">
        <v>38495.1</v>
      </c>
      <c r="DL199">
        <v>44392.800000000003</v>
      </c>
      <c r="DM199">
        <v>42611.9</v>
      </c>
      <c r="DN199">
        <v>1.4843999999999999</v>
      </c>
      <c r="DO199">
        <v>2.0379299999999998</v>
      </c>
      <c r="DP199">
        <v>0.13112299999999999</v>
      </c>
      <c r="DQ199">
        <v>0.17961099999999999</v>
      </c>
      <c r="DR199">
        <v>24.831700000000001</v>
      </c>
      <c r="DS199">
        <v>24.624400000000001</v>
      </c>
      <c r="DT199">
        <v>35.9</v>
      </c>
      <c r="DU199">
        <v>29.3</v>
      </c>
      <c r="DV199">
        <v>14.8324</v>
      </c>
      <c r="DW199">
        <v>61.469799999999999</v>
      </c>
      <c r="DX199">
        <v>36.570500000000003</v>
      </c>
      <c r="DY199">
        <v>1</v>
      </c>
      <c r="DZ199">
        <v>-0.110196</v>
      </c>
      <c r="EA199">
        <v>0.201963</v>
      </c>
      <c r="EB199">
        <v>20.189399999999999</v>
      </c>
      <c r="EC199">
        <v>5.2411000000000003</v>
      </c>
      <c r="ED199">
        <v>12.039899999999999</v>
      </c>
      <c r="EE199">
        <v>5.0173500000000004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1.8691899999999999</v>
      </c>
      <c r="EN199">
        <v>1.8672200000000001</v>
      </c>
      <c r="EO199">
        <v>1.86338</v>
      </c>
      <c r="EP199">
        <v>1.8644700000000001</v>
      </c>
      <c r="EQ199">
        <v>1.8701399999999999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-1.0999999999999999E-2</v>
      </c>
      <c r="FG199">
        <v>0.17860000000000001</v>
      </c>
      <c r="FH199">
        <v>0.3448811944559278</v>
      </c>
      <c r="FI199">
        <v>-6.1462078757559423E-4</v>
      </c>
      <c r="FJ199">
        <v>-1.8861989874597051E-7</v>
      </c>
      <c r="FK199">
        <v>1.1980462299894961E-10</v>
      </c>
      <c r="FL199">
        <v>0.17862261546663211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40.5</v>
      </c>
      <c r="FU199">
        <v>40.6</v>
      </c>
      <c r="FV199">
        <v>1.7700199999999999</v>
      </c>
      <c r="FW199">
        <v>2.5842299999999998</v>
      </c>
      <c r="FX199">
        <v>1.5490699999999999</v>
      </c>
      <c r="FY199">
        <v>2.32666</v>
      </c>
      <c r="FZ199">
        <v>1.50146</v>
      </c>
      <c r="GA199">
        <v>2.36084</v>
      </c>
      <c r="GB199">
        <v>33.805700000000002</v>
      </c>
      <c r="GC199">
        <v>23.982399999999998</v>
      </c>
      <c r="GD199">
        <v>19</v>
      </c>
      <c r="GE199">
        <v>285.56799999999998</v>
      </c>
      <c r="GF199">
        <v>582.43499999999995</v>
      </c>
      <c r="GG199">
        <v>23.868400000000001</v>
      </c>
      <c r="GH199">
        <v>26.009799999999998</v>
      </c>
      <c r="GI199">
        <v>30</v>
      </c>
      <c r="GJ199">
        <v>26.1675</v>
      </c>
      <c r="GK199">
        <v>26.161100000000001</v>
      </c>
      <c r="GL199">
        <v>35.399799999999999</v>
      </c>
      <c r="GM199">
        <v>58.353299999999997</v>
      </c>
      <c r="GN199">
        <v>41.331899999999997</v>
      </c>
      <c r="GO199">
        <v>23.8874</v>
      </c>
      <c r="GP199">
        <v>800</v>
      </c>
      <c r="GQ199">
        <v>5.6185299999999998</v>
      </c>
      <c r="GR199">
        <v>99.804900000000004</v>
      </c>
      <c r="GS199">
        <v>99.6798</v>
      </c>
    </row>
    <row r="200" spans="1:201" x14ac:dyDescent="0.25">
      <c r="A200">
        <v>184</v>
      </c>
      <c r="B200">
        <v>1690231525</v>
      </c>
      <c r="C200">
        <v>2019.900000095367</v>
      </c>
      <c r="D200" t="s">
        <v>701</v>
      </c>
      <c r="E200" t="s">
        <v>702</v>
      </c>
      <c r="F200" t="s">
        <v>330</v>
      </c>
      <c r="H200">
        <v>1690231525</v>
      </c>
      <c r="I200">
        <f t="shared" si="60"/>
        <v>1.6354877948198409E-3</v>
      </c>
      <c r="J200">
        <f t="shared" si="61"/>
        <v>1.635487794819841</v>
      </c>
      <c r="K200">
        <f t="shared" si="62"/>
        <v>25.50592987765107</v>
      </c>
      <c r="L200">
        <f t="shared" si="63"/>
        <v>523.38499999999999</v>
      </c>
      <c r="M200">
        <f t="shared" si="64"/>
        <v>133.7446650502616</v>
      </c>
      <c r="N200">
        <f t="shared" si="65"/>
        <v>13.258832740049016</v>
      </c>
      <c r="O200">
        <f t="shared" si="66"/>
        <v>51.885988656390005</v>
      </c>
      <c r="P200">
        <f t="shared" si="67"/>
        <v>0.10949860825207212</v>
      </c>
      <c r="Q200">
        <f t="shared" si="68"/>
        <v>2.175511927041418</v>
      </c>
      <c r="R200">
        <f t="shared" si="69"/>
        <v>0.10652639105966036</v>
      </c>
      <c r="S200">
        <f t="shared" si="70"/>
        <v>6.6839316454269035E-2</v>
      </c>
      <c r="T200">
        <f t="shared" si="71"/>
        <v>276.11576130599997</v>
      </c>
      <c r="U200">
        <f t="shared" si="72"/>
        <v>27.508323940906358</v>
      </c>
      <c r="V200">
        <f t="shared" si="73"/>
        <v>27.508323940906358</v>
      </c>
      <c r="W200">
        <f t="shared" si="74"/>
        <v>3.6874186013727397</v>
      </c>
      <c r="X200">
        <f t="shared" si="75"/>
        <v>65.809463543135962</v>
      </c>
      <c r="Y200">
        <f t="shared" si="76"/>
        <v>2.2106800780344007</v>
      </c>
      <c r="Z200">
        <f t="shared" si="77"/>
        <v>3.3592130356531045</v>
      </c>
      <c r="AA200">
        <f t="shared" si="78"/>
        <v>1.476738523338339</v>
      </c>
      <c r="AB200">
        <f t="shared" si="79"/>
        <v>-72.125011751554979</v>
      </c>
      <c r="AC200">
        <f t="shared" si="80"/>
        <v>-185.76068993098627</v>
      </c>
      <c r="AD200">
        <f t="shared" si="81"/>
        <v>-18.375457514803966</v>
      </c>
      <c r="AE200">
        <f t="shared" si="82"/>
        <v>-0.14539789134522607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52445.150112447904</v>
      </c>
      <c r="AK200">
        <f t="shared" si="86"/>
        <v>1800</v>
      </c>
      <c r="AL200">
        <f t="shared" si="87"/>
        <v>1499.1102215999999</v>
      </c>
      <c r="AM200">
        <f t="shared" si="88"/>
        <v>0.83283901199999999</v>
      </c>
      <c r="AN200">
        <f t="shared" si="89"/>
        <v>0.15339764516999999</v>
      </c>
      <c r="AO200">
        <v>31.5</v>
      </c>
      <c r="AP200">
        <v>0.5</v>
      </c>
      <c r="AQ200" t="s">
        <v>331</v>
      </c>
      <c r="AR200">
        <v>2</v>
      </c>
      <c r="AS200">
        <v>1690231525</v>
      </c>
      <c r="AT200">
        <v>523.38499999999999</v>
      </c>
      <c r="AU200">
        <v>800.03300000000002</v>
      </c>
      <c r="AV200">
        <v>22.299600000000002</v>
      </c>
      <c r="AW200">
        <v>5.5191499999999998</v>
      </c>
      <c r="AX200">
        <v>523.39599999999996</v>
      </c>
      <c r="AY200">
        <v>22.120899999999999</v>
      </c>
      <c r="AZ200">
        <v>300.16500000000002</v>
      </c>
      <c r="BA200">
        <v>99.035300000000007</v>
      </c>
      <c r="BB200">
        <v>0.10011399999999999</v>
      </c>
      <c r="BC200">
        <v>25.924499999999998</v>
      </c>
      <c r="BD200">
        <v>27.0015</v>
      </c>
      <c r="BE200">
        <v>27.573599999999999</v>
      </c>
      <c r="BF200">
        <v>0</v>
      </c>
      <c r="BG200">
        <v>0</v>
      </c>
      <c r="BH200">
        <v>9978.1200000000008</v>
      </c>
      <c r="BI200">
        <v>1066.3599999999999</v>
      </c>
      <c r="BJ200">
        <v>1.2054199999999999</v>
      </c>
      <c r="BK200">
        <v>-276.64800000000002</v>
      </c>
      <c r="BL200">
        <v>535.32299999999998</v>
      </c>
      <c r="BM200">
        <v>804.47299999999996</v>
      </c>
      <c r="BN200">
        <v>16.7804</v>
      </c>
      <c r="BO200">
        <v>800.03300000000002</v>
      </c>
      <c r="BP200">
        <v>5.5191499999999998</v>
      </c>
      <c r="BQ200">
        <v>2.20844</v>
      </c>
      <c r="BR200">
        <v>0.54659100000000005</v>
      </c>
      <c r="BS200">
        <v>19.023700000000002</v>
      </c>
      <c r="BT200">
        <v>-1.5828500000000001</v>
      </c>
      <c r="BU200">
        <v>1800</v>
      </c>
      <c r="BV200">
        <v>0.90998999999999997</v>
      </c>
      <c r="BW200">
        <v>3.4004699999999999E-2</v>
      </c>
      <c r="BX200">
        <v>2.2003100000000001E-2</v>
      </c>
      <c r="BY200">
        <v>3.4001900000000002E-2</v>
      </c>
      <c r="BZ200">
        <v>25</v>
      </c>
      <c r="CA200">
        <v>33528.300000000003</v>
      </c>
      <c r="CB200">
        <v>1690229084.0999999</v>
      </c>
      <c r="CC200" t="s">
        <v>332</v>
      </c>
      <c r="CD200">
        <v>1690229084.0999999</v>
      </c>
      <c r="CE200">
        <v>1690229076.5999999</v>
      </c>
      <c r="CF200">
        <v>13</v>
      </c>
      <c r="CG200">
        <v>0.23300000000000001</v>
      </c>
      <c r="CH200">
        <v>-0.13100000000000001</v>
      </c>
      <c r="CI200">
        <v>-0.20599999999999999</v>
      </c>
      <c r="CJ200">
        <v>8.7999999999999995E-2</v>
      </c>
      <c r="CK200">
        <v>799</v>
      </c>
      <c r="CL200">
        <v>16</v>
      </c>
      <c r="CM200">
        <v>0.04</v>
      </c>
      <c r="CN200">
        <v>0.04</v>
      </c>
      <c r="CO200">
        <v>-276.17464999999999</v>
      </c>
      <c r="CP200">
        <v>-2.472382739211632</v>
      </c>
      <c r="CQ200">
        <v>0.244679336070698</v>
      </c>
      <c r="CR200">
        <v>-1</v>
      </c>
      <c r="CS200">
        <v>16.730910000000002</v>
      </c>
      <c r="CT200">
        <v>0.1415549718573634</v>
      </c>
      <c r="CU200">
        <v>1.601375658613537E-2</v>
      </c>
      <c r="CV200">
        <v>-1</v>
      </c>
      <c r="CW200">
        <v>0</v>
      </c>
      <c r="CX200">
        <v>0</v>
      </c>
      <c r="CY200" t="s">
        <v>333</v>
      </c>
      <c r="CZ200">
        <v>2.3647999999999998</v>
      </c>
      <c r="DA200">
        <v>2.7138900000000001</v>
      </c>
      <c r="DB200">
        <v>0.109268</v>
      </c>
      <c r="DC200">
        <v>0.14607999999999999</v>
      </c>
      <c r="DD200">
        <v>0.108152</v>
      </c>
      <c r="DE200">
        <v>3.68413E-2</v>
      </c>
      <c r="DF200">
        <v>32544.6</v>
      </c>
      <c r="DG200">
        <v>27549.599999999999</v>
      </c>
      <c r="DH200">
        <v>31190.9</v>
      </c>
      <c r="DI200">
        <v>28111.8</v>
      </c>
      <c r="DJ200">
        <v>37768.5</v>
      </c>
      <c r="DK200">
        <v>38509.199999999997</v>
      </c>
      <c r="DL200">
        <v>44392.2</v>
      </c>
      <c r="DM200">
        <v>42612.2</v>
      </c>
      <c r="DN200">
        <v>1.48472</v>
      </c>
      <c r="DO200">
        <v>2.03783</v>
      </c>
      <c r="DP200">
        <v>0.13239699999999999</v>
      </c>
      <c r="DQ200">
        <v>0.17999499999999999</v>
      </c>
      <c r="DR200">
        <v>24.8325</v>
      </c>
      <c r="DS200">
        <v>24.625599999999999</v>
      </c>
      <c r="DT200">
        <v>35.700000000000003</v>
      </c>
      <c r="DU200">
        <v>29.3</v>
      </c>
      <c r="DV200">
        <v>14.7498</v>
      </c>
      <c r="DW200">
        <v>61.699800000000003</v>
      </c>
      <c r="DX200">
        <v>36.999200000000002</v>
      </c>
      <c r="DY200">
        <v>1</v>
      </c>
      <c r="DZ200">
        <v>-0.110373</v>
      </c>
      <c r="EA200">
        <v>0.18501899999999999</v>
      </c>
      <c r="EB200">
        <v>20.189800000000002</v>
      </c>
      <c r="EC200">
        <v>5.2409499999999998</v>
      </c>
      <c r="ED200">
        <v>12.039899999999999</v>
      </c>
      <c r="EE200">
        <v>5.0171999999999999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1.8691800000000001</v>
      </c>
      <c r="EN200">
        <v>1.8672200000000001</v>
      </c>
      <c r="EO200">
        <v>1.8633900000000001</v>
      </c>
      <c r="EP200">
        <v>1.8644700000000001</v>
      </c>
      <c r="EQ200">
        <v>1.8701300000000001</v>
      </c>
      <c r="ER200">
        <v>1.86938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-1.0999999999999999E-2</v>
      </c>
      <c r="FG200">
        <v>0.1787</v>
      </c>
      <c r="FH200">
        <v>0.3448811944559278</v>
      </c>
      <c r="FI200">
        <v>-6.1462078757559423E-4</v>
      </c>
      <c r="FJ200">
        <v>-1.8861989874597051E-7</v>
      </c>
      <c r="FK200">
        <v>1.1980462299894961E-10</v>
      </c>
      <c r="FL200">
        <v>0.17862261546663211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40.700000000000003</v>
      </c>
      <c r="FU200">
        <v>40.799999999999997</v>
      </c>
      <c r="FV200">
        <v>1.7700199999999999</v>
      </c>
      <c r="FW200">
        <v>2.5817899999999998</v>
      </c>
      <c r="FX200">
        <v>1.5490699999999999</v>
      </c>
      <c r="FY200">
        <v>2.32544</v>
      </c>
      <c r="FZ200">
        <v>1.50146</v>
      </c>
      <c r="GA200">
        <v>2.3815900000000001</v>
      </c>
      <c r="GB200">
        <v>33.805700000000002</v>
      </c>
      <c r="GC200">
        <v>23.991199999999999</v>
      </c>
      <c r="GD200">
        <v>19</v>
      </c>
      <c r="GE200">
        <v>285.69099999999997</v>
      </c>
      <c r="GF200">
        <v>582.30999999999995</v>
      </c>
      <c r="GG200">
        <v>23.895900000000001</v>
      </c>
      <c r="GH200">
        <v>26.006499999999999</v>
      </c>
      <c r="GI200">
        <v>29.9999</v>
      </c>
      <c r="GJ200">
        <v>26.163799999999998</v>
      </c>
      <c r="GK200">
        <v>26.157299999999999</v>
      </c>
      <c r="GL200">
        <v>35.395299999999999</v>
      </c>
      <c r="GM200">
        <v>58.353299999999997</v>
      </c>
      <c r="GN200">
        <v>40.955599999999997</v>
      </c>
      <c r="GO200">
        <v>23.842700000000001</v>
      </c>
      <c r="GP200">
        <v>800</v>
      </c>
      <c r="GQ200">
        <v>5.5772399999999998</v>
      </c>
      <c r="GR200">
        <v>99.803600000000003</v>
      </c>
      <c r="GS200">
        <v>99.680499999999995</v>
      </c>
    </row>
    <row r="201" spans="1:201" x14ac:dyDescent="0.25">
      <c r="A201">
        <v>185</v>
      </c>
      <c r="B201">
        <v>1690231535</v>
      </c>
      <c r="C201">
        <v>2029.900000095367</v>
      </c>
      <c r="D201" t="s">
        <v>703</v>
      </c>
      <c r="E201" t="s">
        <v>704</v>
      </c>
      <c r="F201" t="s">
        <v>330</v>
      </c>
      <c r="H201">
        <v>1690231535</v>
      </c>
      <c r="I201">
        <f t="shared" si="60"/>
        <v>1.6382593870271187E-3</v>
      </c>
      <c r="J201">
        <f t="shared" si="61"/>
        <v>1.6382593870271187</v>
      </c>
      <c r="K201">
        <f t="shared" si="62"/>
        <v>25.527560275915953</v>
      </c>
      <c r="L201">
        <f t="shared" si="63"/>
        <v>523.1</v>
      </c>
      <c r="M201">
        <f t="shared" si="64"/>
        <v>133.44244729381265</v>
      </c>
      <c r="N201">
        <f t="shared" si="65"/>
        <v>13.22863059337325</v>
      </c>
      <c r="O201">
        <f t="shared" si="66"/>
        <v>51.856787729300002</v>
      </c>
      <c r="P201">
        <f t="shared" si="67"/>
        <v>0.10958472141925124</v>
      </c>
      <c r="Q201">
        <f t="shared" si="68"/>
        <v>2.1787550176845079</v>
      </c>
      <c r="R201">
        <f t="shared" si="69"/>
        <v>0.10661219751898356</v>
      </c>
      <c r="S201">
        <f t="shared" si="70"/>
        <v>6.689297694481075E-2</v>
      </c>
      <c r="T201">
        <f t="shared" si="71"/>
        <v>276.11578004400002</v>
      </c>
      <c r="U201">
        <f t="shared" si="72"/>
        <v>27.509023864829324</v>
      </c>
      <c r="V201">
        <f t="shared" si="73"/>
        <v>27.509023864829324</v>
      </c>
      <c r="W201">
        <f t="shared" si="74"/>
        <v>3.6875696139924878</v>
      </c>
      <c r="X201">
        <f t="shared" si="75"/>
        <v>65.760707497922127</v>
      </c>
      <c r="Y201">
        <f t="shared" si="76"/>
        <v>2.2095393104654999</v>
      </c>
      <c r="Z201">
        <f t="shared" si="77"/>
        <v>3.3599688849687572</v>
      </c>
      <c r="AA201">
        <f t="shared" si="78"/>
        <v>1.4780303035269879</v>
      </c>
      <c r="AB201">
        <f t="shared" si="79"/>
        <v>-72.247238967895939</v>
      </c>
      <c r="AC201">
        <f t="shared" si="80"/>
        <v>-185.67346992722676</v>
      </c>
      <c r="AD201">
        <f t="shared" si="81"/>
        <v>-18.33990308741167</v>
      </c>
      <c r="AE201">
        <f t="shared" si="82"/>
        <v>-0.14483193853433818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52579.107597707029</v>
      </c>
      <c r="AK201">
        <f t="shared" si="86"/>
        <v>1800</v>
      </c>
      <c r="AL201">
        <f t="shared" si="87"/>
        <v>1499.1106373999999</v>
      </c>
      <c r="AM201">
        <f t="shared" si="88"/>
        <v>0.8328392429999999</v>
      </c>
      <c r="AN201">
        <f t="shared" si="89"/>
        <v>0.15339765558000001</v>
      </c>
      <c r="AO201">
        <v>31.5</v>
      </c>
      <c r="AP201">
        <v>0.5</v>
      </c>
      <c r="AQ201" t="s">
        <v>331</v>
      </c>
      <c r="AR201">
        <v>2</v>
      </c>
      <c r="AS201">
        <v>1690231535</v>
      </c>
      <c r="AT201">
        <v>523.1</v>
      </c>
      <c r="AU201">
        <v>800.00099999999998</v>
      </c>
      <c r="AV201">
        <v>22.288499999999999</v>
      </c>
      <c r="AW201">
        <v>5.4784699999999997</v>
      </c>
      <c r="AX201">
        <v>523.11199999999997</v>
      </c>
      <c r="AY201">
        <v>22.1099</v>
      </c>
      <c r="AZ201">
        <v>300.14800000000002</v>
      </c>
      <c r="BA201">
        <v>99.033600000000007</v>
      </c>
      <c r="BB201">
        <v>0.10000299999999999</v>
      </c>
      <c r="BC201">
        <v>25.9283</v>
      </c>
      <c r="BD201">
        <v>26.997900000000001</v>
      </c>
      <c r="BE201">
        <v>27.559799999999999</v>
      </c>
      <c r="BF201">
        <v>0</v>
      </c>
      <c r="BG201">
        <v>0</v>
      </c>
      <c r="BH201">
        <v>10005</v>
      </c>
      <c r="BI201">
        <v>1066.33</v>
      </c>
      <c r="BJ201">
        <v>1.2334499999999999</v>
      </c>
      <c r="BK201">
        <v>-276.89999999999998</v>
      </c>
      <c r="BL201">
        <v>535.02499999999998</v>
      </c>
      <c r="BM201">
        <v>804.40800000000002</v>
      </c>
      <c r="BN201">
        <v>16.809999999999999</v>
      </c>
      <c r="BO201">
        <v>800.00099999999998</v>
      </c>
      <c r="BP201">
        <v>5.4784699999999997</v>
      </c>
      <c r="BQ201">
        <v>2.2073100000000001</v>
      </c>
      <c r="BR201">
        <v>0.54255200000000003</v>
      </c>
      <c r="BS201">
        <v>19.015499999999999</v>
      </c>
      <c r="BT201">
        <v>-1.68357</v>
      </c>
      <c r="BU201">
        <v>1800</v>
      </c>
      <c r="BV201">
        <v>0.90999099999999999</v>
      </c>
      <c r="BW201">
        <v>3.4004399999999997E-2</v>
      </c>
      <c r="BX201">
        <v>2.2002899999999999E-2</v>
      </c>
      <c r="BY201">
        <v>3.40016E-2</v>
      </c>
      <c r="BZ201">
        <v>25</v>
      </c>
      <c r="CA201">
        <v>33528.300000000003</v>
      </c>
      <c r="CB201">
        <v>1690229084.0999999</v>
      </c>
      <c r="CC201" t="s">
        <v>332</v>
      </c>
      <c r="CD201">
        <v>1690229084.0999999</v>
      </c>
      <c r="CE201">
        <v>1690229076.5999999</v>
      </c>
      <c r="CF201">
        <v>13</v>
      </c>
      <c r="CG201">
        <v>0.23300000000000001</v>
      </c>
      <c r="CH201">
        <v>-0.13100000000000001</v>
      </c>
      <c r="CI201">
        <v>-0.20599999999999999</v>
      </c>
      <c r="CJ201">
        <v>8.7999999999999995E-2</v>
      </c>
      <c r="CK201">
        <v>799</v>
      </c>
      <c r="CL201">
        <v>16</v>
      </c>
      <c r="CM201">
        <v>0.04</v>
      </c>
      <c r="CN201">
        <v>0.04</v>
      </c>
      <c r="CO201">
        <v>-276.54795121951219</v>
      </c>
      <c r="CP201">
        <v>-2.194662020905469</v>
      </c>
      <c r="CQ201">
        <v>0.22760020052495869</v>
      </c>
      <c r="CR201">
        <v>-1</v>
      </c>
      <c r="CS201">
        <v>16.768502439024392</v>
      </c>
      <c r="CT201">
        <v>0.2903707317072855</v>
      </c>
      <c r="CU201">
        <v>2.8980443261139549E-2</v>
      </c>
      <c r="CV201">
        <v>-1</v>
      </c>
      <c r="CW201">
        <v>0</v>
      </c>
      <c r="CX201">
        <v>0</v>
      </c>
      <c r="CY201" t="s">
        <v>333</v>
      </c>
      <c r="CZ201">
        <v>2.36476</v>
      </c>
      <c r="DA201">
        <v>2.7138</v>
      </c>
      <c r="DB201">
        <v>0.109223</v>
      </c>
      <c r="DC201">
        <v>0.14607300000000001</v>
      </c>
      <c r="DD201">
        <v>0.108112</v>
      </c>
      <c r="DE201">
        <v>3.6616799999999998E-2</v>
      </c>
      <c r="DF201">
        <v>32546.5</v>
      </c>
      <c r="DG201">
        <v>27550</v>
      </c>
      <c r="DH201">
        <v>31191.1</v>
      </c>
      <c r="DI201">
        <v>28111.9</v>
      </c>
      <c r="DJ201">
        <v>37770.300000000003</v>
      </c>
      <c r="DK201">
        <v>38518.400000000001</v>
      </c>
      <c r="DL201">
        <v>44392.3</v>
      </c>
      <c r="DM201">
        <v>42612.3</v>
      </c>
      <c r="DN201">
        <v>1.48447</v>
      </c>
      <c r="DO201">
        <v>2.0381300000000002</v>
      </c>
      <c r="DP201">
        <v>0.13217300000000001</v>
      </c>
      <c r="DQ201">
        <v>0.17897399999999999</v>
      </c>
      <c r="DR201">
        <v>24.8325</v>
      </c>
      <c r="DS201">
        <v>24.628499999999999</v>
      </c>
      <c r="DT201">
        <v>35.4</v>
      </c>
      <c r="DU201">
        <v>29.3</v>
      </c>
      <c r="DV201">
        <v>14.6295</v>
      </c>
      <c r="DW201">
        <v>61.3598</v>
      </c>
      <c r="DX201">
        <v>36.987200000000001</v>
      </c>
      <c r="DY201">
        <v>1</v>
      </c>
      <c r="DZ201">
        <v>-0.110094</v>
      </c>
      <c r="EA201">
        <v>0.27457500000000001</v>
      </c>
      <c r="EB201">
        <v>20.189399999999999</v>
      </c>
      <c r="EC201">
        <v>5.2411000000000003</v>
      </c>
      <c r="ED201">
        <v>12.039899999999999</v>
      </c>
      <c r="EE201">
        <v>5.0170500000000002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1.86913</v>
      </c>
      <c r="EN201">
        <v>1.8672200000000001</v>
      </c>
      <c r="EO201">
        <v>1.8633999999999999</v>
      </c>
      <c r="EP201">
        <v>1.8644700000000001</v>
      </c>
      <c r="EQ201">
        <v>1.87012</v>
      </c>
      <c r="ER201">
        <v>1.86937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-1.2E-2</v>
      </c>
      <c r="FG201">
        <v>0.17860000000000001</v>
      </c>
      <c r="FH201">
        <v>0.3448811944559278</v>
      </c>
      <c r="FI201">
        <v>-6.1462078757559423E-4</v>
      </c>
      <c r="FJ201">
        <v>-1.8861989874597051E-7</v>
      </c>
      <c r="FK201">
        <v>1.1980462299894961E-10</v>
      </c>
      <c r="FL201">
        <v>0.17862261546663211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40.799999999999997</v>
      </c>
      <c r="FU201">
        <v>41</v>
      </c>
      <c r="FV201">
        <v>1.7700199999999999</v>
      </c>
      <c r="FW201">
        <v>2.5842299999999998</v>
      </c>
      <c r="FX201">
        <v>1.5490699999999999</v>
      </c>
      <c r="FY201">
        <v>2.32666</v>
      </c>
      <c r="FZ201">
        <v>1.50146</v>
      </c>
      <c r="GA201">
        <v>2.4011200000000001</v>
      </c>
      <c r="GB201">
        <v>33.805700000000002</v>
      </c>
      <c r="GC201">
        <v>23.991199999999999</v>
      </c>
      <c r="GD201">
        <v>19</v>
      </c>
      <c r="GE201">
        <v>285.57100000000003</v>
      </c>
      <c r="GF201">
        <v>582.52800000000002</v>
      </c>
      <c r="GG201">
        <v>23.8489</v>
      </c>
      <c r="GH201">
        <v>26.004200000000001</v>
      </c>
      <c r="GI201">
        <v>30.0001</v>
      </c>
      <c r="GJ201">
        <v>26.160900000000002</v>
      </c>
      <c r="GK201">
        <v>26.154800000000002</v>
      </c>
      <c r="GL201">
        <v>35.395099999999999</v>
      </c>
      <c r="GM201">
        <v>58.051200000000001</v>
      </c>
      <c r="GN201">
        <v>40.567399999999999</v>
      </c>
      <c r="GO201">
        <v>23.851800000000001</v>
      </c>
      <c r="GP201">
        <v>800</v>
      </c>
      <c r="GQ201">
        <v>5.5448300000000001</v>
      </c>
      <c r="GR201">
        <v>99.804000000000002</v>
      </c>
      <c r="GS201">
        <v>99.680899999999994</v>
      </c>
    </row>
    <row r="202" spans="1:201" x14ac:dyDescent="0.25">
      <c r="A202">
        <v>186</v>
      </c>
      <c r="B202">
        <v>1690231545</v>
      </c>
      <c r="C202">
        <v>2039.900000095367</v>
      </c>
      <c r="D202" t="s">
        <v>705</v>
      </c>
      <c r="E202" t="s">
        <v>706</v>
      </c>
      <c r="F202" t="s">
        <v>330</v>
      </c>
      <c r="H202">
        <v>1690231545</v>
      </c>
      <c r="I202">
        <f t="shared" si="60"/>
        <v>1.6403528906908155E-3</v>
      </c>
      <c r="J202">
        <f t="shared" si="61"/>
        <v>1.6403528906908154</v>
      </c>
      <c r="K202">
        <f t="shared" si="62"/>
        <v>25.571513622795848</v>
      </c>
      <c r="L202">
        <f t="shared" si="63"/>
        <v>522.73500000000001</v>
      </c>
      <c r="M202">
        <f t="shared" si="64"/>
        <v>132.86091232603698</v>
      </c>
      <c r="N202">
        <f t="shared" si="65"/>
        <v>13.171600467181333</v>
      </c>
      <c r="O202">
        <f t="shared" si="66"/>
        <v>51.823041477510003</v>
      </c>
      <c r="P202">
        <f t="shared" si="67"/>
        <v>0.10970886691825232</v>
      </c>
      <c r="Q202">
        <f t="shared" si="68"/>
        <v>2.1806294090248466</v>
      </c>
      <c r="R202">
        <f t="shared" si="69"/>
        <v>0.10673218877055576</v>
      </c>
      <c r="S202">
        <f t="shared" si="70"/>
        <v>6.6968333554869502E-2</v>
      </c>
      <c r="T202">
        <f t="shared" si="71"/>
        <v>276.11559244799997</v>
      </c>
      <c r="U202">
        <f t="shared" si="72"/>
        <v>27.507468999967713</v>
      </c>
      <c r="V202">
        <f t="shared" si="73"/>
        <v>27.507468999967713</v>
      </c>
      <c r="W202">
        <f t="shared" si="74"/>
        <v>3.6872341502607471</v>
      </c>
      <c r="X202">
        <f t="shared" si="75"/>
        <v>65.740114561282823</v>
      </c>
      <c r="Y202">
        <f t="shared" si="76"/>
        <v>2.2088997047459999</v>
      </c>
      <c r="Z202">
        <f t="shared" si="77"/>
        <v>3.360048456695139</v>
      </c>
      <c r="AA202">
        <f t="shared" si="78"/>
        <v>1.4783344455147471</v>
      </c>
      <c r="AB202">
        <f t="shared" si="79"/>
        <v>-72.339562479464959</v>
      </c>
      <c r="AC202">
        <f t="shared" si="80"/>
        <v>-185.60338752506064</v>
      </c>
      <c r="AD202">
        <f t="shared" si="81"/>
        <v>-18.317116135847801</v>
      </c>
      <c r="AE202">
        <f t="shared" si="82"/>
        <v>-0.14447369237345242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52657.064135730921</v>
      </c>
      <c r="AK202">
        <f t="shared" si="86"/>
        <v>1800</v>
      </c>
      <c r="AL202">
        <f t="shared" si="87"/>
        <v>1499.1105078000001</v>
      </c>
      <c r="AM202">
        <f t="shared" si="88"/>
        <v>0.83283917100000004</v>
      </c>
      <c r="AN202">
        <f t="shared" si="89"/>
        <v>0.15339755136</v>
      </c>
      <c r="AO202">
        <v>31.5</v>
      </c>
      <c r="AP202">
        <v>0.5</v>
      </c>
      <c r="AQ202" t="s">
        <v>331</v>
      </c>
      <c r="AR202">
        <v>2</v>
      </c>
      <c r="AS202">
        <v>1690231545</v>
      </c>
      <c r="AT202">
        <v>522.73500000000001</v>
      </c>
      <c r="AU202">
        <v>800.072</v>
      </c>
      <c r="AV202">
        <v>22.280999999999999</v>
      </c>
      <c r="AW202">
        <v>5.4512099999999997</v>
      </c>
      <c r="AX202">
        <v>522.74599999999998</v>
      </c>
      <c r="AY202">
        <v>22.102399999999999</v>
      </c>
      <c r="AZ202">
        <v>300.18099999999998</v>
      </c>
      <c r="BA202">
        <v>99.038200000000003</v>
      </c>
      <c r="BB202">
        <v>0.100066</v>
      </c>
      <c r="BC202">
        <v>25.928699999999999</v>
      </c>
      <c r="BD202">
        <v>27.011500000000002</v>
      </c>
      <c r="BE202">
        <v>27.5669</v>
      </c>
      <c r="BF202">
        <v>0</v>
      </c>
      <c r="BG202">
        <v>0</v>
      </c>
      <c r="BH202">
        <v>10020</v>
      </c>
      <c r="BI202">
        <v>1066.32</v>
      </c>
      <c r="BJ202">
        <v>1.4016500000000001</v>
      </c>
      <c r="BK202">
        <v>-277.33699999999999</v>
      </c>
      <c r="BL202">
        <v>534.64700000000005</v>
      </c>
      <c r="BM202">
        <v>804.45699999999999</v>
      </c>
      <c r="BN202">
        <v>16.829799999999999</v>
      </c>
      <c r="BO202">
        <v>800.072</v>
      </c>
      <c r="BP202">
        <v>5.4512099999999997</v>
      </c>
      <c r="BQ202">
        <v>2.2066699999999999</v>
      </c>
      <c r="BR202">
        <v>0.53987700000000005</v>
      </c>
      <c r="BS202">
        <v>19.0108</v>
      </c>
      <c r="BT202">
        <v>-1.75065</v>
      </c>
      <c r="BU202">
        <v>1800</v>
      </c>
      <c r="BV202">
        <v>0.90999300000000005</v>
      </c>
      <c r="BW202">
        <v>3.4003499999999999E-2</v>
      </c>
      <c r="BX202">
        <v>2.2002299999999999E-2</v>
      </c>
      <c r="BY202">
        <v>3.4000799999999998E-2</v>
      </c>
      <c r="BZ202">
        <v>25</v>
      </c>
      <c r="CA202">
        <v>33528.300000000003</v>
      </c>
      <c r="CB202">
        <v>1690229084.0999999</v>
      </c>
      <c r="CC202" t="s">
        <v>332</v>
      </c>
      <c r="CD202">
        <v>1690229084.0999999</v>
      </c>
      <c r="CE202">
        <v>1690229076.5999999</v>
      </c>
      <c r="CF202">
        <v>13</v>
      </c>
      <c r="CG202">
        <v>0.23300000000000001</v>
      </c>
      <c r="CH202">
        <v>-0.13100000000000001</v>
      </c>
      <c r="CI202">
        <v>-0.20599999999999999</v>
      </c>
      <c r="CJ202">
        <v>8.7999999999999995E-2</v>
      </c>
      <c r="CK202">
        <v>799</v>
      </c>
      <c r="CL202">
        <v>16</v>
      </c>
      <c r="CM202">
        <v>0.04</v>
      </c>
      <c r="CN202">
        <v>0.04</v>
      </c>
      <c r="CO202">
        <v>-276.87625000000003</v>
      </c>
      <c r="CP202">
        <v>-1.8545065666038101</v>
      </c>
      <c r="CQ202">
        <v>0.18225432093642779</v>
      </c>
      <c r="CR202">
        <v>-1</v>
      </c>
      <c r="CS202">
        <v>16.800654999999999</v>
      </c>
      <c r="CT202">
        <v>0.1112803001875592</v>
      </c>
      <c r="CU202">
        <v>1.270918860510002E-2</v>
      </c>
      <c r="CV202">
        <v>-1</v>
      </c>
      <c r="CW202">
        <v>0</v>
      </c>
      <c r="CX202">
        <v>0</v>
      </c>
      <c r="CY202" t="s">
        <v>333</v>
      </c>
      <c r="CZ202">
        <v>2.3648600000000002</v>
      </c>
      <c r="DA202">
        <v>2.7138800000000001</v>
      </c>
      <c r="DB202">
        <v>0.10917399999999999</v>
      </c>
      <c r="DC202">
        <v>0.146089</v>
      </c>
      <c r="DD202">
        <v>0.10809199999999999</v>
      </c>
      <c r="DE202">
        <v>3.6468300000000002E-2</v>
      </c>
      <c r="DF202">
        <v>32548.799999999999</v>
      </c>
      <c r="DG202">
        <v>27549.5</v>
      </c>
      <c r="DH202">
        <v>31191.599999999999</v>
      </c>
      <c r="DI202">
        <v>28111.9</v>
      </c>
      <c r="DJ202">
        <v>37772</v>
      </c>
      <c r="DK202">
        <v>38524.300000000003</v>
      </c>
      <c r="DL202">
        <v>44393.3</v>
      </c>
      <c r="DM202">
        <v>42612.2</v>
      </c>
      <c r="DN202">
        <v>1.4848699999999999</v>
      </c>
      <c r="DO202">
        <v>2.0379700000000001</v>
      </c>
      <c r="DP202">
        <v>0.13300400000000001</v>
      </c>
      <c r="DQ202">
        <v>0.179205</v>
      </c>
      <c r="DR202">
        <v>24.8325</v>
      </c>
      <c r="DS202">
        <v>24.631900000000002</v>
      </c>
      <c r="DT202">
        <v>35.200000000000003</v>
      </c>
      <c r="DU202">
        <v>29.3</v>
      </c>
      <c r="DV202">
        <v>14.5443</v>
      </c>
      <c r="DW202">
        <v>61.349800000000002</v>
      </c>
      <c r="DX202">
        <v>37.355800000000002</v>
      </c>
      <c r="DY202">
        <v>1</v>
      </c>
      <c r="DZ202">
        <v>-0.110348</v>
      </c>
      <c r="EA202">
        <v>0.26147100000000001</v>
      </c>
      <c r="EB202">
        <v>20.189599999999999</v>
      </c>
      <c r="EC202">
        <v>5.2409499999999998</v>
      </c>
      <c r="ED202">
        <v>12.039899999999999</v>
      </c>
      <c r="EE202">
        <v>5.0168499999999998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1.8691599999999999</v>
      </c>
      <c r="EN202">
        <v>1.8672200000000001</v>
      </c>
      <c r="EO202">
        <v>1.8633999999999999</v>
      </c>
      <c r="EP202">
        <v>1.8644700000000001</v>
      </c>
      <c r="EQ202">
        <v>1.8701300000000001</v>
      </c>
      <c r="ER202">
        <v>1.8693500000000001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-1.0999999999999999E-2</v>
      </c>
      <c r="FG202">
        <v>0.17860000000000001</v>
      </c>
      <c r="FH202">
        <v>0.3448811944559278</v>
      </c>
      <c r="FI202">
        <v>-6.1462078757559423E-4</v>
      </c>
      <c r="FJ202">
        <v>-1.8861989874597051E-7</v>
      </c>
      <c r="FK202">
        <v>1.1980462299894961E-10</v>
      </c>
      <c r="FL202">
        <v>0.17862261546663211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41</v>
      </c>
      <c r="FU202">
        <v>41.1</v>
      </c>
      <c r="FV202">
        <v>1.7700199999999999</v>
      </c>
      <c r="FW202">
        <v>2.5854499999999998</v>
      </c>
      <c r="FX202">
        <v>1.5490699999999999</v>
      </c>
      <c r="FY202">
        <v>2.32666</v>
      </c>
      <c r="FZ202">
        <v>1.50146</v>
      </c>
      <c r="GA202">
        <v>2.3986800000000001</v>
      </c>
      <c r="GB202">
        <v>33.805700000000002</v>
      </c>
      <c r="GC202">
        <v>23.991199999999999</v>
      </c>
      <c r="GD202">
        <v>19</v>
      </c>
      <c r="GE202">
        <v>285.733</v>
      </c>
      <c r="GF202">
        <v>582.37800000000004</v>
      </c>
      <c r="GG202">
        <v>23.8477</v>
      </c>
      <c r="GH202">
        <v>26.001999999999999</v>
      </c>
      <c r="GI202">
        <v>30</v>
      </c>
      <c r="GJ202">
        <v>26.1587</v>
      </c>
      <c r="GK202">
        <v>26.1524</v>
      </c>
      <c r="GL202">
        <v>35.394100000000002</v>
      </c>
      <c r="GM202">
        <v>58.051200000000001</v>
      </c>
      <c r="GN202">
        <v>39.789499999999997</v>
      </c>
      <c r="GO202">
        <v>23.849</v>
      </c>
      <c r="GP202">
        <v>800</v>
      </c>
      <c r="GQ202">
        <v>5.5103200000000001</v>
      </c>
      <c r="GR202">
        <v>99.805999999999997</v>
      </c>
      <c r="GS202">
        <v>99.680800000000005</v>
      </c>
    </row>
    <row r="203" spans="1:201" x14ac:dyDescent="0.25">
      <c r="A203">
        <v>187</v>
      </c>
      <c r="B203">
        <v>1690231555</v>
      </c>
      <c r="C203">
        <v>2049.900000095367</v>
      </c>
      <c r="D203" t="s">
        <v>707</v>
      </c>
      <c r="E203" t="s">
        <v>708</v>
      </c>
      <c r="F203" t="s">
        <v>330</v>
      </c>
      <c r="H203">
        <v>1690231555</v>
      </c>
      <c r="I203">
        <f t="shared" si="60"/>
        <v>1.6386381015689616E-3</v>
      </c>
      <c r="J203">
        <f t="shared" si="61"/>
        <v>1.6386381015689615</v>
      </c>
      <c r="K203">
        <f t="shared" si="62"/>
        <v>25.596946185974936</v>
      </c>
      <c r="L203">
        <f t="shared" si="63"/>
        <v>522.45600000000002</v>
      </c>
      <c r="M203">
        <f t="shared" si="64"/>
        <v>131.60137403214455</v>
      </c>
      <c r="N203">
        <f t="shared" si="65"/>
        <v>13.046192853934828</v>
      </c>
      <c r="O203">
        <f t="shared" si="66"/>
        <v>51.793241399064009</v>
      </c>
      <c r="P203">
        <f t="shared" si="67"/>
        <v>0.10953436899782117</v>
      </c>
      <c r="Q203">
        <f t="shared" si="68"/>
        <v>2.1756503974335448</v>
      </c>
      <c r="R203">
        <f t="shared" si="69"/>
        <v>0.1065604222650528</v>
      </c>
      <c r="S203">
        <f t="shared" si="70"/>
        <v>6.6860735722684667E-2</v>
      </c>
      <c r="T203">
        <f t="shared" si="71"/>
        <v>276.11558283599999</v>
      </c>
      <c r="U203">
        <f t="shared" si="72"/>
        <v>27.508250593024375</v>
      </c>
      <c r="V203">
        <f t="shared" si="73"/>
        <v>27.508250593024375</v>
      </c>
      <c r="W203">
        <f t="shared" si="74"/>
        <v>3.6874027764569468</v>
      </c>
      <c r="X203">
        <f t="shared" si="75"/>
        <v>65.734119365353976</v>
      </c>
      <c r="Y203">
        <f t="shared" si="76"/>
        <v>2.2082929218101999</v>
      </c>
      <c r="Z203">
        <f t="shared" si="77"/>
        <v>3.3594318188646932</v>
      </c>
      <c r="AA203">
        <f t="shared" si="78"/>
        <v>1.4791098546467469</v>
      </c>
      <c r="AB203">
        <f t="shared" si="79"/>
        <v>-72.263940279191203</v>
      </c>
      <c r="AC203">
        <f t="shared" si="80"/>
        <v>-185.63488724597292</v>
      </c>
      <c r="AD203">
        <f t="shared" si="81"/>
        <v>-18.361938538119624</v>
      </c>
      <c r="AE203">
        <f t="shared" si="82"/>
        <v>-0.1451832272837521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52450.676825127361</v>
      </c>
      <c r="AK203">
        <f t="shared" si="86"/>
        <v>1800</v>
      </c>
      <c r="AL203">
        <f t="shared" si="87"/>
        <v>1499.1107886</v>
      </c>
      <c r="AM203">
        <f t="shared" si="88"/>
        <v>0.83283932699999996</v>
      </c>
      <c r="AN203">
        <f t="shared" si="89"/>
        <v>0.15339754602</v>
      </c>
      <c r="AO203">
        <v>31.5</v>
      </c>
      <c r="AP203">
        <v>0.5</v>
      </c>
      <c r="AQ203" t="s">
        <v>331</v>
      </c>
      <c r="AR203">
        <v>2</v>
      </c>
      <c r="AS203">
        <v>1690231555</v>
      </c>
      <c r="AT203">
        <v>522.45600000000002</v>
      </c>
      <c r="AU203">
        <v>800.05399999999997</v>
      </c>
      <c r="AV203">
        <v>22.2758</v>
      </c>
      <c r="AW203">
        <v>5.4630099999999997</v>
      </c>
      <c r="AX203">
        <v>522.46699999999998</v>
      </c>
      <c r="AY203">
        <v>22.097200000000001</v>
      </c>
      <c r="AZ203">
        <v>300.17200000000003</v>
      </c>
      <c r="BA203">
        <v>99.034099999999995</v>
      </c>
      <c r="BB203">
        <v>0.10006900000000001</v>
      </c>
      <c r="BC203">
        <v>25.925599999999999</v>
      </c>
      <c r="BD203">
        <v>27.014700000000001</v>
      </c>
      <c r="BE203">
        <v>27.546299999999999</v>
      </c>
      <c r="BF203">
        <v>0</v>
      </c>
      <c r="BG203">
        <v>0</v>
      </c>
      <c r="BH203">
        <v>9979.3799999999992</v>
      </c>
      <c r="BI203">
        <v>1066.28</v>
      </c>
      <c r="BJ203">
        <v>1.4016500000000001</v>
      </c>
      <c r="BK203">
        <v>-277.59800000000001</v>
      </c>
      <c r="BL203">
        <v>534.35900000000004</v>
      </c>
      <c r="BM203">
        <v>804.44899999999996</v>
      </c>
      <c r="BN203">
        <v>16.812799999999999</v>
      </c>
      <c r="BO203">
        <v>800.05399999999997</v>
      </c>
      <c r="BP203">
        <v>5.4630099999999997</v>
      </c>
      <c r="BQ203">
        <v>2.20607</v>
      </c>
      <c r="BR203">
        <v>0.54102399999999995</v>
      </c>
      <c r="BS203">
        <v>19.006499999999999</v>
      </c>
      <c r="BT203">
        <v>-1.7218500000000001</v>
      </c>
      <c r="BU203">
        <v>1800</v>
      </c>
      <c r="BV203">
        <v>0.90999399999999997</v>
      </c>
      <c r="BW203">
        <v>3.4003199999999997E-2</v>
      </c>
      <c r="BX203">
        <v>2.20021E-2</v>
      </c>
      <c r="BY203">
        <v>3.40004E-2</v>
      </c>
      <c r="BZ203">
        <v>25.041699999999999</v>
      </c>
      <c r="CA203">
        <v>33528.400000000001</v>
      </c>
      <c r="CB203">
        <v>1690229084.0999999</v>
      </c>
      <c r="CC203" t="s">
        <v>332</v>
      </c>
      <c r="CD203">
        <v>1690229084.0999999</v>
      </c>
      <c r="CE203">
        <v>1690229076.5999999</v>
      </c>
      <c r="CF203">
        <v>13</v>
      </c>
      <c r="CG203">
        <v>0.23300000000000001</v>
      </c>
      <c r="CH203">
        <v>-0.13100000000000001</v>
      </c>
      <c r="CI203">
        <v>-0.20599999999999999</v>
      </c>
      <c r="CJ203">
        <v>8.7999999999999995E-2</v>
      </c>
      <c r="CK203">
        <v>799</v>
      </c>
      <c r="CL203">
        <v>16</v>
      </c>
      <c r="CM203">
        <v>0.04</v>
      </c>
      <c r="CN203">
        <v>0.04</v>
      </c>
      <c r="CO203">
        <v>-277.19680487804879</v>
      </c>
      <c r="CP203">
        <v>-1.7448292682922211</v>
      </c>
      <c r="CQ203">
        <v>0.17987613889023241</v>
      </c>
      <c r="CR203">
        <v>-1</v>
      </c>
      <c r="CS203">
        <v>16.821153658536581</v>
      </c>
      <c r="CT203">
        <v>0.11714843205579691</v>
      </c>
      <c r="CU203">
        <v>1.5004602506271321E-2</v>
      </c>
      <c r="CV203">
        <v>-1</v>
      </c>
      <c r="CW203">
        <v>0</v>
      </c>
      <c r="CX203">
        <v>0</v>
      </c>
      <c r="CY203" t="s">
        <v>333</v>
      </c>
      <c r="CZ203">
        <v>2.36483</v>
      </c>
      <c r="DA203">
        <v>2.7138399999999998</v>
      </c>
      <c r="DB203">
        <v>0.109128</v>
      </c>
      <c r="DC203">
        <v>0.14608199999999999</v>
      </c>
      <c r="DD203">
        <v>0.108071</v>
      </c>
      <c r="DE203">
        <v>3.6532299999999997E-2</v>
      </c>
      <c r="DF203">
        <v>32550.799999999999</v>
      </c>
      <c r="DG203">
        <v>27549.8</v>
      </c>
      <c r="DH203">
        <v>31191.8</v>
      </c>
      <c r="DI203">
        <v>28112</v>
      </c>
      <c r="DJ203">
        <v>37773</v>
      </c>
      <c r="DK203">
        <v>38522.1</v>
      </c>
      <c r="DL203">
        <v>44393.5</v>
      </c>
      <c r="DM203">
        <v>42612.7</v>
      </c>
      <c r="DN203">
        <v>1.4845200000000001</v>
      </c>
      <c r="DO203">
        <v>2.03803</v>
      </c>
      <c r="DP203">
        <v>0.13320100000000001</v>
      </c>
      <c r="DQ203">
        <v>0.17784900000000001</v>
      </c>
      <c r="DR203">
        <v>24.8325</v>
      </c>
      <c r="DS203">
        <v>24.633400000000002</v>
      </c>
      <c r="DT203">
        <v>35</v>
      </c>
      <c r="DU203">
        <v>29.2</v>
      </c>
      <c r="DV203">
        <v>14.377700000000001</v>
      </c>
      <c r="DW203">
        <v>61.9998</v>
      </c>
      <c r="DX203">
        <v>37.355800000000002</v>
      </c>
      <c r="DY203">
        <v>1</v>
      </c>
      <c r="DZ203">
        <v>-0.110709</v>
      </c>
      <c r="EA203">
        <v>0.25975799999999999</v>
      </c>
      <c r="EB203">
        <v>20.189299999999999</v>
      </c>
      <c r="EC203">
        <v>5.2411000000000003</v>
      </c>
      <c r="ED203">
        <v>12.039899999999999</v>
      </c>
      <c r="EE203">
        <v>5.0169499999999996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1.86917</v>
      </c>
      <c r="EN203">
        <v>1.8672200000000001</v>
      </c>
      <c r="EO203">
        <v>1.86338</v>
      </c>
      <c r="EP203">
        <v>1.8644700000000001</v>
      </c>
      <c r="EQ203">
        <v>1.87012</v>
      </c>
      <c r="ER203">
        <v>1.86937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-1.0999999999999999E-2</v>
      </c>
      <c r="FG203">
        <v>0.17860000000000001</v>
      </c>
      <c r="FH203">
        <v>0.3448811944559278</v>
      </c>
      <c r="FI203">
        <v>-6.1462078757559423E-4</v>
      </c>
      <c r="FJ203">
        <v>-1.8861989874597051E-7</v>
      </c>
      <c r="FK203">
        <v>1.1980462299894961E-10</v>
      </c>
      <c r="FL203">
        <v>0.17862261546663211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41.2</v>
      </c>
      <c r="FU203">
        <v>41.3</v>
      </c>
      <c r="FV203">
        <v>1.7700199999999999</v>
      </c>
      <c r="FW203">
        <v>2.5878899999999998</v>
      </c>
      <c r="FX203">
        <v>1.5490699999999999</v>
      </c>
      <c r="FY203">
        <v>2.32666</v>
      </c>
      <c r="FZ203">
        <v>1.50146</v>
      </c>
      <c r="GA203">
        <v>2.3754900000000001</v>
      </c>
      <c r="GB203">
        <v>33.805700000000002</v>
      </c>
      <c r="GC203">
        <v>23.982399999999998</v>
      </c>
      <c r="GD203">
        <v>19</v>
      </c>
      <c r="GE203">
        <v>285.56799999999998</v>
      </c>
      <c r="GF203">
        <v>582.38800000000003</v>
      </c>
      <c r="GG203">
        <v>23.847899999999999</v>
      </c>
      <c r="GH203">
        <v>25.9998</v>
      </c>
      <c r="GI203">
        <v>30.0001</v>
      </c>
      <c r="GJ203">
        <v>26.1555</v>
      </c>
      <c r="GK203">
        <v>26.149699999999999</v>
      </c>
      <c r="GL203">
        <v>35.3962</v>
      </c>
      <c r="GM203">
        <v>57.761400000000002</v>
      </c>
      <c r="GN203">
        <v>39.406500000000001</v>
      </c>
      <c r="GO203">
        <v>23.842700000000001</v>
      </c>
      <c r="GP203">
        <v>800</v>
      </c>
      <c r="GQ203">
        <v>5.4793599999999998</v>
      </c>
      <c r="GR203">
        <v>99.806600000000003</v>
      </c>
      <c r="GS203">
        <v>99.6815</v>
      </c>
    </row>
    <row r="204" spans="1:201" x14ac:dyDescent="0.25">
      <c r="A204">
        <v>188</v>
      </c>
      <c r="B204">
        <v>1690231565</v>
      </c>
      <c r="C204">
        <v>2059.900000095367</v>
      </c>
      <c r="D204" t="s">
        <v>709</v>
      </c>
      <c r="E204" t="s">
        <v>710</v>
      </c>
      <c r="F204" t="s">
        <v>330</v>
      </c>
      <c r="H204">
        <v>1690231565</v>
      </c>
      <c r="I204">
        <f t="shared" si="60"/>
        <v>1.6423791030577034E-3</v>
      </c>
      <c r="J204">
        <f t="shared" si="61"/>
        <v>1.6423791030577035</v>
      </c>
      <c r="K204">
        <f t="shared" si="62"/>
        <v>25.633129400860067</v>
      </c>
      <c r="L204">
        <f t="shared" si="63"/>
        <v>522.06299999999999</v>
      </c>
      <c r="M204">
        <f t="shared" si="64"/>
        <v>131.9855709781398</v>
      </c>
      <c r="N204">
        <f t="shared" si="65"/>
        <v>13.084421255454926</v>
      </c>
      <c r="O204">
        <f t="shared" si="66"/>
        <v>51.754840800120007</v>
      </c>
      <c r="P204">
        <f t="shared" si="67"/>
        <v>0.10991506484942438</v>
      </c>
      <c r="Q204">
        <f t="shared" si="68"/>
        <v>2.1786290758705658</v>
      </c>
      <c r="R204">
        <f t="shared" si="69"/>
        <v>0.10692468808504356</v>
      </c>
      <c r="S204">
        <f t="shared" si="70"/>
        <v>6.7089827061163024E-2</v>
      </c>
      <c r="T204">
        <f t="shared" si="71"/>
        <v>276.11568088199999</v>
      </c>
      <c r="U204">
        <f t="shared" si="72"/>
        <v>27.501007044841291</v>
      </c>
      <c r="V204">
        <f t="shared" si="73"/>
        <v>27.501007044841291</v>
      </c>
      <c r="W204">
        <f t="shared" si="74"/>
        <v>3.6858402619555966</v>
      </c>
      <c r="X204">
        <f t="shared" si="75"/>
        <v>65.752170255248203</v>
      </c>
      <c r="Y204">
        <f t="shared" si="76"/>
        <v>2.2083762603360002</v>
      </c>
      <c r="Z204">
        <f t="shared" si="77"/>
        <v>3.3586363032020716</v>
      </c>
      <c r="AA204">
        <f t="shared" si="78"/>
        <v>1.4774640016195963</v>
      </c>
      <c r="AB204">
        <f t="shared" si="79"/>
        <v>-72.428918444844726</v>
      </c>
      <c r="AC204">
        <f t="shared" si="80"/>
        <v>-185.50807106267987</v>
      </c>
      <c r="AD204">
        <f t="shared" si="81"/>
        <v>-18.323275215100633</v>
      </c>
      <c r="AE204">
        <f t="shared" si="82"/>
        <v>-0.14458384062524487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52575.087432159649</v>
      </c>
      <c r="AK204">
        <f t="shared" si="86"/>
        <v>1800</v>
      </c>
      <c r="AL204">
        <f t="shared" si="87"/>
        <v>1499.1112062</v>
      </c>
      <c r="AM204">
        <f t="shared" si="88"/>
        <v>0.83283955899999995</v>
      </c>
      <c r="AN204">
        <f t="shared" si="89"/>
        <v>0.15339760049000001</v>
      </c>
      <c r="AO204">
        <v>31.5</v>
      </c>
      <c r="AP204">
        <v>0.5</v>
      </c>
      <c r="AQ204" t="s">
        <v>331</v>
      </c>
      <c r="AR204">
        <v>2</v>
      </c>
      <c r="AS204">
        <v>1690231565</v>
      </c>
      <c r="AT204">
        <v>522.06299999999999</v>
      </c>
      <c r="AU204">
        <v>800.06</v>
      </c>
      <c r="AV204">
        <v>22.276399999999999</v>
      </c>
      <c r="AW204">
        <v>5.4249000000000001</v>
      </c>
      <c r="AX204">
        <v>522.07299999999998</v>
      </c>
      <c r="AY204">
        <v>22.097799999999999</v>
      </c>
      <c r="AZ204">
        <v>300.166</v>
      </c>
      <c r="BA204">
        <v>99.035200000000003</v>
      </c>
      <c r="BB204">
        <v>0.10004</v>
      </c>
      <c r="BC204">
        <v>25.921600000000002</v>
      </c>
      <c r="BD204">
        <v>26.988700000000001</v>
      </c>
      <c r="BE204">
        <v>27.556100000000001</v>
      </c>
      <c r="BF204">
        <v>0</v>
      </c>
      <c r="BG204">
        <v>0</v>
      </c>
      <c r="BH204">
        <v>10003.799999999999</v>
      </c>
      <c r="BI204">
        <v>1066.33</v>
      </c>
      <c r="BJ204">
        <v>1.4016500000000001</v>
      </c>
      <c r="BK204">
        <v>-277.99799999999999</v>
      </c>
      <c r="BL204">
        <v>533.95699999999999</v>
      </c>
      <c r="BM204">
        <v>804.42399999999998</v>
      </c>
      <c r="BN204">
        <v>16.851500000000001</v>
      </c>
      <c r="BO204">
        <v>800.06</v>
      </c>
      <c r="BP204">
        <v>5.4249000000000001</v>
      </c>
      <c r="BQ204">
        <v>2.2061500000000001</v>
      </c>
      <c r="BR204">
        <v>0.53725599999999996</v>
      </c>
      <c r="BS204">
        <v>19.007000000000001</v>
      </c>
      <c r="BT204">
        <v>-1.81667</v>
      </c>
      <c r="BU204">
        <v>1800</v>
      </c>
      <c r="BV204">
        <v>0.90999399999999997</v>
      </c>
      <c r="BW204">
        <v>3.40033E-2</v>
      </c>
      <c r="BX204">
        <v>2.20022E-2</v>
      </c>
      <c r="BY204">
        <v>3.4000500000000003E-2</v>
      </c>
      <c r="BZ204">
        <v>25</v>
      </c>
      <c r="CA204">
        <v>33528.400000000001</v>
      </c>
      <c r="CB204">
        <v>1690229084.0999999</v>
      </c>
      <c r="CC204" t="s">
        <v>332</v>
      </c>
      <c r="CD204">
        <v>1690229084.0999999</v>
      </c>
      <c r="CE204">
        <v>1690229076.5999999</v>
      </c>
      <c r="CF204">
        <v>13</v>
      </c>
      <c r="CG204">
        <v>0.23300000000000001</v>
      </c>
      <c r="CH204">
        <v>-0.13100000000000001</v>
      </c>
      <c r="CI204">
        <v>-0.20599999999999999</v>
      </c>
      <c r="CJ204">
        <v>8.7999999999999995E-2</v>
      </c>
      <c r="CK204">
        <v>799</v>
      </c>
      <c r="CL204">
        <v>16</v>
      </c>
      <c r="CM204">
        <v>0.04</v>
      </c>
      <c r="CN204">
        <v>0.04</v>
      </c>
      <c r="CO204">
        <v>-277.53429268292678</v>
      </c>
      <c r="CP204">
        <v>-2.1011498257844639</v>
      </c>
      <c r="CQ204">
        <v>0.21753410093227041</v>
      </c>
      <c r="CR204">
        <v>-1</v>
      </c>
      <c r="CS204">
        <v>16.832660975609759</v>
      </c>
      <c r="CT204">
        <v>2.7932404181223839E-2</v>
      </c>
      <c r="CU204">
        <v>1.1604454108046121E-2</v>
      </c>
      <c r="CV204">
        <v>-1</v>
      </c>
      <c r="CW204">
        <v>0</v>
      </c>
      <c r="CX204">
        <v>0</v>
      </c>
      <c r="CY204" t="s">
        <v>333</v>
      </c>
      <c r="CZ204">
        <v>2.3647999999999998</v>
      </c>
      <c r="DA204">
        <v>2.7138300000000002</v>
      </c>
      <c r="DB204">
        <v>0.10907</v>
      </c>
      <c r="DC204">
        <v>0.14608499999999999</v>
      </c>
      <c r="DD204">
        <v>0.108074</v>
      </c>
      <c r="DE204">
        <v>3.6322500000000001E-2</v>
      </c>
      <c r="DF204">
        <v>32552.9</v>
      </c>
      <c r="DG204">
        <v>27549.599999999999</v>
      </c>
      <c r="DH204">
        <v>31191.8</v>
      </c>
      <c r="DI204">
        <v>28111.9</v>
      </c>
      <c r="DJ204">
        <v>37772.9</v>
      </c>
      <c r="DK204">
        <v>38530.300000000003</v>
      </c>
      <c r="DL204">
        <v>44393.5</v>
      </c>
      <c r="DM204">
        <v>42612.4</v>
      </c>
      <c r="DN204">
        <v>1.48445</v>
      </c>
      <c r="DO204">
        <v>2.0378699999999998</v>
      </c>
      <c r="DP204">
        <v>0.131659</v>
      </c>
      <c r="DQ204">
        <v>0.178367</v>
      </c>
      <c r="DR204">
        <v>24.831700000000001</v>
      </c>
      <c r="DS204">
        <v>24.634699999999999</v>
      </c>
      <c r="DT204">
        <v>34.700000000000003</v>
      </c>
      <c r="DU204">
        <v>29.3</v>
      </c>
      <c r="DV204">
        <v>14.339399999999999</v>
      </c>
      <c r="DW204">
        <v>61.569800000000001</v>
      </c>
      <c r="DX204">
        <v>37.520000000000003</v>
      </c>
      <c r="DY204">
        <v>1</v>
      </c>
      <c r="DZ204">
        <v>-0.110747</v>
      </c>
      <c r="EA204">
        <v>0.25456400000000001</v>
      </c>
      <c r="EB204">
        <v>20.189299999999999</v>
      </c>
      <c r="EC204">
        <v>5.2411000000000003</v>
      </c>
      <c r="ED204">
        <v>12.039899999999999</v>
      </c>
      <c r="EE204">
        <v>5.0168999999999997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1.86917</v>
      </c>
      <c r="EN204">
        <v>1.8672200000000001</v>
      </c>
      <c r="EO204">
        <v>1.8633900000000001</v>
      </c>
      <c r="EP204">
        <v>1.8644799999999999</v>
      </c>
      <c r="EQ204">
        <v>1.87012</v>
      </c>
      <c r="ER204">
        <v>1.8694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-0.01</v>
      </c>
      <c r="FG204">
        <v>0.17860000000000001</v>
      </c>
      <c r="FH204">
        <v>0.3448811944559278</v>
      </c>
      <c r="FI204">
        <v>-6.1462078757559423E-4</v>
      </c>
      <c r="FJ204">
        <v>-1.8861989874597051E-7</v>
      </c>
      <c r="FK204">
        <v>1.1980462299894961E-10</v>
      </c>
      <c r="FL204">
        <v>0.17862261546663211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41.3</v>
      </c>
      <c r="FU204">
        <v>41.5</v>
      </c>
      <c r="FV204">
        <v>1.7700199999999999</v>
      </c>
      <c r="FW204">
        <v>2.5964399999999999</v>
      </c>
      <c r="FX204">
        <v>1.5490699999999999</v>
      </c>
      <c r="FY204">
        <v>2.32544</v>
      </c>
      <c r="FZ204">
        <v>1.50146</v>
      </c>
      <c r="GA204">
        <v>2.36328</v>
      </c>
      <c r="GB204">
        <v>33.783200000000001</v>
      </c>
      <c r="GC204">
        <v>23.982399999999998</v>
      </c>
      <c r="GD204">
        <v>19</v>
      </c>
      <c r="GE204">
        <v>285.52499999999998</v>
      </c>
      <c r="GF204">
        <v>582.22299999999996</v>
      </c>
      <c r="GG204">
        <v>23.8445</v>
      </c>
      <c r="GH204">
        <v>25.997599999999998</v>
      </c>
      <c r="GI204">
        <v>30</v>
      </c>
      <c r="GJ204">
        <v>26.152799999999999</v>
      </c>
      <c r="GK204">
        <v>26.146100000000001</v>
      </c>
      <c r="GL204">
        <v>35.395200000000003</v>
      </c>
      <c r="GM204">
        <v>57.761400000000002</v>
      </c>
      <c r="GN204">
        <v>39.025199999999998</v>
      </c>
      <c r="GO204">
        <v>23.856300000000001</v>
      </c>
      <c r="GP204">
        <v>800</v>
      </c>
      <c r="GQ204">
        <v>5.4421299999999997</v>
      </c>
      <c r="GR204">
        <v>99.806600000000003</v>
      </c>
      <c r="GS204">
        <v>99.681100000000001</v>
      </c>
    </row>
    <row r="205" spans="1:201" x14ac:dyDescent="0.25">
      <c r="A205">
        <v>189</v>
      </c>
      <c r="B205">
        <v>1690231575</v>
      </c>
      <c r="C205">
        <v>2069.900000095367</v>
      </c>
      <c r="D205" t="s">
        <v>711</v>
      </c>
      <c r="E205" t="s">
        <v>712</v>
      </c>
      <c r="F205" t="s">
        <v>330</v>
      </c>
      <c r="H205">
        <v>1690231575</v>
      </c>
      <c r="I205">
        <f t="shared" si="60"/>
        <v>1.646106845463379E-3</v>
      </c>
      <c r="J205">
        <f t="shared" si="61"/>
        <v>1.6461068454633789</v>
      </c>
      <c r="K205">
        <f t="shared" si="62"/>
        <v>25.631385409620787</v>
      </c>
      <c r="L205">
        <f t="shared" si="63"/>
        <v>522.04100000000005</v>
      </c>
      <c r="M205">
        <f t="shared" si="64"/>
        <v>132.54956370737548</v>
      </c>
      <c r="N205">
        <f t="shared" si="65"/>
        <v>13.140464696841848</v>
      </c>
      <c r="O205">
        <f t="shared" si="66"/>
        <v>51.753179255635004</v>
      </c>
      <c r="P205">
        <f t="shared" si="67"/>
        <v>0.11007947384974735</v>
      </c>
      <c r="Q205">
        <f t="shared" si="68"/>
        <v>2.1824205196722222</v>
      </c>
      <c r="R205">
        <f t="shared" si="69"/>
        <v>0.10708533371023916</v>
      </c>
      <c r="S205">
        <f t="shared" si="70"/>
        <v>6.7190561781456978E-2</v>
      </c>
      <c r="T205">
        <f t="shared" si="71"/>
        <v>276.11554424399998</v>
      </c>
      <c r="U205">
        <f t="shared" si="72"/>
        <v>27.500728996627299</v>
      </c>
      <c r="V205">
        <f t="shared" si="73"/>
        <v>27.500728996627299</v>
      </c>
      <c r="W205">
        <f t="shared" si="74"/>
        <v>3.6857802953578029</v>
      </c>
      <c r="X205">
        <f t="shared" si="75"/>
        <v>65.702317575344495</v>
      </c>
      <c r="Y205">
        <f t="shared" si="76"/>
        <v>2.2071592224165002</v>
      </c>
      <c r="Z205">
        <f t="shared" si="77"/>
        <v>3.3593323704075253</v>
      </c>
      <c r="AA205">
        <f t="shared" si="78"/>
        <v>1.4786210729413027</v>
      </c>
      <c r="AB205">
        <f t="shared" si="79"/>
        <v>-72.593311884935019</v>
      </c>
      <c r="AC205">
        <f t="shared" si="80"/>
        <v>-185.38638861129894</v>
      </c>
      <c r="AD205">
        <f t="shared" si="81"/>
        <v>-18.279738859423805</v>
      </c>
      <c r="AE205">
        <f t="shared" si="82"/>
        <v>-0.1438951116577698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52732.185873290808</v>
      </c>
      <c r="AK205">
        <f t="shared" si="86"/>
        <v>1800</v>
      </c>
      <c r="AL205">
        <f t="shared" si="87"/>
        <v>1499.1109434</v>
      </c>
      <c r="AM205">
        <f t="shared" si="88"/>
        <v>0.83283941299999997</v>
      </c>
      <c r="AN205">
        <f t="shared" si="89"/>
        <v>0.15339752458</v>
      </c>
      <c r="AO205">
        <v>31.5</v>
      </c>
      <c r="AP205">
        <v>0.5</v>
      </c>
      <c r="AQ205" t="s">
        <v>331</v>
      </c>
      <c r="AR205">
        <v>2</v>
      </c>
      <c r="AS205">
        <v>1690231575</v>
      </c>
      <c r="AT205">
        <v>522.04100000000005</v>
      </c>
      <c r="AU205">
        <v>799.97400000000005</v>
      </c>
      <c r="AV205">
        <v>22.2639</v>
      </c>
      <c r="AW205">
        <v>5.3779300000000001</v>
      </c>
      <c r="AX205">
        <v>522.05100000000004</v>
      </c>
      <c r="AY205">
        <v>22.0853</v>
      </c>
      <c r="AZ205">
        <v>300.23700000000002</v>
      </c>
      <c r="BA205">
        <v>99.036199999999994</v>
      </c>
      <c r="BB205">
        <v>0.100035</v>
      </c>
      <c r="BC205">
        <v>25.9251</v>
      </c>
      <c r="BD205">
        <v>27.0105</v>
      </c>
      <c r="BE205">
        <v>27.569400000000002</v>
      </c>
      <c r="BF205">
        <v>0</v>
      </c>
      <c r="BG205">
        <v>0</v>
      </c>
      <c r="BH205">
        <v>10035</v>
      </c>
      <c r="BI205">
        <v>1066.27</v>
      </c>
      <c r="BJ205">
        <v>1.4016500000000001</v>
      </c>
      <c r="BK205">
        <v>-277.93400000000003</v>
      </c>
      <c r="BL205">
        <v>533.928</v>
      </c>
      <c r="BM205">
        <v>804.3</v>
      </c>
      <c r="BN205">
        <v>16.885999999999999</v>
      </c>
      <c r="BO205">
        <v>799.97400000000005</v>
      </c>
      <c r="BP205">
        <v>5.3779300000000001</v>
      </c>
      <c r="BQ205">
        <v>2.2049300000000001</v>
      </c>
      <c r="BR205">
        <v>0.532609</v>
      </c>
      <c r="BS205">
        <v>18.998200000000001</v>
      </c>
      <c r="BT205">
        <v>-1.93441</v>
      </c>
      <c r="BU205">
        <v>1800</v>
      </c>
      <c r="BV205">
        <v>0.909995</v>
      </c>
      <c r="BW205">
        <v>3.40028E-2</v>
      </c>
      <c r="BX205">
        <v>2.2001900000000001E-2</v>
      </c>
      <c r="BY205">
        <v>3.4000000000000002E-2</v>
      </c>
      <c r="BZ205">
        <v>25</v>
      </c>
      <c r="CA205">
        <v>33528.300000000003</v>
      </c>
      <c r="CB205">
        <v>1690229084.0999999</v>
      </c>
      <c r="CC205" t="s">
        <v>332</v>
      </c>
      <c r="CD205">
        <v>1690229084.0999999</v>
      </c>
      <c r="CE205">
        <v>1690229076.5999999</v>
      </c>
      <c r="CF205">
        <v>13</v>
      </c>
      <c r="CG205">
        <v>0.23300000000000001</v>
      </c>
      <c r="CH205">
        <v>-0.13100000000000001</v>
      </c>
      <c r="CI205">
        <v>-0.20599999999999999</v>
      </c>
      <c r="CJ205">
        <v>8.7999999999999995E-2</v>
      </c>
      <c r="CK205">
        <v>799</v>
      </c>
      <c r="CL205">
        <v>16</v>
      </c>
      <c r="CM205">
        <v>0.04</v>
      </c>
      <c r="CN205">
        <v>0.04</v>
      </c>
      <c r="CO205">
        <v>-277.84660975609751</v>
      </c>
      <c r="CP205">
        <v>-1.3886968641117381</v>
      </c>
      <c r="CQ205">
        <v>0.17086435613521109</v>
      </c>
      <c r="CR205">
        <v>-1</v>
      </c>
      <c r="CS205">
        <v>16.849395121951218</v>
      </c>
      <c r="CT205">
        <v>0.21799233449474659</v>
      </c>
      <c r="CU205">
        <v>2.198266446953695E-2</v>
      </c>
      <c r="CV205">
        <v>-1</v>
      </c>
      <c r="CW205">
        <v>0</v>
      </c>
      <c r="CX205">
        <v>0</v>
      </c>
      <c r="CY205" t="s">
        <v>333</v>
      </c>
      <c r="CZ205">
        <v>2.36504</v>
      </c>
      <c r="DA205">
        <v>2.7138599999999999</v>
      </c>
      <c r="DB205">
        <v>0.109068</v>
      </c>
      <c r="DC205">
        <v>0.14607500000000001</v>
      </c>
      <c r="DD205">
        <v>0.108033</v>
      </c>
      <c r="DE205">
        <v>3.6062999999999998E-2</v>
      </c>
      <c r="DF205">
        <v>32553.1</v>
      </c>
      <c r="DG205">
        <v>27549.8</v>
      </c>
      <c r="DH205">
        <v>31191.9</v>
      </c>
      <c r="DI205">
        <v>28111.7</v>
      </c>
      <c r="DJ205">
        <v>37774.6</v>
      </c>
      <c r="DK205">
        <v>38540.400000000001</v>
      </c>
      <c r="DL205">
        <v>44393.5</v>
      </c>
      <c r="DM205">
        <v>42612.1</v>
      </c>
      <c r="DN205">
        <v>1.4847999999999999</v>
      </c>
      <c r="DO205">
        <v>2.0376799999999999</v>
      </c>
      <c r="DP205">
        <v>0.13307099999999999</v>
      </c>
      <c r="DQ205">
        <v>0.179309</v>
      </c>
      <c r="DR205">
        <v>24.830400000000001</v>
      </c>
      <c r="DS205">
        <v>24.6327</v>
      </c>
      <c r="DT205">
        <v>34.5</v>
      </c>
      <c r="DU205">
        <v>29.3</v>
      </c>
      <c r="DV205">
        <v>14.2553</v>
      </c>
      <c r="DW205">
        <v>61.469799999999999</v>
      </c>
      <c r="DX205">
        <v>37.1995</v>
      </c>
      <c r="DY205">
        <v>1</v>
      </c>
      <c r="DZ205">
        <v>-0.110927</v>
      </c>
      <c r="EA205">
        <v>0.225776</v>
      </c>
      <c r="EB205">
        <v>20.189399999999999</v>
      </c>
      <c r="EC205">
        <v>5.2408000000000001</v>
      </c>
      <c r="ED205">
        <v>12.039899999999999</v>
      </c>
      <c r="EE205">
        <v>5.01675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1.86917</v>
      </c>
      <c r="EN205">
        <v>1.8672200000000001</v>
      </c>
      <c r="EO205">
        <v>1.86338</v>
      </c>
      <c r="EP205">
        <v>1.8644799999999999</v>
      </c>
      <c r="EQ205">
        <v>1.87012</v>
      </c>
      <c r="ER205">
        <v>1.86938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-0.01</v>
      </c>
      <c r="FG205">
        <v>0.17860000000000001</v>
      </c>
      <c r="FH205">
        <v>0.3448811944559278</v>
      </c>
      <c r="FI205">
        <v>-6.1462078757559423E-4</v>
      </c>
      <c r="FJ205">
        <v>-1.8861989874597051E-7</v>
      </c>
      <c r="FK205">
        <v>1.1980462299894961E-10</v>
      </c>
      <c r="FL205">
        <v>0.17862261546663211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41.5</v>
      </c>
      <c r="FU205">
        <v>41.6</v>
      </c>
      <c r="FV205">
        <v>1.7700199999999999</v>
      </c>
      <c r="FW205">
        <v>2.5878899999999998</v>
      </c>
      <c r="FX205">
        <v>1.5490699999999999</v>
      </c>
      <c r="FY205">
        <v>2.32544</v>
      </c>
      <c r="FZ205">
        <v>1.50146</v>
      </c>
      <c r="GA205">
        <v>2.34375</v>
      </c>
      <c r="GB205">
        <v>33.783200000000001</v>
      </c>
      <c r="GC205">
        <v>23.982399999999998</v>
      </c>
      <c r="GD205">
        <v>19</v>
      </c>
      <c r="GE205">
        <v>285.661</v>
      </c>
      <c r="GF205">
        <v>582.03399999999999</v>
      </c>
      <c r="GG205">
        <v>23.860199999999999</v>
      </c>
      <c r="GH205">
        <v>25.994499999999999</v>
      </c>
      <c r="GI205">
        <v>30</v>
      </c>
      <c r="GJ205">
        <v>26.149899999999999</v>
      </c>
      <c r="GK205">
        <v>26.143899999999999</v>
      </c>
      <c r="GL205">
        <v>35.391100000000002</v>
      </c>
      <c r="GM205">
        <v>57.761400000000002</v>
      </c>
      <c r="GN205">
        <v>38.648299999999999</v>
      </c>
      <c r="GO205">
        <v>23.863099999999999</v>
      </c>
      <c r="GP205">
        <v>800</v>
      </c>
      <c r="GQ205">
        <v>5.4130399999999996</v>
      </c>
      <c r="GR205">
        <v>99.806799999999996</v>
      </c>
      <c r="GS205">
        <v>99.680400000000006</v>
      </c>
    </row>
    <row r="206" spans="1:201" x14ac:dyDescent="0.25">
      <c r="A206">
        <v>190</v>
      </c>
      <c r="B206">
        <v>1690231585</v>
      </c>
      <c r="C206">
        <v>2079.900000095367</v>
      </c>
      <c r="D206" t="s">
        <v>713</v>
      </c>
      <c r="E206" t="s">
        <v>714</v>
      </c>
      <c r="F206" t="s">
        <v>330</v>
      </c>
      <c r="H206">
        <v>1690231585</v>
      </c>
      <c r="I206">
        <f t="shared" si="60"/>
        <v>1.6501400294740543E-3</v>
      </c>
      <c r="J206">
        <f t="shared" si="61"/>
        <v>1.6501400294740542</v>
      </c>
      <c r="K206">
        <f t="shared" si="62"/>
        <v>25.664349187238255</v>
      </c>
      <c r="L206">
        <f t="shared" si="63"/>
        <v>521.64800000000002</v>
      </c>
      <c r="M206">
        <f t="shared" si="64"/>
        <v>132.30357482387777</v>
      </c>
      <c r="N206">
        <f t="shared" si="65"/>
        <v>13.116192026463304</v>
      </c>
      <c r="O206">
        <f t="shared" si="66"/>
        <v>51.714667176065596</v>
      </c>
      <c r="P206">
        <f t="shared" si="67"/>
        <v>0.11027278932278731</v>
      </c>
      <c r="Q206">
        <f t="shared" si="68"/>
        <v>2.1780396792194168</v>
      </c>
      <c r="R206">
        <f t="shared" si="69"/>
        <v>0.10726241268586646</v>
      </c>
      <c r="S206">
        <f t="shared" si="70"/>
        <v>6.7302633165639919E-2</v>
      </c>
      <c r="T206">
        <f t="shared" si="71"/>
        <v>276.11555385600002</v>
      </c>
      <c r="U206">
        <f t="shared" si="72"/>
        <v>27.503933411989181</v>
      </c>
      <c r="V206">
        <f t="shared" si="73"/>
        <v>27.503933411989181</v>
      </c>
      <c r="W206">
        <f t="shared" si="74"/>
        <v>3.6864714425595637</v>
      </c>
      <c r="X206">
        <f t="shared" si="75"/>
        <v>65.680930498562844</v>
      </c>
      <c r="Y206">
        <f t="shared" si="76"/>
        <v>2.20666284979889</v>
      </c>
      <c r="Z206">
        <f t="shared" si="77"/>
        <v>3.359670505653348</v>
      </c>
      <c r="AA206">
        <f t="shared" si="78"/>
        <v>1.4798085927606737</v>
      </c>
      <c r="AB206">
        <f t="shared" si="79"/>
        <v>-72.77117529980579</v>
      </c>
      <c r="AC206">
        <f t="shared" si="80"/>
        <v>-185.19090893443283</v>
      </c>
      <c r="AD206">
        <f t="shared" si="81"/>
        <v>-18.29764176780235</v>
      </c>
      <c r="AE206">
        <f t="shared" si="82"/>
        <v>-0.14417214604097239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52549.726447427551</v>
      </c>
      <c r="AK206">
        <f t="shared" si="86"/>
        <v>1800</v>
      </c>
      <c r="AL206">
        <f t="shared" si="87"/>
        <v>1499.1106625999998</v>
      </c>
      <c r="AM206">
        <f t="shared" si="88"/>
        <v>0.83283925699999994</v>
      </c>
      <c r="AN206">
        <f t="shared" si="89"/>
        <v>0.15339752992</v>
      </c>
      <c r="AO206">
        <v>31.5</v>
      </c>
      <c r="AP206">
        <v>0.5</v>
      </c>
      <c r="AQ206" t="s">
        <v>331</v>
      </c>
      <c r="AR206">
        <v>2</v>
      </c>
      <c r="AS206">
        <v>1690231585</v>
      </c>
      <c r="AT206">
        <v>521.64800000000002</v>
      </c>
      <c r="AU206">
        <v>800.03300000000002</v>
      </c>
      <c r="AV206">
        <v>22.258700000000001</v>
      </c>
      <c r="AW206">
        <v>5.3257399999999997</v>
      </c>
      <c r="AX206">
        <v>521.65899999999999</v>
      </c>
      <c r="AY206">
        <v>22.080100000000002</v>
      </c>
      <c r="AZ206">
        <v>300.13900000000001</v>
      </c>
      <c r="BA206">
        <v>99.037099999999995</v>
      </c>
      <c r="BB206">
        <v>9.9994700000000006E-2</v>
      </c>
      <c r="BC206">
        <v>25.9268</v>
      </c>
      <c r="BD206">
        <v>27.005199999999999</v>
      </c>
      <c r="BE206">
        <v>27.559000000000001</v>
      </c>
      <c r="BF206">
        <v>0</v>
      </c>
      <c r="BG206">
        <v>0</v>
      </c>
      <c r="BH206">
        <v>9998.75</v>
      </c>
      <c r="BI206">
        <v>1066.3800000000001</v>
      </c>
      <c r="BJ206">
        <v>1.4016500000000001</v>
      </c>
      <c r="BK206">
        <v>-278.38499999999999</v>
      </c>
      <c r="BL206">
        <v>533.524</v>
      </c>
      <c r="BM206">
        <v>804.31700000000001</v>
      </c>
      <c r="BN206">
        <v>16.933</v>
      </c>
      <c r="BO206">
        <v>800.03300000000002</v>
      </c>
      <c r="BP206">
        <v>5.3257399999999997</v>
      </c>
      <c r="BQ206">
        <v>2.20444</v>
      </c>
      <c r="BR206">
        <v>0.52744599999999997</v>
      </c>
      <c r="BS206">
        <v>18.994599999999998</v>
      </c>
      <c r="BT206">
        <v>-2.0663299999999998</v>
      </c>
      <c r="BU206">
        <v>1800</v>
      </c>
      <c r="BV206">
        <v>0.90999399999999997</v>
      </c>
      <c r="BW206">
        <v>3.4003100000000001E-2</v>
      </c>
      <c r="BX206">
        <v>2.20021E-2</v>
      </c>
      <c r="BY206">
        <v>3.40004E-2</v>
      </c>
      <c r="BZ206">
        <v>25</v>
      </c>
      <c r="CA206">
        <v>33528.199999999997</v>
      </c>
      <c r="CB206">
        <v>1690229084.0999999</v>
      </c>
      <c r="CC206" t="s">
        <v>332</v>
      </c>
      <c r="CD206">
        <v>1690229084.0999999</v>
      </c>
      <c r="CE206">
        <v>1690229076.5999999</v>
      </c>
      <c r="CF206">
        <v>13</v>
      </c>
      <c r="CG206">
        <v>0.23300000000000001</v>
      </c>
      <c r="CH206">
        <v>-0.13100000000000001</v>
      </c>
      <c r="CI206">
        <v>-0.20599999999999999</v>
      </c>
      <c r="CJ206">
        <v>8.7999999999999995E-2</v>
      </c>
      <c r="CK206">
        <v>799</v>
      </c>
      <c r="CL206">
        <v>16</v>
      </c>
      <c r="CM206">
        <v>0.04</v>
      </c>
      <c r="CN206">
        <v>0.04</v>
      </c>
      <c r="CO206">
        <v>-278.07170731707322</v>
      </c>
      <c r="CP206">
        <v>-1.077177700349202</v>
      </c>
      <c r="CQ206">
        <v>0.150286757429444</v>
      </c>
      <c r="CR206">
        <v>-1</v>
      </c>
      <c r="CS206">
        <v>16.886080487804879</v>
      </c>
      <c r="CT206">
        <v>0.2200076655052271</v>
      </c>
      <c r="CU206">
        <v>2.1981236116867111E-2</v>
      </c>
      <c r="CV206">
        <v>-1</v>
      </c>
      <c r="CW206">
        <v>0</v>
      </c>
      <c r="CX206">
        <v>0</v>
      </c>
      <c r="CY206" t="s">
        <v>333</v>
      </c>
      <c r="CZ206">
        <v>2.3647399999999998</v>
      </c>
      <c r="DA206">
        <v>2.7137899999999999</v>
      </c>
      <c r="DB206">
        <v>0.109011</v>
      </c>
      <c r="DC206">
        <v>0.14608399999999999</v>
      </c>
      <c r="DD206">
        <v>0.108017</v>
      </c>
      <c r="DE206">
        <v>3.5773899999999997E-2</v>
      </c>
      <c r="DF206">
        <v>32555.200000000001</v>
      </c>
      <c r="DG206">
        <v>27550</v>
      </c>
      <c r="DH206">
        <v>31191.9</v>
      </c>
      <c r="DI206">
        <v>28112.2</v>
      </c>
      <c r="DJ206">
        <v>37775.5</v>
      </c>
      <c r="DK206">
        <v>38552.699999999997</v>
      </c>
      <c r="DL206">
        <v>44393.8</v>
      </c>
      <c r="DM206">
        <v>42612.9</v>
      </c>
      <c r="DN206">
        <v>1.4845200000000001</v>
      </c>
      <c r="DO206">
        <v>2.03783</v>
      </c>
      <c r="DP206">
        <v>0.132877</v>
      </c>
      <c r="DQ206">
        <v>0.17875099999999999</v>
      </c>
      <c r="DR206">
        <v>24.828299999999999</v>
      </c>
      <c r="DS206">
        <v>24.631399999999999</v>
      </c>
      <c r="DT206">
        <v>34.299999999999997</v>
      </c>
      <c r="DU206">
        <v>29.3</v>
      </c>
      <c r="DV206">
        <v>14.1716</v>
      </c>
      <c r="DW206">
        <v>61.369799999999998</v>
      </c>
      <c r="DX206">
        <v>36.871000000000002</v>
      </c>
      <c r="DY206">
        <v>1</v>
      </c>
      <c r="DZ206">
        <v>-0.11104899999999999</v>
      </c>
      <c r="EA206">
        <v>0.27441199999999999</v>
      </c>
      <c r="EB206">
        <v>20.189399999999999</v>
      </c>
      <c r="EC206">
        <v>5.2408000000000001</v>
      </c>
      <c r="ED206">
        <v>12.039899999999999</v>
      </c>
      <c r="EE206">
        <v>5.0167999999999999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1.8646199999999999</v>
      </c>
      <c r="EM206">
        <v>1.8691899999999999</v>
      </c>
      <c r="EN206">
        <v>1.8672200000000001</v>
      </c>
      <c r="EO206">
        <v>1.8633900000000001</v>
      </c>
      <c r="EP206">
        <v>1.8644799999999999</v>
      </c>
      <c r="EQ206">
        <v>1.8701300000000001</v>
      </c>
      <c r="ER206">
        <v>1.86937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-1.0999999999999999E-2</v>
      </c>
      <c r="FG206">
        <v>0.17860000000000001</v>
      </c>
      <c r="FH206">
        <v>0.3448811944559278</v>
      </c>
      <c r="FI206">
        <v>-6.1462078757559423E-4</v>
      </c>
      <c r="FJ206">
        <v>-1.8861989874597051E-7</v>
      </c>
      <c r="FK206">
        <v>1.1980462299894961E-10</v>
      </c>
      <c r="FL206">
        <v>0.17862261546663211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41.7</v>
      </c>
      <c r="FU206">
        <v>41.8</v>
      </c>
      <c r="FV206">
        <v>1.7700199999999999</v>
      </c>
      <c r="FW206">
        <v>2.5903299999999998</v>
      </c>
      <c r="FX206">
        <v>1.5490699999999999</v>
      </c>
      <c r="FY206">
        <v>2.32544</v>
      </c>
      <c r="FZ206">
        <v>1.50146</v>
      </c>
      <c r="GA206">
        <v>2.3278799999999999</v>
      </c>
      <c r="GB206">
        <v>33.783200000000001</v>
      </c>
      <c r="GC206">
        <v>23.982399999999998</v>
      </c>
      <c r="GD206">
        <v>19</v>
      </c>
      <c r="GE206">
        <v>285.53300000000002</v>
      </c>
      <c r="GF206">
        <v>582.13</v>
      </c>
      <c r="GG206">
        <v>23.8599</v>
      </c>
      <c r="GH206">
        <v>25.992899999999999</v>
      </c>
      <c r="GI206">
        <v>30</v>
      </c>
      <c r="GJ206">
        <v>26.1477</v>
      </c>
      <c r="GK206">
        <v>26.141500000000001</v>
      </c>
      <c r="GL206">
        <v>35.3904</v>
      </c>
      <c r="GM206">
        <v>57.761400000000002</v>
      </c>
      <c r="GN206">
        <v>38.275799999999997</v>
      </c>
      <c r="GO206">
        <v>23.857700000000001</v>
      </c>
      <c r="GP206">
        <v>800</v>
      </c>
      <c r="GQ206">
        <v>5.3807900000000002</v>
      </c>
      <c r="GR206">
        <v>99.807100000000005</v>
      </c>
      <c r="GS206">
        <v>99.682199999999995</v>
      </c>
    </row>
    <row r="207" spans="1:201" x14ac:dyDescent="0.25">
      <c r="A207">
        <v>191</v>
      </c>
      <c r="B207">
        <v>1690231595</v>
      </c>
      <c r="C207">
        <v>2089.900000095367</v>
      </c>
      <c r="D207" t="s">
        <v>715</v>
      </c>
      <c r="E207" t="s">
        <v>716</v>
      </c>
      <c r="F207" t="s">
        <v>330</v>
      </c>
      <c r="H207">
        <v>1690231595</v>
      </c>
      <c r="I207">
        <f t="shared" si="60"/>
        <v>1.6521455119982401E-3</v>
      </c>
      <c r="J207">
        <f t="shared" si="61"/>
        <v>1.65214551199824</v>
      </c>
      <c r="K207">
        <f t="shared" si="62"/>
        <v>25.670671376767512</v>
      </c>
      <c r="L207">
        <f t="shared" si="63"/>
        <v>521.55799999999999</v>
      </c>
      <c r="M207">
        <f t="shared" si="64"/>
        <v>132.0400704630157</v>
      </c>
      <c r="N207">
        <f t="shared" si="65"/>
        <v>13.089696339403806</v>
      </c>
      <c r="O207">
        <f t="shared" si="66"/>
        <v>51.704272948710802</v>
      </c>
      <c r="P207">
        <f t="shared" si="67"/>
        <v>0.1102556723203424</v>
      </c>
      <c r="Q207">
        <f t="shared" si="68"/>
        <v>2.1744367551352517</v>
      </c>
      <c r="R207">
        <f t="shared" si="69"/>
        <v>0.10724137674296742</v>
      </c>
      <c r="S207">
        <f t="shared" si="70"/>
        <v>6.7289818898213102E-2</v>
      </c>
      <c r="T207">
        <f t="shared" si="71"/>
        <v>276.11558283599999</v>
      </c>
      <c r="U207">
        <f t="shared" si="72"/>
        <v>27.505726086855496</v>
      </c>
      <c r="V207">
        <f t="shared" si="73"/>
        <v>27.505726086855496</v>
      </c>
      <c r="W207">
        <f t="shared" si="74"/>
        <v>3.6868581465795489</v>
      </c>
      <c r="X207">
        <f t="shared" si="75"/>
        <v>65.630870640585115</v>
      </c>
      <c r="Y207">
        <f t="shared" si="76"/>
        <v>2.2049940583055001</v>
      </c>
      <c r="Z207">
        <f t="shared" si="77"/>
        <v>3.3596903968876592</v>
      </c>
      <c r="AA207">
        <f t="shared" si="78"/>
        <v>1.4818640882740488</v>
      </c>
      <c r="AB207">
        <f t="shared" si="79"/>
        <v>-72.859617079122387</v>
      </c>
      <c r="AC207">
        <f t="shared" si="80"/>
        <v>-185.08299449650369</v>
      </c>
      <c r="AD207">
        <f t="shared" si="81"/>
        <v>-18.317453682438206</v>
      </c>
      <c r="AE207">
        <f t="shared" si="82"/>
        <v>-0.14448242206429995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52400.110449761363</v>
      </c>
      <c r="AK207">
        <f t="shared" si="86"/>
        <v>1800</v>
      </c>
      <c r="AL207">
        <f t="shared" si="87"/>
        <v>1499.1107886</v>
      </c>
      <c r="AM207">
        <f t="shared" si="88"/>
        <v>0.83283932699999996</v>
      </c>
      <c r="AN207">
        <f t="shared" si="89"/>
        <v>0.15339754602</v>
      </c>
      <c r="AO207">
        <v>31.5</v>
      </c>
      <c r="AP207">
        <v>0.5</v>
      </c>
      <c r="AQ207" t="s">
        <v>331</v>
      </c>
      <c r="AR207">
        <v>2</v>
      </c>
      <c r="AS207">
        <v>1690231595</v>
      </c>
      <c r="AT207">
        <v>521.55799999999999</v>
      </c>
      <c r="AU207">
        <v>800.00300000000004</v>
      </c>
      <c r="AV207">
        <v>22.2425</v>
      </c>
      <c r="AW207">
        <v>5.2896400000000003</v>
      </c>
      <c r="AX207">
        <v>521.56799999999998</v>
      </c>
      <c r="AY207">
        <v>22.0639</v>
      </c>
      <c r="AZ207">
        <v>300.15600000000001</v>
      </c>
      <c r="BA207">
        <v>99.034300000000002</v>
      </c>
      <c r="BB207">
        <v>9.9972599999999995E-2</v>
      </c>
      <c r="BC207">
        <v>25.9269</v>
      </c>
      <c r="BD207">
        <v>26.984500000000001</v>
      </c>
      <c r="BE207">
        <v>27.570799999999998</v>
      </c>
      <c r="BF207">
        <v>0</v>
      </c>
      <c r="BG207">
        <v>0</v>
      </c>
      <c r="BH207">
        <v>9969.3799999999992</v>
      </c>
      <c r="BI207">
        <v>1066.4100000000001</v>
      </c>
      <c r="BJ207">
        <v>1.4016500000000001</v>
      </c>
      <c r="BK207">
        <v>-278.44499999999999</v>
      </c>
      <c r="BL207">
        <v>533.42200000000003</v>
      </c>
      <c r="BM207">
        <v>804.25699999999995</v>
      </c>
      <c r="BN207">
        <v>16.9529</v>
      </c>
      <c r="BO207">
        <v>800.00300000000004</v>
      </c>
      <c r="BP207">
        <v>5.2896400000000003</v>
      </c>
      <c r="BQ207">
        <v>2.2027700000000001</v>
      </c>
      <c r="BR207">
        <v>0.52385599999999999</v>
      </c>
      <c r="BS207">
        <v>18.982500000000002</v>
      </c>
      <c r="BT207">
        <v>-2.1587299999999998</v>
      </c>
      <c r="BU207">
        <v>1800</v>
      </c>
      <c r="BV207">
        <v>0.90999399999999997</v>
      </c>
      <c r="BW207">
        <v>3.4003199999999997E-2</v>
      </c>
      <c r="BX207">
        <v>2.20021E-2</v>
      </c>
      <c r="BY207">
        <v>3.40004E-2</v>
      </c>
      <c r="BZ207">
        <v>25</v>
      </c>
      <c r="CA207">
        <v>33528.400000000001</v>
      </c>
      <c r="CB207">
        <v>1690229084.0999999</v>
      </c>
      <c r="CC207" t="s">
        <v>332</v>
      </c>
      <c r="CD207">
        <v>1690229084.0999999</v>
      </c>
      <c r="CE207">
        <v>1690229076.5999999</v>
      </c>
      <c r="CF207">
        <v>13</v>
      </c>
      <c r="CG207">
        <v>0.23300000000000001</v>
      </c>
      <c r="CH207">
        <v>-0.13100000000000001</v>
      </c>
      <c r="CI207">
        <v>-0.20599999999999999</v>
      </c>
      <c r="CJ207">
        <v>8.7999999999999995E-2</v>
      </c>
      <c r="CK207">
        <v>799</v>
      </c>
      <c r="CL207">
        <v>16</v>
      </c>
      <c r="CM207">
        <v>0.04</v>
      </c>
      <c r="CN207">
        <v>0.04</v>
      </c>
      <c r="CO207">
        <v>-278.27555000000001</v>
      </c>
      <c r="CP207">
        <v>-1.6249530956847249</v>
      </c>
      <c r="CQ207">
        <v>0.17621378351309491</v>
      </c>
      <c r="CR207">
        <v>-1</v>
      </c>
      <c r="CS207">
        <v>16.922294999999998</v>
      </c>
      <c r="CT207">
        <v>0.21725403377109689</v>
      </c>
      <c r="CU207">
        <v>2.1210468523820861E-2</v>
      </c>
      <c r="CV207">
        <v>-1</v>
      </c>
      <c r="CW207">
        <v>0</v>
      </c>
      <c r="CX207">
        <v>0</v>
      </c>
      <c r="CY207" t="s">
        <v>333</v>
      </c>
      <c r="CZ207">
        <v>2.3647800000000001</v>
      </c>
      <c r="DA207">
        <v>2.71374</v>
      </c>
      <c r="DB207">
        <v>0.10899399999999999</v>
      </c>
      <c r="DC207">
        <v>0.14607600000000001</v>
      </c>
      <c r="DD207">
        <v>0.107958</v>
      </c>
      <c r="DE207">
        <v>3.5572399999999997E-2</v>
      </c>
      <c r="DF207">
        <v>32556.1</v>
      </c>
      <c r="DG207">
        <v>27550.400000000001</v>
      </c>
      <c r="DH207">
        <v>31192.2</v>
      </c>
      <c r="DI207">
        <v>28112.3</v>
      </c>
      <c r="DJ207">
        <v>37778.300000000003</v>
      </c>
      <c r="DK207">
        <v>38561.1</v>
      </c>
      <c r="DL207">
        <v>44394.1</v>
      </c>
      <c r="DM207">
        <v>42613.3</v>
      </c>
      <c r="DN207">
        <v>1.48475</v>
      </c>
      <c r="DO207">
        <v>2.0376500000000002</v>
      </c>
      <c r="DP207">
        <v>0.131659</v>
      </c>
      <c r="DQ207">
        <v>0.17959600000000001</v>
      </c>
      <c r="DR207">
        <v>24.827500000000001</v>
      </c>
      <c r="DS207">
        <v>24.629300000000001</v>
      </c>
      <c r="DT207">
        <v>34</v>
      </c>
      <c r="DU207">
        <v>29.3</v>
      </c>
      <c r="DV207">
        <v>14.049300000000001</v>
      </c>
      <c r="DW207">
        <v>62.019799999999996</v>
      </c>
      <c r="DX207">
        <v>36.714700000000001</v>
      </c>
      <c r="DY207">
        <v>1</v>
      </c>
      <c r="DZ207">
        <v>-0.11113099999999999</v>
      </c>
      <c r="EA207">
        <v>0.25613599999999997</v>
      </c>
      <c r="EB207">
        <v>20.189399999999999</v>
      </c>
      <c r="EC207">
        <v>5.2408000000000001</v>
      </c>
      <c r="ED207">
        <v>12.039899999999999</v>
      </c>
      <c r="EE207">
        <v>5.0168499999999998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1.8691800000000001</v>
      </c>
      <c r="EN207">
        <v>1.8672200000000001</v>
      </c>
      <c r="EO207">
        <v>1.8633999999999999</v>
      </c>
      <c r="EP207">
        <v>1.86449</v>
      </c>
      <c r="EQ207">
        <v>1.87012</v>
      </c>
      <c r="ER207">
        <v>1.8694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-0.01</v>
      </c>
      <c r="FG207">
        <v>0.17860000000000001</v>
      </c>
      <c r="FH207">
        <v>0.3448811944559278</v>
      </c>
      <c r="FI207">
        <v>-6.1462078757559423E-4</v>
      </c>
      <c r="FJ207">
        <v>-1.8861989874597051E-7</v>
      </c>
      <c r="FK207">
        <v>1.1980462299894961E-10</v>
      </c>
      <c r="FL207">
        <v>0.17862261546663211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41.8</v>
      </c>
      <c r="FU207">
        <v>42</v>
      </c>
      <c r="FV207">
        <v>1.7700199999999999</v>
      </c>
      <c r="FW207">
        <v>2.5952099999999998</v>
      </c>
      <c r="FX207">
        <v>1.5490699999999999</v>
      </c>
      <c r="FY207">
        <v>2.32666</v>
      </c>
      <c r="FZ207">
        <v>1.50146</v>
      </c>
      <c r="GA207">
        <v>2.3071299999999999</v>
      </c>
      <c r="GB207">
        <v>33.783200000000001</v>
      </c>
      <c r="GC207">
        <v>23.982399999999998</v>
      </c>
      <c r="GD207">
        <v>19</v>
      </c>
      <c r="GE207">
        <v>285.61799999999999</v>
      </c>
      <c r="GF207">
        <v>581.94899999999996</v>
      </c>
      <c r="GG207">
        <v>23.857199999999999</v>
      </c>
      <c r="GH207">
        <v>25.991</v>
      </c>
      <c r="GI207">
        <v>30.0002</v>
      </c>
      <c r="GJ207">
        <v>26.145199999999999</v>
      </c>
      <c r="GK207">
        <v>26.138200000000001</v>
      </c>
      <c r="GL207">
        <v>35.392299999999999</v>
      </c>
      <c r="GM207">
        <v>57.470799999999997</v>
      </c>
      <c r="GN207">
        <v>37.904499999999999</v>
      </c>
      <c r="GO207">
        <v>23.857299999999999</v>
      </c>
      <c r="GP207">
        <v>800</v>
      </c>
      <c r="GQ207">
        <v>5.36287</v>
      </c>
      <c r="GR207">
        <v>99.8078</v>
      </c>
      <c r="GS207">
        <v>99.682900000000004</v>
      </c>
    </row>
    <row r="208" spans="1:201" x14ac:dyDescent="0.25">
      <c r="A208">
        <v>192</v>
      </c>
      <c r="B208">
        <v>1690231605</v>
      </c>
      <c r="C208">
        <v>2099.900000095367</v>
      </c>
      <c r="D208" t="s">
        <v>717</v>
      </c>
      <c r="E208" t="s">
        <v>718</v>
      </c>
      <c r="F208" t="s">
        <v>330</v>
      </c>
      <c r="H208">
        <v>1690231605</v>
      </c>
      <c r="I208">
        <f t="shared" si="60"/>
        <v>1.6509508048519973E-3</v>
      </c>
      <c r="J208">
        <f t="shared" si="61"/>
        <v>1.6509508048519974</v>
      </c>
      <c r="K208">
        <f t="shared" si="62"/>
        <v>25.687765677569796</v>
      </c>
      <c r="L208">
        <f t="shared" si="63"/>
        <v>521.34799999999996</v>
      </c>
      <c r="M208">
        <f t="shared" si="64"/>
        <v>130.9258616151121</v>
      </c>
      <c r="N208">
        <f t="shared" si="65"/>
        <v>12.979339742693432</v>
      </c>
      <c r="O208">
        <f t="shared" si="66"/>
        <v>51.683851705831991</v>
      </c>
      <c r="P208">
        <f t="shared" si="67"/>
        <v>0.11006442099498846</v>
      </c>
      <c r="Q208">
        <f t="shared" si="68"/>
        <v>2.171856359949409</v>
      </c>
      <c r="R208">
        <f t="shared" si="69"/>
        <v>0.1070569561832496</v>
      </c>
      <c r="S208">
        <f t="shared" si="70"/>
        <v>6.7173961534230553E-2</v>
      </c>
      <c r="T208">
        <f t="shared" si="71"/>
        <v>276.11558283599999</v>
      </c>
      <c r="U208">
        <f t="shared" si="72"/>
        <v>27.506146111961648</v>
      </c>
      <c r="V208">
        <f t="shared" si="73"/>
        <v>27.506146111961648</v>
      </c>
      <c r="W208">
        <f t="shared" si="74"/>
        <v>3.6869487567488188</v>
      </c>
      <c r="X208">
        <f t="shared" si="75"/>
        <v>65.595486235951441</v>
      </c>
      <c r="Y208">
        <f t="shared" si="76"/>
        <v>2.2035834492554001</v>
      </c>
      <c r="Z208">
        <f t="shared" si="77"/>
        <v>3.3593522598932495</v>
      </c>
      <c r="AA208">
        <f t="shared" si="78"/>
        <v>1.4833653074934188</v>
      </c>
      <c r="AB208">
        <f t="shared" si="79"/>
        <v>-72.806930493973084</v>
      </c>
      <c r="AC208">
        <f t="shared" si="80"/>
        <v>-185.11158913968046</v>
      </c>
      <c r="AD208">
        <f t="shared" si="81"/>
        <v>-18.341932942280206</v>
      </c>
      <c r="AE208">
        <f t="shared" si="82"/>
        <v>-0.14486973993376751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52293.484130913363</v>
      </c>
      <c r="AK208">
        <f t="shared" si="86"/>
        <v>1800</v>
      </c>
      <c r="AL208">
        <f t="shared" si="87"/>
        <v>1499.1107886</v>
      </c>
      <c r="AM208">
        <f t="shared" si="88"/>
        <v>0.83283932699999996</v>
      </c>
      <c r="AN208">
        <f t="shared" si="89"/>
        <v>0.15339754602</v>
      </c>
      <c r="AO208">
        <v>31.5</v>
      </c>
      <c r="AP208">
        <v>0.5</v>
      </c>
      <c r="AQ208" t="s">
        <v>331</v>
      </c>
      <c r="AR208">
        <v>2</v>
      </c>
      <c r="AS208">
        <v>1690231605</v>
      </c>
      <c r="AT208">
        <v>521.34799999999996</v>
      </c>
      <c r="AU208">
        <v>799.97799999999995</v>
      </c>
      <c r="AV208">
        <v>22.228100000000001</v>
      </c>
      <c r="AW208">
        <v>5.2862900000000002</v>
      </c>
      <c r="AX208">
        <v>521.35799999999995</v>
      </c>
      <c r="AY208">
        <v>22.049499999999998</v>
      </c>
      <c r="AZ208">
        <v>300.13900000000001</v>
      </c>
      <c r="BA208">
        <v>99.034999999999997</v>
      </c>
      <c r="BB208">
        <v>0.100034</v>
      </c>
      <c r="BC208">
        <v>25.9252</v>
      </c>
      <c r="BD208">
        <v>26.996200000000002</v>
      </c>
      <c r="BE208">
        <v>27.5623</v>
      </c>
      <c r="BF208">
        <v>0</v>
      </c>
      <c r="BG208">
        <v>0</v>
      </c>
      <c r="BH208">
        <v>9948.1200000000008</v>
      </c>
      <c r="BI208">
        <v>1066.44</v>
      </c>
      <c r="BJ208">
        <v>1.4507099999999999</v>
      </c>
      <c r="BK208">
        <v>-278.63</v>
      </c>
      <c r="BL208">
        <v>533.20000000000005</v>
      </c>
      <c r="BM208">
        <v>804.23</v>
      </c>
      <c r="BN208">
        <v>16.941800000000001</v>
      </c>
      <c r="BO208">
        <v>799.97799999999995</v>
      </c>
      <c r="BP208">
        <v>5.2862900000000002</v>
      </c>
      <c r="BQ208">
        <v>2.2013600000000002</v>
      </c>
      <c r="BR208">
        <v>0.52352799999999999</v>
      </c>
      <c r="BS208">
        <v>18.972200000000001</v>
      </c>
      <c r="BT208">
        <v>-2.1671900000000002</v>
      </c>
      <c r="BU208">
        <v>1800</v>
      </c>
      <c r="BV208">
        <v>0.90999399999999997</v>
      </c>
      <c r="BW208">
        <v>3.4003199999999997E-2</v>
      </c>
      <c r="BX208">
        <v>2.20021E-2</v>
      </c>
      <c r="BY208">
        <v>3.40004E-2</v>
      </c>
      <c r="BZ208">
        <v>25</v>
      </c>
      <c r="CA208">
        <v>33528.300000000003</v>
      </c>
      <c r="CB208">
        <v>1690229084.0999999</v>
      </c>
      <c r="CC208" t="s">
        <v>332</v>
      </c>
      <c r="CD208">
        <v>1690229084.0999999</v>
      </c>
      <c r="CE208">
        <v>1690229076.5999999</v>
      </c>
      <c r="CF208">
        <v>13</v>
      </c>
      <c r="CG208">
        <v>0.23300000000000001</v>
      </c>
      <c r="CH208">
        <v>-0.13100000000000001</v>
      </c>
      <c r="CI208">
        <v>-0.20599999999999999</v>
      </c>
      <c r="CJ208">
        <v>8.7999999999999995E-2</v>
      </c>
      <c r="CK208">
        <v>799</v>
      </c>
      <c r="CL208">
        <v>16</v>
      </c>
      <c r="CM208">
        <v>0.04</v>
      </c>
      <c r="CN208">
        <v>0.04</v>
      </c>
      <c r="CO208">
        <v>-278.4808536585366</v>
      </c>
      <c r="CP208">
        <v>-0.72645993031311418</v>
      </c>
      <c r="CQ208">
        <v>9.5124965555741403E-2</v>
      </c>
      <c r="CR208">
        <v>-1</v>
      </c>
      <c r="CS208">
        <v>16.945417073170731</v>
      </c>
      <c r="CT208">
        <v>6.1312891986057938E-2</v>
      </c>
      <c r="CU208">
        <v>8.4660556784574483E-3</v>
      </c>
      <c r="CV208">
        <v>-1</v>
      </c>
      <c r="CW208">
        <v>0</v>
      </c>
      <c r="CX208">
        <v>0</v>
      </c>
      <c r="CY208" t="s">
        <v>333</v>
      </c>
      <c r="CZ208">
        <v>2.3647399999999998</v>
      </c>
      <c r="DA208">
        <v>2.7137799999999999</v>
      </c>
      <c r="DB208">
        <v>0.10896400000000001</v>
      </c>
      <c r="DC208">
        <v>0.14607500000000001</v>
      </c>
      <c r="DD208">
        <v>0.10791000000000001</v>
      </c>
      <c r="DE208">
        <v>3.5554200000000001E-2</v>
      </c>
      <c r="DF208">
        <v>32557.599999999999</v>
      </c>
      <c r="DG208">
        <v>27550.7</v>
      </c>
      <c r="DH208">
        <v>31192.6</v>
      </c>
      <c r="DI208">
        <v>28112.7</v>
      </c>
      <c r="DJ208">
        <v>37781</v>
      </c>
      <c r="DK208">
        <v>38562.1</v>
      </c>
      <c r="DL208">
        <v>44394.8</v>
      </c>
      <c r="DM208">
        <v>42613.599999999999</v>
      </c>
      <c r="DN208">
        <v>1.48475</v>
      </c>
      <c r="DO208">
        <v>2.03783</v>
      </c>
      <c r="DP208">
        <v>0.13245299999999999</v>
      </c>
      <c r="DQ208">
        <v>0.17933199999999999</v>
      </c>
      <c r="DR208">
        <v>24.8263</v>
      </c>
      <c r="DS208">
        <v>24.6251</v>
      </c>
      <c r="DT208">
        <v>33.799999999999997</v>
      </c>
      <c r="DU208">
        <v>29.3</v>
      </c>
      <c r="DV208">
        <v>13.968999999999999</v>
      </c>
      <c r="DW208">
        <v>62.0398</v>
      </c>
      <c r="DX208">
        <v>36.482399999999998</v>
      </c>
      <c r="DY208">
        <v>1</v>
      </c>
      <c r="DZ208">
        <v>-0.111469</v>
      </c>
      <c r="EA208">
        <v>0.22853499999999999</v>
      </c>
      <c r="EB208">
        <v>20.189499999999999</v>
      </c>
      <c r="EC208">
        <v>5.2409499999999998</v>
      </c>
      <c r="ED208">
        <v>12.039899999999999</v>
      </c>
      <c r="EE208">
        <v>5.0168499999999998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1.8691800000000001</v>
      </c>
      <c r="EN208">
        <v>1.8672200000000001</v>
      </c>
      <c r="EO208">
        <v>1.8633999999999999</v>
      </c>
      <c r="EP208">
        <v>1.8644799999999999</v>
      </c>
      <c r="EQ208">
        <v>1.8701399999999999</v>
      </c>
      <c r="ER208">
        <v>1.86937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-0.01</v>
      </c>
      <c r="FG208">
        <v>0.17860000000000001</v>
      </c>
      <c r="FH208">
        <v>0.3448811944559278</v>
      </c>
      <c r="FI208">
        <v>-6.1462078757559423E-4</v>
      </c>
      <c r="FJ208">
        <v>-1.8861989874597051E-7</v>
      </c>
      <c r="FK208">
        <v>1.1980462299894961E-10</v>
      </c>
      <c r="FL208">
        <v>0.17862261546663211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42</v>
      </c>
      <c r="FU208">
        <v>42.1</v>
      </c>
      <c r="FV208">
        <v>1.7700199999999999</v>
      </c>
      <c r="FW208">
        <v>2.5927699999999998</v>
      </c>
      <c r="FX208">
        <v>1.5490699999999999</v>
      </c>
      <c r="FY208">
        <v>2.32666</v>
      </c>
      <c r="FZ208">
        <v>1.50146</v>
      </c>
      <c r="GA208">
        <v>2.2985799999999998</v>
      </c>
      <c r="GB208">
        <v>33.783200000000001</v>
      </c>
      <c r="GC208">
        <v>23.982399999999998</v>
      </c>
      <c r="GD208">
        <v>19</v>
      </c>
      <c r="GE208">
        <v>285.60599999999999</v>
      </c>
      <c r="GF208">
        <v>582.06200000000001</v>
      </c>
      <c r="GG208">
        <v>23.861899999999999</v>
      </c>
      <c r="GH208">
        <v>25.988800000000001</v>
      </c>
      <c r="GI208">
        <v>30</v>
      </c>
      <c r="GJ208">
        <v>26.142399999999999</v>
      </c>
      <c r="GK208">
        <v>26.1355</v>
      </c>
      <c r="GL208">
        <v>35.389699999999998</v>
      </c>
      <c r="GM208">
        <v>57.197200000000002</v>
      </c>
      <c r="GN208">
        <v>37.5212</v>
      </c>
      <c r="GO208">
        <v>23.876000000000001</v>
      </c>
      <c r="GP208">
        <v>800</v>
      </c>
      <c r="GQ208">
        <v>5.3414999999999999</v>
      </c>
      <c r="GR208">
        <v>99.809399999999997</v>
      </c>
      <c r="GS208">
        <v>99.683800000000005</v>
      </c>
    </row>
    <row r="209" spans="1:201" x14ac:dyDescent="0.25">
      <c r="A209">
        <v>193</v>
      </c>
      <c r="B209">
        <v>1690231615</v>
      </c>
      <c r="C209">
        <v>2109.900000095367</v>
      </c>
      <c r="D209" t="s">
        <v>719</v>
      </c>
      <c r="E209" t="s">
        <v>720</v>
      </c>
      <c r="F209" t="s">
        <v>330</v>
      </c>
      <c r="H209">
        <v>1690231615</v>
      </c>
      <c r="I209">
        <f t="shared" ref="I209:I272" si="90">(J209)/1000</f>
        <v>1.6519585088302705E-3</v>
      </c>
      <c r="J209">
        <f t="shared" ref="J209:J228" si="91">1000*AZ209*AH209*(AV209-AW209)/(100*AO209*(1000-AH209*AV209))</f>
        <v>1.6519585088302704</v>
      </c>
      <c r="K209">
        <f t="shared" ref="K209:K228" si="92">AZ209*AH209*(AU209-AT209*(1000-AH209*AW209)/(1000-AH209*AV209))/(100*AO209)</f>
        <v>25.717389857344003</v>
      </c>
      <c r="L209">
        <f t="shared" ref="L209:L272" si="93">AT209 - IF(AH209&gt;1, K209*AO209*100/(AJ209*BH209), 0)</f>
        <v>521.101</v>
      </c>
      <c r="M209">
        <f t="shared" ref="M209:M272" si="94">((S209-I209/2)*L209-K209)/(S209+I209/2)</f>
        <v>130.35449660175416</v>
      </c>
      <c r="N209">
        <f t="shared" ref="N209:N272" si="95">M209*(BA209+BB209)/1000</f>
        <v>12.922688705881061</v>
      </c>
      <c r="O209">
        <f t="shared" ref="O209:O228" si="96">(AT209 - IF(AH209&gt;1, K209*AO209*100/(AJ209*BH209), 0))*(BA209+BB209)/1000</f>
        <v>51.659330386556896</v>
      </c>
      <c r="P209">
        <f t="shared" ref="P209:P272" si="97">2/((1/R209-1/Q209)+SIGN(R209)*SQRT((1/R209-1/Q209)*(1/R209-1/Q209) + 4*AP209/((AP209+1)*(AP209+1))*(2*1/R209*1/Q209-1/Q209*1/Q209)))</f>
        <v>0.11009213481333011</v>
      </c>
      <c r="Q209">
        <f t="shared" ref="Q209:Q228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2.1755082524873974</v>
      </c>
      <c r="R209">
        <f t="shared" ref="R209:R228" si="99">I209*(1000-(1000*0.61365*EXP(17.502*V209/(240.97+V209))/(BA209+BB209)+AV209)/2)/(1000*0.61365*EXP(17.502*V209/(240.97+V209))/(BA209+BB209)-AV209)</f>
        <v>0.10708808010296338</v>
      </c>
      <c r="S209">
        <f t="shared" ref="S209:S228" si="100">1/((AP209+1)/(P209/1.6)+1/(Q209/1.37)) + AP209/((AP209+1)/(P209/1.6) + AP209/(Q209/1.37))</f>
        <v>6.719312483764539E-2</v>
      </c>
      <c r="T209">
        <f t="shared" ref="T209:T228" si="101">(AK209*AN209)</f>
        <v>276.11558283599999</v>
      </c>
      <c r="U209">
        <f t="shared" ref="U209:U272" si="102">(BC209+(T209+2*0.95*0.0000000567*(((BC209+$B$7)+273)^4-(BC209+273)^4)-44100*I209)/(1.84*29.3*Q209+8*0.95*0.0000000567*(BC209+273)^3))</f>
        <v>27.508676900914196</v>
      </c>
      <c r="V209">
        <f t="shared" ref="V209:V272" si="103">($C$7*BD209+$D$7*BE209+$E$7*U209)</f>
        <v>27.508676900914196</v>
      </c>
      <c r="W209">
        <f t="shared" ref="W209:W272" si="104">0.61365*EXP(17.502*V209/(240.97+V209))</f>
        <v>3.6874947538538172</v>
      </c>
      <c r="X209">
        <f t="shared" ref="X209:X272" si="105">(Y209/Z209*100)</f>
        <v>65.577222072525643</v>
      </c>
      <c r="Y209">
        <f t="shared" ref="Y209:Y228" si="106">AV209*(BA209+BB209)/1000</f>
        <v>2.2036612657234098</v>
      </c>
      <c r="Z209">
        <f t="shared" ref="Z209:Z228" si="107">0.61365*EXP(17.502*BC209/(240.97+BC209))</f>
        <v>3.3604065498325828</v>
      </c>
      <c r="AA209">
        <f t="shared" ref="AA209:AA228" si="108">(W209-AV209*(BA209+BB209)/1000)</f>
        <v>1.4838334881304074</v>
      </c>
      <c r="AB209">
        <f t="shared" ref="AB209:AB228" si="109">(-I209*44100)</f>
        <v>-72.851370239414933</v>
      </c>
      <c r="AC209">
        <f t="shared" ref="AC209:AC228" si="110">2*29.3*Q209*0.92*(BC209-V209)</f>
        <v>-185.09805743376594</v>
      </c>
      <c r="AD209">
        <f t="shared" ref="AD209:AD228" si="111">2*0.95*0.0000000567*(((BC209+$B$7)+273)^4-(V209+273)^4)</f>
        <v>-18.310522054212598</v>
      </c>
      <c r="AE209">
        <f t="shared" ref="AE209:AE272" si="112">T209+AD209+AB209+AC209</f>
        <v>-0.14436689139347436</v>
      </c>
      <c r="AF209">
        <v>0</v>
      </c>
      <c r="AG209">
        <v>0</v>
      </c>
      <c r="AH209">
        <f t="shared" ref="AH209:AH228" si="113">IF(AF209*$H$13&gt;=AJ209,1,(AJ209/(AJ209-AF209*$H$13)))</f>
        <v>1</v>
      </c>
      <c r="AI209">
        <f t="shared" ref="AI209:AI272" si="114">(AH209-1)*100</f>
        <v>0</v>
      </c>
      <c r="AJ209">
        <f t="shared" ref="AJ209:AJ228" si="115">MAX(0,($B$13+$C$13*BH209)/(1+$D$13*BH209)*BA209/(BC209+273)*$E$13)</f>
        <v>52443.938591866317</v>
      </c>
      <c r="AK209">
        <f t="shared" ref="AK209:AK228" si="116">$B$11*BI209+$C$11*BJ209+$D$11*BU209</f>
        <v>1800</v>
      </c>
      <c r="AL209">
        <f t="shared" ref="AL209:AL272" si="117">AK209*AM209</f>
        <v>1499.1107886</v>
      </c>
      <c r="AM209">
        <f t="shared" ref="AM209:AM228" si="118">($B$11*$D$9+$C$11*$D$9+$D$11*(BV209*$E$9+BW209*$F$9+BX209*$G$9+BY209*$H$9))/($B$11+$C$11+$D$11)</f>
        <v>0.83283932699999996</v>
      </c>
      <c r="AN209">
        <f t="shared" ref="AN209:AN228" si="119">($B$11*$K$9+$C$11*$K$9+$D$11*(BV209*$L$9+BW209*$M$9+BX209*$N$9+BY209*$O$9))/($B$11+$C$11+$D$11)</f>
        <v>0.15339754602</v>
      </c>
      <c r="AO209">
        <v>31.5</v>
      </c>
      <c r="AP209">
        <v>0.5</v>
      </c>
      <c r="AQ209" t="s">
        <v>331</v>
      </c>
      <c r="AR209">
        <v>2</v>
      </c>
      <c r="AS209">
        <v>1690231615</v>
      </c>
      <c r="AT209">
        <v>521.101</v>
      </c>
      <c r="AU209">
        <v>800.04499999999996</v>
      </c>
      <c r="AV209">
        <v>22.228899999999999</v>
      </c>
      <c r="AW209">
        <v>5.2766500000000001</v>
      </c>
      <c r="AX209">
        <v>521.11099999999999</v>
      </c>
      <c r="AY209">
        <v>22.0502</v>
      </c>
      <c r="AZ209">
        <v>300.137</v>
      </c>
      <c r="BA209">
        <v>99.034999999999997</v>
      </c>
      <c r="BB209">
        <v>9.9966899999999997E-2</v>
      </c>
      <c r="BC209">
        <v>25.930499999999999</v>
      </c>
      <c r="BD209">
        <v>26.9892</v>
      </c>
      <c r="BE209">
        <v>27.545400000000001</v>
      </c>
      <c r="BF209">
        <v>0</v>
      </c>
      <c r="BG209">
        <v>0</v>
      </c>
      <c r="BH209">
        <v>9978.1200000000008</v>
      </c>
      <c r="BI209">
        <v>1066.51</v>
      </c>
      <c r="BJ209">
        <v>1.4577199999999999</v>
      </c>
      <c r="BK209">
        <v>-278.94400000000002</v>
      </c>
      <c r="BL209">
        <v>532.94799999999998</v>
      </c>
      <c r="BM209">
        <v>804.28899999999999</v>
      </c>
      <c r="BN209">
        <v>16.952200000000001</v>
      </c>
      <c r="BO209">
        <v>800.04499999999996</v>
      </c>
      <c r="BP209">
        <v>5.2766500000000001</v>
      </c>
      <c r="BQ209">
        <v>2.2014399999999998</v>
      </c>
      <c r="BR209">
        <v>0.52257299999999995</v>
      </c>
      <c r="BS209">
        <v>18.972799999999999</v>
      </c>
      <c r="BT209">
        <v>-2.1918799999999998</v>
      </c>
      <c r="BU209">
        <v>1800</v>
      </c>
      <c r="BV209">
        <v>0.90999399999999997</v>
      </c>
      <c r="BW209">
        <v>3.4003199999999997E-2</v>
      </c>
      <c r="BX209">
        <v>2.20021E-2</v>
      </c>
      <c r="BY209">
        <v>3.40004E-2</v>
      </c>
      <c r="BZ209">
        <v>25</v>
      </c>
      <c r="CA209">
        <v>33528.199999999997</v>
      </c>
      <c r="CB209">
        <v>1690229084.0999999</v>
      </c>
      <c r="CC209" t="s">
        <v>332</v>
      </c>
      <c r="CD209">
        <v>1690229084.0999999</v>
      </c>
      <c r="CE209">
        <v>1690229076.5999999</v>
      </c>
      <c r="CF209">
        <v>13</v>
      </c>
      <c r="CG209">
        <v>0.23300000000000001</v>
      </c>
      <c r="CH209">
        <v>-0.13100000000000001</v>
      </c>
      <c r="CI209">
        <v>-0.20599999999999999</v>
      </c>
      <c r="CJ209">
        <v>8.7999999999999995E-2</v>
      </c>
      <c r="CK209">
        <v>799</v>
      </c>
      <c r="CL209">
        <v>16</v>
      </c>
      <c r="CM209">
        <v>0.04</v>
      </c>
      <c r="CN209">
        <v>0.04</v>
      </c>
      <c r="CO209">
        <v>-278.63537500000001</v>
      </c>
      <c r="CP209">
        <v>-1.0836810506563681</v>
      </c>
      <c r="CQ209">
        <v>0.12623543232785631</v>
      </c>
      <c r="CR209">
        <v>-1</v>
      </c>
      <c r="CS209">
        <v>16.941935000000001</v>
      </c>
      <c r="CT209">
        <v>-5.5666041275826472E-2</v>
      </c>
      <c r="CU209">
        <v>1.196525281805636E-2</v>
      </c>
      <c r="CV209">
        <v>-1</v>
      </c>
      <c r="CW209">
        <v>0</v>
      </c>
      <c r="CX209">
        <v>0</v>
      </c>
      <c r="CY209" t="s">
        <v>333</v>
      </c>
      <c r="CZ209">
        <v>2.3647399999999998</v>
      </c>
      <c r="DA209">
        <v>2.71374</v>
      </c>
      <c r="DB209">
        <v>0.108927</v>
      </c>
      <c r="DC209">
        <v>0.14608399999999999</v>
      </c>
      <c r="DD209">
        <v>0.107913</v>
      </c>
      <c r="DE209">
        <v>3.5500799999999999E-2</v>
      </c>
      <c r="DF209">
        <v>32558.9</v>
      </c>
      <c r="DG209">
        <v>27550.7</v>
      </c>
      <c r="DH209">
        <v>31192.6</v>
      </c>
      <c r="DI209">
        <v>28112.9</v>
      </c>
      <c r="DJ209">
        <v>37780.800000000003</v>
      </c>
      <c r="DK209">
        <v>38564.6</v>
      </c>
      <c r="DL209">
        <v>44394.8</v>
      </c>
      <c r="DM209">
        <v>42614</v>
      </c>
      <c r="DN209">
        <v>1.48472</v>
      </c>
      <c r="DO209">
        <v>2.0379299999999998</v>
      </c>
      <c r="DP209">
        <v>0.132021</v>
      </c>
      <c r="DQ209">
        <v>0.17847499999999999</v>
      </c>
      <c r="DR209">
        <v>24.8263</v>
      </c>
      <c r="DS209">
        <v>24.622299999999999</v>
      </c>
      <c r="DT209">
        <v>33.6</v>
      </c>
      <c r="DU209">
        <v>29.3</v>
      </c>
      <c r="DV209">
        <v>13.8849</v>
      </c>
      <c r="DW209">
        <v>61.699800000000003</v>
      </c>
      <c r="DX209">
        <v>36.402200000000001</v>
      </c>
      <c r="DY209">
        <v>1</v>
      </c>
      <c r="DZ209">
        <v>-0.111621</v>
      </c>
      <c r="EA209">
        <v>0.26794699999999999</v>
      </c>
      <c r="EB209">
        <v>20.189499999999999</v>
      </c>
      <c r="EC209">
        <v>5.2409499999999998</v>
      </c>
      <c r="ED209">
        <v>12.039899999999999</v>
      </c>
      <c r="EE209">
        <v>5.0165499999999996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1.86917</v>
      </c>
      <c r="EN209">
        <v>1.8672200000000001</v>
      </c>
      <c r="EO209">
        <v>1.8633999999999999</v>
      </c>
      <c r="EP209">
        <v>1.8644700000000001</v>
      </c>
      <c r="EQ209">
        <v>1.8701399999999999</v>
      </c>
      <c r="ER209">
        <v>1.86938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-0.01</v>
      </c>
      <c r="FG209">
        <v>0.1787</v>
      </c>
      <c r="FH209">
        <v>0.3448811944559278</v>
      </c>
      <c r="FI209">
        <v>-6.1462078757559423E-4</v>
      </c>
      <c r="FJ209">
        <v>-1.8861989874597051E-7</v>
      </c>
      <c r="FK209">
        <v>1.1980462299894961E-10</v>
      </c>
      <c r="FL209">
        <v>0.17862261546663211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42.2</v>
      </c>
      <c r="FU209">
        <v>42.3</v>
      </c>
      <c r="FV209">
        <v>1.7700199999999999</v>
      </c>
      <c r="FW209">
        <v>2.5927699999999998</v>
      </c>
      <c r="FX209">
        <v>1.5490699999999999</v>
      </c>
      <c r="FY209">
        <v>2.32666</v>
      </c>
      <c r="FZ209">
        <v>1.50146</v>
      </c>
      <c r="GA209">
        <v>2.3034699999999999</v>
      </c>
      <c r="GB209">
        <v>33.783200000000001</v>
      </c>
      <c r="GC209">
        <v>23.982399999999998</v>
      </c>
      <c r="GD209">
        <v>19</v>
      </c>
      <c r="GE209">
        <v>285.58300000000003</v>
      </c>
      <c r="GF209">
        <v>582.11599999999999</v>
      </c>
      <c r="GG209">
        <v>23.870699999999999</v>
      </c>
      <c r="GH209">
        <v>25.986599999999999</v>
      </c>
      <c r="GI209">
        <v>29.9999</v>
      </c>
      <c r="GJ209">
        <v>26.139700000000001</v>
      </c>
      <c r="GK209">
        <v>26.132999999999999</v>
      </c>
      <c r="GL209">
        <v>35.392899999999997</v>
      </c>
      <c r="GM209">
        <v>57.197200000000002</v>
      </c>
      <c r="GN209">
        <v>36.761800000000001</v>
      </c>
      <c r="GO209">
        <v>23.8551</v>
      </c>
      <c r="GP209">
        <v>800</v>
      </c>
      <c r="GQ209">
        <v>5.3121600000000004</v>
      </c>
      <c r="GR209">
        <v>99.809299999999993</v>
      </c>
      <c r="GS209">
        <v>99.684600000000003</v>
      </c>
    </row>
    <row r="210" spans="1:201" x14ac:dyDescent="0.25">
      <c r="A210">
        <v>194</v>
      </c>
      <c r="B210">
        <v>1690231625</v>
      </c>
      <c r="C210">
        <v>2119.900000095367</v>
      </c>
      <c r="D210" t="s">
        <v>721</v>
      </c>
      <c r="E210" t="s">
        <v>722</v>
      </c>
      <c r="F210" t="s">
        <v>330</v>
      </c>
      <c r="H210">
        <v>1690231625</v>
      </c>
      <c r="I210">
        <f t="shared" si="90"/>
        <v>1.6558164825739997E-3</v>
      </c>
      <c r="J210">
        <f t="shared" si="91"/>
        <v>1.6558164825739996</v>
      </c>
      <c r="K210">
        <f t="shared" si="92"/>
        <v>25.733651693535705</v>
      </c>
      <c r="L210">
        <f t="shared" si="93"/>
        <v>520.97199999999998</v>
      </c>
      <c r="M210">
        <f t="shared" si="94"/>
        <v>131.38563752488338</v>
      </c>
      <c r="N210">
        <f t="shared" si="95"/>
        <v>13.02440421728498</v>
      </c>
      <c r="O210">
        <f t="shared" si="96"/>
        <v>51.644533159891999</v>
      </c>
      <c r="P210">
        <f t="shared" si="97"/>
        <v>0.11050297808941308</v>
      </c>
      <c r="Q210">
        <f t="shared" si="98"/>
        <v>2.1784199240087374</v>
      </c>
      <c r="R210">
        <f t="shared" si="99"/>
        <v>0.10748071790416727</v>
      </c>
      <c r="S210">
        <f t="shared" si="100"/>
        <v>6.7440101832587168E-2</v>
      </c>
      <c r="T210">
        <f t="shared" si="101"/>
        <v>276.115738212</v>
      </c>
      <c r="U210">
        <f t="shared" si="102"/>
        <v>27.496650063294354</v>
      </c>
      <c r="V210">
        <f t="shared" si="103"/>
        <v>27.496650063294354</v>
      </c>
      <c r="W210">
        <f t="shared" si="104"/>
        <v>3.684900690547904</v>
      </c>
      <c r="X210">
        <f t="shared" si="105"/>
        <v>65.593792892505149</v>
      </c>
      <c r="Y210">
        <f t="shared" si="106"/>
        <v>2.2030699846418003</v>
      </c>
      <c r="Z210">
        <f t="shared" si="107"/>
        <v>3.3586561890881694</v>
      </c>
      <c r="AA210">
        <f t="shared" si="108"/>
        <v>1.4818307059061038</v>
      </c>
      <c r="AB210">
        <f t="shared" si="109"/>
        <v>-73.021506881513389</v>
      </c>
      <c r="AC210">
        <f t="shared" si="110"/>
        <v>-184.96682082020538</v>
      </c>
      <c r="AD210">
        <f t="shared" si="111"/>
        <v>-18.271178158529178</v>
      </c>
      <c r="AE210">
        <f t="shared" si="112"/>
        <v>-0.14376764824794463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52566.288043918183</v>
      </c>
      <c r="AK210">
        <f t="shared" si="116"/>
        <v>1800</v>
      </c>
      <c r="AL210">
        <f t="shared" si="117"/>
        <v>1499.1114671999999</v>
      </c>
      <c r="AM210">
        <f t="shared" si="118"/>
        <v>0.83283970399999996</v>
      </c>
      <c r="AN210">
        <f t="shared" si="119"/>
        <v>0.15339763234000001</v>
      </c>
      <c r="AO210">
        <v>31.5</v>
      </c>
      <c r="AP210">
        <v>0.5</v>
      </c>
      <c r="AQ210" t="s">
        <v>331</v>
      </c>
      <c r="AR210">
        <v>2</v>
      </c>
      <c r="AS210">
        <v>1690231625</v>
      </c>
      <c r="AT210">
        <v>520.97199999999998</v>
      </c>
      <c r="AU210">
        <v>800.08600000000001</v>
      </c>
      <c r="AV210">
        <v>22.223800000000001</v>
      </c>
      <c r="AW210">
        <v>5.23306</v>
      </c>
      <c r="AX210">
        <v>520.98199999999997</v>
      </c>
      <c r="AY210">
        <v>22.045200000000001</v>
      </c>
      <c r="AZ210">
        <v>300.15800000000002</v>
      </c>
      <c r="BA210">
        <v>99.031000000000006</v>
      </c>
      <c r="BB210">
        <v>0.10011100000000001</v>
      </c>
      <c r="BC210">
        <v>25.921700000000001</v>
      </c>
      <c r="BD210">
        <v>27.004999999999999</v>
      </c>
      <c r="BE210">
        <v>27.544699999999999</v>
      </c>
      <c r="BF210">
        <v>0</v>
      </c>
      <c r="BG210">
        <v>0</v>
      </c>
      <c r="BH210">
        <v>10002.5</v>
      </c>
      <c r="BI210">
        <v>1066.54</v>
      </c>
      <c r="BJ210">
        <v>1.4577199999999999</v>
      </c>
      <c r="BK210">
        <v>-279.11399999999998</v>
      </c>
      <c r="BL210">
        <v>532.81299999999999</v>
      </c>
      <c r="BM210">
        <v>804.29499999999996</v>
      </c>
      <c r="BN210">
        <v>16.9907</v>
      </c>
      <c r="BO210">
        <v>800.08600000000001</v>
      </c>
      <c r="BP210">
        <v>5.23306</v>
      </c>
      <c r="BQ210">
        <v>2.2008399999999999</v>
      </c>
      <c r="BR210">
        <v>0.518235</v>
      </c>
      <c r="BS210">
        <v>18.968499999999999</v>
      </c>
      <c r="BT210">
        <v>-2.3045100000000001</v>
      </c>
      <c r="BU210">
        <v>1800</v>
      </c>
      <c r="BV210">
        <v>0.90999399999999997</v>
      </c>
      <c r="BW210">
        <v>3.4003400000000003E-2</v>
      </c>
      <c r="BX210">
        <v>2.20022E-2</v>
      </c>
      <c r="BY210">
        <v>3.4000599999999999E-2</v>
      </c>
      <c r="BZ210">
        <v>25</v>
      </c>
      <c r="CA210">
        <v>33528.300000000003</v>
      </c>
      <c r="CB210">
        <v>1690229084.0999999</v>
      </c>
      <c r="CC210" t="s">
        <v>332</v>
      </c>
      <c r="CD210">
        <v>1690229084.0999999</v>
      </c>
      <c r="CE210">
        <v>1690229076.5999999</v>
      </c>
      <c r="CF210">
        <v>13</v>
      </c>
      <c r="CG210">
        <v>0.23300000000000001</v>
      </c>
      <c r="CH210">
        <v>-0.13100000000000001</v>
      </c>
      <c r="CI210">
        <v>-0.20599999999999999</v>
      </c>
      <c r="CJ210">
        <v>8.7999999999999995E-2</v>
      </c>
      <c r="CK210">
        <v>799</v>
      </c>
      <c r="CL210">
        <v>16</v>
      </c>
      <c r="CM210">
        <v>0.04</v>
      </c>
      <c r="CN210">
        <v>0.04</v>
      </c>
      <c r="CO210">
        <v>-278.84617073170728</v>
      </c>
      <c r="CP210">
        <v>-1.447986062717884</v>
      </c>
      <c r="CQ210">
        <v>0.1574530363491326</v>
      </c>
      <c r="CR210">
        <v>-1</v>
      </c>
      <c r="CS210">
        <v>16.952809756097562</v>
      </c>
      <c r="CT210">
        <v>0.2047212543554365</v>
      </c>
      <c r="CU210">
        <v>2.269113724996237E-2</v>
      </c>
      <c r="CV210">
        <v>-1</v>
      </c>
      <c r="CW210">
        <v>0</v>
      </c>
      <c r="CX210">
        <v>0</v>
      </c>
      <c r="CY210" t="s">
        <v>333</v>
      </c>
      <c r="CZ210">
        <v>2.3648199999999999</v>
      </c>
      <c r="DA210">
        <v>2.7139000000000002</v>
      </c>
      <c r="DB210">
        <v>0.108904</v>
      </c>
      <c r="DC210">
        <v>0.14608299999999999</v>
      </c>
      <c r="DD210">
        <v>0.107892</v>
      </c>
      <c r="DE210">
        <v>3.52564E-2</v>
      </c>
      <c r="DF210">
        <v>32559.9</v>
      </c>
      <c r="DG210">
        <v>27550.799999999999</v>
      </c>
      <c r="DH210">
        <v>31192.7</v>
      </c>
      <c r="DI210">
        <v>28113</v>
      </c>
      <c r="DJ210">
        <v>37781.800000000003</v>
      </c>
      <c r="DK210">
        <v>38574.5</v>
      </c>
      <c r="DL210">
        <v>44395</v>
      </c>
      <c r="DM210">
        <v>42614.1</v>
      </c>
      <c r="DN210">
        <v>1.48468</v>
      </c>
      <c r="DO210">
        <v>2.03803</v>
      </c>
      <c r="DP210">
        <v>0.13298499999999999</v>
      </c>
      <c r="DQ210">
        <v>0.178479</v>
      </c>
      <c r="DR210">
        <v>24.8263</v>
      </c>
      <c r="DS210">
        <v>24.621500000000001</v>
      </c>
      <c r="DT210">
        <v>33.4</v>
      </c>
      <c r="DU210">
        <v>29.3</v>
      </c>
      <c r="DV210">
        <v>13.802300000000001</v>
      </c>
      <c r="DW210">
        <v>61.689799999999998</v>
      </c>
      <c r="DX210">
        <v>36.318100000000001</v>
      </c>
      <c r="DY210">
        <v>1</v>
      </c>
      <c r="DZ210">
        <v>-0.112043</v>
      </c>
      <c r="EA210">
        <v>0.24524499999999999</v>
      </c>
      <c r="EB210">
        <v>20.189499999999999</v>
      </c>
      <c r="EC210">
        <v>5.2409499999999998</v>
      </c>
      <c r="ED210">
        <v>12.039899999999999</v>
      </c>
      <c r="EE210">
        <v>5.0167000000000002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1.8691899999999999</v>
      </c>
      <c r="EN210">
        <v>1.8672200000000001</v>
      </c>
      <c r="EO210">
        <v>1.8633999999999999</v>
      </c>
      <c r="EP210">
        <v>1.8644700000000001</v>
      </c>
      <c r="EQ210">
        <v>1.8701300000000001</v>
      </c>
      <c r="ER210">
        <v>1.86941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-0.01</v>
      </c>
      <c r="FG210">
        <v>0.17860000000000001</v>
      </c>
      <c r="FH210">
        <v>0.3448811944559278</v>
      </c>
      <c r="FI210">
        <v>-6.1462078757559423E-4</v>
      </c>
      <c r="FJ210">
        <v>-1.8861989874597051E-7</v>
      </c>
      <c r="FK210">
        <v>1.1980462299894961E-10</v>
      </c>
      <c r="FL210">
        <v>0.17862261546663211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42.3</v>
      </c>
      <c r="FU210">
        <v>42.5</v>
      </c>
      <c r="FV210">
        <v>1.7700199999999999</v>
      </c>
      <c r="FW210">
        <v>2.5891099999999998</v>
      </c>
      <c r="FX210">
        <v>1.5490699999999999</v>
      </c>
      <c r="FY210">
        <v>2.32666</v>
      </c>
      <c r="FZ210">
        <v>1.50146</v>
      </c>
      <c r="GA210">
        <v>2.3071299999999999</v>
      </c>
      <c r="GB210">
        <v>33.783200000000001</v>
      </c>
      <c r="GC210">
        <v>23.982399999999998</v>
      </c>
      <c r="GD210">
        <v>19</v>
      </c>
      <c r="GE210">
        <v>285.54899999999998</v>
      </c>
      <c r="GF210">
        <v>582.17399999999998</v>
      </c>
      <c r="GG210">
        <v>23.858499999999999</v>
      </c>
      <c r="GH210">
        <v>25.984500000000001</v>
      </c>
      <c r="GI210">
        <v>29.9999</v>
      </c>
      <c r="GJ210">
        <v>26.136900000000001</v>
      </c>
      <c r="GK210">
        <v>26.130800000000001</v>
      </c>
      <c r="GL210">
        <v>35.3917</v>
      </c>
      <c r="GM210">
        <v>57.197200000000002</v>
      </c>
      <c r="GN210">
        <v>36.389499999999998</v>
      </c>
      <c r="GO210">
        <v>23.8644</v>
      </c>
      <c r="GP210">
        <v>800</v>
      </c>
      <c r="GQ210">
        <v>5.28796</v>
      </c>
      <c r="GR210">
        <v>99.809700000000007</v>
      </c>
      <c r="GS210">
        <v>99.684899999999999</v>
      </c>
    </row>
    <row r="211" spans="1:201" x14ac:dyDescent="0.25">
      <c r="A211">
        <v>195</v>
      </c>
      <c r="B211">
        <v>1690231635</v>
      </c>
      <c r="C211">
        <v>2129.900000095367</v>
      </c>
      <c r="D211" t="s">
        <v>723</v>
      </c>
      <c r="E211" t="s">
        <v>724</v>
      </c>
      <c r="F211" t="s">
        <v>330</v>
      </c>
      <c r="H211">
        <v>1690231635</v>
      </c>
      <c r="I211">
        <f t="shared" si="90"/>
        <v>1.6560028985918452E-3</v>
      </c>
      <c r="J211">
        <f t="shared" si="91"/>
        <v>1.6560028985918451</v>
      </c>
      <c r="K211">
        <f t="shared" si="92"/>
        <v>25.733031062404677</v>
      </c>
      <c r="L211">
        <f t="shared" si="93"/>
        <v>520.803</v>
      </c>
      <c r="M211">
        <f t="shared" si="94"/>
        <v>130.85225349577885</v>
      </c>
      <c r="N211">
        <f t="shared" si="95"/>
        <v>12.972001079860622</v>
      </c>
      <c r="O211">
        <f t="shared" si="96"/>
        <v>51.629657861510104</v>
      </c>
      <c r="P211">
        <f t="shared" si="97"/>
        <v>0.11038647939281714</v>
      </c>
      <c r="Q211">
        <f t="shared" si="98"/>
        <v>2.1832377357896586</v>
      </c>
      <c r="R211">
        <f t="shared" si="99"/>
        <v>0.107376954749783</v>
      </c>
      <c r="S211">
        <f t="shared" si="100"/>
        <v>6.7374156331961518E-2</v>
      </c>
      <c r="T211">
        <f t="shared" si="101"/>
        <v>276.11558283599999</v>
      </c>
      <c r="U211">
        <f t="shared" si="102"/>
        <v>27.497613434574113</v>
      </c>
      <c r="V211">
        <f t="shared" si="103"/>
        <v>27.497613434574113</v>
      </c>
      <c r="W211">
        <f t="shared" si="104"/>
        <v>3.6851084209851455</v>
      </c>
      <c r="X211">
        <f t="shared" si="105"/>
        <v>65.534130268935527</v>
      </c>
      <c r="Y211">
        <f t="shared" si="106"/>
        <v>2.2016135288886103</v>
      </c>
      <c r="Z211">
        <f t="shared" si="107"/>
        <v>3.3594914891732661</v>
      </c>
      <c r="AA211">
        <f t="shared" si="108"/>
        <v>1.4834948920965352</v>
      </c>
      <c r="AB211">
        <f t="shared" si="109"/>
        <v>-73.029727827900373</v>
      </c>
      <c r="AC211">
        <f t="shared" si="110"/>
        <v>-184.99493501226954</v>
      </c>
      <c r="AD211">
        <f t="shared" si="111"/>
        <v>-18.234100330577633</v>
      </c>
      <c r="AE211">
        <f t="shared" si="112"/>
        <v>-0.1431803347475693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52766.041072306696</v>
      </c>
      <c r="AK211">
        <f t="shared" si="116"/>
        <v>1800</v>
      </c>
      <c r="AL211">
        <f t="shared" si="117"/>
        <v>1499.1107886</v>
      </c>
      <c r="AM211">
        <f t="shared" si="118"/>
        <v>0.83283932699999996</v>
      </c>
      <c r="AN211">
        <f t="shared" si="119"/>
        <v>0.15339754602</v>
      </c>
      <c r="AO211">
        <v>31.5</v>
      </c>
      <c r="AP211">
        <v>0.5</v>
      </c>
      <c r="AQ211" t="s">
        <v>331</v>
      </c>
      <c r="AR211">
        <v>2</v>
      </c>
      <c r="AS211">
        <v>1690231635</v>
      </c>
      <c r="AT211">
        <v>520.803</v>
      </c>
      <c r="AU211">
        <v>799.95600000000002</v>
      </c>
      <c r="AV211">
        <v>22.208300000000001</v>
      </c>
      <c r="AW211">
        <v>5.2124899999999998</v>
      </c>
      <c r="AX211">
        <v>520.81200000000001</v>
      </c>
      <c r="AY211">
        <v>22.029699999999998</v>
      </c>
      <c r="AZ211">
        <v>300.10700000000003</v>
      </c>
      <c r="BA211">
        <v>99.034800000000004</v>
      </c>
      <c r="BB211">
        <v>9.9916699999999997E-2</v>
      </c>
      <c r="BC211">
        <v>25.925899999999999</v>
      </c>
      <c r="BD211">
        <v>26.9956</v>
      </c>
      <c r="BE211">
        <v>27.565000000000001</v>
      </c>
      <c r="BF211">
        <v>0</v>
      </c>
      <c r="BG211">
        <v>0</v>
      </c>
      <c r="BH211">
        <v>10041.9</v>
      </c>
      <c r="BI211">
        <v>1066.45</v>
      </c>
      <c r="BJ211">
        <v>1.4577199999999999</v>
      </c>
      <c r="BK211">
        <v>-279.15300000000002</v>
      </c>
      <c r="BL211">
        <v>532.63199999999995</v>
      </c>
      <c r="BM211">
        <v>804.14700000000005</v>
      </c>
      <c r="BN211">
        <v>16.995799999999999</v>
      </c>
      <c r="BO211">
        <v>799.95600000000002</v>
      </c>
      <c r="BP211">
        <v>5.2124899999999998</v>
      </c>
      <c r="BQ211">
        <v>2.1993999999999998</v>
      </c>
      <c r="BR211">
        <v>0.51621799999999995</v>
      </c>
      <c r="BS211">
        <v>18.957899999999999</v>
      </c>
      <c r="BT211">
        <v>-2.3571499999999999</v>
      </c>
      <c r="BU211">
        <v>1800</v>
      </c>
      <c r="BV211">
        <v>0.90999399999999997</v>
      </c>
      <c r="BW211">
        <v>3.4003199999999997E-2</v>
      </c>
      <c r="BX211">
        <v>2.20021E-2</v>
      </c>
      <c r="BY211">
        <v>3.40004E-2</v>
      </c>
      <c r="BZ211">
        <v>25</v>
      </c>
      <c r="CA211">
        <v>33528.199999999997</v>
      </c>
      <c r="CB211">
        <v>1690229084.0999999</v>
      </c>
      <c r="CC211" t="s">
        <v>332</v>
      </c>
      <c r="CD211">
        <v>1690229084.0999999</v>
      </c>
      <c r="CE211">
        <v>1690229076.5999999</v>
      </c>
      <c r="CF211">
        <v>13</v>
      </c>
      <c r="CG211">
        <v>0.23300000000000001</v>
      </c>
      <c r="CH211">
        <v>-0.13100000000000001</v>
      </c>
      <c r="CI211">
        <v>-0.20599999999999999</v>
      </c>
      <c r="CJ211">
        <v>8.7999999999999995E-2</v>
      </c>
      <c r="CK211">
        <v>799</v>
      </c>
      <c r="CL211">
        <v>16</v>
      </c>
      <c r="CM211">
        <v>0.04</v>
      </c>
      <c r="CN211">
        <v>0.04</v>
      </c>
      <c r="CO211">
        <v>-279.03882499999997</v>
      </c>
      <c r="CP211">
        <v>-0.83517073170637535</v>
      </c>
      <c r="CQ211">
        <v>0.1027343388307904</v>
      </c>
      <c r="CR211">
        <v>-1</v>
      </c>
      <c r="CS211">
        <v>16.98865</v>
      </c>
      <c r="CT211">
        <v>0.183609005628522</v>
      </c>
      <c r="CU211">
        <v>1.9977512357648421E-2</v>
      </c>
      <c r="CV211">
        <v>-1</v>
      </c>
      <c r="CW211">
        <v>0</v>
      </c>
      <c r="CX211">
        <v>0</v>
      </c>
      <c r="CY211" t="s">
        <v>333</v>
      </c>
      <c r="CZ211">
        <v>2.3646400000000001</v>
      </c>
      <c r="DA211">
        <v>2.71374</v>
      </c>
      <c r="DB211">
        <v>0.10888299999999999</v>
      </c>
      <c r="DC211">
        <v>0.14607300000000001</v>
      </c>
      <c r="DD211">
        <v>0.10784299999999999</v>
      </c>
      <c r="DE211">
        <v>3.5143000000000001E-2</v>
      </c>
      <c r="DF211">
        <v>32560.3</v>
      </c>
      <c r="DG211">
        <v>27550.7</v>
      </c>
      <c r="DH211">
        <v>31192.3</v>
      </c>
      <c r="DI211">
        <v>28112.5</v>
      </c>
      <c r="DJ211">
        <v>37783.5</v>
      </c>
      <c r="DK211">
        <v>38578.6</v>
      </c>
      <c r="DL211">
        <v>44394.5</v>
      </c>
      <c r="DM211">
        <v>42613.599999999999</v>
      </c>
      <c r="DN211">
        <v>1.4846200000000001</v>
      </c>
      <c r="DO211">
        <v>2.0379700000000001</v>
      </c>
      <c r="DP211">
        <v>0.132494</v>
      </c>
      <c r="DQ211">
        <v>0.17979700000000001</v>
      </c>
      <c r="DR211">
        <v>24.8249</v>
      </c>
      <c r="DS211">
        <v>24.620200000000001</v>
      </c>
      <c r="DT211">
        <v>33.200000000000003</v>
      </c>
      <c r="DU211">
        <v>29.3</v>
      </c>
      <c r="DV211">
        <v>13.7201</v>
      </c>
      <c r="DW211">
        <v>61.019799999999996</v>
      </c>
      <c r="DX211">
        <v>36.354199999999999</v>
      </c>
      <c r="DY211">
        <v>1</v>
      </c>
      <c r="DZ211">
        <v>-0.112111</v>
      </c>
      <c r="EA211">
        <v>0.23293</v>
      </c>
      <c r="EB211">
        <v>20.189499999999999</v>
      </c>
      <c r="EC211">
        <v>5.2408000000000001</v>
      </c>
      <c r="ED211">
        <v>12.039899999999999</v>
      </c>
      <c r="EE211">
        <v>5.0164499999999999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1.86917</v>
      </c>
      <c r="EN211">
        <v>1.8672200000000001</v>
      </c>
      <c r="EO211">
        <v>1.8633999999999999</v>
      </c>
      <c r="EP211">
        <v>1.8644799999999999</v>
      </c>
      <c r="EQ211">
        <v>1.8701399999999999</v>
      </c>
      <c r="ER211">
        <v>1.86937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-8.9999999999999993E-3</v>
      </c>
      <c r="FG211">
        <v>0.17860000000000001</v>
      </c>
      <c r="FH211">
        <v>0.3448811944559278</v>
      </c>
      <c r="FI211">
        <v>-6.1462078757559423E-4</v>
      </c>
      <c r="FJ211">
        <v>-1.8861989874597051E-7</v>
      </c>
      <c r="FK211">
        <v>1.1980462299894961E-10</v>
      </c>
      <c r="FL211">
        <v>0.17862261546663211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42.5</v>
      </c>
      <c r="FU211">
        <v>42.6</v>
      </c>
      <c r="FV211">
        <v>1.7700199999999999</v>
      </c>
      <c r="FW211">
        <v>2.5891099999999998</v>
      </c>
      <c r="FX211">
        <v>1.5490699999999999</v>
      </c>
      <c r="FY211">
        <v>2.32666</v>
      </c>
      <c r="FZ211">
        <v>1.50146</v>
      </c>
      <c r="GA211">
        <v>2.3278799999999999</v>
      </c>
      <c r="GB211">
        <v>33.783200000000001</v>
      </c>
      <c r="GC211">
        <v>23.991199999999999</v>
      </c>
      <c r="GD211">
        <v>19</v>
      </c>
      <c r="GE211">
        <v>285.51799999999997</v>
      </c>
      <c r="GF211">
        <v>582.10500000000002</v>
      </c>
      <c r="GG211">
        <v>23.866700000000002</v>
      </c>
      <c r="GH211">
        <v>25.982299999999999</v>
      </c>
      <c r="GI211">
        <v>30</v>
      </c>
      <c r="GJ211">
        <v>26.134599999999999</v>
      </c>
      <c r="GK211">
        <v>26.128399999999999</v>
      </c>
      <c r="GL211">
        <v>35.396000000000001</v>
      </c>
      <c r="GM211">
        <v>56.907499999999999</v>
      </c>
      <c r="GN211">
        <v>36.001399999999997</v>
      </c>
      <c r="GO211">
        <v>23.8752</v>
      </c>
      <c r="GP211">
        <v>800</v>
      </c>
      <c r="GQ211">
        <v>5.2726499999999996</v>
      </c>
      <c r="GR211">
        <v>99.808499999999995</v>
      </c>
      <c r="GS211">
        <v>99.683599999999998</v>
      </c>
    </row>
    <row r="212" spans="1:201" x14ac:dyDescent="0.25">
      <c r="A212">
        <v>196</v>
      </c>
      <c r="B212">
        <v>1690231645</v>
      </c>
      <c r="C212">
        <v>2139.900000095367</v>
      </c>
      <c r="D212" t="s">
        <v>725</v>
      </c>
      <c r="E212" t="s">
        <v>726</v>
      </c>
      <c r="F212" t="s">
        <v>330</v>
      </c>
      <c r="H212">
        <v>1690231645</v>
      </c>
      <c r="I212">
        <f t="shared" si="90"/>
        <v>1.6550129679901175E-3</v>
      </c>
      <c r="J212">
        <f t="shared" si="91"/>
        <v>1.6550129679901175</v>
      </c>
      <c r="K212">
        <f t="shared" si="92"/>
        <v>25.749520267572734</v>
      </c>
      <c r="L212">
        <f t="shared" si="93"/>
        <v>520.66899999999998</v>
      </c>
      <c r="M212">
        <f t="shared" si="94"/>
        <v>130.00083472003237</v>
      </c>
      <c r="N212">
        <f t="shared" si="95"/>
        <v>12.887768821844112</v>
      </c>
      <c r="O212">
        <f t="shared" si="96"/>
        <v>51.617066299242303</v>
      </c>
      <c r="P212">
        <f t="shared" si="97"/>
        <v>0.11025068489132434</v>
      </c>
      <c r="Q212">
        <f t="shared" si="98"/>
        <v>2.1784096234817638</v>
      </c>
      <c r="R212">
        <f t="shared" si="99"/>
        <v>0.10724199328658196</v>
      </c>
      <c r="S212">
        <f t="shared" si="100"/>
        <v>6.7289725938904199E-2</v>
      </c>
      <c r="T212">
        <f t="shared" si="101"/>
        <v>276.11558283599999</v>
      </c>
      <c r="U212">
        <f t="shared" si="102"/>
        <v>27.498228597960324</v>
      </c>
      <c r="V212">
        <f t="shared" si="103"/>
        <v>27.498228597960324</v>
      </c>
      <c r="W212">
        <f t="shared" si="104"/>
        <v>3.6852410731747747</v>
      </c>
      <c r="X212">
        <f t="shared" si="105"/>
        <v>65.519404767767654</v>
      </c>
      <c r="Y212">
        <f t="shared" si="106"/>
        <v>2.2007409279026402</v>
      </c>
      <c r="Z212">
        <f t="shared" si="107"/>
        <v>3.3589147149659353</v>
      </c>
      <c r="AA212">
        <f t="shared" si="108"/>
        <v>1.4845001452721345</v>
      </c>
      <c r="AB212">
        <f t="shared" si="109"/>
        <v>-72.986071888364179</v>
      </c>
      <c r="AC212">
        <f t="shared" si="110"/>
        <v>-184.99865800089057</v>
      </c>
      <c r="AD212">
        <f t="shared" si="111"/>
        <v>-18.274672788966768</v>
      </c>
      <c r="AE212">
        <f t="shared" si="112"/>
        <v>-0.143819842221518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52565.742247932205</v>
      </c>
      <c r="AK212">
        <f t="shared" si="116"/>
        <v>1800</v>
      </c>
      <c r="AL212">
        <f t="shared" si="117"/>
        <v>1499.1107886</v>
      </c>
      <c r="AM212">
        <f t="shared" si="118"/>
        <v>0.83283932699999996</v>
      </c>
      <c r="AN212">
        <f t="shared" si="119"/>
        <v>0.15339754602</v>
      </c>
      <c r="AO212">
        <v>31.5</v>
      </c>
      <c r="AP212">
        <v>0.5</v>
      </c>
      <c r="AQ212" t="s">
        <v>331</v>
      </c>
      <c r="AR212">
        <v>2</v>
      </c>
      <c r="AS212">
        <v>1690231645</v>
      </c>
      <c r="AT212">
        <v>520.66899999999998</v>
      </c>
      <c r="AU212">
        <v>799.96500000000003</v>
      </c>
      <c r="AV212">
        <v>22.199200000000001</v>
      </c>
      <c r="AW212">
        <v>5.2147500000000004</v>
      </c>
      <c r="AX212">
        <v>520.678</v>
      </c>
      <c r="AY212">
        <v>22.020600000000002</v>
      </c>
      <c r="AZ212">
        <v>300.13099999999997</v>
      </c>
      <c r="BA212">
        <v>99.036100000000005</v>
      </c>
      <c r="BB212">
        <v>9.9946699999999999E-2</v>
      </c>
      <c r="BC212">
        <v>25.922999999999998</v>
      </c>
      <c r="BD212">
        <v>27.001000000000001</v>
      </c>
      <c r="BE212">
        <v>27.565300000000001</v>
      </c>
      <c r="BF212">
        <v>0</v>
      </c>
      <c r="BG212">
        <v>0</v>
      </c>
      <c r="BH212">
        <v>10001.9</v>
      </c>
      <c r="BI212">
        <v>1066.55</v>
      </c>
      <c r="BJ212">
        <v>1.4577199999999999</v>
      </c>
      <c r="BK212">
        <v>-279.29599999999999</v>
      </c>
      <c r="BL212">
        <v>532.48900000000003</v>
      </c>
      <c r="BM212">
        <v>804.15800000000002</v>
      </c>
      <c r="BN212">
        <v>16.984400000000001</v>
      </c>
      <c r="BO212">
        <v>799.96500000000003</v>
      </c>
      <c r="BP212">
        <v>5.2147500000000004</v>
      </c>
      <c r="BQ212">
        <v>2.1985199999999998</v>
      </c>
      <c r="BR212">
        <v>0.51644800000000002</v>
      </c>
      <c r="BS212">
        <v>18.951499999999999</v>
      </c>
      <c r="BT212">
        <v>-2.3511500000000001</v>
      </c>
      <c r="BU212">
        <v>1800</v>
      </c>
      <c r="BV212">
        <v>0.90999399999999997</v>
      </c>
      <c r="BW212">
        <v>3.4003199999999997E-2</v>
      </c>
      <c r="BX212">
        <v>2.20021E-2</v>
      </c>
      <c r="BY212">
        <v>3.40004E-2</v>
      </c>
      <c r="BZ212">
        <v>25</v>
      </c>
      <c r="CA212">
        <v>33528.300000000003</v>
      </c>
      <c r="CB212">
        <v>1690229084.0999999</v>
      </c>
      <c r="CC212" t="s">
        <v>332</v>
      </c>
      <c r="CD212">
        <v>1690229084.0999999</v>
      </c>
      <c r="CE212">
        <v>1690229076.5999999</v>
      </c>
      <c r="CF212">
        <v>13</v>
      </c>
      <c r="CG212">
        <v>0.23300000000000001</v>
      </c>
      <c r="CH212">
        <v>-0.13100000000000001</v>
      </c>
      <c r="CI212">
        <v>-0.20599999999999999</v>
      </c>
      <c r="CJ212">
        <v>8.7999999999999995E-2</v>
      </c>
      <c r="CK212">
        <v>799</v>
      </c>
      <c r="CL212">
        <v>16</v>
      </c>
      <c r="CM212">
        <v>0.04</v>
      </c>
      <c r="CN212">
        <v>0.04</v>
      </c>
      <c r="CO212">
        <v>-279.19232499999998</v>
      </c>
      <c r="CP212">
        <v>-1.0032833020636669</v>
      </c>
      <c r="CQ212">
        <v>0.1042284480120514</v>
      </c>
      <c r="CR212">
        <v>-1</v>
      </c>
      <c r="CS212">
        <v>17.0031125</v>
      </c>
      <c r="CT212">
        <v>-2.1081050656707678E-2</v>
      </c>
      <c r="CU212">
        <v>1.1362332231984899E-2</v>
      </c>
      <c r="CV212">
        <v>-1</v>
      </c>
      <c r="CW212">
        <v>0</v>
      </c>
      <c r="CX212">
        <v>0</v>
      </c>
      <c r="CY212" t="s">
        <v>333</v>
      </c>
      <c r="CZ212">
        <v>2.3647</v>
      </c>
      <c r="DA212">
        <v>2.71374</v>
      </c>
      <c r="DB212">
        <v>0.108864</v>
      </c>
      <c r="DC212">
        <v>0.14607600000000001</v>
      </c>
      <c r="DD212">
        <v>0.10781399999999999</v>
      </c>
      <c r="DE212">
        <v>3.5156199999999999E-2</v>
      </c>
      <c r="DF212">
        <v>32561.4</v>
      </c>
      <c r="DG212">
        <v>27550.7</v>
      </c>
      <c r="DH212">
        <v>31192.7</v>
      </c>
      <c r="DI212">
        <v>28112.7</v>
      </c>
      <c r="DJ212">
        <v>37785.300000000003</v>
      </c>
      <c r="DK212">
        <v>38578.199999999997</v>
      </c>
      <c r="DL212">
        <v>44395.1</v>
      </c>
      <c r="DM212">
        <v>42613.7</v>
      </c>
      <c r="DN212">
        <v>1.4847999999999999</v>
      </c>
      <c r="DO212">
        <v>2.0378500000000002</v>
      </c>
      <c r="DP212">
        <v>0.133079</v>
      </c>
      <c r="DQ212">
        <v>0.17995800000000001</v>
      </c>
      <c r="DR212">
        <v>24.820699999999999</v>
      </c>
      <c r="DS212">
        <v>24.617799999999999</v>
      </c>
      <c r="DT212">
        <v>32.9</v>
      </c>
      <c r="DU212">
        <v>29.3</v>
      </c>
      <c r="DV212">
        <v>13.595499999999999</v>
      </c>
      <c r="DW212">
        <v>61.369799999999998</v>
      </c>
      <c r="DX212">
        <v>36.654600000000002</v>
      </c>
      <c r="DY212">
        <v>1</v>
      </c>
      <c r="DZ212">
        <v>-0.112139</v>
      </c>
      <c r="EA212">
        <v>0.20300099999999999</v>
      </c>
      <c r="EB212">
        <v>20.189499999999999</v>
      </c>
      <c r="EC212">
        <v>5.2408000000000001</v>
      </c>
      <c r="ED212">
        <v>12.039899999999999</v>
      </c>
      <c r="EE212">
        <v>5.0163500000000001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1.86917</v>
      </c>
      <c r="EN212">
        <v>1.8672200000000001</v>
      </c>
      <c r="EO212">
        <v>1.8633999999999999</v>
      </c>
      <c r="EP212">
        <v>1.8645</v>
      </c>
      <c r="EQ212">
        <v>1.8701300000000001</v>
      </c>
      <c r="ER212">
        <v>1.8694299999999999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-8.9999999999999993E-3</v>
      </c>
      <c r="FG212">
        <v>0.17860000000000001</v>
      </c>
      <c r="FH212">
        <v>0.3448811944559278</v>
      </c>
      <c r="FI212">
        <v>-6.1462078757559423E-4</v>
      </c>
      <c r="FJ212">
        <v>-1.8861989874597051E-7</v>
      </c>
      <c r="FK212">
        <v>1.1980462299894961E-10</v>
      </c>
      <c r="FL212">
        <v>0.17862261546663211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42.7</v>
      </c>
      <c r="FU212">
        <v>42.8</v>
      </c>
      <c r="FV212">
        <v>1.7700199999999999</v>
      </c>
      <c r="FW212">
        <v>2.5842299999999998</v>
      </c>
      <c r="FX212">
        <v>1.5490699999999999</v>
      </c>
      <c r="FY212">
        <v>2.32666</v>
      </c>
      <c r="FZ212">
        <v>1.50146</v>
      </c>
      <c r="GA212">
        <v>2.34863</v>
      </c>
      <c r="GB212">
        <v>33.783200000000001</v>
      </c>
      <c r="GC212">
        <v>23.991199999999999</v>
      </c>
      <c r="GD212">
        <v>19</v>
      </c>
      <c r="GE212">
        <v>285.58300000000003</v>
      </c>
      <c r="GF212">
        <v>581.97799999999995</v>
      </c>
      <c r="GG212">
        <v>23.882100000000001</v>
      </c>
      <c r="GH212">
        <v>25.9801</v>
      </c>
      <c r="GI212">
        <v>30</v>
      </c>
      <c r="GJ212">
        <v>26.132300000000001</v>
      </c>
      <c r="GK212">
        <v>26.126200000000001</v>
      </c>
      <c r="GL212">
        <v>35.395099999999999</v>
      </c>
      <c r="GM212">
        <v>56.607799999999997</v>
      </c>
      <c r="GN212">
        <v>35.617699999999999</v>
      </c>
      <c r="GO212">
        <v>23.888000000000002</v>
      </c>
      <c r="GP212">
        <v>800</v>
      </c>
      <c r="GQ212">
        <v>5.2546900000000001</v>
      </c>
      <c r="GR212">
        <v>99.809799999999996</v>
      </c>
      <c r="GS212">
        <v>99.683899999999994</v>
      </c>
    </row>
    <row r="213" spans="1:201" x14ac:dyDescent="0.25">
      <c r="A213">
        <v>197</v>
      </c>
      <c r="B213">
        <v>1690231655</v>
      </c>
      <c r="C213">
        <v>2149.900000095367</v>
      </c>
      <c r="D213" t="s">
        <v>727</v>
      </c>
      <c r="E213" t="s">
        <v>728</v>
      </c>
      <c r="F213" t="s">
        <v>330</v>
      </c>
      <c r="H213">
        <v>1690231655</v>
      </c>
      <c r="I213">
        <f t="shared" si="90"/>
        <v>1.6583826346402996E-3</v>
      </c>
      <c r="J213">
        <f t="shared" si="91"/>
        <v>1.6583826346402997</v>
      </c>
      <c r="K213">
        <f t="shared" si="92"/>
        <v>25.751208176803587</v>
      </c>
      <c r="L213">
        <f t="shared" si="93"/>
        <v>520.62800000000004</v>
      </c>
      <c r="M213">
        <f t="shared" si="94"/>
        <v>130.10863884450183</v>
      </c>
      <c r="N213">
        <f t="shared" si="95"/>
        <v>12.89840331148719</v>
      </c>
      <c r="O213">
        <f t="shared" si="96"/>
        <v>51.612790502548009</v>
      </c>
      <c r="P213">
        <f t="shared" si="97"/>
        <v>0.11030499664035373</v>
      </c>
      <c r="Q213">
        <f t="shared" si="98"/>
        <v>2.1791554451582016</v>
      </c>
      <c r="R213">
        <f t="shared" si="99"/>
        <v>0.10729438405499038</v>
      </c>
      <c r="S213">
        <f t="shared" si="100"/>
        <v>6.7322637397040586E-2</v>
      </c>
      <c r="T213">
        <f t="shared" si="101"/>
        <v>276.11568088199999</v>
      </c>
      <c r="U213">
        <f t="shared" si="102"/>
        <v>27.505373915296559</v>
      </c>
      <c r="V213">
        <f t="shared" si="103"/>
        <v>27.505373915296559</v>
      </c>
      <c r="W213">
        <f t="shared" si="104"/>
        <v>3.6867821756554395</v>
      </c>
      <c r="X213">
        <f t="shared" si="105"/>
        <v>65.463180392825365</v>
      </c>
      <c r="Y213">
        <f t="shared" si="106"/>
        <v>2.1999983179438005</v>
      </c>
      <c r="Z213">
        <f t="shared" si="107"/>
        <v>3.3606651933839076</v>
      </c>
      <c r="AA213">
        <f t="shared" si="108"/>
        <v>1.486783857711639</v>
      </c>
      <c r="AB213">
        <f t="shared" si="109"/>
        <v>-73.134674187637216</v>
      </c>
      <c r="AC213">
        <f t="shared" si="110"/>
        <v>-184.86759948678292</v>
      </c>
      <c r="AD213">
        <f t="shared" si="111"/>
        <v>-18.256932966517606</v>
      </c>
      <c r="AE213">
        <f t="shared" si="112"/>
        <v>-0.14352575893772723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52595.176783981478</v>
      </c>
      <c r="AK213">
        <f t="shared" si="116"/>
        <v>1800</v>
      </c>
      <c r="AL213">
        <f t="shared" si="117"/>
        <v>1499.1112062</v>
      </c>
      <c r="AM213">
        <f t="shared" si="118"/>
        <v>0.83283955899999995</v>
      </c>
      <c r="AN213">
        <f t="shared" si="119"/>
        <v>0.15339760049000001</v>
      </c>
      <c r="AO213">
        <v>31.5</v>
      </c>
      <c r="AP213">
        <v>0.5</v>
      </c>
      <c r="AQ213" t="s">
        <v>331</v>
      </c>
      <c r="AR213">
        <v>2</v>
      </c>
      <c r="AS213">
        <v>1690231655</v>
      </c>
      <c r="AT213">
        <v>520.62800000000004</v>
      </c>
      <c r="AU213">
        <v>799.96500000000003</v>
      </c>
      <c r="AV213">
        <v>22.191800000000001</v>
      </c>
      <c r="AW213">
        <v>5.1722999999999999</v>
      </c>
      <c r="AX213">
        <v>520.63800000000003</v>
      </c>
      <c r="AY213">
        <v>22.013200000000001</v>
      </c>
      <c r="AZ213">
        <v>300.125</v>
      </c>
      <c r="BA213">
        <v>99.035600000000002</v>
      </c>
      <c r="BB213">
        <v>0.100041</v>
      </c>
      <c r="BC213">
        <v>25.931799999999999</v>
      </c>
      <c r="BD213">
        <v>27.017399999999999</v>
      </c>
      <c r="BE213">
        <v>27.573699999999999</v>
      </c>
      <c r="BF213">
        <v>0</v>
      </c>
      <c r="BG213">
        <v>0</v>
      </c>
      <c r="BH213">
        <v>10008.1</v>
      </c>
      <c r="BI213">
        <v>1066.7</v>
      </c>
      <c r="BJ213">
        <v>1.4577199999999999</v>
      </c>
      <c r="BK213">
        <v>-279.33600000000001</v>
      </c>
      <c r="BL213">
        <v>532.44399999999996</v>
      </c>
      <c r="BM213">
        <v>804.12400000000002</v>
      </c>
      <c r="BN213">
        <v>17.019500000000001</v>
      </c>
      <c r="BO213">
        <v>799.96500000000003</v>
      </c>
      <c r="BP213">
        <v>5.1722999999999999</v>
      </c>
      <c r="BQ213">
        <v>2.1977799999999998</v>
      </c>
      <c r="BR213">
        <v>0.51224199999999998</v>
      </c>
      <c r="BS213">
        <v>18.946100000000001</v>
      </c>
      <c r="BT213">
        <v>-2.4615</v>
      </c>
      <c r="BU213">
        <v>1800</v>
      </c>
      <c r="BV213">
        <v>0.90999399999999997</v>
      </c>
      <c r="BW213">
        <v>3.40033E-2</v>
      </c>
      <c r="BX213">
        <v>2.20022E-2</v>
      </c>
      <c r="BY213">
        <v>3.4000500000000003E-2</v>
      </c>
      <c r="BZ213">
        <v>25</v>
      </c>
      <c r="CA213">
        <v>33528.300000000003</v>
      </c>
      <c r="CB213">
        <v>1690229084.0999999</v>
      </c>
      <c r="CC213" t="s">
        <v>332</v>
      </c>
      <c r="CD213">
        <v>1690229084.0999999</v>
      </c>
      <c r="CE213">
        <v>1690229076.5999999</v>
      </c>
      <c r="CF213">
        <v>13</v>
      </c>
      <c r="CG213">
        <v>0.23300000000000001</v>
      </c>
      <c r="CH213">
        <v>-0.13100000000000001</v>
      </c>
      <c r="CI213">
        <v>-0.20599999999999999</v>
      </c>
      <c r="CJ213">
        <v>8.7999999999999995E-2</v>
      </c>
      <c r="CK213">
        <v>799</v>
      </c>
      <c r="CL213">
        <v>16</v>
      </c>
      <c r="CM213">
        <v>0.04</v>
      </c>
      <c r="CN213">
        <v>0.04</v>
      </c>
      <c r="CO213">
        <v>-279.32237500000002</v>
      </c>
      <c r="CP213">
        <v>-0.78016885553450976</v>
      </c>
      <c r="CQ213">
        <v>8.4902499227053035E-2</v>
      </c>
      <c r="CR213">
        <v>-1</v>
      </c>
      <c r="CS213">
        <v>17.0042975</v>
      </c>
      <c r="CT213">
        <v>3.1583864915542777E-2</v>
      </c>
      <c r="CU213">
        <v>1.24930278055403E-2</v>
      </c>
      <c r="CV213">
        <v>-1</v>
      </c>
      <c r="CW213">
        <v>0</v>
      </c>
      <c r="CX213">
        <v>0</v>
      </c>
      <c r="CY213" t="s">
        <v>333</v>
      </c>
      <c r="CZ213">
        <v>2.3646799999999999</v>
      </c>
      <c r="DA213">
        <v>2.7138399999999998</v>
      </c>
      <c r="DB213">
        <v>0.108858</v>
      </c>
      <c r="DC213">
        <v>0.14607600000000001</v>
      </c>
      <c r="DD213">
        <v>0.10778799999999999</v>
      </c>
      <c r="DE213">
        <v>3.4918699999999997E-2</v>
      </c>
      <c r="DF213">
        <v>32561.8</v>
      </c>
      <c r="DG213">
        <v>27551.1</v>
      </c>
      <c r="DH213">
        <v>31192.9</v>
      </c>
      <c r="DI213">
        <v>28113</v>
      </c>
      <c r="DJ213">
        <v>37786.400000000001</v>
      </c>
      <c r="DK213">
        <v>38588</v>
      </c>
      <c r="DL213">
        <v>44395.1</v>
      </c>
      <c r="DM213">
        <v>42614</v>
      </c>
      <c r="DN213">
        <v>1.4847999999999999</v>
      </c>
      <c r="DO213">
        <v>2.0380500000000001</v>
      </c>
      <c r="DP213">
        <v>0.13425899999999999</v>
      </c>
      <c r="DQ213">
        <v>0.18058299999999999</v>
      </c>
      <c r="DR213">
        <v>24.817900000000002</v>
      </c>
      <c r="DS213">
        <v>24.616099999999999</v>
      </c>
      <c r="DT213">
        <v>32.700000000000003</v>
      </c>
      <c r="DU213">
        <v>29.3</v>
      </c>
      <c r="DV213">
        <v>13.511900000000001</v>
      </c>
      <c r="DW213">
        <v>61.569800000000001</v>
      </c>
      <c r="DX213">
        <v>36.610599999999998</v>
      </c>
      <c r="DY213">
        <v>1</v>
      </c>
      <c r="DZ213">
        <v>-0.11249199999999999</v>
      </c>
      <c r="EA213">
        <v>0.277424</v>
      </c>
      <c r="EB213">
        <v>20.189399999999999</v>
      </c>
      <c r="EC213">
        <v>5.2404999999999999</v>
      </c>
      <c r="ED213">
        <v>12.039899999999999</v>
      </c>
      <c r="EE213">
        <v>5.0164999999999997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1.8691800000000001</v>
      </c>
      <c r="EN213">
        <v>1.8672200000000001</v>
      </c>
      <c r="EO213">
        <v>1.86338</v>
      </c>
      <c r="EP213">
        <v>1.8645</v>
      </c>
      <c r="EQ213">
        <v>1.8701399999999999</v>
      </c>
      <c r="ER213">
        <v>1.8693900000000001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-0.01</v>
      </c>
      <c r="FG213">
        <v>0.17860000000000001</v>
      </c>
      <c r="FH213">
        <v>0.3448811944559278</v>
      </c>
      <c r="FI213">
        <v>-6.1462078757559423E-4</v>
      </c>
      <c r="FJ213">
        <v>-1.8861989874597051E-7</v>
      </c>
      <c r="FK213">
        <v>1.1980462299894961E-10</v>
      </c>
      <c r="FL213">
        <v>0.17862261546663211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42.8</v>
      </c>
      <c r="FU213">
        <v>43</v>
      </c>
      <c r="FV213">
        <v>1.7700199999999999</v>
      </c>
      <c r="FW213">
        <v>2.5854499999999998</v>
      </c>
      <c r="FX213">
        <v>1.5490699999999999</v>
      </c>
      <c r="FY213">
        <v>2.32666</v>
      </c>
      <c r="FZ213">
        <v>1.50146</v>
      </c>
      <c r="GA213">
        <v>2.3791500000000001</v>
      </c>
      <c r="GB213">
        <v>33.783200000000001</v>
      </c>
      <c r="GC213">
        <v>23.991199999999999</v>
      </c>
      <c r="GD213">
        <v>19</v>
      </c>
      <c r="GE213">
        <v>285.57299999999998</v>
      </c>
      <c r="GF213">
        <v>582.10500000000002</v>
      </c>
      <c r="GG213">
        <v>23.882899999999999</v>
      </c>
      <c r="GH213">
        <v>25.977900000000002</v>
      </c>
      <c r="GI213">
        <v>30.0001</v>
      </c>
      <c r="GJ213">
        <v>26.130199999999999</v>
      </c>
      <c r="GK213">
        <v>26.122900000000001</v>
      </c>
      <c r="GL213">
        <v>35.392499999999998</v>
      </c>
      <c r="GM213">
        <v>56.3324</v>
      </c>
      <c r="GN213">
        <v>35.240600000000001</v>
      </c>
      <c r="GO213">
        <v>23.8536</v>
      </c>
      <c r="GP213">
        <v>800</v>
      </c>
      <c r="GQ213">
        <v>5.2383100000000002</v>
      </c>
      <c r="GR213">
        <v>99.810100000000006</v>
      </c>
      <c r="GS213">
        <v>99.684899999999999</v>
      </c>
    </row>
    <row r="214" spans="1:201" x14ac:dyDescent="0.25">
      <c r="A214">
        <v>198</v>
      </c>
      <c r="B214">
        <v>1690231665</v>
      </c>
      <c r="C214">
        <v>2159.900000095367</v>
      </c>
      <c r="D214" t="s">
        <v>729</v>
      </c>
      <c r="E214" t="s">
        <v>730</v>
      </c>
      <c r="F214" t="s">
        <v>330</v>
      </c>
      <c r="H214">
        <v>1690231665</v>
      </c>
      <c r="I214">
        <f t="shared" si="90"/>
        <v>1.656407340034541E-3</v>
      </c>
      <c r="J214">
        <f t="shared" si="91"/>
        <v>1.6564073400345409</v>
      </c>
      <c r="K214">
        <f t="shared" si="92"/>
        <v>25.761699043458535</v>
      </c>
      <c r="L214">
        <f t="shared" si="93"/>
        <v>520.41300000000001</v>
      </c>
      <c r="M214">
        <f t="shared" si="94"/>
        <v>129.15603560184877</v>
      </c>
      <c r="N214">
        <f t="shared" si="95"/>
        <v>12.804247150713893</v>
      </c>
      <c r="O214">
        <f t="shared" si="96"/>
        <v>51.592607665553693</v>
      </c>
      <c r="P214">
        <f t="shared" si="97"/>
        <v>0.11013314509894442</v>
      </c>
      <c r="Q214">
        <f t="shared" si="98"/>
        <v>2.1766836263662825</v>
      </c>
      <c r="R214">
        <f t="shared" si="99"/>
        <v>0.10712846044385591</v>
      </c>
      <c r="S214">
        <f t="shared" si="100"/>
        <v>6.7218418828988491E-2</v>
      </c>
      <c r="T214">
        <f t="shared" si="101"/>
        <v>276.115643406</v>
      </c>
      <c r="U214">
        <f t="shared" si="102"/>
        <v>27.504381601742509</v>
      </c>
      <c r="V214">
        <f t="shared" si="103"/>
        <v>27.504381601742509</v>
      </c>
      <c r="W214">
        <f t="shared" si="104"/>
        <v>3.6865681197838089</v>
      </c>
      <c r="X214">
        <f t="shared" si="105"/>
        <v>65.452622854178216</v>
      </c>
      <c r="Y214">
        <f t="shared" si="106"/>
        <v>2.1992138030526598</v>
      </c>
      <c r="Z214">
        <f t="shared" si="107"/>
        <v>3.3600086706262089</v>
      </c>
      <c r="AA214">
        <f t="shared" si="108"/>
        <v>1.4873543167311492</v>
      </c>
      <c r="AB214">
        <f t="shared" si="109"/>
        <v>-73.047563695523266</v>
      </c>
      <c r="AC214">
        <f t="shared" si="110"/>
        <v>-184.92870947885345</v>
      </c>
      <c r="AD214">
        <f t="shared" si="111"/>
        <v>-18.283314835250536</v>
      </c>
      <c r="AE214">
        <f t="shared" si="112"/>
        <v>-0.14394460362720451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52493.131652622134</v>
      </c>
      <c r="AK214">
        <f t="shared" si="116"/>
        <v>1800</v>
      </c>
      <c r="AL214">
        <f t="shared" si="117"/>
        <v>1499.1103745999999</v>
      </c>
      <c r="AM214">
        <f t="shared" si="118"/>
        <v>0.83283909699999992</v>
      </c>
      <c r="AN214">
        <f t="shared" si="119"/>
        <v>0.15339757967000001</v>
      </c>
      <c r="AO214">
        <v>31.5</v>
      </c>
      <c r="AP214">
        <v>0.5</v>
      </c>
      <c r="AQ214" t="s">
        <v>331</v>
      </c>
      <c r="AR214">
        <v>2</v>
      </c>
      <c r="AS214">
        <v>1690231665</v>
      </c>
      <c r="AT214">
        <v>520.41300000000001</v>
      </c>
      <c r="AU214">
        <v>799.89400000000001</v>
      </c>
      <c r="AV214">
        <v>22.183399999999999</v>
      </c>
      <c r="AW214">
        <v>5.1810799999999997</v>
      </c>
      <c r="AX214">
        <v>520.423</v>
      </c>
      <c r="AY214">
        <v>22.004799999999999</v>
      </c>
      <c r="AZ214">
        <v>300.07299999999998</v>
      </c>
      <c r="BA214">
        <v>99.037899999999993</v>
      </c>
      <c r="BB214">
        <v>9.9914900000000001E-2</v>
      </c>
      <c r="BC214">
        <v>25.9285</v>
      </c>
      <c r="BD214">
        <v>26.964500000000001</v>
      </c>
      <c r="BE214">
        <v>27.5732</v>
      </c>
      <c r="BF214">
        <v>0</v>
      </c>
      <c r="BG214">
        <v>0</v>
      </c>
      <c r="BH214">
        <v>9987.5</v>
      </c>
      <c r="BI214">
        <v>1066.72</v>
      </c>
      <c r="BJ214">
        <v>1.4577199999999999</v>
      </c>
      <c r="BK214">
        <v>-279.48099999999999</v>
      </c>
      <c r="BL214">
        <v>532.22</v>
      </c>
      <c r="BM214">
        <v>804.06</v>
      </c>
      <c r="BN214">
        <v>17.002300000000002</v>
      </c>
      <c r="BO214">
        <v>799.89400000000001</v>
      </c>
      <c r="BP214">
        <v>5.1810799999999997</v>
      </c>
      <c r="BQ214">
        <v>2.1970000000000001</v>
      </c>
      <c r="BR214">
        <v>0.513123</v>
      </c>
      <c r="BS214">
        <v>18.9404</v>
      </c>
      <c r="BT214">
        <v>-2.43832</v>
      </c>
      <c r="BU214">
        <v>1800</v>
      </c>
      <c r="BV214">
        <v>0.90999200000000002</v>
      </c>
      <c r="BW214">
        <v>3.4003899999999997E-2</v>
      </c>
      <c r="BX214">
        <v>2.2002600000000001E-2</v>
      </c>
      <c r="BY214">
        <v>3.4001099999999999E-2</v>
      </c>
      <c r="BZ214">
        <v>25</v>
      </c>
      <c r="CA214">
        <v>33528.400000000001</v>
      </c>
      <c r="CB214">
        <v>1690229084.0999999</v>
      </c>
      <c r="CC214" t="s">
        <v>332</v>
      </c>
      <c r="CD214">
        <v>1690229084.0999999</v>
      </c>
      <c r="CE214">
        <v>1690229076.5999999</v>
      </c>
      <c r="CF214">
        <v>13</v>
      </c>
      <c r="CG214">
        <v>0.23300000000000001</v>
      </c>
      <c r="CH214">
        <v>-0.13100000000000001</v>
      </c>
      <c r="CI214">
        <v>-0.20599999999999999</v>
      </c>
      <c r="CJ214">
        <v>8.7999999999999995E-2</v>
      </c>
      <c r="CK214">
        <v>799</v>
      </c>
      <c r="CL214">
        <v>16</v>
      </c>
      <c r="CM214">
        <v>0.04</v>
      </c>
      <c r="CN214">
        <v>0.04</v>
      </c>
      <c r="CO214">
        <v>-279.42365853658538</v>
      </c>
      <c r="CP214">
        <v>-0.71435540069721037</v>
      </c>
      <c r="CQ214">
        <v>8.9639279760088689E-2</v>
      </c>
      <c r="CR214">
        <v>-1</v>
      </c>
      <c r="CS214">
        <v>17.015690243902441</v>
      </c>
      <c r="CT214">
        <v>0.1145414634146375</v>
      </c>
      <c r="CU214">
        <v>1.5142925658587049E-2</v>
      </c>
      <c r="CV214">
        <v>-1</v>
      </c>
      <c r="CW214">
        <v>0</v>
      </c>
      <c r="CX214">
        <v>0</v>
      </c>
      <c r="CY214" t="s">
        <v>333</v>
      </c>
      <c r="CZ214">
        <v>2.3645299999999998</v>
      </c>
      <c r="DA214">
        <v>2.7136900000000002</v>
      </c>
      <c r="DB214">
        <v>0.108829</v>
      </c>
      <c r="DC214">
        <v>0.14607200000000001</v>
      </c>
      <c r="DD214">
        <v>0.107762</v>
      </c>
      <c r="DE214">
        <v>3.4969E-2</v>
      </c>
      <c r="DF214">
        <v>32562.7</v>
      </c>
      <c r="DG214">
        <v>27551.200000000001</v>
      </c>
      <c r="DH214">
        <v>31192.7</v>
      </c>
      <c r="DI214">
        <v>28113</v>
      </c>
      <c r="DJ214">
        <v>37787.4</v>
      </c>
      <c r="DK214">
        <v>38586.300000000003</v>
      </c>
      <c r="DL214">
        <v>44394.9</v>
      </c>
      <c r="DM214">
        <v>42614.400000000001</v>
      </c>
      <c r="DN214">
        <v>1.4845999999999999</v>
      </c>
      <c r="DO214">
        <v>2.0379999999999998</v>
      </c>
      <c r="DP214">
        <v>0.131022</v>
      </c>
      <c r="DQ214">
        <v>0.18066199999999999</v>
      </c>
      <c r="DR214">
        <v>24.817900000000002</v>
      </c>
      <c r="DS214">
        <v>24.6143</v>
      </c>
      <c r="DT214">
        <v>32.5</v>
      </c>
      <c r="DU214">
        <v>29.3</v>
      </c>
      <c r="DV214">
        <v>13.431100000000001</v>
      </c>
      <c r="DW214">
        <v>61.6798</v>
      </c>
      <c r="DX214">
        <v>36.794899999999998</v>
      </c>
      <c r="DY214">
        <v>1</v>
      </c>
      <c r="DZ214">
        <v>-0.112099</v>
      </c>
      <c r="EA214">
        <v>0.30280800000000002</v>
      </c>
      <c r="EB214">
        <v>20.1892</v>
      </c>
      <c r="EC214">
        <v>5.2408000000000001</v>
      </c>
      <c r="ED214">
        <v>12.039899999999999</v>
      </c>
      <c r="EE214">
        <v>5.0164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1.8691899999999999</v>
      </c>
      <c r="EN214">
        <v>1.8672200000000001</v>
      </c>
      <c r="EO214">
        <v>1.8633999999999999</v>
      </c>
      <c r="EP214">
        <v>1.8644799999999999</v>
      </c>
      <c r="EQ214">
        <v>1.8701399999999999</v>
      </c>
      <c r="ER214">
        <v>1.86941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-0.01</v>
      </c>
      <c r="FG214">
        <v>0.17860000000000001</v>
      </c>
      <c r="FH214">
        <v>0.3448811944559278</v>
      </c>
      <c r="FI214">
        <v>-6.1462078757559423E-4</v>
      </c>
      <c r="FJ214">
        <v>-1.8861989874597051E-7</v>
      </c>
      <c r="FK214">
        <v>1.1980462299894961E-10</v>
      </c>
      <c r="FL214">
        <v>0.17862261546663211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43</v>
      </c>
      <c r="FU214">
        <v>43.1</v>
      </c>
      <c r="FV214">
        <v>1.7700199999999999</v>
      </c>
      <c r="FW214">
        <v>2.5830099999999998</v>
      </c>
      <c r="FX214">
        <v>1.5490699999999999</v>
      </c>
      <c r="FY214">
        <v>2.32666</v>
      </c>
      <c r="FZ214">
        <v>1.50146</v>
      </c>
      <c r="GA214">
        <v>2.3852500000000001</v>
      </c>
      <c r="GB214">
        <v>33.783200000000001</v>
      </c>
      <c r="GC214">
        <v>23.991199999999999</v>
      </c>
      <c r="GD214">
        <v>19</v>
      </c>
      <c r="GE214">
        <v>285.47699999999998</v>
      </c>
      <c r="GF214">
        <v>582.029</v>
      </c>
      <c r="GG214">
        <v>23.8474</v>
      </c>
      <c r="GH214">
        <v>25.9757</v>
      </c>
      <c r="GI214">
        <v>30</v>
      </c>
      <c r="GJ214">
        <v>26.128</v>
      </c>
      <c r="GK214">
        <v>26.119900000000001</v>
      </c>
      <c r="GL214">
        <v>35.393700000000003</v>
      </c>
      <c r="GM214">
        <v>56.045200000000001</v>
      </c>
      <c r="GN214">
        <v>34.868400000000001</v>
      </c>
      <c r="GO214">
        <v>23.8612</v>
      </c>
      <c r="GP214">
        <v>800</v>
      </c>
      <c r="GQ214">
        <v>5.2264099999999996</v>
      </c>
      <c r="GR214">
        <v>99.809600000000003</v>
      </c>
      <c r="GS214">
        <v>99.685400000000001</v>
      </c>
    </row>
    <row r="215" spans="1:201" x14ac:dyDescent="0.25">
      <c r="A215">
        <v>199</v>
      </c>
      <c r="B215">
        <v>1690231675</v>
      </c>
      <c r="C215">
        <v>2169.900000095367</v>
      </c>
      <c r="D215" t="s">
        <v>731</v>
      </c>
      <c r="E215" t="s">
        <v>732</v>
      </c>
      <c r="F215" t="s">
        <v>330</v>
      </c>
      <c r="H215">
        <v>1690231675</v>
      </c>
      <c r="I215">
        <f t="shared" si="90"/>
        <v>1.6604204104935002E-3</v>
      </c>
      <c r="J215">
        <f t="shared" si="91"/>
        <v>1.6604204104935003</v>
      </c>
      <c r="K215">
        <f t="shared" si="92"/>
        <v>25.789437601698321</v>
      </c>
      <c r="L215">
        <f t="shared" si="93"/>
        <v>520.26599999999996</v>
      </c>
      <c r="M215">
        <f t="shared" si="94"/>
        <v>129.5489422138842</v>
      </c>
      <c r="N215">
        <f t="shared" si="95"/>
        <v>12.843249461184264</v>
      </c>
      <c r="O215">
        <f t="shared" si="96"/>
        <v>51.578236842263998</v>
      </c>
      <c r="P215">
        <f t="shared" si="97"/>
        <v>0.11040995239618794</v>
      </c>
      <c r="Q215">
        <f t="shared" si="98"/>
        <v>2.1804840551647389</v>
      </c>
      <c r="R215">
        <f t="shared" si="99"/>
        <v>0.10739547604082032</v>
      </c>
      <c r="S215">
        <f t="shared" si="100"/>
        <v>6.7386155975455136E-2</v>
      </c>
      <c r="T215">
        <f t="shared" si="101"/>
        <v>276.115643406</v>
      </c>
      <c r="U215">
        <f t="shared" si="102"/>
        <v>27.502705595304299</v>
      </c>
      <c r="V215">
        <f t="shared" si="103"/>
        <v>27.502705595304299</v>
      </c>
      <c r="W215">
        <f t="shared" si="104"/>
        <v>3.6862066064519237</v>
      </c>
      <c r="X215">
        <f t="shared" si="105"/>
        <v>65.436094647820298</v>
      </c>
      <c r="Y215">
        <f t="shared" si="106"/>
        <v>2.1989448476423998</v>
      </c>
      <c r="Z215">
        <f t="shared" si="107"/>
        <v>3.3604463400164843</v>
      </c>
      <c r="AA215">
        <f t="shared" si="108"/>
        <v>1.4872617588095238</v>
      </c>
      <c r="AB215">
        <f t="shared" si="109"/>
        <v>-73.224540102763356</v>
      </c>
      <c r="AC215">
        <f t="shared" si="110"/>
        <v>-184.795948784405</v>
      </c>
      <c r="AD215">
        <f t="shared" si="111"/>
        <v>-18.23839277435885</v>
      </c>
      <c r="AE215">
        <f t="shared" si="112"/>
        <v>-0.14323825552716585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52650.666318383315</v>
      </c>
      <c r="AK215">
        <f t="shared" si="116"/>
        <v>1800</v>
      </c>
      <c r="AL215">
        <f t="shared" si="117"/>
        <v>1499.1103745999999</v>
      </c>
      <c r="AM215">
        <f t="shared" si="118"/>
        <v>0.83283909699999992</v>
      </c>
      <c r="AN215">
        <f t="shared" si="119"/>
        <v>0.15339757967000001</v>
      </c>
      <c r="AO215">
        <v>31.5</v>
      </c>
      <c r="AP215">
        <v>0.5</v>
      </c>
      <c r="AQ215" t="s">
        <v>331</v>
      </c>
      <c r="AR215">
        <v>2</v>
      </c>
      <c r="AS215">
        <v>1690231675</v>
      </c>
      <c r="AT215">
        <v>520.26599999999996</v>
      </c>
      <c r="AU215">
        <v>799.928</v>
      </c>
      <c r="AV215">
        <v>22.180599999999998</v>
      </c>
      <c r="AW215">
        <v>5.1449299999999996</v>
      </c>
      <c r="AX215">
        <v>520.27499999999998</v>
      </c>
      <c r="AY215">
        <v>22.001999999999999</v>
      </c>
      <c r="AZ215">
        <v>300.21199999999999</v>
      </c>
      <c r="BA215">
        <v>99.038200000000003</v>
      </c>
      <c r="BB215">
        <v>0.100004</v>
      </c>
      <c r="BC215">
        <v>25.930700000000002</v>
      </c>
      <c r="BD215">
        <v>26.998100000000001</v>
      </c>
      <c r="BE215">
        <v>27.570699999999999</v>
      </c>
      <c r="BF215">
        <v>0</v>
      </c>
      <c r="BG215">
        <v>0</v>
      </c>
      <c r="BH215">
        <v>10018.799999999999</v>
      </c>
      <c r="BI215">
        <v>1066.76</v>
      </c>
      <c r="BJ215">
        <v>1.4577199999999999</v>
      </c>
      <c r="BK215">
        <v>-279.66199999999998</v>
      </c>
      <c r="BL215">
        <v>532.06700000000001</v>
      </c>
      <c r="BM215">
        <v>804.06500000000005</v>
      </c>
      <c r="BN215">
        <v>17.035699999999999</v>
      </c>
      <c r="BO215">
        <v>799.928</v>
      </c>
      <c r="BP215">
        <v>5.1449299999999996</v>
      </c>
      <c r="BQ215">
        <v>2.19672</v>
      </c>
      <c r="BR215">
        <v>0.509544</v>
      </c>
      <c r="BS215">
        <v>18.938400000000001</v>
      </c>
      <c r="BT215">
        <v>-2.5327099999999998</v>
      </c>
      <c r="BU215">
        <v>1800</v>
      </c>
      <c r="BV215">
        <v>0.90999200000000002</v>
      </c>
      <c r="BW215">
        <v>3.4003899999999997E-2</v>
      </c>
      <c r="BX215">
        <v>2.2002600000000001E-2</v>
      </c>
      <c r="BY215">
        <v>3.4001099999999999E-2</v>
      </c>
      <c r="BZ215">
        <v>25</v>
      </c>
      <c r="CA215">
        <v>33528.300000000003</v>
      </c>
      <c r="CB215">
        <v>1690229084.0999999</v>
      </c>
      <c r="CC215" t="s">
        <v>332</v>
      </c>
      <c r="CD215">
        <v>1690229084.0999999</v>
      </c>
      <c r="CE215">
        <v>1690229076.5999999</v>
      </c>
      <c r="CF215">
        <v>13</v>
      </c>
      <c r="CG215">
        <v>0.23300000000000001</v>
      </c>
      <c r="CH215">
        <v>-0.13100000000000001</v>
      </c>
      <c r="CI215">
        <v>-0.20599999999999999</v>
      </c>
      <c r="CJ215">
        <v>8.7999999999999995E-2</v>
      </c>
      <c r="CK215">
        <v>799</v>
      </c>
      <c r="CL215">
        <v>16</v>
      </c>
      <c r="CM215">
        <v>0.04</v>
      </c>
      <c r="CN215">
        <v>0.04</v>
      </c>
      <c r="CO215">
        <v>-279.55797560975611</v>
      </c>
      <c r="CP215">
        <v>-1.1929756097559781</v>
      </c>
      <c r="CQ215">
        <v>0.12969034185694131</v>
      </c>
      <c r="CR215">
        <v>-1</v>
      </c>
      <c r="CS215">
        <v>17.02181707317073</v>
      </c>
      <c r="CT215">
        <v>-2.0855749128948491E-2</v>
      </c>
      <c r="CU215">
        <v>9.4630965498466238E-3</v>
      </c>
      <c r="CV215">
        <v>-1</v>
      </c>
      <c r="CW215">
        <v>0</v>
      </c>
      <c r="CX215">
        <v>0</v>
      </c>
      <c r="CY215" t="s">
        <v>333</v>
      </c>
      <c r="CZ215">
        <v>2.3649900000000001</v>
      </c>
      <c r="DA215">
        <v>2.7138100000000001</v>
      </c>
      <c r="DB215">
        <v>0.108807</v>
      </c>
      <c r="DC215">
        <v>0.14607600000000001</v>
      </c>
      <c r="DD215">
        <v>0.107753</v>
      </c>
      <c r="DE215">
        <v>3.4766600000000002E-2</v>
      </c>
      <c r="DF215">
        <v>32563.8</v>
      </c>
      <c r="DG215">
        <v>27551.5</v>
      </c>
      <c r="DH215">
        <v>31193</v>
      </c>
      <c r="DI215">
        <v>28113.5</v>
      </c>
      <c r="DJ215">
        <v>37788</v>
      </c>
      <c r="DK215">
        <v>38594.9</v>
      </c>
      <c r="DL215">
        <v>44395.3</v>
      </c>
      <c r="DM215">
        <v>42614.9</v>
      </c>
      <c r="DN215">
        <v>1.4853499999999999</v>
      </c>
      <c r="DO215">
        <v>2.0377800000000001</v>
      </c>
      <c r="DP215">
        <v>0.133157</v>
      </c>
      <c r="DQ215">
        <v>0.18053900000000001</v>
      </c>
      <c r="DR215">
        <v>24.816600000000001</v>
      </c>
      <c r="DS215">
        <v>24.613800000000001</v>
      </c>
      <c r="DT215">
        <v>32.299999999999997</v>
      </c>
      <c r="DU215">
        <v>29.3</v>
      </c>
      <c r="DV215">
        <v>13.346399999999999</v>
      </c>
      <c r="DW215">
        <v>61.129800000000003</v>
      </c>
      <c r="DX215">
        <v>36.931100000000001</v>
      </c>
      <c r="DY215">
        <v>1</v>
      </c>
      <c r="DZ215">
        <v>-0.11279</v>
      </c>
      <c r="EA215">
        <v>0.16727700000000001</v>
      </c>
      <c r="EB215">
        <v>20.189599999999999</v>
      </c>
      <c r="EC215">
        <v>5.2408000000000001</v>
      </c>
      <c r="ED215">
        <v>12.039899999999999</v>
      </c>
      <c r="EE215">
        <v>5.0162500000000003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1.8691800000000001</v>
      </c>
      <c r="EN215">
        <v>1.8672200000000001</v>
      </c>
      <c r="EO215">
        <v>1.86338</v>
      </c>
      <c r="EP215">
        <v>1.8644700000000001</v>
      </c>
      <c r="EQ215">
        <v>1.8701300000000001</v>
      </c>
      <c r="ER215">
        <v>1.86937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-8.9999999999999993E-3</v>
      </c>
      <c r="FG215">
        <v>0.17860000000000001</v>
      </c>
      <c r="FH215">
        <v>0.3448811944559278</v>
      </c>
      <c r="FI215">
        <v>-6.1462078757559423E-4</v>
      </c>
      <c r="FJ215">
        <v>-1.8861989874597051E-7</v>
      </c>
      <c r="FK215">
        <v>1.1980462299894961E-10</v>
      </c>
      <c r="FL215">
        <v>0.17862261546663211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43.2</v>
      </c>
      <c r="FU215">
        <v>43.3</v>
      </c>
      <c r="FV215">
        <v>1.7700199999999999</v>
      </c>
      <c r="FW215">
        <v>2.5854499999999998</v>
      </c>
      <c r="FX215">
        <v>1.5490699999999999</v>
      </c>
      <c r="FY215">
        <v>2.32666</v>
      </c>
      <c r="FZ215">
        <v>1.50146</v>
      </c>
      <c r="GA215">
        <v>2.3962400000000001</v>
      </c>
      <c r="GB215">
        <v>33.760599999999997</v>
      </c>
      <c r="GC215">
        <v>23.991199999999999</v>
      </c>
      <c r="GD215">
        <v>19</v>
      </c>
      <c r="GE215">
        <v>285.78800000000001</v>
      </c>
      <c r="GF215">
        <v>581.82000000000005</v>
      </c>
      <c r="GG215">
        <v>23.871600000000001</v>
      </c>
      <c r="GH215">
        <v>25.973500000000001</v>
      </c>
      <c r="GI215">
        <v>29.9999</v>
      </c>
      <c r="GJ215">
        <v>26.125800000000002</v>
      </c>
      <c r="GK215">
        <v>26.117799999999999</v>
      </c>
      <c r="GL215">
        <v>35.396700000000003</v>
      </c>
      <c r="GM215">
        <v>56.045200000000001</v>
      </c>
      <c r="GN215">
        <v>34.489100000000001</v>
      </c>
      <c r="GO215">
        <v>23.8828</v>
      </c>
      <c r="GP215">
        <v>800</v>
      </c>
      <c r="GQ215">
        <v>5.2045199999999996</v>
      </c>
      <c r="GR215">
        <v>99.810500000000005</v>
      </c>
      <c r="GS215">
        <v>99.686800000000005</v>
      </c>
    </row>
    <row r="216" spans="1:201" x14ac:dyDescent="0.25">
      <c r="A216">
        <v>200</v>
      </c>
      <c r="B216">
        <v>1690231685</v>
      </c>
      <c r="C216">
        <v>2179.900000095367</v>
      </c>
      <c r="D216" t="s">
        <v>733</v>
      </c>
      <c r="E216" t="s">
        <v>734</v>
      </c>
      <c r="F216" t="s">
        <v>330</v>
      </c>
      <c r="H216">
        <v>1690231685</v>
      </c>
      <c r="I216">
        <f t="shared" si="90"/>
        <v>1.6615898137662879E-3</v>
      </c>
      <c r="J216">
        <f t="shared" si="91"/>
        <v>1.6615898137662879</v>
      </c>
      <c r="K216">
        <f t="shared" si="92"/>
        <v>25.800203967087537</v>
      </c>
      <c r="L216">
        <f t="shared" si="93"/>
        <v>520.21799999999996</v>
      </c>
      <c r="M216">
        <f t="shared" si="94"/>
        <v>129.59931119568543</v>
      </c>
      <c r="N216">
        <f t="shared" si="95"/>
        <v>12.847841193712638</v>
      </c>
      <c r="O216">
        <f t="shared" si="96"/>
        <v>51.571865532672</v>
      </c>
      <c r="P216">
        <f t="shared" si="97"/>
        <v>0.11048700425924091</v>
      </c>
      <c r="Q216">
        <f t="shared" si="98"/>
        <v>2.1799129729289515</v>
      </c>
      <c r="R216">
        <f t="shared" si="99"/>
        <v>0.10746761341165446</v>
      </c>
      <c r="S216">
        <f t="shared" si="100"/>
        <v>6.7431665802423532E-2</v>
      </c>
      <c r="T216">
        <f t="shared" si="101"/>
        <v>276.11734125470707</v>
      </c>
      <c r="U216">
        <f t="shared" si="102"/>
        <v>27.498999381988682</v>
      </c>
      <c r="V216">
        <f t="shared" si="103"/>
        <v>27.498999381988682</v>
      </c>
      <c r="W216">
        <f t="shared" si="104"/>
        <v>3.6854072888657696</v>
      </c>
      <c r="X216">
        <f t="shared" si="105"/>
        <v>65.426253632834062</v>
      </c>
      <c r="Y216">
        <f t="shared" si="106"/>
        <v>2.1981325745024001</v>
      </c>
      <c r="Z216">
        <f t="shared" si="107"/>
        <v>3.359710288224834</v>
      </c>
      <c r="AA216">
        <f t="shared" si="108"/>
        <v>1.4872747143633696</v>
      </c>
      <c r="AB216">
        <f t="shared" si="109"/>
        <v>-73.276110787093288</v>
      </c>
      <c r="AC216">
        <f t="shared" si="110"/>
        <v>-184.74681937413632</v>
      </c>
      <c r="AD216">
        <f t="shared" si="111"/>
        <v>-18.237644675143315</v>
      </c>
      <c r="AE216">
        <f t="shared" si="112"/>
        <v>-0.14323358166583944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52627.501687225085</v>
      </c>
      <c r="AK216">
        <f t="shared" si="116"/>
        <v>1800.01</v>
      </c>
      <c r="AL216">
        <f t="shared" si="117"/>
        <v>1499.1200871986598</v>
      </c>
      <c r="AM216">
        <f t="shared" si="118"/>
        <v>0.83283986599999993</v>
      </c>
      <c r="AN216">
        <f t="shared" si="119"/>
        <v>0.15339767070999999</v>
      </c>
      <c r="AO216">
        <v>31.5</v>
      </c>
      <c r="AP216">
        <v>0.5</v>
      </c>
      <c r="AQ216" t="s">
        <v>331</v>
      </c>
      <c r="AR216">
        <v>2</v>
      </c>
      <c r="AS216">
        <v>1690231685</v>
      </c>
      <c r="AT216">
        <v>520.21799999999996</v>
      </c>
      <c r="AU216">
        <v>800.03300000000002</v>
      </c>
      <c r="AV216">
        <v>22.173100000000002</v>
      </c>
      <c r="AW216">
        <v>5.1231999999999998</v>
      </c>
      <c r="AX216">
        <v>520.22699999999998</v>
      </c>
      <c r="AY216">
        <v>21.994499999999999</v>
      </c>
      <c r="AZ216">
        <v>300.17500000000001</v>
      </c>
      <c r="BA216">
        <v>99.0351</v>
      </c>
      <c r="BB216">
        <v>0.100004</v>
      </c>
      <c r="BC216">
        <v>25.927</v>
      </c>
      <c r="BD216">
        <v>26.994800000000001</v>
      </c>
      <c r="BE216">
        <v>27.584099999999999</v>
      </c>
      <c r="BF216">
        <v>0</v>
      </c>
      <c r="BG216">
        <v>0</v>
      </c>
      <c r="BH216">
        <v>10014.4</v>
      </c>
      <c r="BI216">
        <v>1066.82</v>
      </c>
      <c r="BJ216">
        <v>1.41567</v>
      </c>
      <c r="BK216">
        <v>-279.815</v>
      </c>
      <c r="BL216">
        <v>532.01400000000001</v>
      </c>
      <c r="BM216">
        <v>804.15300000000002</v>
      </c>
      <c r="BN216">
        <v>17.049900000000001</v>
      </c>
      <c r="BO216">
        <v>800.03300000000002</v>
      </c>
      <c r="BP216">
        <v>5.1231999999999998</v>
      </c>
      <c r="BQ216">
        <v>2.19591</v>
      </c>
      <c r="BR216">
        <v>0.50737699999999997</v>
      </c>
      <c r="BS216">
        <v>18.932500000000001</v>
      </c>
      <c r="BT216">
        <v>-2.59016</v>
      </c>
      <c r="BU216">
        <v>1800.01</v>
      </c>
      <c r="BV216">
        <v>0.90999399999999997</v>
      </c>
      <c r="BW216">
        <v>3.4003400000000003E-2</v>
      </c>
      <c r="BX216">
        <v>2.2002299999999999E-2</v>
      </c>
      <c r="BY216">
        <v>3.4000700000000002E-2</v>
      </c>
      <c r="BZ216">
        <v>25</v>
      </c>
      <c r="CA216">
        <v>33528.5</v>
      </c>
      <c r="CB216">
        <v>1690229084.0999999</v>
      </c>
      <c r="CC216" t="s">
        <v>332</v>
      </c>
      <c r="CD216">
        <v>1690229084.0999999</v>
      </c>
      <c r="CE216">
        <v>1690229076.5999999</v>
      </c>
      <c r="CF216">
        <v>13</v>
      </c>
      <c r="CG216">
        <v>0.23300000000000001</v>
      </c>
      <c r="CH216">
        <v>-0.13100000000000001</v>
      </c>
      <c r="CI216">
        <v>-0.20599999999999999</v>
      </c>
      <c r="CJ216">
        <v>8.7999999999999995E-2</v>
      </c>
      <c r="CK216">
        <v>799</v>
      </c>
      <c r="CL216">
        <v>16</v>
      </c>
      <c r="CM216">
        <v>0.04</v>
      </c>
      <c r="CN216">
        <v>0.04</v>
      </c>
      <c r="CO216">
        <v>-279.66665</v>
      </c>
      <c r="CP216">
        <v>-0.38096060037489238</v>
      </c>
      <c r="CQ216">
        <v>7.5456460955972735E-2</v>
      </c>
      <c r="CR216">
        <v>-1</v>
      </c>
      <c r="CS216">
        <v>17.033075</v>
      </c>
      <c r="CT216">
        <v>0.17732983114445761</v>
      </c>
      <c r="CU216">
        <v>1.8769772907523422E-2</v>
      </c>
      <c r="CV216">
        <v>-1</v>
      </c>
      <c r="CW216">
        <v>0</v>
      </c>
      <c r="CX216">
        <v>0</v>
      </c>
      <c r="CY216" t="s">
        <v>333</v>
      </c>
      <c r="CZ216">
        <v>2.3648600000000002</v>
      </c>
      <c r="DA216">
        <v>2.7138100000000001</v>
      </c>
      <c r="DB216">
        <v>0.108797</v>
      </c>
      <c r="DC216">
        <v>0.14608499999999999</v>
      </c>
      <c r="DD216">
        <v>0.107725</v>
      </c>
      <c r="DE216">
        <v>3.4643699999999999E-2</v>
      </c>
      <c r="DF216">
        <v>32564.5</v>
      </c>
      <c r="DG216">
        <v>27551.7</v>
      </c>
      <c r="DH216">
        <v>31193.3</v>
      </c>
      <c r="DI216">
        <v>28114</v>
      </c>
      <c r="DJ216">
        <v>37789.599999999999</v>
      </c>
      <c r="DK216">
        <v>38600.5</v>
      </c>
      <c r="DL216">
        <v>44395.7</v>
      </c>
      <c r="DM216">
        <v>42615.6</v>
      </c>
      <c r="DN216">
        <v>1.4847999999999999</v>
      </c>
      <c r="DO216">
        <v>2.0377999999999998</v>
      </c>
      <c r="DP216">
        <v>0.133079</v>
      </c>
      <c r="DQ216">
        <v>0.181474</v>
      </c>
      <c r="DR216">
        <v>24.814499999999999</v>
      </c>
      <c r="DS216">
        <v>24.611899999999999</v>
      </c>
      <c r="DT216">
        <v>32</v>
      </c>
      <c r="DU216">
        <v>29.3</v>
      </c>
      <c r="DV216">
        <v>13.2225</v>
      </c>
      <c r="DW216">
        <v>61.239800000000002</v>
      </c>
      <c r="DX216">
        <v>37.171500000000002</v>
      </c>
      <c r="DY216">
        <v>1</v>
      </c>
      <c r="DZ216">
        <v>-0.113201</v>
      </c>
      <c r="EA216">
        <v>0.188162</v>
      </c>
      <c r="EB216">
        <v>20.189699999999998</v>
      </c>
      <c r="EC216">
        <v>5.2408000000000001</v>
      </c>
      <c r="ED216">
        <v>12.039899999999999</v>
      </c>
      <c r="EE216">
        <v>5.0162000000000004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1.8691899999999999</v>
      </c>
      <c r="EN216">
        <v>1.8672200000000001</v>
      </c>
      <c r="EO216">
        <v>1.8633900000000001</v>
      </c>
      <c r="EP216">
        <v>1.8644700000000001</v>
      </c>
      <c r="EQ216">
        <v>1.8701300000000001</v>
      </c>
      <c r="ER216">
        <v>1.86937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-8.9999999999999993E-3</v>
      </c>
      <c r="FG216">
        <v>0.17860000000000001</v>
      </c>
      <c r="FH216">
        <v>0.3448811944559278</v>
      </c>
      <c r="FI216">
        <v>-6.1462078757559423E-4</v>
      </c>
      <c r="FJ216">
        <v>-1.8861989874597051E-7</v>
      </c>
      <c r="FK216">
        <v>1.1980462299894961E-10</v>
      </c>
      <c r="FL216">
        <v>0.17862261546663211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43.3</v>
      </c>
      <c r="FU216">
        <v>43.5</v>
      </c>
      <c r="FV216">
        <v>1.7700199999999999</v>
      </c>
      <c r="FW216">
        <v>2.5842299999999998</v>
      </c>
      <c r="FX216">
        <v>1.5490699999999999</v>
      </c>
      <c r="FY216">
        <v>2.32666</v>
      </c>
      <c r="FZ216">
        <v>1.50146</v>
      </c>
      <c r="GA216">
        <v>2.3974600000000001</v>
      </c>
      <c r="GB216">
        <v>33.760599999999997</v>
      </c>
      <c r="GC216">
        <v>23.991199999999999</v>
      </c>
      <c r="GD216">
        <v>19</v>
      </c>
      <c r="GE216">
        <v>285.541</v>
      </c>
      <c r="GF216">
        <v>581.81600000000003</v>
      </c>
      <c r="GG216">
        <v>23.890899999999998</v>
      </c>
      <c r="GH216">
        <v>25.971299999999999</v>
      </c>
      <c r="GI216">
        <v>29.9999</v>
      </c>
      <c r="GJ216">
        <v>26.123200000000001</v>
      </c>
      <c r="GK216">
        <v>26.115600000000001</v>
      </c>
      <c r="GL216">
        <v>35.391199999999998</v>
      </c>
      <c r="GM216">
        <v>55.487200000000001</v>
      </c>
      <c r="GN216">
        <v>34.112099999999998</v>
      </c>
      <c r="GO216">
        <v>23.896799999999999</v>
      </c>
      <c r="GP216">
        <v>800</v>
      </c>
      <c r="GQ216">
        <v>5.1920599999999997</v>
      </c>
      <c r="GR216">
        <v>99.811499999999995</v>
      </c>
      <c r="GS216">
        <v>99.688400000000001</v>
      </c>
    </row>
    <row r="217" spans="1:201" x14ac:dyDescent="0.25">
      <c r="A217">
        <v>201</v>
      </c>
      <c r="B217">
        <v>1690231695</v>
      </c>
      <c r="C217">
        <v>2189.900000095367</v>
      </c>
      <c r="D217" t="s">
        <v>735</v>
      </c>
      <c r="E217" t="s">
        <v>736</v>
      </c>
      <c r="F217" t="s">
        <v>330</v>
      </c>
      <c r="H217">
        <v>1690231695</v>
      </c>
      <c r="I217">
        <f t="shared" si="90"/>
        <v>1.6590791882743977E-3</v>
      </c>
      <c r="J217">
        <f t="shared" si="91"/>
        <v>1.6590791882743978</v>
      </c>
      <c r="K217">
        <f t="shared" si="92"/>
        <v>25.783546702171314</v>
      </c>
      <c r="L217">
        <f t="shared" si="93"/>
        <v>520.23900000000003</v>
      </c>
      <c r="M217">
        <f t="shared" si="94"/>
        <v>128.96683939503396</v>
      </c>
      <c r="N217">
        <f t="shared" si="95"/>
        <v>12.784876744234015</v>
      </c>
      <c r="O217">
        <f t="shared" si="96"/>
        <v>51.572881244073301</v>
      </c>
      <c r="P217">
        <f t="shared" si="97"/>
        <v>0.11022338128584666</v>
      </c>
      <c r="Q217">
        <f t="shared" si="98"/>
        <v>2.1779142213682281</v>
      </c>
      <c r="R217">
        <f t="shared" si="99"/>
        <v>0.10721549387666925</v>
      </c>
      <c r="S217">
        <f t="shared" si="100"/>
        <v>6.7273093516279386E-2</v>
      </c>
      <c r="T217">
        <f t="shared" si="101"/>
        <v>276.115643406</v>
      </c>
      <c r="U217">
        <f t="shared" si="102"/>
        <v>27.501658162486109</v>
      </c>
      <c r="V217">
        <f t="shared" si="103"/>
        <v>27.501658162486109</v>
      </c>
      <c r="W217">
        <f t="shared" si="104"/>
        <v>3.6859806916877722</v>
      </c>
      <c r="X217">
        <f t="shared" si="105"/>
        <v>65.405261091342112</v>
      </c>
      <c r="Y217">
        <f t="shared" si="106"/>
        <v>2.1974923368403703</v>
      </c>
      <c r="Z217">
        <f t="shared" si="107"/>
        <v>3.3598097464536516</v>
      </c>
      <c r="AA217">
        <f t="shared" si="108"/>
        <v>1.4884883548474019</v>
      </c>
      <c r="AB217">
        <f t="shared" si="109"/>
        <v>-73.165392202900946</v>
      </c>
      <c r="AC217">
        <f t="shared" si="110"/>
        <v>-184.83090066562343</v>
      </c>
      <c r="AD217">
        <f t="shared" si="111"/>
        <v>-18.262978956713347</v>
      </c>
      <c r="AE217">
        <f t="shared" si="112"/>
        <v>-0.14362841923772862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52544.305262219146</v>
      </c>
      <c r="AK217">
        <f t="shared" si="116"/>
        <v>1800</v>
      </c>
      <c r="AL217">
        <f t="shared" si="117"/>
        <v>1499.1103745999999</v>
      </c>
      <c r="AM217">
        <f t="shared" si="118"/>
        <v>0.83283909699999992</v>
      </c>
      <c r="AN217">
        <f t="shared" si="119"/>
        <v>0.15339757967000001</v>
      </c>
      <c r="AO217">
        <v>31.5</v>
      </c>
      <c r="AP217">
        <v>0.5</v>
      </c>
      <c r="AQ217" t="s">
        <v>331</v>
      </c>
      <c r="AR217">
        <v>2</v>
      </c>
      <c r="AS217">
        <v>1690231695</v>
      </c>
      <c r="AT217">
        <v>520.23900000000003</v>
      </c>
      <c r="AU217">
        <v>800.00099999999998</v>
      </c>
      <c r="AV217">
        <v>22.167100000000001</v>
      </c>
      <c r="AW217">
        <v>5.1346299999999996</v>
      </c>
      <c r="AX217">
        <v>520.24800000000005</v>
      </c>
      <c r="AY217">
        <v>21.988499999999998</v>
      </c>
      <c r="AZ217">
        <v>300.02999999999997</v>
      </c>
      <c r="BA217">
        <v>99.033100000000005</v>
      </c>
      <c r="BB217">
        <v>9.9954699999999994E-2</v>
      </c>
      <c r="BC217">
        <v>25.927499999999998</v>
      </c>
      <c r="BD217">
        <v>26.9755</v>
      </c>
      <c r="BE217">
        <v>27.554200000000002</v>
      </c>
      <c r="BF217">
        <v>0</v>
      </c>
      <c r="BG217">
        <v>0</v>
      </c>
      <c r="BH217">
        <v>9998.1200000000008</v>
      </c>
      <c r="BI217">
        <v>1066.76</v>
      </c>
      <c r="BJ217">
        <v>1.3455900000000001</v>
      </c>
      <c r="BK217">
        <v>-279.762</v>
      </c>
      <c r="BL217">
        <v>532.03300000000002</v>
      </c>
      <c r="BM217">
        <v>804.13</v>
      </c>
      <c r="BN217">
        <v>17.032499999999999</v>
      </c>
      <c r="BO217">
        <v>800.00099999999998</v>
      </c>
      <c r="BP217">
        <v>5.1346299999999996</v>
      </c>
      <c r="BQ217">
        <v>2.1952799999999999</v>
      </c>
      <c r="BR217">
        <v>0.50849800000000001</v>
      </c>
      <c r="BS217">
        <v>18.927900000000001</v>
      </c>
      <c r="BT217">
        <v>-2.5604100000000001</v>
      </c>
      <c r="BU217">
        <v>1800</v>
      </c>
      <c r="BV217">
        <v>0.90999200000000002</v>
      </c>
      <c r="BW217">
        <v>3.4003899999999997E-2</v>
      </c>
      <c r="BX217">
        <v>2.2002600000000001E-2</v>
      </c>
      <c r="BY217">
        <v>3.4001099999999999E-2</v>
      </c>
      <c r="BZ217">
        <v>25</v>
      </c>
      <c r="CA217">
        <v>33528.400000000001</v>
      </c>
      <c r="CB217">
        <v>1690229084.0999999</v>
      </c>
      <c r="CC217" t="s">
        <v>332</v>
      </c>
      <c r="CD217">
        <v>1690229084.0999999</v>
      </c>
      <c r="CE217">
        <v>1690229076.5999999</v>
      </c>
      <c r="CF217">
        <v>13</v>
      </c>
      <c r="CG217">
        <v>0.23300000000000001</v>
      </c>
      <c r="CH217">
        <v>-0.13100000000000001</v>
      </c>
      <c r="CI217">
        <v>-0.20599999999999999</v>
      </c>
      <c r="CJ217">
        <v>8.7999999999999995E-2</v>
      </c>
      <c r="CK217">
        <v>799</v>
      </c>
      <c r="CL217">
        <v>16</v>
      </c>
      <c r="CM217">
        <v>0.04</v>
      </c>
      <c r="CN217">
        <v>0.04</v>
      </c>
      <c r="CO217">
        <v>-279.76787804878052</v>
      </c>
      <c r="CP217">
        <v>-0.68531707317041413</v>
      </c>
      <c r="CQ217">
        <v>8.9577380398849452E-2</v>
      </c>
      <c r="CR217">
        <v>-1</v>
      </c>
      <c r="CS217">
        <v>17.043904878048782</v>
      </c>
      <c r="CT217">
        <v>-6.562160278739633E-2</v>
      </c>
      <c r="CU217">
        <v>1.1651252444339099E-2</v>
      </c>
      <c r="CV217">
        <v>-1</v>
      </c>
      <c r="CW217">
        <v>0</v>
      </c>
      <c r="CX217">
        <v>0</v>
      </c>
      <c r="CY217" t="s">
        <v>333</v>
      </c>
      <c r="CZ217">
        <v>2.36442</v>
      </c>
      <c r="DA217">
        <v>2.71374</v>
      </c>
      <c r="DB217">
        <v>0.10879900000000001</v>
      </c>
      <c r="DC217">
        <v>0.14607899999999999</v>
      </c>
      <c r="DD217">
        <v>0.10770299999999999</v>
      </c>
      <c r="DE217">
        <v>3.4707399999999999E-2</v>
      </c>
      <c r="DF217">
        <v>32564.3</v>
      </c>
      <c r="DG217">
        <v>27551.9</v>
      </c>
      <c r="DH217">
        <v>31193.200000000001</v>
      </c>
      <c r="DI217">
        <v>28113.9</v>
      </c>
      <c r="DJ217">
        <v>37790.6</v>
      </c>
      <c r="DK217">
        <v>38598</v>
      </c>
      <c r="DL217">
        <v>44395.8</v>
      </c>
      <c r="DM217">
        <v>42615.7</v>
      </c>
      <c r="DN217">
        <v>1.4844999999999999</v>
      </c>
      <c r="DO217">
        <v>2.0381800000000001</v>
      </c>
      <c r="DP217">
        <v>0.13205800000000001</v>
      </c>
      <c r="DQ217">
        <v>0.17976400000000001</v>
      </c>
      <c r="DR217">
        <v>24.811900000000001</v>
      </c>
      <c r="DS217">
        <v>24.6099</v>
      </c>
      <c r="DT217">
        <v>31.8</v>
      </c>
      <c r="DU217">
        <v>29.3</v>
      </c>
      <c r="DV217">
        <v>13.1396</v>
      </c>
      <c r="DW217">
        <v>61.919800000000002</v>
      </c>
      <c r="DX217">
        <v>37.419899999999998</v>
      </c>
      <c r="DY217">
        <v>1</v>
      </c>
      <c r="DZ217">
        <v>-0.113023</v>
      </c>
      <c r="EA217">
        <v>0.28214099999999998</v>
      </c>
      <c r="EB217">
        <v>20.189599999999999</v>
      </c>
      <c r="EC217">
        <v>5.2408000000000001</v>
      </c>
      <c r="ED217">
        <v>12.039899999999999</v>
      </c>
      <c r="EE217">
        <v>5.0163000000000002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1.8692</v>
      </c>
      <c r="EN217">
        <v>1.8672200000000001</v>
      </c>
      <c r="EO217">
        <v>1.8633999999999999</v>
      </c>
      <c r="EP217">
        <v>1.8644700000000001</v>
      </c>
      <c r="EQ217">
        <v>1.8701300000000001</v>
      </c>
      <c r="ER217">
        <v>1.8693900000000001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-8.9999999999999993E-3</v>
      </c>
      <c r="FG217">
        <v>0.17860000000000001</v>
      </c>
      <c r="FH217">
        <v>0.3448811944559278</v>
      </c>
      <c r="FI217">
        <v>-6.1462078757559423E-4</v>
      </c>
      <c r="FJ217">
        <v>-1.8861989874597051E-7</v>
      </c>
      <c r="FK217">
        <v>1.1980462299894961E-10</v>
      </c>
      <c r="FL217">
        <v>0.17862261546663211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43.5</v>
      </c>
      <c r="FU217">
        <v>43.6</v>
      </c>
      <c r="FV217">
        <v>1.7700199999999999</v>
      </c>
      <c r="FW217">
        <v>2.5830099999999998</v>
      </c>
      <c r="FX217">
        <v>1.5490699999999999</v>
      </c>
      <c r="FY217">
        <v>2.32666</v>
      </c>
      <c r="FZ217">
        <v>1.50146</v>
      </c>
      <c r="GA217">
        <v>2.4047900000000002</v>
      </c>
      <c r="GB217">
        <v>33.760599999999997</v>
      </c>
      <c r="GC217">
        <v>23.982399999999998</v>
      </c>
      <c r="GD217">
        <v>19</v>
      </c>
      <c r="GE217">
        <v>285.39800000000002</v>
      </c>
      <c r="GF217">
        <v>582.09699999999998</v>
      </c>
      <c r="GG217">
        <v>23.889199999999999</v>
      </c>
      <c r="GH217">
        <v>25.969100000000001</v>
      </c>
      <c r="GI217">
        <v>30.0002</v>
      </c>
      <c r="GJ217">
        <v>26.119900000000001</v>
      </c>
      <c r="GK217">
        <v>26.113099999999999</v>
      </c>
      <c r="GL217">
        <v>35.389499999999998</v>
      </c>
      <c r="GM217">
        <v>55.487200000000001</v>
      </c>
      <c r="GN217">
        <v>33.7378</v>
      </c>
      <c r="GO217">
        <v>23.884499999999999</v>
      </c>
      <c r="GP217">
        <v>800</v>
      </c>
      <c r="GQ217">
        <v>5.1803100000000004</v>
      </c>
      <c r="GR217">
        <v>99.811400000000006</v>
      </c>
      <c r="GS217">
        <v>99.688500000000005</v>
      </c>
    </row>
    <row r="218" spans="1:201" x14ac:dyDescent="0.25">
      <c r="A218">
        <v>202</v>
      </c>
      <c r="B218">
        <v>1690231705</v>
      </c>
      <c r="C218">
        <v>2199.900000095367</v>
      </c>
      <c r="D218" t="s">
        <v>737</v>
      </c>
      <c r="E218" t="s">
        <v>738</v>
      </c>
      <c r="F218" t="s">
        <v>330</v>
      </c>
      <c r="H218">
        <v>1690231705</v>
      </c>
      <c r="I218">
        <f t="shared" si="90"/>
        <v>1.6623249596303686E-3</v>
      </c>
      <c r="J218">
        <f t="shared" si="91"/>
        <v>1.6623249596303686</v>
      </c>
      <c r="K218">
        <f t="shared" si="92"/>
        <v>25.813267399475865</v>
      </c>
      <c r="L218">
        <f t="shared" si="93"/>
        <v>520.12599999999998</v>
      </c>
      <c r="M218">
        <f t="shared" si="94"/>
        <v>128.86618035070899</v>
      </c>
      <c r="N218">
        <f t="shared" si="95"/>
        <v>12.774927783568232</v>
      </c>
      <c r="O218">
        <f t="shared" si="96"/>
        <v>51.561798993910003</v>
      </c>
      <c r="P218">
        <f t="shared" si="97"/>
        <v>0.11036351323455582</v>
      </c>
      <c r="Q218">
        <f t="shared" si="98"/>
        <v>2.1735117379612956</v>
      </c>
      <c r="R218">
        <f t="shared" si="99"/>
        <v>0.10734215775655483</v>
      </c>
      <c r="S218">
        <f t="shared" si="100"/>
        <v>6.7353415878733142E-2</v>
      </c>
      <c r="T218">
        <f t="shared" si="101"/>
        <v>276.11436285079537</v>
      </c>
      <c r="U218">
        <f t="shared" si="102"/>
        <v>27.504238087325604</v>
      </c>
      <c r="V218">
        <f t="shared" si="103"/>
        <v>27.504238087325604</v>
      </c>
      <c r="W218">
        <f t="shared" si="104"/>
        <v>3.6865371626204868</v>
      </c>
      <c r="X218">
        <f t="shared" si="105"/>
        <v>65.384317655829364</v>
      </c>
      <c r="Y218">
        <f t="shared" si="106"/>
        <v>2.196892728885</v>
      </c>
      <c r="Z218">
        <f t="shared" si="107"/>
        <v>3.3599688849687572</v>
      </c>
      <c r="AA218">
        <f t="shared" si="108"/>
        <v>1.4896444337354868</v>
      </c>
      <c r="AB218">
        <f t="shared" si="109"/>
        <v>-73.308530719699263</v>
      </c>
      <c r="AC218">
        <f t="shared" si="110"/>
        <v>-184.66584812559648</v>
      </c>
      <c r="AD218">
        <f t="shared" si="111"/>
        <v>-18.28393875418293</v>
      </c>
      <c r="AE218">
        <f t="shared" si="112"/>
        <v>-0.14395474868331348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52361.493673585719</v>
      </c>
      <c r="AK218">
        <f t="shared" si="116"/>
        <v>1799.99</v>
      </c>
      <c r="AL218">
        <f t="shared" si="117"/>
        <v>1499.10314240294</v>
      </c>
      <c r="AM218">
        <f t="shared" si="118"/>
        <v>0.83283970600000001</v>
      </c>
      <c r="AN218">
        <f t="shared" si="119"/>
        <v>0.15339772046</v>
      </c>
      <c r="AO218">
        <v>31.5</v>
      </c>
      <c r="AP218">
        <v>0.5</v>
      </c>
      <c r="AQ218" t="s">
        <v>331</v>
      </c>
      <c r="AR218">
        <v>2</v>
      </c>
      <c r="AS218">
        <v>1690231705</v>
      </c>
      <c r="AT218">
        <v>520.12599999999998</v>
      </c>
      <c r="AU218">
        <v>800.12900000000002</v>
      </c>
      <c r="AV218">
        <v>22.161000000000001</v>
      </c>
      <c r="AW218">
        <v>5.10039</v>
      </c>
      <c r="AX218">
        <v>520.13499999999999</v>
      </c>
      <c r="AY218">
        <v>21.982299999999999</v>
      </c>
      <c r="AZ218">
        <v>300.12299999999999</v>
      </c>
      <c r="BA218">
        <v>99.033299999999997</v>
      </c>
      <c r="BB218">
        <v>9.9985000000000004E-2</v>
      </c>
      <c r="BC218">
        <v>25.9283</v>
      </c>
      <c r="BD218">
        <v>26.988299999999999</v>
      </c>
      <c r="BE218">
        <v>27.550899999999999</v>
      </c>
      <c r="BF218">
        <v>0</v>
      </c>
      <c r="BG218">
        <v>0</v>
      </c>
      <c r="BH218">
        <v>9961.8799999999992</v>
      </c>
      <c r="BI218">
        <v>1066.83</v>
      </c>
      <c r="BJ218">
        <v>1.1773899999999999</v>
      </c>
      <c r="BK218">
        <v>-280.00200000000001</v>
      </c>
      <c r="BL218">
        <v>531.91399999999999</v>
      </c>
      <c r="BM218">
        <v>804.23099999999999</v>
      </c>
      <c r="BN218">
        <v>17.060600000000001</v>
      </c>
      <c r="BO218">
        <v>800.12900000000002</v>
      </c>
      <c r="BP218">
        <v>5.10039</v>
      </c>
      <c r="BQ218">
        <v>2.1946699999999999</v>
      </c>
      <c r="BR218">
        <v>0.505108</v>
      </c>
      <c r="BS218">
        <v>18.923500000000001</v>
      </c>
      <c r="BT218">
        <v>-2.6505200000000002</v>
      </c>
      <c r="BU218">
        <v>1799.99</v>
      </c>
      <c r="BV218">
        <v>0.90999200000000002</v>
      </c>
      <c r="BW218">
        <v>3.4004199999999998E-2</v>
      </c>
      <c r="BX218">
        <v>2.2002799999999999E-2</v>
      </c>
      <c r="BY218">
        <v>3.4001400000000001E-2</v>
      </c>
      <c r="BZ218">
        <v>25</v>
      </c>
      <c r="CA218">
        <v>33528.199999999997</v>
      </c>
      <c r="CB218">
        <v>1690229084.0999999</v>
      </c>
      <c r="CC218" t="s">
        <v>332</v>
      </c>
      <c r="CD218">
        <v>1690229084.0999999</v>
      </c>
      <c r="CE218">
        <v>1690229076.5999999</v>
      </c>
      <c r="CF218">
        <v>13</v>
      </c>
      <c r="CG218">
        <v>0.23300000000000001</v>
      </c>
      <c r="CH218">
        <v>-0.13100000000000001</v>
      </c>
      <c r="CI218">
        <v>-0.20599999999999999</v>
      </c>
      <c r="CJ218">
        <v>8.7999999999999995E-2</v>
      </c>
      <c r="CK218">
        <v>799</v>
      </c>
      <c r="CL218">
        <v>16</v>
      </c>
      <c r="CM218">
        <v>0.04</v>
      </c>
      <c r="CN218">
        <v>0.04</v>
      </c>
      <c r="CO218">
        <v>-279.86262499999998</v>
      </c>
      <c r="CP218">
        <v>-0.35188367729746778</v>
      </c>
      <c r="CQ218">
        <v>6.8651543136333301E-2</v>
      </c>
      <c r="CR218">
        <v>-1</v>
      </c>
      <c r="CS218">
        <v>17.046512499999999</v>
      </c>
      <c r="CT218">
        <v>7.1307692307648968E-2</v>
      </c>
      <c r="CU218">
        <v>1.408284750148189E-2</v>
      </c>
      <c r="CV218">
        <v>-1</v>
      </c>
      <c r="CW218">
        <v>0</v>
      </c>
      <c r="CX218">
        <v>0</v>
      </c>
      <c r="CY218" t="s">
        <v>333</v>
      </c>
      <c r="CZ218">
        <v>2.36469</v>
      </c>
      <c r="DA218">
        <v>2.71374</v>
      </c>
      <c r="DB218">
        <v>0.108783</v>
      </c>
      <c r="DC218">
        <v>0.146095</v>
      </c>
      <c r="DD218">
        <v>0.107682</v>
      </c>
      <c r="DE218">
        <v>3.4515400000000002E-2</v>
      </c>
      <c r="DF218">
        <v>32564.9</v>
      </c>
      <c r="DG218">
        <v>27551.3</v>
      </c>
      <c r="DH218">
        <v>31193.200000000001</v>
      </c>
      <c r="DI218">
        <v>28113.9</v>
      </c>
      <c r="DJ218">
        <v>37791.300000000003</v>
      </c>
      <c r="DK218">
        <v>38605.599999999999</v>
      </c>
      <c r="DL218">
        <v>44395.6</v>
      </c>
      <c r="DM218">
        <v>42615.6</v>
      </c>
      <c r="DN218">
        <v>1.48505</v>
      </c>
      <c r="DO218">
        <v>2.0380500000000001</v>
      </c>
      <c r="DP218">
        <v>0.132859</v>
      </c>
      <c r="DQ218">
        <v>0.17968899999999999</v>
      </c>
      <c r="DR218">
        <v>24.811599999999999</v>
      </c>
      <c r="DS218">
        <v>24.607800000000001</v>
      </c>
      <c r="DT218">
        <v>31.7</v>
      </c>
      <c r="DU218">
        <v>29.3</v>
      </c>
      <c r="DV218">
        <v>13.098000000000001</v>
      </c>
      <c r="DW218">
        <v>61.939799999999998</v>
      </c>
      <c r="DX218">
        <v>37.407899999999998</v>
      </c>
      <c r="DY218">
        <v>1</v>
      </c>
      <c r="DZ218">
        <v>-0.11329</v>
      </c>
      <c r="EA218">
        <v>0.169513</v>
      </c>
      <c r="EB218">
        <v>20.189599999999999</v>
      </c>
      <c r="EC218">
        <v>5.2416999999999998</v>
      </c>
      <c r="ED218">
        <v>12.039899999999999</v>
      </c>
      <c r="EE218">
        <v>5.0173500000000004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1.8691800000000001</v>
      </c>
      <c r="EN218">
        <v>1.8672200000000001</v>
      </c>
      <c r="EO218">
        <v>1.86338</v>
      </c>
      <c r="EP218">
        <v>1.8644700000000001</v>
      </c>
      <c r="EQ218">
        <v>1.8701300000000001</v>
      </c>
      <c r="ER218">
        <v>1.86938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-8.9999999999999993E-3</v>
      </c>
      <c r="FG218">
        <v>0.1787</v>
      </c>
      <c r="FH218">
        <v>0.3448811944559278</v>
      </c>
      <c r="FI218">
        <v>-6.1462078757559423E-4</v>
      </c>
      <c r="FJ218">
        <v>-1.8861989874597051E-7</v>
      </c>
      <c r="FK218">
        <v>1.1980462299894961E-10</v>
      </c>
      <c r="FL218">
        <v>0.17862261546663211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43.7</v>
      </c>
      <c r="FU218">
        <v>43.8</v>
      </c>
      <c r="FV218">
        <v>1.7700199999999999</v>
      </c>
      <c r="FW218">
        <v>2.5854499999999998</v>
      </c>
      <c r="FX218">
        <v>1.5490699999999999</v>
      </c>
      <c r="FY218">
        <v>2.32666</v>
      </c>
      <c r="FZ218">
        <v>1.50146</v>
      </c>
      <c r="GA218">
        <v>2.3925800000000002</v>
      </c>
      <c r="GB218">
        <v>33.760599999999997</v>
      </c>
      <c r="GC218">
        <v>23.991199999999999</v>
      </c>
      <c r="GD218">
        <v>19</v>
      </c>
      <c r="GE218">
        <v>285.62099999999998</v>
      </c>
      <c r="GF218">
        <v>581.95699999999999</v>
      </c>
      <c r="GG218">
        <v>23.893799999999999</v>
      </c>
      <c r="GH218">
        <v>25.966999999999999</v>
      </c>
      <c r="GI218">
        <v>30</v>
      </c>
      <c r="GJ218">
        <v>26.1172</v>
      </c>
      <c r="GK218">
        <v>26.1098</v>
      </c>
      <c r="GL218">
        <v>35.390099999999997</v>
      </c>
      <c r="GM218">
        <v>55.213999999999999</v>
      </c>
      <c r="GN218">
        <v>33.351399999999998</v>
      </c>
      <c r="GO218">
        <v>23.889099999999999</v>
      </c>
      <c r="GP218">
        <v>800</v>
      </c>
      <c r="GQ218">
        <v>5.1651499999999997</v>
      </c>
      <c r="GR218">
        <v>99.811099999999996</v>
      </c>
      <c r="GS218">
        <v>99.688400000000001</v>
      </c>
    </row>
    <row r="219" spans="1:201" x14ac:dyDescent="0.25">
      <c r="A219">
        <v>203</v>
      </c>
      <c r="B219">
        <v>1690231715</v>
      </c>
      <c r="C219">
        <v>2209.900000095367</v>
      </c>
      <c r="D219" t="s">
        <v>739</v>
      </c>
      <c r="E219" t="s">
        <v>740</v>
      </c>
      <c r="F219" t="s">
        <v>330</v>
      </c>
      <c r="H219">
        <v>1690231715</v>
      </c>
      <c r="I219">
        <f t="shared" si="90"/>
        <v>1.6634551859000186E-3</v>
      </c>
      <c r="J219">
        <f t="shared" si="91"/>
        <v>1.6634551859000186</v>
      </c>
      <c r="K219">
        <f t="shared" si="92"/>
        <v>25.803489642337873</v>
      </c>
      <c r="L219">
        <f t="shared" si="93"/>
        <v>519.92999999999995</v>
      </c>
      <c r="M219">
        <f t="shared" si="94"/>
        <v>129.02684428688835</v>
      </c>
      <c r="N219">
        <f t="shared" si="95"/>
        <v>12.790934794959337</v>
      </c>
      <c r="O219">
        <f t="shared" si="96"/>
        <v>51.542690706719995</v>
      </c>
      <c r="P219">
        <f t="shared" si="97"/>
        <v>0.11041979611829851</v>
      </c>
      <c r="Q219">
        <f t="shared" si="98"/>
        <v>2.1786859225639645</v>
      </c>
      <c r="R219">
        <f t="shared" si="99"/>
        <v>0.10740237497761684</v>
      </c>
      <c r="S219">
        <f t="shared" si="100"/>
        <v>6.7390719597307774E-2</v>
      </c>
      <c r="T219">
        <f t="shared" si="101"/>
        <v>276.11570073600001</v>
      </c>
      <c r="U219">
        <f t="shared" si="102"/>
        <v>27.503349232299559</v>
      </c>
      <c r="V219">
        <f t="shared" si="103"/>
        <v>27.503349232299559</v>
      </c>
      <c r="W219">
        <f t="shared" si="104"/>
        <v>3.6863454348098346</v>
      </c>
      <c r="X219">
        <f t="shared" si="105"/>
        <v>65.361701055694525</v>
      </c>
      <c r="Y219">
        <f t="shared" si="106"/>
        <v>2.196509910928</v>
      </c>
      <c r="Z219">
        <f t="shared" si="107"/>
        <v>3.3605458172766345</v>
      </c>
      <c r="AA219">
        <f t="shared" si="108"/>
        <v>1.4898355238818346</v>
      </c>
      <c r="AB219">
        <f t="shared" si="109"/>
        <v>-73.358373698190817</v>
      </c>
      <c r="AC219">
        <f t="shared" si="110"/>
        <v>-184.66042832411171</v>
      </c>
      <c r="AD219">
        <f t="shared" si="111"/>
        <v>-18.240163670568048</v>
      </c>
      <c r="AE219">
        <f t="shared" si="112"/>
        <v>-0.14326495687055285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52575.73287271717</v>
      </c>
      <c r="AK219">
        <f t="shared" si="116"/>
        <v>1800</v>
      </c>
      <c r="AL219">
        <f t="shared" si="117"/>
        <v>1499.1106356</v>
      </c>
      <c r="AM219">
        <f t="shared" si="118"/>
        <v>0.83283924200000004</v>
      </c>
      <c r="AN219">
        <f t="shared" si="119"/>
        <v>0.15339761152</v>
      </c>
      <c r="AO219">
        <v>31.5</v>
      </c>
      <c r="AP219">
        <v>0.5</v>
      </c>
      <c r="AQ219" t="s">
        <v>331</v>
      </c>
      <c r="AR219">
        <v>2</v>
      </c>
      <c r="AS219">
        <v>1690231715</v>
      </c>
      <c r="AT219">
        <v>519.92999999999995</v>
      </c>
      <c r="AU219">
        <v>799.82100000000003</v>
      </c>
      <c r="AV219">
        <v>22.157</v>
      </c>
      <c r="AW219">
        <v>5.0854600000000003</v>
      </c>
      <c r="AX219">
        <v>519.93899999999996</v>
      </c>
      <c r="AY219">
        <v>21.978400000000001</v>
      </c>
      <c r="AZ219">
        <v>300.13600000000002</v>
      </c>
      <c r="BA219">
        <v>99.033900000000003</v>
      </c>
      <c r="BB219">
        <v>0.100004</v>
      </c>
      <c r="BC219">
        <v>25.9312</v>
      </c>
      <c r="BD219">
        <v>26.9923</v>
      </c>
      <c r="BE219">
        <v>27.545000000000002</v>
      </c>
      <c r="BF219">
        <v>0</v>
      </c>
      <c r="BG219">
        <v>0</v>
      </c>
      <c r="BH219">
        <v>10004.4</v>
      </c>
      <c r="BI219">
        <v>1066.82</v>
      </c>
      <c r="BJ219">
        <v>1.26149</v>
      </c>
      <c r="BK219">
        <v>-279.89</v>
      </c>
      <c r="BL219">
        <v>531.71199999999999</v>
      </c>
      <c r="BM219">
        <v>803.90899999999999</v>
      </c>
      <c r="BN219">
        <v>17.0716</v>
      </c>
      <c r="BO219">
        <v>799.82100000000003</v>
      </c>
      <c r="BP219">
        <v>5.0854600000000003</v>
      </c>
      <c r="BQ219">
        <v>2.1943000000000001</v>
      </c>
      <c r="BR219">
        <v>0.503633</v>
      </c>
      <c r="BS219">
        <v>18.9207</v>
      </c>
      <c r="BT219">
        <v>-2.6899000000000002</v>
      </c>
      <c r="BU219">
        <v>1800</v>
      </c>
      <c r="BV219">
        <v>0.90999200000000002</v>
      </c>
      <c r="BW219">
        <v>3.4004E-2</v>
      </c>
      <c r="BX219">
        <v>2.2002600000000001E-2</v>
      </c>
      <c r="BY219">
        <v>3.4001200000000002E-2</v>
      </c>
      <c r="BZ219">
        <v>25</v>
      </c>
      <c r="CA219">
        <v>33528.199999999997</v>
      </c>
      <c r="CB219">
        <v>1690229084.0999999</v>
      </c>
      <c r="CC219" t="s">
        <v>332</v>
      </c>
      <c r="CD219">
        <v>1690229084.0999999</v>
      </c>
      <c r="CE219">
        <v>1690229076.5999999</v>
      </c>
      <c r="CF219">
        <v>13</v>
      </c>
      <c r="CG219">
        <v>0.23300000000000001</v>
      </c>
      <c r="CH219">
        <v>-0.13100000000000001</v>
      </c>
      <c r="CI219">
        <v>-0.20599999999999999</v>
      </c>
      <c r="CJ219">
        <v>8.7999999999999995E-2</v>
      </c>
      <c r="CK219">
        <v>799</v>
      </c>
      <c r="CL219">
        <v>16</v>
      </c>
      <c r="CM219">
        <v>0.04</v>
      </c>
      <c r="CN219">
        <v>0.04</v>
      </c>
      <c r="CO219">
        <v>-279.90890243902442</v>
      </c>
      <c r="CP219">
        <v>-0.41107317073172539</v>
      </c>
      <c r="CQ219">
        <v>7.6676006638652996E-2</v>
      </c>
      <c r="CR219">
        <v>-1</v>
      </c>
      <c r="CS219">
        <v>17.064117073170731</v>
      </c>
      <c r="CT219">
        <v>0.12806550522647819</v>
      </c>
      <c r="CU219">
        <v>1.495149723213212E-2</v>
      </c>
      <c r="CV219">
        <v>-1</v>
      </c>
      <c r="CW219">
        <v>0</v>
      </c>
      <c r="CX219">
        <v>0</v>
      </c>
      <c r="CY219" t="s">
        <v>333</v>
      </c>
      <c r="CZ219">
        <v>2.36476</v>
      </c>
      <c r="DA219">
        <v>2.7138</v>
      </c>
      <c r="DB219">
        <v>0.108754</v>
      </c>
      <c r="DC219">
        <v>0.14605899999999999</v>
      </c>
      <c r="DD219">
        <v>0.10767</v>
      </c>
      <c r="DE219">
        <v>3.4431799999999999E-2</v>
      </c>
      <c r="DF219">
        <v>32566.6</v>
      </c>
      <c r="DG219">
        <v>27552.799999999999</v>
      </c>
      <c r="DH219">
        <v>31193.7</v>
      </c>
      <c r="DI219">
        <v>28114.2</v>
      </c>
      <c r="DJ219">
        <v>37792.699999999997</v>
      </c>
      <c r="DK219">
        <v>38609.4</v>
      </c>
      <c r="DL219">
        <v>44396.6</v>
      </c>
      <c r="DM219">
        <v>42616.1</v>
      </c>
      <c r="DN219">
        <v>1.4851799999999999</v>
      </c>
      <c r="DO219">
        <v>2.0381999999999998</v>
      </c>
      <c r="DP219">
        <v>0.133105</v>
      </c>
      <c r="DQ219">
        <v>0.17933199999999999</v>
      </c>
      <c r="DR219">
        <v>24.811599999999999</v>
      </c>
      <c r="DS219">
        <v>24.607800000000001</v>
      </c>
      <c r="DT219">
        <v>31.4</v>
      </c>
      <c r="DU219">
        <v>29.3</v>
      </c>
      <c r="DV219">
        <v>12.974600000000001</v>
      </c>
      <c r="DW219">
        <v>61.779800000000002</v>
      </c>
      <c r="DX219">
        <v>37.540100000000002</v>
      </c>
      <c r="DY219">
        <v>1</v>
      </c>
      <c r="DZ219">
        <v>-0.113361</v>
      </c>
      <c r="EA219">
        <v>0.22894100000000001</v>
      </c>
      <c r="EB219">
        <v>20.189499999999999</v>
      </c>
      <c r="EC219">
        <v>5.2415500000000002</v>
      </c>
      <c r="ED219">
        <v>12.039899999999999</v>
      </c>
      <c r="EE219">
        <v>5.0172999999999996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1.8646199999999999</v>
      </c>
      <c r="EM219">
        <v>1.86917</v>
      </c>
      <c r="EN219">
        <v>1.8672200000000001</v>
      </c>
      <c r="EO219">
        <v>1.8633599999999999</v>
      </c>
      <c r="EP219">
        <v>1.8644700000000001</v>
      </c>
      <c r="EQ219">
        <v>1.8701300000000001</v>
      </c>
      <c r="ER219">
        <v>1.86938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-8.9999999999999993E-3</v>
      </c>
      <c r="FG219">
        <v>0.17860000000000001</v>
      </c>
      <c r="FH219">
        <v>0.3448811944559278</v>
      </c>
      <c r="FI219">
        <v>-6.1462078757559423E-4</v>
      </c>
      <c r="FJ219">
        <v>-1.8861989874597051E-7</v>
      </c>
      <c r="FK219">
        <v>1.1980462299894961E-10</v>
      </c>
      <c r="FL219">
        <v>0.17862261546663211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43.8</v>
      </c>
      <c r="FU219">
        <v>44</v>
      </c>
      <c r="FV219">
        <v>1.7712399999999999</v>
      </c>
      <c r="FW219">
        <v>2.5891099999999998</v>
      </c>
      <c r="FX219">
        <v>1.5490699999999999</v>
      </c>
      <c r="FY219">
        <v>2.32666</v>
      </c>
      <c r="FZ219">
        <v>1.50146</v>
      </c>
      <c r="GA219">
        <v>2.36938</v>
      </c>
      <c r="GB219">
        <v>33.760599999999997</v>
      </c>
      <c r="GC219">
        <v>23.982399999999998</v>
      </c>
      <c r="GD219">
        <v>19</v>
      </c>
      <c r="GE219">
        <v>285.66500000000002</v>
      </c>
      <c r="GF219">
        <v>582.04600000000005</v>
      </c>
      <c r="GG219">
        <v>23.8917</v>
      </c>
      <c r="GH219">
        <v>25.9648</v>
      </c>
      <c r="GI219">
        <v>30</v>
      </c>
      <c r="GJ219">
        <v>26.114899999999999</v>
      </c>
      <c r="GK219">
        <v>26.1069</v>
      </c>
      <c r="GL219">
        <v>35.398200000000003</v>
      </c>
      <c r="GM219">
        <v>54.937899999999999</v>
      </c>
      <c r="GN219">
        <v>32.9709</v>
      </c>
      <c r="GO219">
        <v>23.8993</v>
      </c>
      <c r="GP219">
        <v>800</v>
      </c>
      <c r="GQ219">
        <v>5.1502499999999998</v>
      </c>
      <c r="GR219">
        <v>99.813199999999995</v>
      </c>
      <c r="GS219">
        <v>99.689499999999995</v>
      </c>
    </row>
    <row r="220" spans="1:201" x14ac:dyDescent="0.25">
      <c r="A220">
        <v>204</v>
      </c>
      <c r="B220">
        <v>1690231725</v>
      </c>
      <c r="C220">
        <v>2219.900000095367</v>
      </c>
      <c r="D220" t="s">
        <v>741</v>
      </c>
      <c r="E220" t="s">
        <v>742</v>
      </c>
      <c r="F220" t="s">
        <v>330</v>
      </c>
      <c r="H220">
        <v>1690231725</v>
      </c>
      <c r="I220">
        <f t="shared" si="90"/>
        <v>1.6632974023533227E-3</v>
      </c>
      <c r="J220">
        <f t="shared" si="91"/>
        <v>1.6632974023533227</v>
      </c>
      <c r="K220">
        <f t="shared" si="92"/>
        <v>25.812596390726178</v>
      </c>
      <c r="L220">
        <f t="shared" si="93"/>
        <v>519.89700000000005</v>
      </c>
      <c r="M220">
        <f t="shared" si="94"/>
        <v>128.81974999579234</v>
      </c>
      <c r="N220">
        <f t="shared" si="95"/>
        <v>12.770140829247035</v>
      </c>
      <c r="O220">
        <f t="shared" si="96"/>
        <v>51.538354226893802</v>
      </c>
      <c r="P220">
        <f t="shared" si="97"/>
        <v>0.11040693902190203</v>
      </c>
      <c r="Q220">
        <f t="shared" si="98"/>
        <v>2.1791101088296578</v>
      </c>
      <c r="R220">
        <f t="shared" si="99"/>
        <v>0.10739078015265596</v>
      </c>
      <c r="S220">
        <f t="shared" si="100"/>
        <v>6.738336436856962E-2</v>
      </c>
      <c r="T220">
        <f t="shared" si="101"/>
        <v>276.11593541999997</v>
      </c>
      <c r="U220">
        <f t="shared" si="102"/>
        <v>27.501728241166493</v>
      </c>
      <c r="V220">
        <f t="shared" si="103"/>
        <v>27.501728241166493</v>
      </c>
      <c r="W220">
        <f t="shared" si="104"/>
        <v>3.6859958061783811</v>
      </c>
      <c r="X220">
        <f t="shared" si="105"/>
        <v>65.35691766983075</v>
      </c>
      <c r="Y220">
        <f t="shared" si="106"/>
        <v>2.1961671245315997</v>
      </c>
      <c r="Z220">
        <f t="shared" si="107"/>
        <v>3.3602672874295707</v>
      </c>
      <c r="AA220">
        <f t="shared" si="108"/>
        <v>1.4898286816467814</v>
      </c>
      <c r="AB220">
        <f t="shared" si="109"/>
        <v>-73.351415443781534</v>
      </c>
      <c r="AC220">
        <f t="shared" si="110"/>
        <v>-184.67041930133945</v>
      </c>
      <c r="AD220">
        <f t="shared" si="111"/>
        <v>-18.237323948426418</v>
      </c>
      <c r="AE220">
        <f t="shared" si="112"/>
        <v>-0.14322327354744857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52593.563688926588</v>
      </c>
      <c r="AK220">
        <f t="shared" si="116"/>
        <v>1800</v>
      </c>
      <c r="AL220">
        <f t="shared" si="117"/>
        <v>1499.1113159999998</v>
      </c>
      <c r="AM220">
        <f t="shared" si="118"/>
        <v>0.83283961999999989</v>
      </c>
      <c r="AN220">
        <f t="shared" si="119"/>
        <v>0.1533977419</v>
      </c>
      <c r="AO220">
        <v>31.5</v>
      </c>
      <c r="AP220">
        <v>0.5</v>
      </c>
      <c r="AQ220" t="s">
        <v>331</v>
      </c>
      <c r="AR220">
        <v>2</v>
      </c>
      <c r="AS220">
        <v>1690231725</v>
      </c>
      <c r="AT220">
        <v>519.89700000000005</v>
      </c>
      <c r="AU220">
        <v>799.89800000000002</v>
      </c>
      <c r="AV220">
        <v>22.154</v>
      </c>
      <c r="AW220">
        <v>5.0830599999999997</v>
      </c>
      <c r="AX220">
        <v>519.90599999999995</v>
      </c>
      <c r="AY220">
        <v>21.9754</v>
      </c>
      <c r="AZ220">
        <v>300.11900000000003</v>
      </c>
      <c r="BA220">
        <v>99.031899999999993</v>
      </c>
      <c r="BB220">
        <v>9.99554E-2</v>
      </c>
      <c r="BC220">
        <v>25.9298</v>
      </c>
      <c r="BD220">
        <v>27.017900000000001</v>
      </c>
      <c r="BE220">
        <v>27.581399999999999</v>
      </c>
      <c r="BF220">
        <v>0</v>
      </c>
      <c r="BG220">
        <v>0</v>
      </c>
      <c r="BH220">
        <v>10008.1</v>
      </c>
      <c r="BI220">
        <v>1066.9100000000001</v>
      </c>
      <c r="BJ220">
        <v>1.2755000000000001</v>
      </c>
      <c r="BK220">
        <v>-280.00200000000001</v>
      </c>
      <c r="BL220">
        <v>531.67600000000004</v>
      </c>
      <c r="BM220">
        <v>803.98500000000001</v>
      </c>
      <c r="BN220">
        <v>17.071000000000002</v>
      </c>
      <c r="BO220">
        <v>799.89800000000002</v>
      </c>
      <c r="BP220">
        <v>5.0830599999999997</v>
      </c>
      <c r="BQ220">
        <v>2.1939600000000001</v>
      </c>
      <c r="BR220">
        <v>0.50338400000000005</v>
      </c>
      <c r="BS220">
        <v>18.918299999999999</v>
      </c>
      <c r="BT220">
        <v>-2.6965499999999998</v>
      </c>
      <c r="BU220">
        <v>1800</v>
      </c>
      <c r="BV220">
        <v>0.90999099999999999</v>
      </c>
      <c r="BW220">
        <v>3.4004600000000003E-2</v>
      </c>
      <c r="BX220">
        <v>2.2003000000000002E-2</v>
      </c>
      <c r="BY220">
        <v>3.4001799999999999E-2</v>
      </c>
      <c r="BZ220">
        <v>25</v>
      </c>
      <c r="CA220">
        <v>33528.199999999997</v>
      </c>
      <c r="CB220">
        <v>1690229084.0999999</v>
      </c>
      <c r="CC220" t="s">
        <v>332</v>
      </c>
      <c r="CD220">
        <v>1690229084.0999999</v>
      </c>
      <c r="CE220">
        <v>1690229076.5999999</v>
      </c>
      <c r="CF220">
        <v>13</v>
      </c>
      <c r="CG220">
        <v>0.23300000000000001</v>
      </c>
      <c r="CH220">
        <v>-0.13100000000000001</v>
      </c>
      <c r="CI220">
        <v>-0.20599999999999999</v>
      </c>
      <c r="CJ220">
        <v>8.7999999999999995E-2</v>
      </c>
      <c r="CK220">
        <v>799</v>
      </c>
      <c r="CL220">
        <v>16</v>
      </c>
      <c r="CM220">
        <v>0.04</v>
      </c>
      <c r="CN220">
        <v>0.04</v>
      </c>
      <c r="CO220">
        <v>-280.01732500000003</v>
      </c>
      <c r="CP220">
        <v>-0.90093433395872236</v>
      </c>
      <c r="CQ220">
        <v>0.1176266099783503</v>
      </c>
      <c r="CR220">
        <v>-1</v>
      </c>
      <c r="CS220">
        <v>17.076685000000001</v>
      </c>
      <c r="CT220">
        <v>3.5986491557175433E-2</v>
      </c>
      <c r="CU220">
        <v>8.6731640708565816E-3</v>
      </c>
      <c r="CV220">
        <v>-1</v>
      </c>
      <c r="CW220">
        <v>0</v>
      </c>
      <c r="CX220">
        <v>0</v>
      </c>
      <c r="CY220" t="s">
        <v>333</v>
      </c>
      <c r="CZ220">
        <v>2.3647200000000002</v>
      </c>
      <c r="DA220">
        <v>2.7137500000000001</v>
      </c>
      <c r="DB220">
        <v>0.108747</v>
      </c>
      <c r="DC220">
        <v>0.146067</v>
      </c>
      <c r="DD220">
        <v>0.107658</v>
      </c>
      <c r="DE220">
        <v>3.4417799999999998E-2</v>
      </c>
      <c r="DF220">
        <v>32566.799999999999</v>
      </c>
      <c r="DG220">
        <v>27552.6</v>
      </c>
      <c r="DH220">
        <v>31193.8</v>
      </c>
      <c r="DI220">
        <v>28114.2</v>
      </c>
      <c r="DJ220">
        <v>37793.199999999997</v>
      </c>
      <c r="DK220">
        <v>38609.9</v>
      </c>
      <c r="DL220">
        <v>44396.6</v>
      </c>
      <c r="DM220">
        <v>42616</v>
      </c>
      <c r="DN220">
        <v>1.4850000000000001</v>
      </c>
      <c r="DO220">
        <v>2.0382199999999999</v>
      </c>
      <c r="DP220">
        <v>0.13466600000000001</v>
      </c>
      <c r="DQ220">
        <v>0.18143300000000001</v>
      </c>
      <c r="DR220">
        <v>24.811599999999999</v>
      </c>
      <c r="DS220">
        <v>24.6099</v>
      </c>
      <c r="DT220">
        <v>31.2</v>
      </c>
      <c r="DU220">
        <v>29.3</v>
      </c>
      <c r="DV220">
        <v>12.8941</v>
      </c>
      <c r="DW220">
        <v>61.709800000000001</v>
      </c>
      <c r="DX220">
        <v>37.596200000000003</v>
      </c>
      <c r="DY220">
        <v>1</v>
      </c>
      <c r="DZ220">
        <v>-0.113702</v>
      </c>
      <c r="EA220">
        <v>0.236757</v>
      </c>
      <c r="EB220">
        <v>20.189399999999999</v>
      </c>
      <c r="EC220">
        <v>5.2416999999999998</v>
      </c>
      <c r="ED220">
        <v>12.039899999999999</v>
      </c>
      <c r="EE220">
        <v>5.0175000000000001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1.8691899999999999</v>
      </c>
      <c r="EN220">
        <v>1.8672200000000001</v>
      </c>
      <c r="EO220">
        <v>1.8633900000000001</v>
      </c>
      <c r="EP220">
        <v>1.8644700000000001</v>
      </c>
      <c r="EQ220">
        <v>1.8701300000000001</v>
      </c>
      <c r="ER220">
        <v>1.8693500000000001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-8.9999999999999993E-3</v>
      </c>
      <c r="FG220">
        <v>0.17860000000000001</v>
      </c>
      <c r="FH220">
        <v>0.3448811944559278</v>
      </c>
      <c r="FI220">
        <v>-6.1462078757559423E-4</v>
      </c>
      <c r="FJ220">
        <v>-1.8861989874597051E-7</v>
      </c>
      <c r="FK220">
        <v>1.1980462299894961E-10</v>
      </c>
      <c r="FL220">
        <v>0.17862261546663211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44</v>
      </c>
      <c r="FU220">
        <v>44.1</v>
      </c>
      <c r="FV220">
        <v>1.7700199999999999</v>
      </c>
      <c r="FW220">
        <v>2.5903299999999998</v>
      </c>
      <c r="FX220">
        <v>1.5490699999999999</v>
      </c>
      <c r="FY220">
        <v>2.32666</v>
      </c>
      <c r="FZ220">
        <v>1.50146</v>
      </c>
      <c r="GA220">
        <v>2.3864700000000001</v>
      </c>
      <c r="GB220">
        <v>33.760599999999997</v>
      </c>
      <c r="GC220">
        <v>23.982399999999998</v>
      </c>
      <c r="GD220">
        <v>19</v>
      </c>
      <c r="GE220">
        <v>285.57900000000001</v>
      </c>
      <c r="GF220">
        <v>582.04200000000003</v>
      </c>
      <c r="GG220">
        <v>23.896899999999999</v>
      </c>
      <c r="GH220">
        <v>25.962599999999998</v>
      </c>
      <c r="GI220">
        <v>30.0001</v>
      </c>
      <c r="GJ220">
        <v>26.1126</v>
      </c>
      <c r="GK220">
        <v>26.104700000000001</v>
      </c>
      <c r="GL220">
        <v>35.397500000000001</v>
      </c>
      <c r="GM220">
        <v>54.625300000000003</v>
      </c>
      <c r="GN220">
        <v>32.597099999999998</v>
      </c>
      <c r="GO220">
        <v>23.8916</v>
      </c>
      <c r="GP220">
        <v>800</v>
      </c>
      <c r="GQ220">
        <v>5.1370399999999998</v>
      </c>
      <c r="GR220">
        <v>99.813199999999995</v>
      </c>
      <c r="GS220">
        <v>99.689400000000006</v>
      </c>
    </row>
    <row r="221" spans="1:201" x14ac:dyDescent="0.25">
      <c r="A221">
        <v>205</v>
      </c>
      <c r="B221">
        <v>1690231735</v>
      </c>
      <c r="C221">
        <v>2229.900000095367</v>
      </c>
      <c r="D221" t="s">
        <v>743</v>
      </c>
      <c r="E221" t="s">
        <v>744</v>
      </c>
      <c r="F221" t="s">
        <v>330</v>
      </c>
      <c r="H221">
        <v>1690231735</v>
      </c>
      <c r="I221">
        <f t="shared" si="90"/>
        <v>1.66346218523355E-3</v>
      </c>
      <c r="J221">
        <f t="shared" si="91"/>
        <v>1.6634621852335501</v>
      </c>
      <c r="K221">
        <f t="shared" si="92"/>
        <v>25.841023072014767</v>
      </c>
      <c r="L221">
        <f t="shared" si="93"/>
        <v>519.76900000000001</v>
      </c>
      <c r="M221">
        <f t="shared" si="94"/>
        <v>127.72751292184157</v>
      </c>
      <c r="N221">
        <f t="shared" si="95"/>
        <v>12.661602567757294</v>
      </c>
      <c r="O221">
        <f t="shared" si="96"/>
        <v>51.524596028638896</v>
      </c>
      <c r="P221">
        <f t="shared" si="97"/>
        <v>0.11024856396525662</v>
      </c>
      <c r="Q221">
        <f t="shared" si="98"/>
        <v>2.1773433683614054</v>
      </c>
      <c r="R221">
        <f t="shared" si="99"/>
        <v>0.10723855641840348</v>
      </c>
      <c r="S221">
        <f t="shared" si="100"/>
        <v>6.7287690011526E-2</v>
      </c>
      <c r="T221">
        <f t="shared" si="101"/>
        <v>276.11416675988482</v>
      </c>
      <c r="U221">
        <f t="shared" si="102"/>
        <v>27.512006759867088</v>
      </c>
      <c r="V221">
        <f t="shared" si="103"/>
        <v>27.512006759867088</v>
      </c>
      <c r="W221">
        <f t="shared" si="104"/>
        <v>3.6882132513004611</v>
      </c>
      <c r="X221">
        <f t="shared" si="105"/>
        <v>65.321448538444145</v>
      </c>
      <c r="Y221">
        <f t="shared" si="106"/>
        <v>2.1961711120064495</v>
      </c>
      <c r="Z221">
        <f t="shared" si="107"/>
        <v>3.3620979955977548</v>
      </c>
      <c r="AA221">
        <f t="shared" si="108"/>
        <v>1.4920421392940115</v>
      </c>
      <c r="AB221">
        <f t="shared" si="109"/>
        <v>-73.358682368799549</v>
      </c>
      <c r="AC221">
        <f t="shared" si="110"/>
        <v>-184.64729732349574</v>
      </c>
      <c r="AD221">
        <f t="shared" si="111"/>
        <v>-18.251616100209095</v>
      </c>
      <c r="AE221">
        <f t="shared" si="112"/>
        <v>-0.14342903261956508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52518.504738713833</v>
      </c>
      <c r="AK221">
        <f t="shared" si="116"/>
        <v>1799.99</v>
      </c>
      <c r="AL221">
        <f t="shared" si="117"/>
        <v>1499.10230720758</v>
      </c>
      <c r="AM221">
        <f t="shared" si="118"/>
        <v>0.83283924200000004</v>
      </c>
      <c r="AN221">
        <f t="shared" si="119"/>
        <v>0.15339761152</v>
      </c>
      <c r="AO221">
        <v>31.5</v>
      </c>
      <c r="AP221">
        <v>0.5</v>
      </c>
      <c r="AQ221" t="s">
        <v>331</v>
      </c>
      <c r="AR221">
        <v>2</v>
      </c>
      <c r="AS221">
        <v>1690231735</v>
      </c>
      <c r="AT221">
        <v>519.76900000000001</v>
      </c>
      <c r="AU221">
        <v>800.01099999999997</v>
      </c>
      <c r="AV221">
        <v>22.154499999999999</v>
      </c>
      <c r="AW221">
        <v>5.0852899999999996</v>
      </c>
      <c r="AX221">
        <v>519.77800000000002</v>
      </c>
      <c r="AY221">
        <v>21.975899999999999</v>
      </c>
      <c r="AZ221">
        <v>300.17899999999997</v>
      </c>
      <c r="BA221">
        <v>99.029799999999994</v>
      </c>
      <c r="BB221">
        <v>9.9998100000000006E-2</v>
      </c>
      <c r="BC221">
        <v>25.939</v>
      </c>
      <c r="BD221">
        <v>26.988099999999999</v>
      </c>
      <c r="BE221">
        <v>27.567299999999999</v>
      </c>
      <c r="BF221">
        <v>0</v>
      </c>
      <c r="BG221">
        <v>0</v>
      </c>
      <c r="BH221">
        <v>9993.75</v>
      </c>
      <c r="BI221">
        <v>1066.8699999999999</v>
      </c>
      <c r="BJ221">
        <v>1.28952</v>
      </c>
      <c r="BK221">
        <v>-280.24200000000002</v>
      </c>
      <c r="BL221">
        <v>531.54600000000005</v>
      </c>
      <c r="BM221">
        <v>804.1</v>
      </c>
      <c r="BN221">
        <v>17.069199999999999</v>
      </c>
      <c r="BO221">
        <v>800.01099999999997</v>
      </c>
      <c r="BP221">
        <v>5.0852899999999996</v>
      </c>
      <c r="BQ221">
        <v>2.1939500000000001</v>
      </c>
      <c r="BR221">
        <v>0.50359500000000001</v>
      </c>
      <c r="BS221">
        <v>18.918199999999999</v>
      </c>
      <c r="BT221">
        <v>-2.6909100000000001</v>
      </c>
      <c r="BU221">
        <v>1799.99</v>
      </c>
      <c r="BV221">
        <v>0.90999200000000002</v>
      </c>
      <c r="BW221">
        <v>3.4004E-2</v>
      </c>
      <c r="BX221">
        <v>2.2002600000000001E-2</v>
      </c>
      <c r="BY221">
        <v>3.4001200000000002E-2</v>
      </c>
      <c r="BZ221">
        <v>25</v>
      </c>
      <c r="CA221">
        <v>33528.199999999997</v>
      </c>
      <c r="CB221">
        <v>1690229084.0999999</v>
      </c>
      <c r="CC221" t="s">
        <v>332</v>
      </c>
      <c r="CD221">
        <v>1690229084.0999999</v>
      </c>
      <c r="CE221">
        <v>1690229076.5999999</v>
      </c>
      <c r="CF221">
        <v>13</v>
      </c>
      <c r="CG221">
        <v>0.23300000000000001</v>
      </c>
      <c r="CH221">
        <v>-0.13100000000000001</v>
      </c>
      <c r="CI221">
        <v>-0.20599999999999999</v>
      </c>
      <c r="CJ221">
        <v>8.7999999999999995E-2</v>
      </c>
      <c r="CK221">
        <v>799</v>
      </c>
      <c r="CL221">
        <v>16</v>
      </c>
      <c r="CM221">
        <v>0.04</v>
      </c>
      <c r="CN221">
        <v>0.04</v>
      </c>
      <c r="CO221">
        <v>-280.11970000000002</v>
      </c>
      <c r="CP221">
        <v>-0.65797373358360822</v>
      </c>
      <c r="CQ221">
        <v>0.1069495675540556</v>
      </c>
      <c r="CR221">
        <v>-1</v>
      </c>
      <c r="CS221">
        <v>17.0798375</v>
      </c>
      <c r="CT221">
        <v>6.347842401468397E-3</v>
      </c>
      <c r="CU221">
        <v>8.1181182394689123E-3</v>
      </c>
      <c r="CV221">
        <v>-1</v>
      </c>
      <c r="CW221">
        <v>0</v>
      </c>
      <c r="CX221">
        <v>0</v>
      </c>
      <c r="CY221" t="s">
        <v>333</v>
      </c>
      <c r="CZ221">
        <v>2.3649</v>
      </c>
      <c r="DA221">
        <v>2.7137799999999999</v>
      </c>
      <c r="DB221">
        <v>0.108726</v>
      </c>
      <c r="DC221">
        <v>0.14607800000000001</v>
      </c>
      <c r="DD221">
        <v>0.107658</v>
      </c>
      <c r="DE221">
        <v>3.4429899999999999E-2</v>
      </c>
      <c r="DF221">
        <v>32567.599999999999</v>
      </c>
      <c r="DG221">
        <v>27552.7</v>
      </c>
      <c r="DH221">
        <v>31193.7</v>
      </c>
      <c r="DI221">
        <v>28114.7</v>
      </c>
      <c r="DJ221">
        <v>37793</v>
      </c>
      <c r="DK221">
        <v>38610</v>
      </c>
      <c r="DL221">
        <v>44396.3</v>
      </c>
      <c r="DM221">
        <v>42616.6</v>
      </c>
      <c r="DN221">
        <v>1.4851000000000001</v>
      </c>
      <c r="DO221">
        <v>2.0379299999999998</v>
      </c>
      <c r="DP221">
        <v>0.13284799999999999</v>
      </c>
      <c r="DQ221">
        <v>0.18035999999999999</v>
      </c>
      <c r="DR221">
        <v>24.811599999999999</v>
      </c>
      <c r="DS221">
        <v>24.613199999999999</v>
      </c>
      <c r="DT221">
        <v>31</v>
      </c>
      <c r="DU221">
        <v>29.3</v>
      </c>
      <c r="DV221">
        <v>12.809100000000001</v>
      </c>
      <c r="DW221">
        <v>61.6098</v>
      </c>
      <c r="DX221">
        <v>37.515999999999998</v>
      </c>
      <c r="DY221">
        <v>1</v>
      </c>
      <c r="DZ221">
        <v>-0.11358500000000001</v>
      </c>
      <c r="EA221">
        <v>0.28329799999999999</v>
      </c>
      <c r="EB221">
        <v>20.189399999999999</v>
      </c>
      <c r="EC221">
        <v>5.2416999999999998</v>
      </c>
      <c r="ED221">
        <v>12.039899999999999</v>
      </c>
      <c r="EE221">
        <v>5.0170500000000002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1.8691899999999999</v>
      </c>
      <c r="EN221">
        <v>1.8672200000000001</v>
      </c>
      <c r="EO221">
        <v>1.86338</v>
      </c>
      <c r="EP221">
        <v>1.8644700000000001</v>
      </c>
      <c r="EQ221">
        <v>1.87012</v>
      </c>
      <c r="ER221">
        <v>1.86937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-8.9999999999999993E-3</v>
      </c>
      <c r="FG221">
        <v>0.17860000000000001</v>
      </c>
      <c r="FH221">
        <v>0.3448811944559278</v>
      </c>
      <c r="FI221">
        <v>-6.1462078757559423E-4</v>
      </c>
      <c r="FJ221">
        <v>-1.8861989874597051E-7</v>
      </c>
      <c r="FK221">
        <v>1.1980462299894961E-10</v>
      </c>
      <c r="FL221">
        <v>0.17862261546663211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44.2</v>
      </c>
      <c r="FU221">
        <v>44.3</v>
      </c>
      <c r="FV221">
        <v>1.7700199999999999</v>
      </c>
      <c r="FW221">
        <v>2.5866699999999998</v>
      </c>
      <c r="FX221">
        <v>1.5490699999999999</v>
      </c>
      <c r="FY221">
        <v>2.32666</v>
      </c>
      <c r="FZ221">
        <v>1.50146</v>
      </c>
      <c r="GA221">
        <v>2.35229</v>
      </c>
      <c r="GB221">
        <v>33.760599999999997</v>
      </c>
      <c r="GC221">
        <v>23.982399999999998</v>
      </c>
      <c r="GD221">
        <v>19</v>
      </c>
      <c r="GE221">
        <v>285.613</v>
      </c>
      <c r="GF221">
        <v>581.77</v>
      </c>
      <c r="GG221">
        <v>23.884599999999999</v>
      </c>
      <c r="GH221">
        <v>25.9604</v>
      </c>
      <c r="GI221">
        <v>30.0002</v>
      </c>
      <c r="GJ221">
        <v>26.110399999999998</v>
      </c>
      <c r="GK221">
        <v>26.102499999999999</v>
      </c>
      <c r="GL221">
        <v>35.392299999999999</v>
      </c>
      <c r="GM221">
        <v>54.337699999999998</v>
      </c>
      <c r="GN221">
        <v>32.209400000000002</v>
      </c>
      <c r="GO221">
        <v>23.889500000000002</v>
      </c>
      <c r="GP221">
        <v>800</v>
      </c>
      <c r="GQ221">
        <v>5.1227299999999998</v>
      </c>
      <c r="GR221">
        <v>99.812799999999996</v>
      </c>
      <c r="GS221">
        <v>99.690899999999999</v>
      </c>
    </row>
    <row r="222" spans="1:201" x14ac:dyDescent="0.25">
      <c r="A222">
        <v>206</v>
      </c>
      <c r="B222">
        <v>1690231745</v>
      </c>
      <c r="C222">
        <v>2239.900000095367</v>
      </c>
      <c r="D222" t="s">
        <v>745</v>
      </c>
      <c r="E222" t="s">
        <v>746</v>
      </c>
      <c r="F222" t="s">
        <v>330</v>
      </c>
      <c r="H222">
        <v>1690231745</v>
      </c>
      <c r="I222">
        <f t="shared" si="90"/>
        <v>1.6661215483199665E-3</v>
      </c>
      <c r="J222">
        <f t="shared" si="91"/>
        <v>1.6661215483199665</v>
      </c>
      <c r="K222">
        <f t="shared" si="92"/>
        <v>25.842367948130455</v>
      </c>
      <c r="L222">
        <f t="shared" si="93"/>
        <v>519.76400000000001</v>
      </c>
      <c r="M222">
        <f t="shared" si="94"/>
        <v>128.67204398899142</v>
      </c>
      <c r="N222">
        <f t="shared" si="95"/>
        <v>12.755345660686899</v>
      </c>
      <c r="O222">
        <f t="shared" si="96"/>
        <v>51.524552470375596</v>
      </c>
      <c r="P222">
        <f t="shared" si="97"/>
        <v>0.11052967257699554</v>
      </c>
      <c r="Q222">
        <f t="shared" si="98"/>
        <v>2.1821232629655212</v>
      </c>
      <c r="R222">
        <f t="shared" si="99"/>
        <v>0.1075109542154976</v>
      </c>
      <c r="S222">
        <f t="shared" si="100"/>
        <v>6.745869909987752E-2</v>
      </c>
      <c r="T222">
        <f t="shared" si="101"/>
        <v>276.11410943020331</v>
      </c>
      <c r="U222">
        <f t="shared" si="102"/>
        <v>27.504264944392155</v>
      </c>
      <c r="V222">
        <f t="shared" si="103"/>
        <v>27.504264944392155</v>
      </c>
      <c r="W222">
        <f t="shared" si="104"/>
        <v>3.686542955879013</v>
      </c>
      <c r="X222">
        <f t="shared" si="105"/>
        <v>65.326894484406665</v>
      </c>
      <c r="Y222">
        <f t="shared" si="106"/>
        <v>2.1958731638532698</v>
      </c>
      <c r="Z222">
        <f t="shared" si="107"/>
        <v>3.3613616278321912</v>
      </c>
      <c r="AA222">
        <f t="shared" si="108"/>
        <v>1.4906697920257432</v>
      </c>
      <c r="AB222">
        <f t="shared" si="109"/>
        <v>-73.475960280910527</v>
      </c>
      <c r="AC222">
        <f t="shared" si="110"/>
        <v>-184.57716142097189</v>
      </c>
      <c r="AD222">
        <f t="shared" si="111"/>
        <v>-18.203675819649302</v>
      </c>
      <c r="AE222">
        <f t="shared" si="112"/>
        <v>-0.14268809132838101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52717.891096343359</v>
      </c>
      <c r="AK222">
        <f t="shared" si="116"/>
        <v>1799.99</v>
      </c>
      <c r="AL222">
        <f t="shared" si="117"/>
        <v>1499.1020462090298</v>
      </c>
      <c r="AM222">
        <f t="shared" si="118"/>
        <v>0.83283909699999992</v>
      </c>
      <c r="AN222">
        <f t="shared" si="119"/>
        <v>0.15339757967000001</v>
      </c>
      <c r="AO222">
        <v>31.5</v>
      </c>
      <c r="AP222">
        <v>0.5</v>
      </c>
      <c r="AQ222" t="s">
        <v>331</v>
      </c>
      <c r="AR222">
        <v>2</v>
      </c>
      <c r="AS222">
        <v>1690231745</v>
      </c>
      <c r="AT222">
        <v>519.76400000000001</v>
      </c>
      <c r="AU222">
        <v>800.04200000000003</v>
      </c>
      <c r="AV222">
        <v>22.151299999999999</v>
      </c>
      <c r="AW222">
        <v>5.0542899999999999</v>
      </c>
      <c r="AX222">
        <v>519.77300000000002</v>
      </c>
      <c r="AY222">
        <v>21.9727</v>
      </c>
      <c r="AZ222">
        <v>300.17099999999999</v>
      </c>
      <c r="BA222">
        <v>99.030699999999996</v>
      </c>
      <c r="BB222">
        <v>9.9967899999999998E-2</v>
      </c>
      <c r="BC222">
        <v>25.935300000000002</v>
      </c>
      <c r="BD222">
        <v>27.042400000000001</v>
      </c>
      <c r="BE222">
        <v>27.5578</v>
      </c>
      <c r="BF222">
        <v>0</v>
      </c>
      <c r="BG222">
        <v>0</v>
      </c>
      <c r="BH222">
        <v>10033.1</v>
      </c>
      <c r="BI222">
        <v>1066.94</v>
      </c>
      <c r="BJ222">
        <v>1.3385800000000001</v>
      </c>
      <c r="BK222">
        <v>-280.27699999999999</v>
      </c>
      <c r="BL222">
        <v>531.53899999999999</v>
      </c>
      <c r="BM222">
        <v>804.10599999999999</v>
      </c>
      <c r="BN222">
        <v>17.097000000000001</v>
      </c>
      <c r="BO222">
        <v>800.04200000000003</v>
      </c>
      <c r="BP222">
        <v>5.0542899999999999</v>
      </c>
      <c r="BQ222">
        <v>2.1936599999999999</v>
      </c>
      <c r="BR222">
        <v>0.50053000000000003</v>
      </c>
      <c r="BS222">
        <v>18.9161</v>
      </c>
      <c r="BT222">
        <v>-2.7730800000000002</v>
      </c>
      <c r="BU222">
        <v>1799.99</v>
      </c>
      <c r="BV222">
        <v>0.90999200000000002</v>
      </c>
      <c r="BW222">
        <v>3.4003899999999997E-2</v>
      </c>
      <c r="BX222">
        <v>2.2002600000000001E-2</v>
      </c>
      <c r="BY222">
        <v>3.4001099999999999E-2</v>
      </c>
      <c r="BZ222">
        <v>25</v>
      </c>
      <c r="CA222">
        <v>33528.199999999997</v>
      </c>
      <c r="CB222">
        <v>1690229084.0999999</v>
      </c>
      <c r="CC222" t="s">
        <v>332</v>
      </c>
      <c r="CD222">
        <v>1690229084.0999999</v>
      </c>
      <c r="CE222">
        <v>1690229076.5999999</v>
      </c>
      <c r="CF222">
        <v>13</v>
      </c>
      <c r="CG222">
        <v>0.23300000000000001</v>
      </c>
      <c r="CH222">
        <v>-0.13100000000000001</v>
      </c>
      <c r="CI222">
        <v>-0.20599999999999999</v>
      </c>
      <c r="CJ222">
        <v>8.7999999999999995E-2</v>
      </c>
      <c r="CK222">
        <v>799</v>
      </c>
      <c r="CL222">
        <v>16</v>
      </c>
      <c r="CM222">
        <v>0.04</v>
      </c>
      <c r="CN222">
        <v>0.04</v>
      </c>
      <c r="CO222">
        <v>-280.23287804878038</v>
      </c>
      <c r="CP222">
        <v>-0.96407665505256379</v>
      </c>
      <c r="CQ222">
        <v>0.1139058650970627</v>
      </c>
      <c r="CR222">
        <v>-1</v>
      </c>
      <c r="CS222">
        <v>17.083056097560981</v>
      </c>
      <c r="CT222">
        <v>5.5837630662052391E-2</v>
      </c>
      <c r="CU222">
        <v>1.0766842705460919E-2</v>
      </c>
      <c r="CV222">
        <v>-1</v>
      </c>
      <c r="CW222">
        <v>0</v>
      </c>
      <c r="CX222">
        <v>0</v>
      </c>
      <c r="CY222" t="s">
        <v>333</v>
      </c>
      <c r="CZ222">
        <v>2.3648899999999999</v>
      </c>
      <c r="DA222">
        <v>2.7137899999999999</v>
      </c>
      <c r="DB222">
        <v>0.108727</v>
      </c>
      <c r="DC222">
        <v>0.14608299999999999</v>
      </c>
      <c r="DD222">
        <v>0.10764799999999999</v>
      </c>
      <c r="DE222">
        <v>3.42557E-2</v>
      </c>
      <c r="DF222">
        <v>32567.9</v>
      </c>
      <c r="DG222">
        <v>27552.7</v>
      </c>
      <c r="DH222">
        <v>31194.1</v>
      </c>
      <c r="DI222">
        <v>28114.9</v>
      </c>
      <c r="DJ222">
        <v>37794</v>
      </c>
      <c r="DK222">
        <v>38617.300000000003</v>
      </c>
      <c r="DL222">
        <v>44397.1</v>
      </c>
      <c r="DM222">
        <v>42616.9</v>
      </c>
      <c r="DN222">
        <v>1.48515</v>
      </c>
      <c r="DO222">
        <v>2.0379299999999998</v>
      </c>
      <c r="DP222">
        <v>0.13603599999999999</v>
      </c>
      <c r="DQ222">
        <v>0.17961099999999999</v>
      </c>
      <c r="DR222">
        <v>24.813700000000001</v>
      </c>
      <c r="DS222">
        <v>24.616099999999999</v>
      </c>
      <c r="DT222">
        <v>30.9</v>
      </c>
      <c r="DU222">
        <v>29.3</v>
      </c>
      <c r="DV222">
        <v>12.770799999999999</v>
      </c>
      <c r="DW222">
        <v>61.329799999999999</v>
      </c>
      <c r="DX222">
        <v>37.439900000000002</v>
      </c>
      <c r="DY222">
        <v>1</v>
      </c>
      <c r="DZ222">
        <v>-0.114256</v>
      </c>
      <c r="EA222">
        <v>0.23402200000000001</v>
      </c>
      <c r="EB222">
        <v>20.189499999999999</v>
      </c>
      <c r="EC222">
        <v>5.2415500000000002</v>
      </c>
      <c r="ED222">
        <v>12.039899999999999</v>
      </c>
      <c r="EE222">
        <v>5.0169499999999996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1.8691899999999999</v>
      </c>
      <c r="EN222">
        <v>1.8672200000000001</v>
      </c>
      <c r="EO222">
        <v>1.86338</v>
      </c>
      <c r="EP222">
        <v>1.8644700000000001</v>
      </c>
      <c r="EQ222">
        <v>1.8701300000000001</v>
      </c>
      <c r="ER222">
        <v>1.86937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-8.9999999999999993E-3</v>
      </c>
      <c r="FG222">
        <v>0.17860000000000001</v>
      </c>
      <c r="FH222">
        <v>0.3448811944559278</v>
      </c>
      <c r="FI222">
        <v>-6.1462078757559423E-4</v>
      </c>
      <c r="FJ222">
        <v>-1.8861989874597051E-7</v>
      </c>
      <c r="FK222">
        <v>1.1980462299894961E-10</v>
      </c>
      <c r="FL222">
        <v>0.17862261546663211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44.3</v>
      </c>
      <c r="FU222">
        <v>44.5</v>
      </c>
      <c r="FV222">
        <v>1.7700199999999999</v>
      </c>
      <c r="FW222">
        <v>2.5891099999999998</v>
      </c>
      <c r="FX222">
        <v>1.5490699999999999</v>
      </c>
      <c r="FY222">
        <v>2.32544</v>
      </c>
      <c r="FZ222">
        <v>1.50146</v>
      </c>
      <c r="GA222">
        <v>2.34619</v>
      </c>
      <c r="GB222">
        <v>33.760599999999997</v>
      </c>
      <c r="GC222">
        <v>23.982399999999998</v>
      </c>
      <c r="GD222">
        <v>19</v>
      </c>
      <c r="GE222">
        <v>285.62400000000002</v>
      </c>
      <c r="GF222">
        <v>581.745</v>
      </c>
      <c r="GG222">
        <v>23.886199999999999</v>
      </c>
      <c r="GH222">
        <v>25.958400000000001</v>
      </c>
      <c r="GI222">
        <v>29.999400000000001</v>
      </c>
      <c r="GJ222">
        <v>26.1082</v>
      </c>
      <c r="GK222">
        <v>26.100300000000001</v>
      </c>
      <c r="GL222">
        <v>35.3902</v>
      </c>
      <c r="GM222">
        <v>54.337699999999998</v>
      </c>
      <c r="GN222">
        <v>31.829899999999999</v>
      </c>
      <c r="GO222">
        <v>23.852699999999999</v>
      </c>
      <c r="GP222">
        <v>800</v>
      </c>
      <c r="GQ222">
        <v>5.1089900000000004</v>
      </c>
      <c r="GR222">
        <v>99.814300000000003</v>
      </c>
      <c r="GS222">
        <v>99.691699999999997</v>
      </c>
    </row>
    <row r="223" spans="1:201" x14ac:dyDescent="0.25">
      <c r="A223">
        <v>207</v>
      </c>
      <c r="B223">
        <v>1690231755</v>
      </c>
      <c r="C223">
        <v>2249.900000095367</v>
      </c>
      <c r="D223" t="s">
        <v>747</v>
      </c>
      <c r="E223" t="s">
        <v>748</v>
      </c>
      <c r="F223" t="s">
        <v>330</v>
      </c>
      <c r="H223">
        <v>1690231755</v>
      </c>
      <c r="I223">
        <f t="shared" si="90"/>
        <v>1.667016337375113E-3</v>
      </c>
      <c r="J223">
        <f t="shared" si="91"/>
        <v>1.667016337375113</v>
      </c>
      <c r="K223">
        <f t="shared" si="92"/>
        <v>25.842031105661572</v>
      </c>
      <c r="L223">
        <f t="shared" si="93"/>
        <v>519.62099999999998</v>
      </c>
      <c r="M223">
        <f t="shared" si="94"/>
        <v>128.26368674441807</v>
      </c>
      <c r="N223">
        <f t="shared" si="95"/>
        <v>12.715087612877095</v>
      </c>
      <c r="O223">
        <f t="shared" si="96"/>
        <v>51.511278898883994</v>
      </c>
      <c r="P223">
        <f t="shared" si="97"/>
        <v>0.11046099306504371</v>
      </c>
      <c r="Q223">
        <f t="shared" si="98"/>
        <v>2.1737283562817344</v>
      </c>
      <c r="R223">
        <f t="shared" si="99"/>
        <v>0.10743466945849471</v>
      </c>
      <c r="S223">
        <f t="shared" si="100"/>
        <v>6.7411665480239594E-2</v>
      </c>
      <c r="T223">
        <f t="shared" si="101"/>
        <v>276.11559244799997</v>
      </c>
      <c r="U223">
        <f t="shared" si="102"/>
        <v>27.510086374478252</v>
      </c>
      <c r="V223">
        <f t="shared" si="103"/>
        <v>27.510086374478252</v>
      </c>
      <c r="W223">
        <f t="shared" si="104"/>
        <v>3.6877988668871575</v>
      </c>
      <c r="X223">
        <f t="shared" si="105"/>
        <v>65.305959323161773</v>
      </c>
      <c r="Y223">
        <f t="shared" si="106"/>
        <v>2.1952474336184</v>
      </c>
      <c r="Z223">
        <f t="shared" si="107"/>
        <v>3.3614810292509114</v>
      </c>
      <c r="AA223">
        <f t="shared" si="108"/>
        <v>1.4925514332687575</v>
      </c>
      <c r="AB223">
        <f t="shared" si="109"/>
        <v>-73.515420478242476</v>
      </c>
      <c r="AC223">
        <f t="shared" si="110"/>
        <v>-184.47896914158429</v>
      </c>
      <c r="AD223">
        <f t="shared" si="111"/>
        <v>-18.264844462984854</v>
      </c>
      <c r="AE223">
        <f t="shared" si="112"/>
        <v>-0.14364163481164383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52369.122405447022</v>
      </c>
      <c r="AK223">
        <f t="shared" si="116"/>
        <v>1800</v>
      </c>
      <c r="AL223">
        <f t="shared" si="117"/>
        <v>1499.1105078000001</v>
      </c>
      <c r="AM223">
        <f t="shared" si="118"/>
        <v>0.83283917100000004</v>
      </c>
      <c r="AN223">
        <f t="shared" si="119"/>
        <v>0.15339755136</v>
      </c>
      <c r="AO223">
        <v>31.5</v>
      </c>
      <c r="AP223">
        <v>0.5</v>
      </c>
      <c r="AQ223" t="s">
        <v>331</v>
      </c>
      <c r="AR223">
        <v>2</v>
      </c>
      <c r="AS223">
        <v>1690231755</v>
      </c>
      <c r="AT223">
        <v>519.62099999999998</v>
      </c>
      <c r="AU223">
        <v>799.93799999999999</v>
      </c>
      <c r="AV223">
        <v>22.144600000000001</v>
      </c>
      <c r="AW223">
        <v>5.0358400000000003</v>
      </c>
      <c r="AX223">
        <v>519.63</v>
      </c>
      <c r="AY223">
        <v>21.965900000000001</v>
      </c>
      <c r="AZ223">
        <v>300.12799999999999</v>
      </c>
      <c r="BA223">
        <v>99.032399999999996</v>
      </c>
      <c r="BB223">
        <v>0.100004</v>
      </c>
      <c r="BC223">
        <v>25.9359</v>
      </c>
      <c r="BD223">
        <v>27.0227</v>
      </c>
      <c r="BE223">
        <v>27.564900000000002</v>
      </c>
      <c r="BF223">
        <v>0</v>
      </c>
      <c r="BG223">
        <v>0</v>
      </c>
      <c r="BH223">
        <v>9963.75</v>
      </c>
      <c r="BI223">
        <v>1066.94</v>
      </c>
      <c r="BJ223">
        <v>1.3105500000000001</v>
      </c>
      <c r="BK223">
        <v>-280.31700000000001</v>
      </c>
      <c r="BL223">
        <v>531.38800000000003</v>
      </c>
      <c r="BM223">
        <v>803.98699999999997</v>
      </c>
      <c r="BN223">
        <v>17.108699999999999</v>
      </c>
      <c r="BO223">
        <v>799.93799999999999</v>
      </c>
      <c r="BP223">
        <v>5.0358400000000003</v>
      </c>
      <c r="BQ223">
        <v>2.1930299999999998</v>
      </c>
      <c r="BR223">
        <v>0.49871100000000002</v>
      </c>
      <c r="BS223">
        <v>18.9115</v>
      </c>
      <c r="BT223">
        <v>-2.8220399999999999</v>
      </c>
      <c r="BU223">
        <v>1800</v>
      </c>
      <c r="BV223">
        <v>0.90999300000000005</v>
      </c>
      <c r="BW223">
        <v>3.4003499999999999E-2</v>
      </c>
      <c r="BX223">
        <v>2.2002299999999999E-2</v>
      </c>
      <c r="BY223">
        <v>3.4000799999999998E-2</v>
      </c>
      <c r="BZ223">
        <v>25</v>
      </c>
      <c r="CA223">
        <v>33528.400000000001</v>
      </c>
      <c r="CB223">
        <v>1690229084.0999999</v>
      </c>
      <c r="CC223" t="s">
        <v>332</v>
      </c>
      <c r="CD223">
        <v>1690229084.0999999</v>
      </c>
      <c r="CE223">
        <v>1690229076.5999999</v>
      </c>
      <c r="CF223">
        <v>13</v>
      </c>
      <c r="CG223">
        <v>0.23300000000000001</v>
      </c>
      <c r="CH223">
        <v>-0.13100000000000001</v>
      </c>
      <c r="CI223">
        <v>-0.20599999999999999</v>
      </c>
      <c r="CJ223">
        <v>8.7999999999999995E-2</v>
      </c>
      <c r="CK223">
        <v>799</v>
      </c>
      <c r="CL223">
        <v>16</v>
      </c>
      <c r="CM223">
        <v>0.04</v>
      </c>
      <c r="CN223">
        <v>0.04</v>
      </c>
      <c r="CO223">
        <v>-280.30463414634153</v>
      </c>
      <c r="CP223">
        <v>5.3602787456078958E-2</v>
      </c>
      <c r="CQ223">
        <v>5.3464260274601293E-2</v>
      </c>
      <c r="CR223">
        <v>-1</v>
      </c>
      <c r="CS223">
        <v>17.097185365853662</v>
      </c>
      <c r="CT223">
        <v>0.15464320557494801</v>
      </c>
      <c r="CU223">
        <v>1.604824374519459E-2</v>
      </c>
      <c r="CV223">
        <v>-1</v>
      </c>
      <c r="CW223">
        <v>0</v>
      </c>
      <c r="CX223">
        <v>0</v>
      </c>
      <c r="CY223" t="s">
        <v>333</v>
      </c>
      <c r="CZ223">
        <v>2.3647300000000002</v>
      </c>
      <c r="DA223">
        <v>2.7137600000000002</v>
      </c>
      <c r="DB223">
        <v>0.108708</v>
      </c>
      <c r="DC223">
        <v>0.14607300000000001</v>
      </c>
      <c r="DD223">
        <v>0.107627</v>
      </c>
      <c r="DE223">
        <v>3.4152299999999997E-2</v>
      </c>
      <c r="DF223">
        <v>32569</v>
      </c>
      <c r="DG223">
        <v>27553.4</v>
      </c>
      <c r="DH223">
        <v>31194.400000000001</v>
      </c>
      <c r="DI223">
        <v>28115.3</v>
      </c>
      <c r="DJ223">
        <v>37795.300000000003</v>
      </c>
      <c r="DK223">
        <v>38622</v>
      </c>
      <c r="DL223">
        <v>44397.5</v>
      </c>
      <c r="DM223">
        <v>42617.5</v>
      </c>
      <c r="DN223">
        <v>1.4851700000000001</v>
      </c>
      <c r="DO223">
        <v>2.03803</v>
      </c>
      <c r="DP223">
        <v>0.13483700000000001</v>
      </c>
      <c r="DQ223">
        <v>0.17991699999999999</v>
      </c>
      <c r="DR223">
        <v>24.813700000000001</v>
      </c>
      <c r="DS223">
        <v>24.618099999999998</v>
      </c>
      <c r="DT223">
        <v>30.7</v>
      </c>
      <c r="DU223">
        <v>29.3</v>
      </c>
      <c r="DV223">
        <v>12.6853</v>
      </c>
      <c r="DW223">
        <v>62.009799999999998</v>
      </c>
      <c r="DX223">
        <v>37.323700000000002</v>
      </c>
      <c r="DY223">
        <v>1</v>
      </c>
      <c r="DZ223">
        <v>-0.113763</v>
      </c>
      <c r="EA223">
        <v>0.41989399999999999</v>
      </c>
      <c r="EB223">
        <v>20.188800000000001</v>
      </c>
      <c r="EC223">
        <v>5.24125</v>
      </c>
      <c r="ED223">
        <v>12.039899999999999</v>
      </c>
      <c r="EE223">
        <v>5.01715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1.8646199999999999</v>
      </c>
      <c r="EM223">
        <v>1.8691500000000001</v>
      </c>
      <c r="EN223">
        <v>1.8672200000000001</v>
      </c>
      <c r="EO223">
        <v>1.86337</v>
      </c>
      <c r="EP223">
        <v>1.8644700000000001</v>
      </c>
      <c r="EQ223">
        <v>1.8701300000000001</v>
      </c>
      <c r="ER223">
        <v>1.86937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-8.9999999999999993E-3</v>
      </c>
      <c r="FG223">
        <v>0.1787</v>
      </c>
      <c r="FH223">
        <v>0.3448811944559278</v>
      </c>
      <c r="FI223">
        <v>-6.1462078757559423E-4</v>
      </c>
      <c r="FJ223">
        <v>-1.8861989874597051E-7</v>
      </c>
      <c r="FK223">
        <v>1.1980462299894961E-10</v>
      </c>
      <c r="FL223">
        <v>0.17862261546663211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44.5</v>
      </c>
      <c r="FU223">
        <v>44.6</v>
      </c>
      <c r="FV223">
        <v>1.7700199999999999</v>
      </c>
      <c r="FW223">
        <v>2.5903299999999998</v>
      </c>
      <c r="FX223">
        <v>1.5490699999999999</v>
      </c>
      <c r="FY223">
        <v>2.32666</v>
      </c>
      <c r="FZ223">
        <v>1.50146</v>
      </c>
      <c r="GA223">
        <v>2.35107</v>
      </c>
      <c r="GB223">
        <v>33.760599999999997</v>
      </c>
      <c r="GC223">
        <v>23.982399999999998</v>
      </c>
      <c r="GD223">
        <v>19</v>
      </c>
      <c r="GE223">
        <v>285.625</v>
      </c>
      <c r="GF223">
        <v>581.803</v>
      </c>
      <c r="GG223">
        <v>23.829499999999999</v>
      </c>
      <c r="GH223">
        <v>25.956700000000001</v>
      </c>
      <c r="GI223">
        <v>30.0001</v>
      </c>
      <c r="GJ223">
        <v>26.106100000000001</v>
      </c>
      <c r="GK223">
        <v>26.098099999999999</v>
      </c>
      <c r="GL223">
        <v>35.391500000000001</v>
      </c>
      <c r="GM223">
        <v>54.062100000000001</v>
      </c>
      <c r="GN223">
        <v>31.829899999999999</v>
      </c>
      <c r="GO223">
        <v>23.799600000000002</v>
      </c>
      <c r="GP223">
        <v>800</v>
      </c>
      <c r="GQ223">
        <v>5.10093</v>
      </c>
      <c r="GR223">
        <v>99.815399999999997</v>
      </c>
      <c r="GS223">
        <v>99.693100000000001</v>
      </c>
    </row>
    <row r="224" spans="1:201" x14ac:dyDescent="0.25">
      <c r="A224">
        <v>208</v>
      </c>
      <c r="B224">
        <v>1690231765</v>
      </c>
      <c r="C224">
        <v>2259.900000095367</v>
      </c>
      <c r="D224" t="s">
        <v>749</v>
      </c>
      <c r="E224" t="s">
        <v>750</v>
      </c>
      <c r="F224" t="s">
        <v>330</v>
      </c>
      <c r="H224">
        <v>1690231765</v>
      </c>
      <c r="I224">
        <f t="shared" si="90"/>
        <v>1.6661039901868871E-3</v>
      </c>
      <c r="J224">
        <f t="shared" si="91"/>
        <v>1.666103990186887</v>
      </c>
      <c r="K224">
        <f t="shared" si="92"/>
        <v>25.853654253571154</v>
      </c>
      <c r="L224">
        <f t="shared" si="93"/>
        <v>519.56200000000001</v>
      </c>
      <c r="M224">
        <f t="shared" si="94"/>
        <v>128.31717369931218</v>
      </c>
      <c r="N224">
        <f t="shared" si="95"/>
        <v>12.719964339391815</v>
      </c>
      <c r="O224">
        <f t="shared" si="96"/>
        <v>51.503706959675</v>
      </c>
      <c r="P224">
        <f t="shared" si="97"/>
        <v>0.1105337000625759</v>
      </c>
      <c r="Q224">
        <f t="shared" si="98"/>
        <v>2.1805905610580467</v>
      </c>
      <c r="R224">
        <f t="shared" si="99"/>
        <v>0.10751270543153461</v>
      </c>
      <c r="S224">
        <f t="shared" si="100"/>
        <v>6.7459988011487365E-2</v>
      </c>
      <c r="T224">
        <f t="shared" si="101"/>
        <v>276.11405847248642</v>
      </c>
      <c r="U224">
        <f t="shared" si="102"/>
        <v>27.495888202632678</v>
      </c>
      <c r="V224">
        <f t="shared" si="103"/>
        <v>27.495888202632678</v>
      </c>
      <c r="W224">
        <f t="shared" si="104"/>
        <v>3.6847364188071858</v>
      </c>
      <c r="X224">
        <f t="shared" si="105"/>
        <v>65.310580603597387</v>
      </c>
      <c r="Y224">
        <f t="shared" si="106"/>
        <v>2.1941033969075003</v>
      </c>
      <c r="Z224">
        <f t="shared" si="107"/>
        <v>3.3594914891732661</v>
      </c>
      <c r="AA224">
        <f t="shared" si="108"/>
        <v>1.4906330218996855</v>
      </c>
      <c r="AB224">
        <f t="shared" si="109"/>
        <v>-73.475185967241714</v>
      </c>
      <c r="AC224">
        <f t="shared" si="110"/>
        <v>-184.56781047610289</v>
      </c>
      <c r="AD224">
        <f t="shared" si="111"/>
        <v>-18.213927655991739</v>
      </c>
      <c r="AE224">
        <f t="shared" si="112"/>
        <v>-0.14286562684995374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52655.741443074745</v>
      </c>
      <c r="AK224">
        <f t="shared" si="116"/>
        <v>1799.99</v>
      </c>
      <c r="AL224">
        <f t="shared" si="117"/>
        <v>1499.1021794082901</v>
      </c>
      <c r="AM224">
        <f t="shared" si="118"/>
        <v>0.83283917100000004</v>
      </c>
      <c r="AN224">
        <f t="shared" si="119"/>
        <v>0.15339755136</v>
      </c>
      <c r="AO224">
        <v>31.5</v>
      </c>
      <c r="AP224">
        <v>0.5</v>
      </c>
      <c r="AQ224" t="s">
        <v>331</v>
      </c>
      <c r="AR224">
        <v>2</v>
      </c>
      <c r="AS224">
        <v>1690231765</v>
      </c>
      <c r="AT224">
        <v>519.56200000000001</v>
      </c>
      <c r="AU224">
        <v>800.00900000000001</v>
      </c>
      <c r="AV224">
        <v>22.133800000000001</v>
      </c>
      <c r="AW224">
        <v>5.0333600000000001</v>
      </c>
      <c r="AX224">
        <v>519.57000000000005</v>
      </c>
      <c r="AY224">
        <v>21.955200000000001</v>
      </c>
      <c r="AZ224">
        <v>300.113</v>
      </c>
      <c r="BA224">
        <v>99.0291</v>
      </c>
      <c r="BB224">
        <v>9.9987500000000007E-2</v>
      </c>
      <c r="BC224">
        <v>25.925899999999999</v>
      </c>
      <c r="BD224">
        <v>26.987300000000001</v>
      </c>
      <c r="BE224">
        <v>27.554300000000001</v>
      </c>
      <c r="BF224">
        <v>0</v>
      </c>
      <c r="BG224">
        <v>0</v>
      </c>
      <c r="BH224">
        <v>10020.6</v>
      </c>
      <c r="BI224">
        <v>1067.02</v>
      </c>
      <c r="BJ224">
        <v>1.2685</v>
      </c>
      <c r="BK224">
        <v>-280.447</v>
      </c>
      <c r="BL224">
        <v>531.322</v>
      </c>
      <c r="BM224">
        <v>804.05600000000004</v>
      </c>
      <c r="BN224">
        <v>17.1004</v>
      </c>
      <c r="BO224">
        <v>800.00900000000001</v>
      </c>
      <c r="BP224">
        <v>5.0333600000000001</v>
      </c>
      <c r="BQ224">
        <v>2.1918899999999999</v>
      </c>
      <c r="BR224">
        <v>0.49844899999999998</v>
      </c>
      <c r="BS224">
        <v>18.903099999999998</v>
      </c>
      <c r="BT224">
        <v>-2.8290999999999999</v>
      </c>
      <c r="BU224">
        <v>1799.99</v>
      </c>
      <c r="BV224">
        <v>0.90999300000000005</v>
      </c>
      <c r="BW224">
        <v>3.4003499999999999E-2</v>
      </c>
      <c r="BX224">
        <v>2.2002299999999999E-2</v>
      </c>
      <c r="BY224">
        <v>3.4000799999999998E-2</v>
      </c>
      <c r="BZ224">
        <v>25</v>
      </c>
      <c r="CA224">
        <v>33528.199999999997</v>
      </c>
      <c r="CB224">
        <v>1690229084.0999999</v>
      </c>
      <c r="CC224" t="s">
        <v>332</v>
      </c>
      <c r="CD224">
        <v>1690229084.0999999</v>
      </c>
      <c r="CE224">
        <v>1690229076.5999999</v>
      </c>
      <c r="CF224">
        <v>13</v>
      </c>
      <c r="CG224">
        <v>0.23300000000000001</v>
      </c>
      <c r="CH224">
        <v>-0.13100000000000001</v>
      </c>
      <c r="CI224">
        <v>-0.20599999999999999</v>
      </c>
      <c r="CJ224">
        <v>8.7999999999999995E-2</v>
      </c>
      <c r="CK224">
        <v>799</v>
      </c>
      <c r="CL224">
        <v>16</v>
      </c>
      <c r="CM224">
        <v>0.04</v>
      </c>
      <c r="CN224">
        <v>0.04</v>
      </c>
      <c r="CO224">
        <v>-280.353475</v>
      </c>
      <c r="CP224">
        <v>-0.58875422138796663</v>
      </c>
      <c r="CQ224">
        <v>9.1167424966375393E-2</v>
      </c>
      <c r="CR224">
        <v>-1</v>
      </c>
      <c r="CS224">
        <v>17.110704999999999</v>
      </c>
      <c r="CT224">
        <v>5.5735834896780509E-2</v>
      </c>
      <c r="CU224">
        <v>8.6815882763463942E-3</v>
      </c>
      <c r="CV224">
        <v>-1</v>
      </c>
      <c r="CW224">
        <v>0</v>
      </c>
      <c r="CX224">
        <v>0</v>
      </c>
      <c r="CY224" t="s">
        <v>333</v>
      </c>
      <c r="CZ224">
        <v>2.3646799999999999</v>
      </c>
      <c r="DA224">
        <v>2.7138</v>
      </c>
      <c r="DB224">
        <v>0.108696</v>
      </c>
      <c r="DC224">
        <v>0.14607800000000001</v>
      </c>
      <c r="DD224">
        <v>0.107587</v>
      </c>
      <c r="DE224">
        <v>3.4137500000000001E-2</v>
      </c>
      <c r="DF224">
        <v>32569.4</v>
      </c>
      <c r="DG224">
        <v>27552.9</v>
      </c>
      <c r="DH224">
        <v>31194.400000000001</v>
      </c>
      <c r="DI224">
        <v>28114.9</v>
      </c>
      <c r="DJ224">
        <v>37796.9</v>
      </c>
      <c r="DK224">
        <v>38622.1</v>
      </c>
      <c r="DL224">
        <v>44397.4</v>
      </c>
      <c r="DM224">
        <v>42617.1</v>
      </c>
      <c r="DN224">
        <v>1.4850000000000001</v>
      </c>
      <c r="DO224">
        <v>2.0379299999999998</v>
      </c>
      <c r="DP224">
        <v>0.13266900000000001</v>
      </c>
      <c r="DQ224">
        <v>0.17927199999999999</v>
      </c>
      <c r="DR224">
        <v>24.813700000000001</v>
      </c>
      <c r="DS224">
        <v>24.618099999999998</v>
      </c>
      <c r="DT224">
        <v>30.5</v>
      </c>
      <c r="DU224">
        <v>29.3</v>
      </c>
      <c r="DV224">
        <v>12.603300000000001</v>
      </c>
      <c r="DW224">
        <v>61.069800000000001</v>
      </c>
      <c r="DX224">
        <v>37.560099999999998</v>
      </c>
      <c r="DY224">
        <v>1</v>
      </c>
      <c r="DZ224">
        <v>-0.11389000000000001</v>
      </c>
      <c r="EA224">
        <v>0.33903899999999998</v>
      </c>
      <c r="EB224">
        <v>20.189299999999999</v>
      </c>
      <c r="EC224">
        <v>5.2413999999999996</v>
      </c>
      <c r="ED224">
        <v>12.039899999999999</v>
      </c>
      <c r="EE224">
        <v>5.0170500000000002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1.8691500000000001</v>
      </c>
      <c r="EN224">
        <v>1.8672200000000001</v>
      </c>
      <c r="EO224">
        <v>1.86337</v>
      </c>
      <c r="EP224">
        <v>1.8644700000000001</v>
      </c>
      <c r="EQ224">
        <v>1.87012</v>
      </c>
      <c r="ER224">
        <v>1.86937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-8.0000000000000002E-3</v>
      </c>
      <c r="FG224">
        <v>0.17860000000000001</v>
      </c>
      <c r="FH224">
        <v>0.3448811944559278</v>
      </c>
      <c r="FI224">
        <v>-6.1462078757559423E-4</v>
      </c>
      <c r="FJ224">
        <v>-1.8861989874597051E-7</v>
      </c>
      <c r="FK224">
        <v>1.1980462299894961E-10</v>
      </c>
      <c r="FL224">
        <v>0.17862261546663211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44.7</v>
      </c>
      <c r="FU224">
        <v>44.8</v>
      </c>
      <c r="FV224">
        <v>1.7700199999999999</v>
      </c>
      <c r="FW224">
        <v>2.5891099999999998</v>
      </c>
      <c r="FX224">
        <v>1.5490699999999999</v>
      </c>
      <c r="FY224">
        <v>2.32544</v>
      </c>
      <c r="FZ224">
        <v>1.50146</v>
      </c>
      <c r="GA224">
        <v>2.34009</v>
      </c>
      <c r="GB224">
        <v>33.760599999999997</v>
      </c>
      <c r="GC224">
        <v>23.982399999999998</v>
      </c>
      <c r="GD224">
        <v>19</v>
      </c>
      <c r="GE224">
        <v>285.54000000000002</v>
      </c>
      <c r="GF224">
        <v>581.69600000000003</v>
      </c>
      <c r="GG224">
        <v>23.788399999999999</v>
      </c>
      <c r="GH224">
        <v>25.955100000000002</v>
      </c>
      <c r="GI224">
        <v>30.0001</v>
      </c>
      <c r="GJ224">
        <v>26.103899999999999</v>
      </c>
      <c r="GK224">
        <v>26.0959</v>
      </c>
      <c r="GL224">
        <v>35.389699999999998</v>
      </c>
      <c r="GM224">
        <v>53.741</v>
      </c>
      <c r="GN224">
        <v>31.456399999999999</v>
      </c>
      <c r="GO224">
        <v>23.837599999999998</v>
      </c>
      <c r="GP224">
        <v>800</v>
      </c>
      <c r="GQ224">
        <v>5.0958399999999999</v>
      </c>
      <c r="GR224">
        <v>99.815100000000001</v>
      </c>
      <c r="GS224">
        <v>99.691900000000004</v>
      </c>
    </row>
    <row r="225" spans="1:201" x14ac:dyDescent="0.25">
      <c r="A225">
        <v>209</v>
      </c>
      <c r="B225">
        <v>1690231775</v>
      </c>
      <c r="C225">
        <v>2269.900000095367</v>
      </c>
      <c r="D225" t="s">
        <v>751</v>
      </c>
      <c r="E225" t="s">
        <v>752</v>
      </c>
      <c r="F225" t="s">
        <v>330</v>
      </c>
      <c r="H225">
        <v>1690231775</v>
      </c>
      <c r="I225">
        <f t="shared" si="90"/>
        <v>1.6682909113254767E-3</v>
      </c>
      <c r="J225">
        <f t="shared" si="91"/>
        <v>1.6682909113254767</v>
      </c>
      <c r="K225">
        <f t="shared" si="92"/>
        <v>25.871768921732027</v>
      </c>
      <c r="L225">
        <f t="shared" si="93"/>
        <v>519.51700000000005</v>
      </c>
      <c r="M225">
        <f t="shared" si="94"/>
        <v>128.53823571233002</v>
      </c>
      <c r="N225">
        <f t="shared" si="95"/>
        <v>12.741697328825245</v>
      </c>
      <c r="O225">
        <f t="shared" si="96"/>
        <v>51.498515865690599</v>
      </c>
      <c r="P225">
        <f t="shared" si="97"/>
        <v>0.11069355187551885</v>
      </c>
      <c r="Q225">
        <f t="shared" si="98"/>
        <v>2.1794344602877671</v>
      </c>
      <c r="R225">
        <f t="shared" si="99"/>
        <v>0.1076623823668952</v>
      </c>
      <c r="S225">
        <f t="shared" si="100"/>
        <v>6.7554413856059287E-2</v>
      </c>
      <c r="T225">
        <f t="shared" si="101"/>
        <v>276.11410943020331</v>
      </c>
      <c r="U225">
        <f t="shared" si="102"/>
        <v>27.495100656011534</v>
      </c>
      <c r="V225">
        <f t="shared" si="103"/>
        <v>27.495100656011534</v>
      </c>
      <c r="W225">
        <f t="shared" si="104"/>
        <v>3.6845666153996981</v>
      </c>
      <c r="X225">
        <f t="shared" si="105"/>
        <v>65.312747936241692</v>
      </c>
      <c r="Y225">
        <f t="shared" si="106"/>
        <v>2.1940722834248398</v>
      </c>
      <c r="Z225">
        <f t="shared" si="107"/>
        <v>3.3593323704075253</v>
      </c>
      <c r="AA225">
        <f t="shared" si="108"/>
        <v>1.4904943319748583</v>
      </c>
      <c r="AB225">
        <f t="shared" si="109"/>
        <v>-73.571629189453517</v>
      </c>
      <c r="AC225">
        <f t="shared" si="110"/>
        <v>-184.47141995799063</v>
      </c>
      <c r="AD225">
        <f t="shared" si="111"/>
        <v>-18.213927416683987</v>
      </c>
      <c r="AE225">
        <f t="shared" si="112"/>
        <v>-0.14286713392482397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52607.780719471513</v>
      </c>
      <c r="AK225">
        <f t="shared" si="116"/>
        <v>1799.99</v>
      </c>
      <c r="AL225">
        <f t="shared" si="117"/>
        <v>1499.1020462090298</v>
      </c>
      <c r="AM225">
        <f t="shared" si="118"/>
        <v>0.83283909699999992</v>
      </c>
      <c r="AN225">
        <f t="shared" si="119"/>
        <v>0.15339757967000001</v>
      </c>
      <c r="AO225">
        <v>31.5</v>
      </c>
      <c r="AP225">
        <v>0.5</v>
      </c>
      <c r="AQ225" t="s">
        <v>331</v>
      </c>
      <c r="AR225">
        <v>2</v>
      </c>
      <c r="AS225">
        <v>1690231775</v>
      </c>
      <c r="AT225">
        <v>519.51700000000005</v>
      </c>
      <c r="AU225">
        <v>800.12599999999998</v>
      </c>
      <c r="AV225">
        <v>22.133800000000001</v>
      </c>
      <c r="AW225">
        <v>5.0133099999999997</v>
      </c>
      <c r="AX225">
        <v>519.52599999999995</v>
      </c>
      <c r="AY225">
        <v>21.955100000000002</v>
      </c>
      <c r="AZ225">
        <v>300.15499999999997</v>
      </c>
      <c r="BA225">
        <v>99.027699999999996</v>
      </c>
      <c r="BB225">
        <v>9.9981799999999996E-2</v>
      </c>
      <c r="BC225">
        <v>25.9251</v>
      </c>
      <c r="BD225">
        <v>26.997399999999999</v>
      </c>
      <c r="BE225">
        <v>27.550799999999999</v>
      </c>
      <c r="BF225">
        <v>0</v>
      </c>
      <c r="BG225">
        <v>0</v>
      </c>
      <c r="BH225">
        <v>10011.200000000001</v>
      </c>
      <c r="BI225">
        <v>1067.05</v>
      </c>
      <c r="BJ225">
        <v>1.28952</v>
      </c>
      <c r="BK225">
        <v>-280.60899999999998</v>
      </c>
      <c r="BL225">
        <v>531.27599999999995</v>
      </c>
      <c r="BM225">
        <v>804.15700000000004</v>
      </c>
      <c r="BN225">
        <v>17.1204</v>
      </c>
      <c r="BO225">
        <v>800.12599999999998</v>
      </c>
      <c r="BP225">
        <v>5.0133099999999997</v>
      </c>
      <c r="BQ225">
        <v>2.1918500000000001</v>
      </c>
      <c r="BR225">
        <v>0.49645699999999998</v>
      </c>
      <c r="BS225">
        <v>18.902899999999999</v>
      </c>
      <c r="BT225">
        <v>-2.8829500000000001</v>
      </c>
      <c r="BU225">
        <v>1799.99</v>
      </c>
      <c r="BV225">
        <v>0.90999200000000002</v>
      </c>
      <c r="BW225">
        <v>3.4003899999999997E-2</v>
      </c>
      <c r="BX225">
        <v>2.2002600000000001E-2</v>
      </c>
      <c r="BY225">
        <v>3.4001099999999999E-2</v>
      </c>
      <c r="BZ225">
        <v>25</v>
      </c>
      <c r="CA225">
        <v>33528.199999999997</v>
      </c>
      <c r="CB225">
        <v>1690229084.0999999</v>
      </c>
      <c r="CC225" t="s">
        <v>332</v>
      </c>
      <c r="CD225">
        <v>1690229084.0999999</v>
      </c>
      <c r="CE225">
        <v>1690229076.5999999</v>
      </c>
      <c r="CF225">
        <v>13</v>
      </c>
      <c r="CG225">
        <v>0.23300000000000001</v>
      </c>
      <c r="CH225">
        <v>-0.13100000000000001</v>
      </c>
      <c r="CI225">
        <v>-0.20599999999999999</v>
      </c>
      <c r="CJ225">
        <v>8.7999999999999995E-2</v>
      </c>
      <c r="CK225">
        <v>799</v>
      </c>
      <c r="CL225">
        <v>16</v>
      </c>
      <c r="CM225">
        <v>0.04</v>
      </c>
      <c r="CN225">
        <v>0.04</v>
      </c>
      <c r="CO225">
        <v>-280.42899999999997</v>
      </c>
      <c r="CP225">
        <v>-0.2470243902443906</v>
      </c>
      <c r="CQ225">
        <v>7.9364242117148792E-2</v>
      </c>
      <c r="CR225">
        <v>-1</v>
      </c>
      <c r="CS225">
        <v>17.106863414634141</v>
      </c>
      <c r="CT225">
        <v>-2.5960975609737671E-2</v>
      </c>
      <c r="CU225">
        <v>1.046445216301242E-2</v>
      </c>
      <c r="CV225">
        <v>-1</v>
      </c>
      <c r="CW225">
        <v>0</v>
      </c>
      <c r="CX225">
        <v>0</v>
      </c>
      <c r="CY225" t="s">
        <v>333</v>
      </c>
      <c r="CZ225">
        <v>2.3647999999999998</v>
      </c>
      <c r="DA225">
        <v>2.7137799999999999</v>
      </c>
      <c r="DB225">
        <v>0.10868800000000001</v>
      </c>
      <c r="DC225">
        <v>0.146091</v>
      </c>
      <c r="DD225">
        <v>0.107586</v>
      </c>
      <c r="DE225">
        <v>3.4023900000000003E-2</v>
      </c>
      <c r="DF225">
        <v>32569.8</v>
      </c>
      <c r="DG225">
        <v>27553.1</v>
      </c>
      <c r="DH225">
        <v>31194.5</v>
      </c>
      <c r="DI225">
        <v>28115.5</v>
      </c>
      <c r="DJ225">
        <v>37797</v>
      </c>
      <c r="DK225">
        <v>38627.199999999997</v>
      </c>
      <c r="DL225">
        <v>44397.5</v>
      </c>
      <c r="DM225">
        <v>42617.7</v>
      </c>
      <c r="DN225">
        <v>1.4850699999999999</v>
      </c>
      <c r="DO225">
        <v>2.0379499999999999</v>
      </c>
      <c r="DP225">
        <v>0.13328699999999999</v>
      </c>
      <c r="DQ225">
        <v>0.17905599999999999</v>
      </c>
      <c r="DR225">
        <v>24.813700000000001</v>
      </c>
      <c r="DS225">
        <v>24.618099999999998</v>
      </c>
      <c r="DT225">
        <v>30.3</v>
      </c>
      <c r="DU225">
        <v>29.3</v>
      </c>
      <c r="DV225">
        <v>12.5223</v>
      </c>
      <c r="DW225">
        <v>61.209800000000001</v>
      </c>
      <c r="DX225">
        <v>37.379800000000003</v>
      </c>
      <c r="DY225">
        <v>1</v>
      </c>
      <c r="DZ225">
        <v>-0.11490599999999999</v>
      </c>
      <c r="EA225">
        <v>0.14879400000000001</v>
      </c>
      <c r="EB225">
        <v>20.190000000000001</v>
      </c>
      <c r="EC225">
        <v>5.2409499999999998</v>
      </c>
      <c r="ED225">
        <v>12.039899999999999</v>
      </c>
      <c r="EE225">
        <v>5.0171000000000001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1.8691599999999999</v>
      </c>
      <c r="EN225">
        <v>1.8672200000000001</v>
      </c>
      <c r="EO225">
        <v>1.86338</v>
      </c>
      <c r="EP225">
        <v>1.8644700000000001</v>
      </c>
      <c r="EQ225">
        <v>1.87012</v>
      </c>
      <c r="ER225">
        <v>1.8693599999999999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-8.9999999999999993E-3</v>
      </c>
      <c r="FG225">
        <v>0.1787</v>
      </c>
      <c r="FH225">
        <v>0.3448811944559278</v>
      </c>
      <c r="FI225">
        <v>-6.1462078757559423E-4</v>
      </c>
      <c r="FJ225">
        <v>-1.8861989874597051E-7</v>
      </c>
      <c r="FK225">
        <v>1.1980462299894961E-10</v>
      </c>
      <c r="FL225">
        <v>0.17862261546663211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44.8</v>
      </c>
      <c r="FU225">
        <v>45</v>
      </c>
      <c r="FV225">
        <v>1.7700199999999999</v>
      </c>
      <c r="FW225">
        <v>2.5903299999999998</v>
      </c>
      <c r="FX225">
        <v>1.5490699999999999</v>
      </c>
      <c r="FY225">
        <v>2.32544</v>
      </c>
      <c r="FZ225">
        <v>1.50146</v>
      </c>
      <c r="GA225">
        <v>2.34009</v>
      </c>
      <c r="GB225">
        <v>33.760599999999997</v>
      </c>
      <c r="GC225">
        <v>23.982399999999998</v>
      </c>
      <c r="GD225">
        <v>19</v>
      </c>
      <c r="GE225">
        <v>285.56200000000001</v>
      </c>
      <c r="GF225">
        <v>581.69200000000001</v>
      </c>
      <c r="GG225">
        <v>23.846699999999998</v>
      </c>
      <c r="GH225">
        <v>25.953800000000001</v>
      </c>
      <c r="GI225">
        <v>29.999600000000001</v>
      </c>
      <c r="GJ225">
        <v>26.101700000000001</v>
      </c>
      <c r="GK225">
        <v>26.093800000000002</v>
      </c>
      <c r="GL225">
        <v>35.3902</v>
      </c>
      <c r="GM225">
        <v>53.461799999999997</v>
      </c>
      <c r="GN225">
        <v>31.079899999999999</v>
      </c>
      <c r="GO225">
        <v>23.864699999999999</v>
      </c>
      <c r="GP225">
        <v>800</v>
      </c>
      <c r="GQ225">
        <v>5.0838200000000002</v>
      </c>
      <c r="GR225">
        <v>99.815399999999997</v>
      </c>
      <c r="GS225">
        <v>99.693600000000004</v>
      </c>
    </row>
    <row r="226" spans="1:201" x14ac:dyDescent="0.25">
      <c r="A226">
        <v>210</v>
      </c>
      <c r="B226">
        <v>1690231785</v>
      </c>
      <c r="C226">
        <v>2279.900000095367</v>
      </c>
      <c r="D226" t="s">
        <v>753</v>
      </c>
      <c r="E226" t="s">
        <v>754</v>
      </c>
      <c r="F226" t="s">
        <v>330</v>
      </c>
      <c r="H226">
        <v>1690231785</v>
      </c>
      <c r="I226">
        <f t="shared" si="90"/>
        <v>1.6704046270682581E-3</v>
      </c>
      <c r="J226">
        <f t="shared" si="91"/>
        <v>1.6704046270682582</v>
      </c>
      <c r="K226">
        <f t="shared" si="92"/>
        <v>25.863582883159747</v>
      </c>
      <c r="L226">
        <f t="shared" si="93"/>
        <v>519.50800000000004</v>
      </c>
      <c r="M226">
        <f t="shared" si="94"/>
        <v>128.68581979381088</v>
      </c>
      <c r="N226">
        <f t="shared" si="95"/>
        <v>12.756300641837134</v>
      </c>
      <c r="O226">
        <f t="shared" si="96"/>
        <v>51.497517321316003</v>
      </c>
      <c r="P226">
        <f t="shared" si="97"/>
        <v>0.1107132090457919</v>
      </c>
      <c r="Q226">
        <f t="shared" si="98"/>
        <v>2.1745797348362639</v>
      </c>
      <c r="R226">
        <f t="shared" si="99"/>
        <v>0.10767440941837952</v>
      </c>
      <c r="S226">
        <f t="shared" si="100"/>
        <v>6.7562582674144514E-2</v>
      </c>
      <c r="T226">
        <f t="shared" si="101"/>
        <v>276.11580727799998</v>
      </c>
      <c r="U226">
        <f t="shared" si="102"/>
        <v>27.504571599465613</v>
      </c>
      <c r="V226">
        <f t="shared" si="103"/>
        <v>27.504571599465613</v>
      </c>
      <c r="W226">
        <f t="shared" si="104"/>
        <v>3.6866091041027018</v>
      </c>
      <c r="X226">
        <f t="shared" si="105"/>
        <v>65.29587434561229</v>
      </c>
      <c r="Y226">
        <f t="shared" si="106"/>
        <v>2.1944146965921001</v>
      </c>
      <c r="Z226">
        <f t="shared" si="107"/>
        <v>3.3607248828264735</v>
      </c>
      <c r="AA226">
        <f t="shared" si="108"/>
        <v>1.4921944075106017</v>
      </c>
      <c r="AB226">
        <f t="shared" si="109"/>
        <v>-73.664844053710183</v>
      </c>
      <c r="AC226">
        <f t="shared" si="110"/>
        <v>-184.35019027649392</v>
      </c>
      <c r="AD226">
        <f t="shared" si="111"/>
        <v>-18.244097627734458</v>
      </c>
      <c r="AE226">
        <f t="shared" si="112"/>
        <v>-0.14332467993855857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52404.981499279558</v>
      </c>
      <c r="AK226">
        <f t="shared" si="116"/>
        <v>1800</v>
      </c>
      <c r="AL226">
        <f t="shared" si="117"/>
        <v>1499.1117588</v>
      </c>
      <c r="AM226">
        <f t="shared" si="118"/>
        <v>0.83283986599999993</v>
      </c>
      <c r="AN226">
        <f t="shared" si="119"/>
        <v>0.15339767070999999</v>
      </c>
      <c r="AO226">
        <v>31.5</v>
      </c>
      <c r="AP226">
        <v>0.5</v>
      </c>
      <c r="AQ226" t="s">
        <v>331</v>
      </c>
      <c r="AR226">
        <v>2</v>
      </c>
      <c r="AS226">
        <v>1690231785</v>
      </c>
      <c r="AT226">
        <v>519.50800000000004</v>
      </c>
      <c r="AU226">
        <v>800.04899999999998</v>
      </c>
      <c r="AV226">
        <v>22.1373</v>
      </c>
      <c r="AW226">
        <v>4.9947800000000004</v>
      </c>
      <c r="AX226">
        <v>519.51700000000005</v>
      </c>
      <c r="AY226">
        <v>21.958600000000001</v>
      </c>
      <c r="AZ226">
        <v>300.14800000000002</v>
      </c>
      <c r="BA226">
        <v>99.0274</v>
      </c>
      <c r="BB226">
        <v>0.100077</v>
      </c>
      <c r="BC226">
        <v>25.932099999999998</v>
      </c>
      <c r="BD226">
        <v>27.017800000000001</v>
      </c>
      <c r="BE226">
        <v>27.558199999999999</v>
      </c>
      <c r="BF226">
        <v>0</v>
      </c>
      <c r="BG226">
        <v>0</v>
      </c>
      <c r="BH226">
        <v>9971.25</v>
      </c>
      <c r="BI226">
        <v>1067.05</v>
      </c>
      <c r="BJ226">
        <v>1.28952</v>
      </c>
      <c r="BK226">
        <v>-280.541</v>
      </c>
      <c r="BL226">
        <v>531.26900000000001</v>
      </c>
      <c r="BM226">
        <v>804.06500000000005</v>
      </c>
      <c r="BN226">
        <v>17.142499999999998</v>
      </c>
      <c r="BO226">
        <v>800.04899999999998</v>
      </c>
      <c r="BP226">
        <v>4.9947800000000004</v>
      </c>
      <c r="BQ226">
        <v>2.1922000000000001</v>
      </c>
      <c r="BR226">
        <v>0.49462</v>
      </c>
      <c r="BS226">
        <v>18.9054</v>
      </c>
      <c r="BT226">
        <v>-2.93276</v>
      </c>
      <c r="BU226">
        <v>1800</v>
      </c>
      <c r="BV226">
        <v>0.90999399999999997</v>
      </c>
      <c r="BW226">
        <v>3.4003400000000003E-2</v>
      </c>
      <c r="BX226">
        <v>2.2002299999999999E-2</v>
      </c>
      <c r="BY226">
        <v>3.4000700000000002E-2</v>
      </c>
      <c r="BZ226">
        <v>25</v>
      </c>
      <c r="CA226">
        <v>33528.300000000003</v>
      </c>
      <c r="CB226">
        <v>1690229084.0999999</v>
      </c>
      <c r="CC226" t="s">
        <v>332</v>
      </c>
      <c r="CD226">
        <v>1690229084.0999999</v>
      </c>
      <c r="CE226">
        <v>1690229076.5999999</v>
      </c>
      <c r="CF226">
        <v>13</v>
      </c>
      <c r="CG226">
        <v>0.23300000000000001</v>
      </c>
      <c r="CH226">
        <v>-0.13100000000000001</v>
      </c>
      <c r="CI226">
        <v>-0.20599999999999999</v>
      </c>
      <c r="CJ226">
        <v>8.7999999999999995E-2</v>
      </c>
      <c r="CK226">
        <v>799</v>
      </c>
      <c r="CL226">
        <v>16</v>
      </c>
      <c r="CM226">
        <v>0.04</v>
      </c>
      <c r="CN226">
        <v>0.04</v>
      </c>
      <c r="CO226">
        <v>-280.46987804878052</v>
      </c>
      <c r="CP226">
        <v>-0.34712195122052308</v>
      </c>
      <c r="CQ226">
        <v>7.515129297102692E-2</v>
      </c>
      <c r="CR226">
        <v>-1</v>
      </c>
      <c r="CS226">
        <v>17.109126829268291</v>
      </c>
      <c r="CT226">
        <v>9.3838327526144169E-2</v>
      </c>
      <c r="CU226">
        <v>1.1878162467528101E-2</v>
      </c>
      <c r="CV226">
        <v>-1</v>
      </c>
      <c r="CW226">
        <v>0</v>
      </c>
      <c r="CX226">
        <v>0</v>
      </c>
      <c r="CY226" t="s">
        <v>333</v>
      </c>
      <c r="CZ226">
        <v>2.3647999999999998</v>
      </c>
      <c r="DA226">
        <v>2.7138399999999998</v>
      </c>
      <c r="DB226">
        <v>0.10868700000000001</v>
      </c>
      <c r="DC226">
        <v>0.14608099999999999</v>
      </c>
      <c r="DD226">
        <v>0.107598</v>
      </c>
      <c r="DE226">
        <v>3.3919199999999997E-2</v>
      </c>
      <c r="DF226">
        <v>32570.2</v>
      </c>
      <c r="DG226">
        <v>27553.3</v>
      </c>
      <c r="DH226">
        <v>31194.799999999999</v>
      </c>
      <c r="DI226">
        <v>28115.4</v>
      </c>
      <c r="DJ226">
        <v>37796.9</v>
      </c>
      <c r="DK226">
        <v>38631.5</v>
      </c>
      <c r="DL226">
        <v>44398</v>
      </c>
      <c r="DM226">
        <v>42617.8</v>
      </c>
      <c r="DN226">
        <v>1.48515</v>
      </c>
      <c r="DO226">
        <v>2.0380500000000001</v>
      </c>
      <c r="DP226">
        <v>0.13452</v>
      </c>
      <c r="DQ226">
        <v>0.17942900000000001</v>
      </c>
      <c r="DR226">
        <v>24.814</v>
      </c>
      <c r="DS226">
        <v>24.619399999999999</v>
      </c>
      <c r="DT226">
        <v>30.1</v>
      </c>
      <c r="DU226">
        <v>29.3</v>
      </c>
      <c r="DV226">
        <v>12.4392</v>
      </c>
      <c r="DW226">
        <v>61.769799999999996</v>
      </c>
      <c r="DX226">
        <v>37.439900000000002</v>
      </c>
      <c r="DY226">
        <v>1</v>
      </c>
      <c r="DZ226">
        <v>-0.114566</v>
      </c>
      <c r="EA226">
        <v>0.27404099999999998</v>
      </c>
      <c r="EB226">
        <v>20.189499999999999</v>
      </c>
      <c r="EC226">
        <v>5.24125</v>
      </c>
      <c r="ED226">
        <v>12.039899999999999</v>
      </c>
      <c r="EE226">
        <v>5.0172499999999998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1.8646199999999999</v>
      </c>
      <c r="EM226">
        <v>1.8691800000000001</v>
      </c>
      <c r="EN226">
        <v>1.8672200000000001</v>
      </c>
      <c r="EO226">
        <v>1.8633900000000001</v>
      </c>
      <c r="EP226">
        <v>1.8644700000000001</v>
      </c>
      <c r="EQ226">
        <v>1.87012</v>
      </c>
      <c r="ER226">
        <v>1.8693599999999999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-8.9999999999999993E-3</v>
      </c>
      <c r="FG226">
        <v>0.1787</v>
      </c>
      <c r="FH226">
        <v>0.3448811944559278</v>
      </c>
      <c r="FI226">
        <v>-6.1462078757559423E-4</v>
      </c>
      <c r="FJ226">
        <v>-1.8861989874597051E-7</v>
      </c>
      <c r="FK226">
        <v>1.1980462299894961E-10</v>
      </c>
      <c r="FL226">
        <v>0.17862261546663211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45</v>
      </c>
      <c r="FU226">
        <v>45.1</v>
      </c>
      <c r="FV226">
        <v>1.7700199999999999</v>
      </c>
      <c r="FW226">
        <v>2.5964399999999999</v>
      </c>
      <c r="FX226">
        <v>1.5490699999999999</v>
      </c>
      <c r="FY226">
        <v>2.32544</v>
      </c>
      <c r="FZ226">
        <v>1.50146</v>
      </c>
      <c r="GA226">
        <v>2.34131</v>
      </c>
      <c r="GB226">
        <v>33.738100000000003</v>
      </c>
      <c r="GC226">
        <v>23.982399999999998</v>
      </c>
      <c r="GD226">
        <v>19</v>
      </c>
      <c r="GE226">
        <v>285.58499999999998</v>
      </c>
      <c r="GF226">
        <v>581.75</v>
      </c>
      <c r="GG226">
        <v>23.863399999999999</v>
      </c>
      <c r="GH226">
        <v>25.951599999999999</v>
      </c>
      <c r="GI226">
        <v>30.000299999999999</v>
      </c>
      <c r="GJ226">
        <v>26.099499999999999</v>
      </c>
      <c r="GK226">
        <v>26.0916</v>
      </c>
      <c r="GL226">
        <v>35.389099999999999</v>
      </c>
      <c r="GM226">
        <v>53.168100000000003</v>
      </c>
      <c r="GN226">
        <v>30.6951</v>
      </c>
      <c r="GO226">
        <v>23.837199999999999</v>
      </c>
      <c r="GP226">
        <v>800</v>
      </c>
      <c r="GQ226">
        <v>5.0717499999999998</v>
      </c>
      <c r="GR226">
        <v>99.816500000000005</v>
      </c>
      <c r="GS226">
        <v>99.6935</v>
      </c>
    </row>
    <row r="227" spans="1:201" x14ac:dyDescent="0.25">
      <c r="A227">
        <v>211</v>
      </c>
      <c r="B227">
        <v>1690231795</v>
      </c>
      <c r="C227">
        <v>2289.900000095367</v>
      </c>
      <c r="D227" t="s">
        <v>755</v>
      </c>
      <c r="E227" t="s">
        <v>756</v>
      </c>
      <c r="F227" t="s">
        <v>330</v>
      </c>
      <c r="H227">
        <v>1690231795</v>
      </c>
      <c r="I227">
        <f t="shared" si="90"/>
        <v>1.667827402473855E-3</v>
      </c>
      <c r="J227">
        <f t="shared" si="91"/>
        <v>1.6678274024738551</v>
      </c>
      <c r="K227">
        <f t="shared" si="92"/>
        <v>25.865462022927463</v>
      </c>
      <c r="L227">
        <f t="shared" si="93"/>
        <v>519.46600000000001</v>
      </c>
      <c r="M227">
        <f t="shared" si="94"/>
        <v>128.18066396482314</v>
      </c>
      <c r="N227">
        <f t="shared" si="95"/>
        <v>12.706604605697818</v>
      </c>
      <c r="O227">
        <f t="shared" si="96"/>
        <v>51.494889041258602</v>
      </c>
      <c r="P227">
        <f t="shared" si="97"/>
        <v>0.11057175479409974</v>
      </c>
      <c r="Q227">
        <f t="shared" si="98"/>
        <v>2.182580460663381</v>
      </c>
      <c r="R227">
        <f t="shared" si="99"/>
        <v>0.10755138538339999</v>
      </c>
      <c r="S227">
        <f t="shared" si="100"/>
        <v>6.7484112022011059E-2</v>
      </c>
      <c r="T227">
        <f t="shared" si="101"/>
        <v>276.11559244799997</v>
      </c>
      <c r="U227">
        <f t="shared" si="102"/>
        <v>27.498301846667012</v>
      </c>
      <c r="V227">
        <f t="shared" si="103"/>
        <v>27.498301846667012</v>
      </c>
      <c r="W227">
        <f t="shared" si="104"/>
        <v>3.6852568686078837</v>
      </c>
      <c r="X227">
        <f t="shared" si="105"/>
        <v>65.278911421762359</v>
      </c>
      <c r="Y227">
        <f t="shared" si="106"/>
        <v>2.1935978536816401</v>
      </c>
      <c r="Z227">
        <f t="shared" si="107"/>
        <v>3.3603468653283173</v>
      </c>
      <c r="AA227">
        <f t="shared" si="108"/>
        <v>1.4916590149262436</v>
      </c>
      <c r="AB227">
        <f t="shared" si="109"/>
        <v>-73.551188449097012</v>
      </c>
      <c r="AC227">
        <f t="shared" si="110"/>
        <v>-184.51427560306553</v>
      </c>
      <c r="AD227">
        <f t="shared" si="111"/>
        <v>-18.192654414189224</v>
      </c>
      <c r="AE227">
        <f t="shared" si="112"/>
        <v>-0.14252601835181622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52737.817999355269</v>
      </c>
      <c r="AK227">
        <f t="shared" si="116"/>
        <v>1800</v>
      </c>
      <c r="AL227">
        <f t="shared" si="117"/>
        <v>1499.1105078000001</v>
      </c>
      <c r="AM227">
        <f t="shared" si="118"/>
        <v>0.83283917100000004</v>
      </c>
      <c r="AN227">
        <f t="shared" si="119"/>
        <v>0.15339755136</v>
      </c>
      <c r="AO227">
        <v>31.5</v>
      </c>
      <c r="AP227">
        <v>0.5</v>
      </c>
      <c r="AQ227" t="s">
        <v>331</v>
      </c>
      <c r="AR227">
        <v>2</v>
      </c>
      <c r="AS227">
        <v>1690231795</v>
      </c>
      <c r="AT227">
        <v>519.46600000000001</v>
      </c>
      <c r="AU227">
        <v>800.01099999999997</v>
      </c>
      <c r="AV227">
        <v>22.128399999999999</v>
      </c>
      <c r="AW227">
        <v>5.0122299999999997</v>
      </c>
      <c r="AX227">
        <v>519.47500000000002</v>
      </c>
      <c r="AY227">
        <v>21.9497</v>
      </c>
      <c r="AZ227">
        <v>300.149</v>
      </c>
      <c r="BA227">
        <v>99.030500000000004</v>
      </c>
      <c r="BB227">
        <v>9.9932099999999996E-2</v>
      </c>
      <c r="BC227">
        <v>25.930199999999999</v>
      </c>
      <c r="BD227">
        <v>27.025400000000001</v>
      </c>
      <c r="BE227">
        <v>27.549600000000002</v>
      </c>
      <c r="BF227">
        <v>0</v>
      </c>
      <c r="BG227">
        <v>0</v>
      </c>
      <c r="BH227">
        <v>10036.9</v>
      </c>
      <c r="BI227">
        <v>1067.1099999999999</v>
      </c>
      <c r="BJ227">
        <v>1.28952</v>
      </c>
      <c r="BK227">
        <v>-280.54399999999998</v>
      </c>
      <c r="BL227">
        <v>531.22199999999998</v>
      </c>
      <c r="BM227">
        <v>804.04100000000005</v>
      </c>
      <c r="BN227">
        <v>17.116099999999999</v>
      </c>
      <c r="BO227">
        <v>800.01099999999997</v>
      </c>
      <c r="BP227">
        <v>5.0122299999999997</v>
      </c>
      <c r="BQ227">
        <v>2.1913800000000001</v>
      </c>
      <c r="BR227">
        <v>0.496363</v>
      </c>
      <c r="BS227">
        <v>18.8994</v>
      </c>
      <c r="BT227">
        <v>-2.8854799999999998</v>
      </c>
      <c r="BU227">
        <v>1800</v>
      </c>
      <c r="BV227">
        <v>0.90999300000000005</v>
      </c>
      <c r="BW227">
        <v>3.4003499999999999E-2</v>
      </c>
      <c r="BX227">
        <v>2.2002299999999999E-2</v>
      </c>
      <c r="BY227">
        <v>3.4000799999999998E-2</v>
      </c>
      <c r="BZ227">
        <v>25</v>
      </c>
      <c r="CA227">
        <v>33528.300000000003</v>
      </c>
      <c r="CB227">
        <v>1690229084.0999999</v>
      </c>
      <c r="CC227" t="s">
        <v>332</v>
      </c>
      <c r="CD227">
        <v>1690229084.0999999</v>
      </c>
      <c r="CE227">
        <v>1690229076.5999999</v>
      </c>
      <c r="CF227">
        <v>13</v>
      </c>
      <c r="CG227">
        <v>0.23300000000000001</v>
      </c>
      <c r="CH227">
        <v>-0.13100000000000001</v>
      </c>
      <c r="CI227">
        <v>-0.20599999999999999</v>
      </c>
      <c r="CJ227">
        <v>8.7999999999999995E-2</v>
      </c>
      <c r="CK227">
        <v>799</v>
      </c>
      <c r="CL227">
        <v>16</v>
      </c>
      <c r="CM227">
        <v>0.04</v>
      </c>
      <c r="CN227">
        <v>0.04</v>
      </c>
      <c r="CO227">
        <v>-280.55082499999997</v>
      </c>
      <c r="CP227">
        <v>-0.49813508442747179</v>
      </c>
      <c r="CQ227">
        <v>8.6243227995013827E-2</v>
      </c>
      <c r="CR227">
        <v>-1</v>
      </c>
      <c r="CS227">
        <v>17.11965</v>
      </c>
      <c r="CT227">
        <v>-4.588367729854422E-3</v>
      </c>
      <c r="CU227">
        <v>1.065976078530825E-2</v>
      </c>
      <c r="CV227">
        <v>-1</v>
      </c>
      <c r="CW227">
        <v>0</v>
      </c>
      <c r="CX227">
        <v>0</v>
      </c>
      <c r="CY227" t="s">
        <v>333</v>
      </c>
      <c r="CZ227">
        <v>2.3647999999999998</v>
      </c>
      <c r="DA227">
        <v>2.7137600000000002</v>
      </c>
      <c r="DB227">
        <v>0.108684</v>
      </c>
      <c r="DC227">
        <v>0.14608199999999999</v>
      </c>
      <c r="DD227">
        <v>0.107571</v>
      </c>
      <c r="DE227">
        <v>3.4019099999999997E-2</v>
      </c>
      <c r="DF227">
        <v>32570.5</v>
      </c>
      <c r="DG227">
        <v>27553.200000000001</v>
      </c>
      <c r="DH227">
        <v>31195</v>
      </c>
      <c r="DI227">
        <v>28115.3</v>
      </c>
      <c r="DJ227">
        <v>37798.199999999997</v>
      </c>
      <c r="DK227">
        <v>38627.300000000003</v>
      </c>
      <c r="DL227">
        <v>44398.2</v>
      </c>
      <c r="DM227">
        <v>42617.5</v>
      </c>
      <c r="DN227">
        <v>1.4850300000000001</v>
      </c>
      <c r="DO227">
        <v>2.03803</v>
      </c>
      <c r="DP227">
        <v>0.13511300000000001</v>
      </c>
      <c r="DQ227">
        <v>0.17885499999999999</v>
      </c>
      <c r="DR227">
        <v>24.811900000000001</v>
      </c>
      <c r="DS227">
        <v>24.620200000000001</v>
      </c>
      <c r="DT227">
        <v>30</v>
      </c>
      <c r="DU227">
        <v>29.3</v>
      </c>
      <c r="DV227">
        <v>12.3956</v>
      </c>
      <c r="DW227">
        <v>60.649799999999999</v>
      </c>
      <c r="DX227">
        <v>37.387799999999999</v>
      </c>
      <c r="DY227">
        <v>1</v>
      </c>
      <c r="DZ227">
        <v>-0.11438</v>
      </c>
      <c r="EA227">
        <v>0.37961899999999998</v>
      </c>
      <c r="EB227">
        <v>20.189</v>
      </c>
      <c r="EC227">
        <v>5.2415500000000002</v>
      </c>
      <c r="ED227">
        <v>12.039899999999999</v>
      </c>
      <c r="EE227">
        <v>5.0172999999999996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</v>
      </c>
      <c r="EL227">
        <v>1.8646199999999999</v>
      </c>
      <c r="EM227">
        <v>1.8692</v>
      </c>
      <c r="EN227">
        <v>1.8672200000000001</v>
      </c>
      <c r="EO227">
        <v>1.8633900000000001</v>
      </c>
      <c r="EP227">
        <v>1.8644700000000001</v>
      </c>
      <c r="EQ227">
        <v>1.8701300000000001</v>
      </c>
      <c r="ER227">
        <v>1.86937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-8.9999999999999993E-3</v>
      </c>
      <c r="FG227">
        <v>0.1787</v>
      </c>
      <c r="FH227">
        <v>0.3448811944559278</v>
      </c>
      <c r="FI227">
        <v>-6.1462078757559423E-4</v>
      </c>
      <c r="FJ227">
        <v>-1.8861989874597051E-7</v>
      </c>
      <c r="FK227">
        <v>1.1980462299894961E-10</v>
      </c>
      <c r="FL227">
        <v>0.17862261546663211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45.2</v>
      </c>
      <c r="FU227">
        <v>45.3</v>
      </c>
      <c r="FV227">
        <v>1.7700199999999999</v>
      </c>
      <c r="FW227">
        <v>2.5952099999999998</v>
      </c>
      <c r="FX227">
        <v>1.5490699999999999</v>
      </c>
      <c r="FY227">
        <v>2.32544</v>
      </c>
      <c r="FZ227">
        <v>1.50146</v>
      </c>
      <c r="GA227">
        <v>2.36694</v>
      </c>
      <c r="GB227">
        <v>33.738100000000003</v>
      </c>
      <c r="GC227">
        <v>23.982399999999998</v>
      </c>
      <c r="GD227">
        <v>19</v>
      </c>
      <c r="GE227">
        <v>285.52100000000002</v>
      </c>
      <c r="GF227">
        <v>581.70500000000004</v>
      </c>
      <c r="GG227">
        <v>23.822199999999999</v>
      </c>
      <c r="GH227">
        <v>25.949400000000001</v>
      </c>
      <c r="GI227">
        <v>30.0002</v>
      </c>
      <c r="GJ227">
        <v>26.097300000000001</v>
      </c>
      <c r="GK227">
        <v>26.089400000000001</v>
      </c>
      <c r="GL227">
        <v>35.387999999999998</v>
      </c>
      <c r="GM227">
        <v>53.168100000000003</v>
      </c>
      <c r="GN227">
        <v>30.322299999999998</v>
      </c>
      <c r="GO227">
        <v>23.7898</v>
      </c>
      <c r="GP227">
        <v>800</v>
      </c>
      <c r="GQ227">
        <v>5.0678599999999996</v>
      </c>
      <c r="GR227">
        <v>99.816900000000004</v>
      </c>
      <c r="GS227">
        <v>99.692999999999998</v>
      </c>
    </row>
    <row r="228" spans="1:201" x14ac:dyDescent="0.25">
      <c r="A228">
        <v>212</v>
      </c>
      <c r="B228">
        <v>1690231805</v>
      </c>
      <c r="C228">
        <v>2299.900000095367</v>
      </c>
      <c r="D228" t="s">
        <v>757</v>
      </c>
      <c r="E228" t="s">
        <v>758</v>
      </c>
      <c r="F228" t="s">
        <v>330</v>
      </c>
      <c r="H228">
        <v>1690231805</v>
      </c>
      <c r="I228">
        <f t="shared" si="90"/>
        <v>1.6675673812863157E-3</v>
      </c>
      <c r="J228">
        <f t="shared" si="91"/>
        <v>1.6675673812863157</v>
      </c>
      <c r="K228">
        <f t="shared" si="92"/>
        <v>25.859007307018235</v>
      </c>
      <c r="L228">
        <f t="shared" si="93"/>
        <v>519.36500000000001</v>
      </c>
      <c r="M228">
        <f t="shared" si="94"/>
        <v>127.57332537653572</v>
      </c>
      <c r="N228">
        <f t="shared" si="95"/>
        <v>12.645659441258667</v>
      </c>
      <c r="O228">
        <f t="shared" si="96"/>
        <v>51.481866576140007</v>
      </c>
      <c r="P228">
        <f t="shared" si="97"/>
        <v>0.1104014355144296</v>
      </c>
      <c r="Q228">
        <f t="shared" si="98"/>
        <v>2.1772031750464524</v>
      </c>
      <c r="R228">
        <f t="shared" si="99"/>
        <v>0.10738300919530576</v>
      </c>
      <c r="S228">
        <f t="shared" si="100"/>
        <v>6.7378700573307679E-2</v>
      </c>
      <c r="T228">
        <f t="shared" si="101"/>
        <v>276.115738212</v>
      </c>
      <c r="U228">
        <f t="shared" si="102"/>
        <v>27.503416866929541</v>
      </c>
      <c r="V228">
        <f t="shared" si="103"/>
        <v>27.503416866929541</v>
      </c>
      <c r="W228">
        <f t="shared" si="104"/>
        <v>3.6863600234291987</v>
      </c>
      <c r="X228">
        <f t="shared" si="105"/>
        <v>65.245996431827507</v>
      </c>
      <c r="Y228">
        <f t="shared" si="106"/>
        <v>2.192686510638</v>
      </c>
      <c r="Z228">
        <f t="shared" si="107"/>
        <v>3.3606452971088201</v>
      </c>
      <c r="AA228">
        <f t="shared" si="108"/>
        <v>1.4936735127911986</v>
      </c>
      <c r="AB228">
        <f t="shared" si="109"/>
        <v>-73.539721514726523</v>
      </c>
      <c r="AC228">
        <f t="shared" si="110"/>
        <v>-184.48400412760543</v>
      </c>
      <c r="AD228">
        <f t="shared" si="111"/>
        <v>-18.235199077422774</v>
      </c>
      <c r="AE228">
        <f t="shared" si="112"/>
        <v>-0.14318650775470587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52513.853616401335</v>
      </c>
      <c r="AK228">
        <f t="shared" si="116"/>
        <v>1800</v>
      </c>
      <c r="AL228">
        <f t="shared" si="117"/>
        <v>1499.1114671999999</v>
      </c>
      <c r="AM228">
        <f t="shared" si="118"/>
        <v>0.83283970399999996</v>
      </c>
      <c r="AN228">
        <f t="shared" si="119"/>
        <v>0.15339763234000001</v>
      </c>
      <c r="AO228">
        <v>31.5</v>
      </c>
      <c r="AP228">
        <v>0.5</v>
      </c>
      <c r="AQ228" t="s">
        <v>331</v>
      </c>
      <c r="AR228">
        <v>2</v>
      </c>
      <c r="AS228">
        <v>1690231805</v>
      </c>
      <c r="AT228">
        <v>519.36500000000001</v>
      </c>
      <c r="AU228">
        <v>799.88300000000004</v>
      </c>
      <c r="AV228">
        <v>22.1205</v>
      </c>
      <c r="AW228">
        <v>5.0041799999999999</v>
      </c>
      <c r="AX228">
        <v>519.37300000000005</v>
      </c>
      <c r="AY228">
        <v>21.9419</v>
      </c>
      <c r="AZ228">
        <v>300.10199999999998</v>
      </c>
      <c r="BA228">
        <v>99.024600000000007</v>
      </c>
      <c r="BB228">
        <v>0.100036</v>
      </c>
      <c r="BC228">
        <v>25.931699999999999</v>
      </c>
      <c r="BD228">
        <v>26.9757</v>
      </c>
      <c r="BE228">
        <v>27.553699999999999</v>
      </c>
      <c r="BF228">
        <v>0</v>
      </c>
      <c r="BG228">
        <v>0</v>
      </c>
      <c r="BH228">
        <v>9993.1200000000008</v>
      </c>
      <c r="BI228">
        <v>1066.98</v>
      </c>
      <c r="BJ228">
        <v>1.28952</v>
      </c>
      <c r="BK228">
        <v>-280.51799999999997</v>
      </c>
      <c r="BL228">
        <v>531.11300000000006</v>
      </c>
      <c r="BM228">
        <v>803.90599999999995</v>
      </c>
      <c r="BN228">
        <v>17.116299999999999</v>
      </c>
      <c r="BO228">
        <v>799.88300000000004</v>
      </c>
      <c r="BP228">
        <v>5.0041799999999999</v>
      </c>
      <c r="BQ228">
        <v>2.1904699999999999</v>
      </c>
      <c r="BR228">
        <v>0.49553700000000001</v>
      </c>
      <c r="BS228">
        <v>18.892800000000001</v>
      </c>
      <c r="BT228">
        <v>-2.9078599999999999</v>
      </c>
      <c r="BU228">
        <v>1800</v>
      </c>
      <c r="BV228">
        <v>0.90999399999999997</v>
      </c>
      <c r="BW228">
        <v>3.4003400000000003E-2</v>
      </c>
      <c r="BX228">
        <v>2.20022E-2</v>
      </c>
      <c r="BY228">
        <v>3.4000599999999999E-2</v>
      </c>
      <c r="BZ228">
        <v>25</v>
      </c>
      <c r="CA228">
        <v>33528.300000000003</v>
      </c>
      <c r="CB228">
        <v>1690229084.0999999</v>
      </c>
      <c r="CC228" t="s">
        <v>332</v>
      </c>
      <c r="CD228">
        <v>1690229084.0999999</v>
      </c>
      <c r="CE228">
        <v>1690229076.5999999</v>
      </c>
      <c r="CF228">
        <v>13</v>
      </c>
      <c r="CG228">
        <v>0.23300000000000001</v>
      </c>
      <c r="CH228">
        <v>-0.13100000000000001</v>
      </c>
      <c r="CI228">
        <v>-0.20599999999999999</v>
      </c>
      <c r="CJ228">
        <v>8.7999999999999995E-2</v>
      </c>
      <c r="CK228">
        <v>799</v>
      </c>
      <c r="CL228">
        <v>16</v>
      </c>
      <c r="CM228">
        <v>0.04</v>
      </c>
      <c r="CN228">
        <v>0.04</v>
      </c>
      <c r="CO228">
        <v>-280.6096097560976</v>
      </c>
      <c r="CP228">
        <v>-5.128222996606923E-2</v>
      </c>
      <c r="CQ228">
        <v>7.725026736043128E-2</v>
      </c>
      <c r="CR228">
        <v>-1</v>
      </c>
      <c r="CS228">
        <v>17.124797560975608</v>
      </c>
      <c r="CT228">
        <v>-8.6487804878020783E-3</v>
      </c>
      <c r="CU228">
        <v>1.0428303133601361E-2</v>
      </c>
      <c r="CV228">
        <v>-1</v>
      </c>
      <c r="CW228">
        <v>0</v>
      </c>
      <c r="CX228">
        <v>0</v>
      </c>
      <c r="CY228" t="s">
        <v>333</v>
      </c>
      <c r="CZ228">
        <v>2.3646500000000001</v>
      </c>
      <c r="DA228">
        <v>2.7138200000000001</v>
      </c>
      <c r="DB228">
        <v>0.108663</v>
      </c>
      <c r="DC228">
        <v>0.14605799999999999</v>
      </c>
      <c r="DD228">
        <v>0.10753799999999999</v>
      </c>
      <c r="DE228">
        <v>3.3971899999999999E-2</v>
      </c>
      <c r="DF228">
        <v>32571.3</v>
      </c>
      <c r="DG228">
        <v>27553.5</v>
      </c>
      <c r="DH228">
        <v>31195</v>
      </c>
      <c r="DI228">
        <v>28114.799999999999</v>
      </c>
      <c r="DJ228">
        <v>37799.800000000003</v>
      </c>
      <c r="DK228">
        <v>38628.5</v>
      </c>
      <c r="DL228">
        <v>44398.400000000001</v>
      </c>
      <c r="DM228">
        <v>42616.800000000003</v>
      </c>
      <c r="DN228">
        <v>1.48532</v>
      </c>
      <c r="DO228">
        <v>2.0385499999999999</v>
      </c>
      <c r="DP228">
        <v>0.13208400000000001</v>
      </c>
      <c r="DQ228">
        <v>0.17910499999999999</v>
      </c>
      <c r="DR228">
        <v>24.811599999999999</v>
      </c>
      <c r="DS228">
        <v>24.620200000000001</v>
      </c>
      <c r="DT228">
        <v>29.8</v>
      </c>
      <c r="DU228">
        <v>29.3</v>
      </c>
      <c r="DV228">
        <v>12.3131</v>
      </c>
      <c r="DW228">
        <v>61.569800000000001</v>
      </c>
      <c r="DX228">
        <v>37.387799999999999</v>
      </c>
      <c r="DY228">
        <v>1</v>
      </c>
      <c r="DZ228">
        <v>-0.114372</v>
      </c>
      <c r="EA228">
        <v>0.37165900000000002</v>
      </c>
      <c r="EB228">
        <v>20.1891</v>
      </c>
      <c r="EC228">
        <v>5.2409499999999998</v>
      </c>
      <c r="ED228">
        <v>12.039899999999999</v>
      </c>
      <c r="EE228">
        <v>5.0173500000000004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</v>
      </c>
      <c r="EL228">
        <v>1.8646199999999999</v>
      </c>
      <c r="EM228">
        <v>1.86917</v>
      </c>
      <c r="EN228">
        <v>1.8672200000000001</v>
      </c>
      <c r="EO228">
        <v>1.86338</v>
      </c>
      <c r="EP228">
        <v>1.8644700000000001</v>
      </c>
      <c r="EQ228">
        <v>1.87012</v>
      </c>
      <c r="ER228">
        <v>1.86938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-8.0000000000000002E-3</v>
      </c>
      <c r="FG228">
        <v>0.17860000000000001</v>
      </c>
      <c r="FH228">
        <v>0.3448811944559278</v>
      </c>
      <c r="FI228">
        <v>-6.1462078757559423E-4</v>
      </c>
      <c r="FJ228">
        <v>-1.8861989874597051E-7</v>
      </c>
      <c r="FK228">
        <v>1.1980462299894961E-10</v>
      </c>
      <c r="FL228">
        <v>0.17862261546663211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45.3</v>
      </c>
      <c r="FU228">
        <v>45.5</v>
      </c>
      <c r="FV228">
        <v>1.7700199999999999</v>
      </c>
      <c r="FW228">
        <v>2.5903299999999998</v>
      </c>
      <c r="FX228">
        <v>1.5490699999999999</v>
      </c>
      <c r="FY228">
        <v>2.32544</v>
      </c>
      <c r="FZ228">
        <v>1.50146</v>
      </c>
      <c r="GA228">
        <v>2.34375</v>
      </c>
      <c r="GB228">
        <v>33.738100000000003</v>
      </c>
      <c r="GC228">
        <v>23.982399999999998</v>
      </c>
      <c r="GD228">
        <v>19</v>
      </c>
      <c r="GE228">
        <v>285.64100000000002</v>
      </c>
      <c r="GF228">
        <v>582.11199999999997</v>
      </c>
      <c r="GG228">
        <v>23.7761</v>
      </c>
      <c r="GH228">
        <v>25.947199999999999</v>
      </c>
      <c r="GI228">
        <v>30.0001</v>
      </c>
      <c r="GJ228">
        <v>26.095300000000002</v>
      </c>
      <c r="GK228">
        <v>26.087199999999999</v>
      </c>
      <c r="GL228">
        <v>35.388500000000001</v>
      </c>
      <c r="GM228">
        <v>52.890799999999999</v>
      </c>
      <c r="GN228">
        <v>29.936800000000002</v>
      </c>
      <c r="GO228">
        <v>23.814</v>
      </c>
      <c r="GP228">
        <v>800</v>
      </c>
      <c r="GQ228">
        <v>5.0560900000000002</v>
      </c>
      <c r="GR228">
        <v>99.817300000000003</v>
      </c>
      <c r="GS228">
        <v>99.691299999999998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2023-07-24T20:52:19Z</dcterms:created>
  <dcterms:modified xsi:type="dcterms:W3CDTF">2023-07-24T22:19:55Z</dcterms:modified>
</cp:coreProperties>
</file>