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leakiness 2023 07 25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6" i="1" l="1"/>
  <c r="AM226" i="1"/>
  <c r="AL226" i="1"/>
  <c r="AK226" i="1"/>
  <c r="AJ226" i="1"/>
  <c r="AH226" i="1"/>
  <c r="Z226" i="1"/>
  <c r="Y226" i="1"/>
  <c r="X226" i="1"/>
  <c r="T226" i="1"/>
  <c r="Q226" i="1"/>
  <c r="AN225" i="1"/>
  <c r="T225" i="1" s="1"/>
  <c r="AM225" i="1"/>
  <c r="AL225" i="1"/>
  <c r="AK225" i="1"/>
  <c r="AJ225" i="1"/>
  <c r="AH225" i="1" s="1"/>
  <c r="Z225" i="1"/>
  <c r="X225" i="1" s="1"/>
  <c r="Y225" i="1"/>
  <c r="Q225" i="1"/>
  <c r="O225" i="1"/>
  <c r="AN224" i="1"/>
  <c r="AM224" i="1"/>
  <c r="AL224" i="1"/>
  <c r="AK224" i="1"/>
  <c r="AJ224" i="1"/>
  <c r="AH224" i="1"/>
  <c r="J224" i="1" s="1"/>
  <c r="I224" i="1" s="1"/>
  <c r="AB224" i="1"/>
  <c r="Z224" i="1"/>
  <c r="Y224" i="1"/>
  <c r="X224" i="1"/>
  <c r="U224" i="1"/>
  <c r="V224" i="1" s="1"/>
  <c r="T224" i="1"/>
  <c r="Q224" i="1"/>
  <c r="L224" i="1"/>
  <c r="AN223" i="1"/>
  <c r="AM223" i="1"/>
  <c r="AK223" i="1"/>
  <c r="AJ223" i="1"/>
  <c r="AH223" i="1" s="1"/>
  <c r="Z223" i="1"/>
  <c r="X223" i="1" s="1"/>
  <c r="Y223" i="1"/>
  <c r="Q223" i="1"/>
  <c r="K223" i="1"/>
  <c r="J223" i="1"/>
  <c r="I223" i="1" s="1"/>
  <c r="AB223" i="1" s="1"/>
  <c r="AN222" i="1"/>
  <c r="AM222" i="1"/>
  <c r="AL222" i="1"/>
  <c r="AK222" i="1"/>
  <c r="AJ222" i="1"/>
  <c r="AH222" i="1"/>
  <c r="Z222" i="1"/>
  <c r="Y222" i="1"/>
  <c r="X222" i="1"/>
  <c r="T222" i="1"/>
  <c r="Q222" i="1"/>
  <c r="L222" i="1"/>
  <c r="AN221" i="1"/>
  <c r="T221" i="1" s="1"/>
  <c r="AM221" i="1"/>
  <c r="AL221" i="1"/>
  <c r="AK221" i="1"/>
  <c r="AJ221" i="1"/>
  <c r="AH221" i="1" s="1"/>
  <c r="O221" i="1" s="1"/>
  <c r="Z221" i="1"/>
  <c r="Y221" i="1"/>
  <c r="Q221" i="1"/>
  <c r="J221" i="1"/>
  <c r="I221" i="1" s="1"/>
  <c r="AB221" i="1" s="1"/>
  <c r="AN220" i="1"/>
  <c r="AM220" i="1"/>
  <c r="AL220" i="1"/>
  <c r="AK220" i="1"/>
  <c r="AJ220" i="1"/>
  <c r="AH220" i="1"/>
  <c r="L220" i="1" s="1"/>
  <c r="Z220" i="1"/>
  <c r="Y220" i="1"/>
  <c r="X220" i="1"/>
  <c r="T220" i="1"/>
  <c r="Q220" i="1"/>
  <c r="AN219" i="1"/>
  <c r="AM219" i="1"/>
  <c r="AK219" i="1"/>
  <c r="AJ219" i="1"/>
  <c r="AH219" i="1" s="1"/>
  <c r="K219" i="1" s="1"/>
  <c r="Z219" i="1"/>
  <c r="X219" i="1" s="1"/>
  <c r="Y219" i="1"/>
  <c r="Q219" i="1"/>
  <c r="J219" i="1"/>
  <c r="I219" i="1" s="1"/>
  <c r="AB219" i="1" s="1"/>
  <c r="AN218" i="1"/>
  <c r="AM218" i="1"/>
  <c r="AL218" i="1"/>
  <c r="AK218" i="1"/>
  <c r="AJ218" i="1"/>
  <c r="AH218" i="1"/>
  <c r="Z218" i="1"/>
  <c r="Y218" i="1"/>
  <c r="X218" i="1"/>
  <c r="T218" i="1"/>
  <c r="Q218" i="1"/>
  <c r="L218" i="1"/>
  <c r="AN217" i="1"/>
  <c r="T217" i="1" s="1"/>
  <c r="AM217" i="1"/>
  <c r="AL217" i="1"/>
  <c r="AK217" i="1"/>
  <c r="AJ217" i="1"/>
  <c r="AH217" i="1" s="1"/>
  <c r="O217" i="1" s="1"/>
  <c r="Z217" i="1"/>
  <c r="Y217" i="1"/>
  <c r="Q217" i="1"/>
  <c r="AN216" i="1"/>
  <c r="AM216" i="1"/>
  <c r="AL216" i="1"/>
  <c r="AK216" i="1"/>
  <c r="AJ216" i="1"/>
  <c r="AH216" i="1"/>
  <c r="Z216" i="1"/>
  <c r="Y216" i="1"/>
  <c r="X216" i="1"/>
  <c r="T216" i="1"/>
  <c r="Q216" i="1"/>
  <c r="L216" i="1"/>
  <c r="AN215" i="1"/>
  <c r="AM215" i="1"/>
  <c r="AK215" i="1"/>
  <c r="AJ215" i="1"/>
  <c r="AH215" i="1" s="1"/>
  <c r="K215" i="1" s="1"/>
  <c r="Z215" i="1"/>
  <c r="X215" i="1" s="1"/>
  <c r="Y215" i="1"/>
  <c r="Q215" i="1"/>
  <c r="AN214" i="1"/>
  <c r="AM214" i="1"/>
  <c r="AL214" i="1"/>
  <c r="AK214" i="1"/>
  <c r="AJ214" i="1"/>
  <c r="AH214" i="1"/>
  <c r="Z214" i="1"/>
  <c r="Y214" i="1"/>
  <c r="X214" i="1"/>
  <c r="T214" i="1"/>
  <c r="Q214" i="1"/>
  <c r="L214" i="1"/>
  <c r="AN213" i="1"/>
  <c r="T213" i="1" s="1"/>
  <c r="AM213" i="1"/>
  <c r="AL213" i="1"/>
  <c r="AK213" i="1"/>
  <c r="AJ213" i="1"/>
  <c r="AH213" i="1" s="1"/>
  <c r="O213" i="1" s="1"/>
  <c r="Z213" i="1"/>
  <c r="Y213" i="1"/>
  <c r="Q213" i="1"/>
  <c r="AN212" i="1"/>
  <c r="AM212" i="1"/>
  <c r="AL212" i="1"/>
  <c r="AK212" i="1"/>
  <c r="AJ212" i="1"/>
  <c r="AH212" i="1"/>
  <c r="Z212" i="1"/>
  <c r="Y212" i="1"/>
  <c r="X212" i="1"/>
  <c r="T212" i="1"/>
  <c r="Q212" i="1"/>
  <c r="L212" i="1"/>
  <c r="AN211" i="1"/>
  <c r="AM211" i="1"/>
  <c r="AK211" i="1"/>
  <c r="AJ211" i="1"/>
  <c r="AH211" i="1" s="1"/>
  <c r="K211" i="1" s="1"/>
  <c r="Z211" i="1"/>
  <c r="X211" i="1" s="1"/>
  <c r="Y211" i="1"/>
  <c r="Q211" i="1"/>
  <c r="AN210" i="1"/>
  <c r="AM210" i="1"/>
  <c r="AL210" i="1"/>
  <c r="AK210" i="1"/>
  <c r="AJ210" i="1"/>
  <c r="AH210" i="1"/>
  <c r="Z210" i="1"/>
  <c r="Y210" i="1"/>
  <c r="X210" i="1"/>
  <c r="T210" i="1"/>
  <c r="Q210" i="1"/>
  <c r="L210" i="1"/>
  <c r="AN209" i="1"/>
  <c r="T209" i="1" s="1"/>
  <c r="AM209" i="1"/>
  <c r="AL209" i="1"/>
  <c r="AK209" i="1"/>
  <c r="AJ209" i="1"/>
  <c r="AH209" i="1" s="1"/>
  <c r="O209" i="1" s="1"/>
  <c r="Z209" i="1"/>
  <c r="Y209" i="1"/>
  <c r="Q209" i="1"/>
  <c r="AN208" i="1"/>
  <c r="AM208" i="1"/>
  <c r="AL208" i="1"/>
  <c r="AK208" i="1"/>
  <c r="AJ208" i="1"/>
  <c r="AH208" i="1"/>
  <c r="Z208" i="1"/>
  <c r="Y208" i="1"/>
  <c r="X208" i="1"/>
  <c r="T208" i="1"/>
  <c r="U208" i="1" s="1"/>
  <c r="V208" i="1" s="1"/>
  <c r="Q208" i="1"/>
  <c r="L208" i="1"/>
  <c r="J208" i="1"/>
  <c r="I208" i="1" s="1"/>
  <c r="AN207" i="1"/>
  <c r="AM207" i="1"/>
  <c r="AK207" i="1"/>
  <c r="AJ207" i="1"/>
  <c r="AH207" i="1"/>
  <c r="K207" i="1" s="1"/>
  <c r="Z207" i="1"/>
  <c r="X207" i="1" s="1"/>
  <c r="Y207" i="1"/>
  <c r="Q207" i="1"/>
  <c r="J207" i="1"/>
  <c r="I207" i="1" s="1"/>
  <c r="AB207" i="1" s="1"/>
  <c r="AN206" i="1"/>
  <c r="AM206" i="1"/>
  <c r="AL206" i="1"/>
  <c r="AK206" i="1"/>
  <c r="AJ206" i="1"/>
  <c r="AI206" i="1"/>
  <c r="AH206" i="1"/>
  <c r="Z206" i="1"/>
  <c r="Y206" i="1"/>
  <c r="X206" i="1" s="1"/>
  <c r="T206" i="1"/>
  <c r="Q206" i="1"/>
  <c r="L206" i="1"/>
  <c r="AN205" i="1"/>
  <c r="AM205" i="1"/>
  <c r="AL205" i="1"/>
  <c r="AK205" i="1"/>
  <c r="AJ205" i="1"/>
  <c r="AH205" i="1" s="1"/>
  <c r="O205" i="1" s="1"/>
  <c r="Z205" i="1"/>
  <c r="Y205" i="1"/>
  <c r="X205" i="1" s="1"/>
  <c r="T205" i="1"/>
  <c r="Q205" i="1"/>
  <c r="J205" i="1"/>
  <c r="I205" i="1" s="1"/>
  <c r="AN204" i="1"/>
  <c r="AM204" i="1"/>
  <c r="AL204" i="1"/>
  <c r="AK204" i="1"/>
  <c r="AJ204" i="1"/>
  <c r="AH204" i="1"/>
  <c r="Z204" i="1"/>
  <c r="Y204" i="1"/>
  <c r="X204" i="1"/>
  <c r="T204" i="1"/>
  <c r="U204" i="1" s="1"/>
  <c r="V204" i="1" s="1"/>
  <c r="Q204" i="1"/>
  <c r="AC204" i="1" s="1"/>
  <c r="J204" i="1"/>
  <c r="I204" i="1"/>
  <c r="AN203" i="1"/>
  <c r="AM203" i="1"/>
  <c r="AK203" i="1"/>
  <c r="AJ203" i="1"/>
  <c r="AH203" i="1"/>
  <c r="K203" i="1" s="1"/>
  <c r="Z203" i="1"/>
  <c r="X203" i="1" s="1"/>
  <c r="Y203" i="1"/>
  <c r="Q203" i="1"/>
  <c r="J203" i="1"/>
  <c r="I203" i="1" s="1"/>
  <c r="AN202" i="1"/>
  <c r="AM202" i="1"/>
  <c r="AK202" i="1"/>
  <c r="AL202" i="1" s="1"/>
  <c r="AJ202" i="1"/>
  <c r="AH202" i="1"/>
  <c r="Z202" i="1"/>
  <c r="Y202" i="1"/>
  <c r="X202" i="1" s="1"/>
  <c r="T202" i="1"/>
  <c r="Q202" i="1"/>
  <c r="L202" i="1"/>
  <c r="K202" i="1"/>
  <c r="AN201" i="1"/>
  <c r="AM201" i="1"/>
  <c r="AK201" i="1"/>
  <c r="AL201" i="1" s="1"/>
  <c r="AJ201" i="1"/>
  <c r="AH201" i="1" s="1"/>
  <c r="AI201" i="1"/>
  <c r="Z201" i="1"/>
  <c r="Y201" i="1"/>
  <c r="X201" i="1" s="1"/>
  <c r="T201" i="1"/>
  <c r="Q201" i="1"/>
  <c r="O201" i="1"/>
  <c r="L201" i="1"/>
  <c r="K201" i="1"/>
  <c r="J201" i="1"/>
  <c r="I201" i="1" s="1"/>
  <c r="AN200" i="1"/>
  <c r="AM200" i="1"/>
  <c r="AL200" i="1" s="1"/>
  <c r="AK200" i="1"/>
  <c r="AJ200" i="1"/>
  <c r="AH200" i="1"/>
  <c r="Z200" i="1"/>
  <c r="Y200" i="1"/>
  <c r="X200" i="1" s="1"/>
  <c r="T200" i="1"/>
  <c r="Q200" i="1"/>
  <c r="AN199" i="1"/>
  <c r="AM199" i="1"/>
  <c r="AK199" i="1"/>
  <c r="AJ199" i="1"/>
  <c r="AH199" i="1"/>
  <c r="Z199" i="1"/>
  <c r="Y199" i="1"/>
  <c r="X199" i="1"/>
  <c r="Q199" i="1"/>
  <c r="AN198" i="1"/>
  <c r="AM198" i="1"/>
  <c r="AK198" i="1"/>
  <c r="AJ198" i="1"/>
  <c r="AI198" i="1"/>
  <c r="AH198" i="1"/>
  <c r="L198" i="1" s="1"/>
  <c r="Z198" i="1"/>
  <c r="Y198" i="1"/>
  <c r="X198" i="1" s="1"/>
  <c r="Q198" i="1"/>
  <c r="O198" i="1"/>
  <c r="K198" i="1"/>
  <c r="J198" i="1"/>
  <c r="I198" i="1" s="1"/>
  <c r="AN197" i="1"/>
  <c r="AM197" i="1"/>
  <c r="AK197" i="1"/>
  <c r="AL197" i="1" s="1"/>
  <c r="AJ197" i="1"/>
  <c r="AH197" i="1"/>
  <c r="Z197" i="1"/>
  <c r="Y197" i="1"/>
  <c r="X197" i="1"/>
  <c r="Q197" i="1"/>
  <c r="AN196" i="1"/>
  <c r="T196" i="1" s="1"/>
  <c r="AM196" i="1"/>
  <c r="AL196" i="1"/>
  <c r="AK196" i="1"/>
  <c r="AJ196" i="1"/>
  <c r="AI196" i="1"/>
  <c r="AH196" i="1"/>
  <c r="AB196" i="1"/>
  <c r="Z196" i="1"/>
  <c r="Y196" i="1"/>
  <c r="X196" i="1" s="1"/>
  <c r="Q196" i="1"/>
  <c r="O196" i="1"/>
  <c r="L196" i="1"/>
  <c r="K196" i="1"/>
  <c r="J196" i="1"/>
  <c r="I196" i="1"/>
  <c r="AN195" i="1"/>
  <c r="AM195" i="1"/>
  <c r="AL195" i="1"/>
  <c r="AK195" i="1"/>
  <c r="AJ195" i="1"/>
  <c r="AH195" i="1" s="1"/>
  <c r="Z195" i="1"/>
  <c r="Y195" i="1"/>
  <c r="X195" i="1" s="1"/>
  <c r="T195" i="1"/>
  <c r="Q195" i="1"/>
  <c r="L195" i="1"/>
  <c r="AN194" i="1"/>
  <c r="AM194" i="1"/>
  <c r="AK194" i="1"/>
  <c r="AL194" i="1" s="1"/>
  <c r="AJ194" i="1"/>
  <c r="AH194" i="1" s="1"/>
  <c r="Z194" i="1"/>
  <c r="Y194" i="1"/>
  <c r="X194" i="1"/>
  <c r="Q194" i="1"/>
  <c r="J194" i="1"/>
  <c r="I194" i="1" s="1"/>
  <c r="AN193" i="1"/>
  <c r="AM193" i="1"/>
  <c r="AK193" i="1"/>
  <c r="AL193" i="1" s="1"/>
  <c r="AJ193" i="1"/>
  <c r="AH193" i="1"/>
  <c r="Z193" i="1"/>
  <c r="Y193" i="1"/>
  <c r="X193" i="1"/>
  <c r="Q193" i="1"/>
  <c r="AN192" i="1"/>
  <c r="AM192" i="1"/>
  <c r="AL192" i="1"/>
  <c r="AK192" i="1"/>
  <c r="AJ192" i="1"/>
  <c r="AH192" i="1" s="1"/>
  <c r="L192" i="1" s="1"/>
  <c r="Z192" i="1"/>
  <c r="Y192" i="1"/>
  <c r="X192" i="1" s="1"/>
  <c r="T192" i="1"/>
  <c r="Q192" i="1"/>
  <c r="AN191" i="1"/>
  <c r="AM191" i="1"/>
  <c r="AL191" i="1"/>
  <c r="AK191" i="1"/>
  <c r="AJ191" i="1"/>
  <c r="AH191" i="1" s="1"/>
  <c r="Z191" i="1"/>
  <c r="Y191" i="1"/>
  <c r="T191" i="1"/>
  <c r="Q191" i="1"/>
  <c r="AN190" i="1"/>
  <c r="AM190" i="1"/>
  <c r="AK190" i="1"/>
  <c r="AL190" i="1" s="1"/>
  <c r="AJ190" i="1"/>
  <c r="AH190" i="1"/>
  <c r="Z190" i="1"/>
  <c r="Y190" i="1"/>
  <c r="X190" i="1"/>
  <c r="Q190" i="1"/>
  <c r="J190" i="1"/>
  <c r="I190" i="1" s="1"/>
  <c r="AB190" i="1" s="1"/>
  <c r="AN189" i="1"/>
  <c r="AM189" i="1"/>
  <c r="AK189" i="1"/>
  <c r="AL189" i="1" s="1"/>
  <c r="AJ189" i="1"/>
  <c r="AI189" i="1"/>
  <c r="AH189" i="1"/>
  <c r="Z189" i="1"/>
  <c r="Y189" i="1"/>
  <c r="X189" i="1"/>
  <c r="Q189" i="1"/>
  <c r="AN188" i="1"/>
  <c r="AM188" i="1"/>
  <c r="AL188" i="1"/>
  <c r="AK188" i="1"/>
  <c r="AJ188" i="1"/>
  <c r="AH188" i="1" s="1"/>
  <c r="Z188" i="1"/>
  <c r="Y188" i="1"/>
  <c r="X188" i="1" s="1"/>
  <c r="T188" i="1"/>
  <c r="Q188" i="1"/>
  <c r="AN187" i="1"/>
  <c r="AM187" i="1"/>
  <c r="AL187" i="1" s="1"/>
  <c r="AK187" i="1"/>
  <c r="AJ187" i="1"/>
  <c r="AH187" i="1" s="1"/>
  <c r="Z187" i="1"/>
  <c r="Y187" i="1"/>
  <c r="X187" i="1" s="1"/>
  <c r="T187" i="1"/>
  <c r="U187" i="1" s="1"/>
  <c r="V187" i="1" s="1"/>
  <c r="Q187" i="1"/>
  <c r="O187" i="1"/>
  <c r="L187" i="1"/>
  <c r="J187" i="1"/>
  <c r="I187" i="1" s="1"/>
  <c r="AN186" i="1"/>
  <c r="AM186" i="1"/>
  <c r="AK186" i="1"/>
  <c r="AJ186" i="1"/>
  <c r="AH186" i="1" s="1"/>
  <c r="Z186" i="1"/>
  <c r="X186" i="1" s="1"/>
  <c r="Y186" i="1"/>
  <c r="Q186" i="1"/>
  <c r="AN185" i="1"/>
  <c r="AM185" i="1"/>
  <c r="AK185" i="1"/>
  <c r="AJ185" i="1"/>
  <c r="AI185" i="1"/>
  <c r="AH185" i="1"/>
  <c r="Z185" i="1"/>
  <c r="Y185" i="1"/>
  <c r="X185" i="1" s="1"/>
  <c r="Q185" i="1"/>
  <c r="AN184" i="1"/>
  <c r="T184" i="1" s="1"/>
  <c r="AM184" i="1"/>
  <c r="AL184" i="1"/>
  <c r="AK184" i="1"/>
  <c r="AJ184" i="1"/>
  <c r="AH184" i="1" s="1"/>
  <c r="AI184" i="1"/>
  <c r="Z184" i="1"/>
  <c r="Y184" i="1"/>
  <c r="X184" i="1" s="1"/>
  <c r="Q184" i="1"/>
  <c r="O184" i="1"/>
  <c r="L184" i="1"/>
  <c r="AN183" i="1"/>
  <c r="AM183" i="1"/>
  <c r="AL183" i="1"/>
  <c r="AK183" i="1"/>
  <c r="AJ183" i="1"/>
  <c r="AH183" i="1" s="1"/>
  <c r="AI183" i="1" s="1"/>
  <c r="Z183" i="1"/>
  <c r="Y183" i="1"/>
  <c r="X183" i="1"/>
  <c r="T183" i="1"/>
  <c r="Q183" i="1"/>
  <c r="J183" i="1"/>
  <c r="I183" i="1" s="1"/>
  <c r="AN182" i="1"/>
  <c r="AM182" i="1"/>
  <c r="AK182" i="1"/>
  <c r="AJ182" i="1"/>
  <c r="AH182" i="1" s="1"/>
  <c r="Z182" i="1"/>
  <c r="Y182" i="1"/>
  <c r="X182" i="1" s="1"/>
  <c r="Q182" i="1"/>
  <c r="AN181" i="1"/>
  <c r="AM181" i="1"/>
  <c r="AK181" i="1"/>
  <c r="AJ181" i="1"/>
  <c r="AH181" i="1" s="1"/>
  <c r="Z181" i="1"/>
  <c r="Y181" i="1"/>
  <c r="X181" i="1" s="1"/>
  <c r="Q181" i="1"/>
  <c r="AN180" i="1"/>
  <c r="AM180" i="1"/>
  <c r="AL180" i="1" s="1"/>
  <c r="AK180" i="1"/>
  <c r="AJ180" i="1"/>
  <c r="AI180" i="1"/>
  <c r="AH180" i="1"/>
  <c r="O180" i="1" s="1"/>
  <c r="Z180" i="1"/>
  <c r="Y180" i="1"/>
  <c r="X180" i="1" s="1"/>
  <c r="T180" i="1"/>
  <c r="Q180" i="1"/>
  <c r="AN179" i="1"/>
  <c r="AM179" i="1"/>
  <c r="AK179" i="1"/>
  <c r="AL179" i="1" s="1"/>
  <c r="AJ179" i="1"/>
  <c r="AH179" i="1" s="1"/>
  <c r="Z179" i="1"/>
  <c r="X179" i="1" s="1"/>
  <c r="Y179" i="1"/>
  <c r="Q179" i="1"/>
  <c r="AN178" i="1"/>
  <c r="AM178" i="1"/>
  <c r="AL178" i="1" s="1"/>
  <c r="AK178" i="1"/>
  <c r="AJ178" i="1"/>
  <c r="AI178" i="1"/>
  <c r="AH178" i="1"/>
  <c r="J178" i="1" s="1"/>
  <c r="I178" i="1" s="1"/>
  <c r="Z178" i="1"/>
  <c r="Y178" i="1"/>
  <c r="X178" i="1" s="1"/>
  <c r="T178" i="1"/>
  <c r="Q178" i="1"/>
  <c r="L178" i="1"/>
  <c r="K178" i="1"/>
  <c r="AN177" i="1"/>
  <c r="AM177" i="1"/>
  <c r="AK177" i="1"/>
  <c r="AJ177" i="1"/>
  <c r="AH177" i="1" s="1"/>
  <c r="Z177" i="1"/>
  <c r="Y177" i="1"/>
  <c r="X177" i="1" s="1"/>
  <c r="Q177" i="1"/>
  <c r="AN176" i="1"/>
  <c r="AM176" i="1"/>
  <c r="AL176" i="1" s="1"/>
  <c r="AK176" i="1"/>
  <c r="AJ176" i="1"/>
  <c r="AI176" i="1"/>
  <c r="AH176" i="1"/>
  <c r="O176" i="1" s="1"/>
  <c r="Z176" i="1"/>
  <c r="Y176" i="1"/>
  <c r="X176" i="1" s="1"/>
  <c r="T176" i="1"/>
  <c r="Q176" i="1"/>
  <c r="AN175" i="1"/>
  <c r="AM175" i="1"/>
  <c r="AK175" i="1"/>
  <c r="AL175" i="1" s="1"/>
  <c r="AJ175" i="1"/>
  <c r="AH175" i="1" s="1"/>
  <c r="Z175" i="1"/>
  <c r="X175" i="1" s="1"/>
  <c r="Y175" i="1"/>
  <c r="Q175" i="1"/>
  <c r="O175" i="1"/>
  <c r="AN174" i="1"/>
  <c r="AM174" i="1"/>
  <c r="AL174" i="1" s="1"/>
  <c r="AK174" i="1"/>
  <c r="AJ174" i="1"/>
  <c r="AI174" i="1"/>
  <c r="AH174" i="1"/>
  <c r="J174" i="1" s="1"/>
  <c r="I174" i="1" s="1"/>
  <c r="Z174" i="1"/>
  <c r="Y174" i="1"/>
  <c r="X174" i="1" s="1"/>
  <c r="T174" i="1"/>
  <c r="Q174" i="1"/>
  <c r="L174" i="1"/>
  <c r="K174" i="1"/>
  <c r="AN173" i="1"/>
  <c r="AM173" i="1"/>
  <c r="AK173" i="1"/>
  <c r="AJ173" i="1"/>
  <c r="AH173" i="1" s="1"/>
  <c r="Z173" i="1"/>
  <c r="Y173" i="1"/>
  <c r="X173" i="1" s="1"/>
  <c r="Q173" i="1"/>
  <c r="K173" i="1"/>
  <c r="AN172" i="1"/>
  <c r="AM172" i="1"/>
  <c r="AL172" i="1" s="1"/>
  <c r="AK172" i="1"/>
  <c r="AJ172" i="1"/>
  <c r="AI172" i="1"/>
  <c r="AH172" i="1"/>
  <c r="L172" i="1" s="1"/>
  <c r="Z172" i="1"/>
  <c r="Y172" i="1"/>
  <c r="X172" i="1" s="1"/>
  <c r="T172" i="1"/>
  <c r="Q172" i="1"/>
  <c r="O172" i="1"/>
  <c r="AN171" i="1"/>
  <c r="AM171" i="1"/>
  <c r="AK171" i="1"/>
  <c r="AJ171" i="1"/>
  <c r="AH171" i="1" s="1"/>
  <c r="Z171" i="1"/>
  <c r="X171" i="1" s="1"/>
  <c r="Y171" i="1"/>
  <c r="Q171" i="1"/>
  <c r="O171" i="1"/>
  <c r="K171" i="1"/>
  <c r="AN170" i="1"/>
  <c r="AM170" i="1"/>
  <c r="AK170" i="1"/>
  <c r="AL170" i="1" s="1"/>
  <c r="AJ170" i="1"/>
  <c r="AI170" i="1"/>
  <c r="AH170" i="1"/>
  <c r="J170" i="1" s="1"/>
  <c r="Z170" i="1"/>
  <c r="Y170" i="1"/>
  <c r="X170" i="1" s="1"/>
  <c r="T170" i="1"/>
  <c r="Q170" i="1"/>
  <c r="L170" i="1"/>
  <c r="K170" i="1"/>
  <c r="I170" i="1"/>
  <c r="AN169" i="1"/>
  <c r="AM169" i="1"/>
  <c r="AK169" i="1"/>
  <c r="AJ169" i="1"/>
  <c r="AH169" i="1" s="1"/>
  <c r="Z169" i="1"/>
  <c r="Y169" i="1"/>
  <c r="Q169" i="1"/>
  <c r="AN168" i="1"/>
  <c r="AM168" i="1"/>
  <c r="AL168" i="1" s="1"/>
  <c r="AK168" i="1"/>
  <c r="AJ168" i="1"/>
  <c r="AH168" i="1"/>
  <c r="Z168" i="1"/>
  <c r="Y168" i="1"/>
  <c r="X168" i="1"/>
  <c r="T168" i="1"/>
  <c r="Q168" i="1"/>
  <c r="O168" i="1"/>
  <c r="AN167" i="1"/>
  <c r="AM167" i="1"/>
  <c r="AK167" i="1"/>
  <c r="AJ167" i="1"/>
  <c r="AH167" i="1" s="1"/>
  <c r="J167" i="1" s="1"/>
  <c r="I167" i="1" s="1"/>
  <c r="Z167" i="1"/>
  <c r="X167" i="1" s="1"/>
  <c r="Y167" i="1"/>
  <c r="Q167" i="1"/>
  <c r="K167" i="1"/>
  <c r="AN166" i="1"/>
  <c r="AM166" i="1"/>
  <c r="AL166" i="1"/>
  <c r="AK166" i="1"/>
  <c r="AJ166" i="1"/>
  <c r="AH166" i="1"/>
  <c r="Z166" i="1"/>
  <c r="Y166" i="1"/>
  <c r="X166" i="1" s="1"/>
  <c r="T166" i="1"/>
  <c r="Q166" i="1"/>
  <c r="AN165" i="1"/>
  <c r="AM165" i="1"/>
  <c r="AK165" i="1"/>
  <c r="AL165" i="1" s="1"/>
  <c r="AJ165" i="1"/>
  <c r="AH165" i="1" s="1"/>
  <c r="J165" i="1" s="1"/>
  <c r="I165" i="1" s="1"/>
  <c r="AI165" i="1"/>
  <c r="Z165" i="1"/>
  <c r="Y165" i="1"/>
  <c r="X165" i="1" s="1"/>
  <c r="Q165" i="1"/>
  <c r="L165" i="1"/>
  <c r="K165" i="1"/>
  <c r="AN164" i="1"/>
  <c r="AM164" i="1"/>
  <c r="AL164" i="1" s="1"/>
  <c r="AK164" i="1"/>
  <c r="AJ164" i="1"/>
  <c r="AH164" i="1" s="1"/>
  <c r="AI164" i="1"/>
  <c r="Z164" i="1"/>
  <c r="Y164" i="1"/>
  <c r="X164" i="1" s="1"/>
  <c r="T164" i="1"/>
  <c r="Q164" i="1"/>
  <c r="AN163" i="1"/>
  <c r="AM163" i="1"/>
  <c r="AK163" i="1"/>
  <c r="AJ163" i="1"/>
  <c r="AH163" i="1" s="1"/>
  <c r="Z163" i="1"/>
  <c r="X163" i="1" s="1"/>
  <c r="Y163" i="1"/>
  <c r="Q163" i="1"/>
  <c r="AN162" i="1"/>
  <c r="T162" i="1" s="1"/>
  <c r="AM162" i="1"/>
  <c r="AL162" i="1"/>
  <c r="AK162" i="1"/>
  <c r="AJ162" i="1"/>
  <c r="AI162" i="1"/>
  <c r="AH162" i="1"/>
  <c r="J162" i="1" s="1"/>
  <c r="AB162" i="1"/>
  <c r="Z162" i="1"/>
  <c r="Y162" i="1"/>
  <c r="X162" i="1" s="1"/>
  <c r="Q162" i="1"/>
  <c r="O162" i="1"/>
  <c r="L162" i="1"/>
  <c r="K162" i="1"/>
  <c r="I162" i="1"/>
  <c r="AN161" i="1"/>
  <c r="AM161" i="1"/>
  <c r="AK161" i="1"/>
  <c r="AL161" i="1" s="1"/>
  <c r="AJ161" i="1"/>
  <c r="AH161" i="1" s="1"/>
  <c r="Z161" i="1"/>
  <c r="X161" i="1" s="1"/>
  <c r="Y161" i="1"/>
  <c r="Q161" i="1"/>
  <c r="AN160" i="1"/>
  <c r="AM160" i="1"/>
  <c r="AL160" i="1"/>
  <c r="AK160" i="1"/>
  <c r="AJ160" i="1"/>
  <c r="AH160" i="1"/>
  <c r="K160" i="1" s="1"/>
  <c r="Z160" i="1"/>
  <c r="Y160" i="1"/>
  <c r="X160" i="1"/>
  <c r="T160" i="1"/>
  <c r="Q160" i="1"/>
  <c r="L160" i="1"/>
  <c r="AN159" i="1"/>
  <c r="T159" i="1" s="1"/>
  <c r="AM159" i="1"/>
  <c r="AL159" i="1"/>
  <c r="AK159" i="1"/>
  <c r="AJ159" i="1"/>
  <c r="AH159" i="1" s="1"/>
  <c r="Z159" i="1"/>
  <c r="Y159" i="1"/>
  <c r="X159" i="1" s="1"/>
  <c r="Q159" i="1"/>
  <c r="J159" i="1"/>
  <c r="I159" i="1" s="1"/>
  <c r="AB159" i="1" s="1"/>
  <c r="AN158" i="1"/>
  <c r="AM158" i="1"/>
  <c r="AL158" i="1"/>
  <c r="AK158" i="1"/>
  <c r="AJ158" i="1"/>
  <c r="AH158" i="1"/>
  <c r="Z158" i="1"/>
  <c r="Y158" i="1"/>
  <c r="X158" i="1"/>
  <c r="T158" i="1"/>
  <c r="Q158" i="1"/>
  <c r="AN157" i="1"/>
  <c r="AM157" i="1"/>
  <c r="AK157" i="1"/>
  <c r="AL157" i="1" s="1"/>
  <c r="AJ157" i="1"/>
  <c r="AH157" i="1" s="1"/>
  <c r="Z157" i="1"/>
  <c r="X157" i="1" s="1"/>
  <c r="Y157" i="1"/>
  <c r="Q157" i="1"/>
  <c r="AN156" i="1"/>
  <c r="AM156" i="1"/>
  <c r="AL156" i="1"/>
  <c r="AK156" i="1"/>
  <c r="AJ156" i="1"/>
  <c r="AH156" i="1"/>
  <c r="K156" i="1" s="1"/>
  <c r="Z156" i="1"/>
  <c r="Y156" i="1"/>
  <c r="X156" i="1"/>
  <c r="T156" i="1"/>
  <c r="Q156" i="1"/>
  <c r="L156" i="1"/>
  <c r="AN155" i="1"/>
  <c r="T155" i="1" s="1"/>
  <c r="AM155" i="1"/>
  <c r="AL155" i="1"/>
  <c r="AK155" i="1"/>
  <c r="AJ155" i="1"/>
  <c r="AH155" i="1" s="1"/>
  <c r="Z155" i="1"/>
  <c r="Y155" i="1"/>
  <c r="Q155" i="1"/>
  <c r="AN154" i="1"/>
  <c r="AM154" i="1"/>
  <c r="AL154" i="1"/>
  <c r="AK154" i="1"/>
  <c r="AJ154" i="1"/>
  <c r="AH154" i="1"/>
  <c r="Z154" i="1"/>
  <c r="Y154" i="1"/>
  <c r="X154" i="1"/>
  <c r="T154" i="1"/>
  <c r="Q154" i="1"/>
  <c r="AN153" i="1"/>
  <c r="AM153" i="1"/>
  <c r="AK153" i="1"/>
  <c r="AL153" i="1" s="1"/>
  <c r="AJ153" i="1"/>
  <c r="AH153" i="1" s="1"/>
  <c r="Z153" i="1"/>
  <c r="X153" i="1" s="1"/>
  <c r="Y153" i="1"/>
  <c r="Q153" i="1"/>
  <c r="AN152" i="1"/>
  <c r="AM152" i="1"/>
  <c r="AL152" i="1"/>
  <c r="AK152" i="1"/>
  <c r="AJ152" i="1"/>
  <c r="AH152" i="1"/>
  <c r="K152" i="1" s="1"/>
  <c r="Z152" i="1"/>
  <c r="Y152" i="1"/>
  <c r="X152" i="1"/>
  <c r="T152" i="1"/>
  <c r="Q152" i="1"/>
  <c r="L152" i="1"/>
  <c r="AN151" i="1"/>
  <c r="T151" i="1" s="1"/>
  <c r="AM151" i="1"/>
  <c r="AL151" i="1"/>
  <c r="AK151" i="1"/>
  <c r="AJ151" i="1"/>
  <c r="AH151" i="1" s="1"/>
  <c r="Z151" i="1"/>
  <c r="Y151" i="1"/>
  <c r="X151" i="1" s="1"/>
  <c r="Q151" i="1"/>
  <c r="AN150" i="1"/>
  <c r="AM150" i="1"/>
  <c r="AL150" i="1"/>
  <c r="AK150" i="1"/>
  <c r="AJ150" i="1"/>
  <c r="AH150" i="1"/>
  <c r="Z150" i="1"/>
  <c r="Y150" i="1"/>
  <c r="X150" i="1"/>
  <c r="T150" i="1"/>
  <c r="Q150" i="1"/>
  <c r="AN149" i="1"/>
  <c r="AM149" i="1"/>
  <c r="AK149" i="1"/>
  <c r="AL149" i="1" s="1"/>
  <c r="AJ149" i="1"/>
  <c r="AH149" i="1" s="1"/>
  <c r="Z149" i="1"/>
  <c r="X149" i="1" s="1"/>
  <c r="Y149" i="1"/>
  <c r="Q149" i="1"/>
  <c r="J149" i="1"/>
  <c r="I149" i="1" s="1"/>
  <c r="AB149" i="1" s="1"/>
  <c r="AN148" i="1"/>
  <c r="AM148" i="1"/>
  <c r="AL148" i="1"/>
  <c r="AK148" i="1"/>
  <c r="AJ148" i="1"/>
  <c r="AH148" i="1"/>
  <c r="Z148" i="1"/>
  <c r="Y148" i="1"/>
  <c r="X148" i="1"/>
  <c r="T148" i="1"/>
  <c r="Q148" i="1"/>
  <c r="L148" i="1"/>
  <c r="AN147" i="1"/>
  <c r="AM147" i="1"/>
  <c r="AL147" i="1"/>
  <c r="AK147" i="1"/>
  <c r="AJ147" i="1"/>
  <c r="AH147" i="1" s="1"/>
  <c r="AB147" i="1"/>
  <c r="Z147" i="1"/>
  <c r="Y147" i="1"/>
  <c r="T147" i="1"/>
  <c r="Q147" i="1"/>
  <c r="L147" i="1"/>
  <c r="K147" i="1"/>
  <c r="J147" i="1"/>
  <c r="I147" i="1" s="1"/>
  <c r="AN146" i="1"/>
  <c r="AM146" i="1"/>
  <c r="AL146" i="1"/>
  <c r="AK146" i="1"/>
  <c r="AJ146" i="1"/>
  <c r="AH146" i="1" s="1"/>
  <c r="Z146" i="1"/>
  <c r="Y146" i="1"/>
  <c r="X146" i="1"/>
  <c r="T146" i="1"/>
  <c r="Q146" i="1"/>
  <c r="AN145" i="1"/>
  <c r="AM145" i="1"/>
  <c r="AK145" i="1"/>
  <c r="AL145" i="1" s="1"/>
  <c r="AJ145" i="1"/>
  <c r="AH145" i="1" s="1"/>
  <c r="Z145" i="1"/>
  <c r="Y145" i="1"/>
  <c r="X145" i="1"/>
  <c r="Q145" i="1"/>
  <c r="AN144" i="1"/>
  <c r="AM144" i="1"/>
  <c r="AL144" i="1" s="1"/>
  <c r="AK144" i="1"/>
  <c r="AJ144" i="1"/>
  <c r="AI144" i="1"/>
  <c r="AH144" i="1"/>
  <c r="Z144" i="1"/>
  <c r="Y144" i="1"/>
  <c r="X144" i="1"/>
  <c r="T144" i="1"/>
  <c r="Q144" i="1"/>
  <c r="L144" i="1"/>
  <c r="AN143" i="1"/>
  <c r="AM143" i="1"/>
  <c r="AK143" i="1"/>
  <c r="AL143" i="1" s="1"/>
  <c r="AJ143" i="1"/>
  <c r="AH143" i="1" s="1"/>
  <c r="AI143" i="1" s="1"/>
  <c r="Z143" i="1"/>
  <c r="Y143" i="1"/>
  <c r="X143" i="1" s="1"/>
  <c r="T143" i="1"/>
  <c r="Q143" i="1"/>
  <c r="O143" i="1"/>
  <c r="L143" i="1"/>
  <c r="K143" i="1"/>
  <c r="J143" i="1"/>
  <c r="I143" i="1" s="1"/>
  <c r="AN142" i="1"/>
  <c r="AM142" i="1"/>
  <c r="AK142" i="1"/>
  <c r="AL142" i="1" s="1"/>
  <c r="AJ142" i="1"/>
  <c r="AH142" i="1"/>
  <c r="O142" i="1" s="1"/>
  <c r="Z142" i="1"/>
  <c r="Y142" i="1"/>
  <c r="X142" i="1" s="1"/>
  <c r="T142" i="1"/>
  <c r="Q142" i="1"/>
  <c r="J142" i="1"/>
  <c r="I142" i="1"/>
  <c r="AN141" i="1"/>
  <c r="AM141" i="1"/>
  <c r="AK141" i="1"/>
  <c r="AJ141" i="1"/>
  <c r="AH141" i="1" s="1"/>
  <c r="Z141" i="1"/>
  <c r="Y141" i="1"/>
  <c r="X141" i="1"/>
  <c r="Q141" i="1"/>
  <c r="AN140" i="1"/>
  <c r="T140" i="1" s="1"/>
  <c r="AM140" i="1"/>
  <c r="AL140" i="1" s="1"/>
  <c r="AK140" i="1"/>
  <c r="AJ140" i="1"/>
  <c r="AH140" i="1"/>
  <c r="J140" i="1" s="1"/>
  <c r="I140" i="1" s="1"/>
  <c r="Z140" i="1"/>
  <c r="Y140" i="1"/>
  <c r="X140" i="1" s="1"/>
  <c r="U140" i="1"/>
  <c r="V140" i="1" s="1"/>
  <c r="Q140" i="1"/>
  <c r="L140" i="1"/>
  <c r="K140" i="1"/>
  <c r="AN139" i="1"/>
  <c r="AM139" i="1"/>
  <c r="AK139" i="1"/>
  <c r="AL139" i="1" s="1"/>
  <c r="AJ139" i="1"/>
  <c r="AH139" i="1" s="1"/>
  <c r="Z139" i="1"/>
  <c r="Y139" i="1"/>
  <c r="Q139" i="1"/>
  <c r="AN138" i="1"/>
  <c r="AM138" i="1"/>
  <c r="AL138" i="1" s="1"/>
  <c r="AK138" i="1"/>
  <c r="AJ138" i="1"/>
  <c r="AH138" i="1"/>
  <c r="Z138" i="1"/>
  <c r="Y138" i="1"/>
  <c r="X138" i="1"/>
  <c r="T138" i="1"/>
  <c r="Q138" i="1"/>
  <c r="AN137" i="1"/>
  <c r="AM137" i="1"/>
  <c r="AK137" i="1"/>
  <c r="AL137" i="1" s="1"/>
  <c r="AJ137" i="1"/>
  <c r="AH137" i="1" s="1"/>
  <c r="Z137" i="1"/>
  <c r="X137" i="1" s="1"/>
  <c r="Y137" i="1"/>
  <c r="Q137" i="1"/>
  <c r="AN136" i="1"/>
  <c r="AM136" i="1"/>
  <c r="AL136" i="1"/>
  <c r="AK136" i="1"/>
  <c r="AJ136" i="1"/>
  <c r="AH136" i="1"/>
  <c r="J136" i="1" s="1"/>
  <c r="I136" i="1" s="1"/>
  <c r="AB136" i="1"/>
  <c r="Z136" i="1"/>
  <c r="Y136" i="1"/>
  <c r="X136" i="1"/>
  <c r="T136" i="1"/>
  <c r="Q136" i="1"/>
  <c r="L136" i="1"/>
  <c r="K136" i="1"/>
  <c r="AN135" i="1"/>
  <c r="AM135" i="1"/>
  <c r="AK135" i="1"/>
  <c r="AL135" i="1" s="1"/>
  <c r="AJ135" i="1"/>
  <c r="AH135" i="1" s="1"/>
  <c r="Z135" i="1"/>
  <c r="Y135" i="1"/>
  <c r="Q135" i="1"/>
  <c r="J135" i="1"/>
  <c r="I135" i="1" s="1"/>
  <c r="AB135" i="1" s="1"/>
  <c r="AN134" i="1"/>
  <c r="AM134" i="1"/>
  <c r="AL134" i="1" s="1"/>
  <c r="AK134" i="1"/>
  <c r="AJ134" i="1"/>
  <c r="AH134" i="1"/>
  <c r="Z134" i="1"/>
  <c r="Y134" i="1"/>
  <c r="X134" i="1"/>
  <c r="T134" i="1"/>
  <c r="Q134" i="1"/>
  <c r="AN133" i="1"/>
  <c r="AM133" i="1"/>
  <c r="AK133" i="1"/>
  <c r="AL133" i="1" s="1"/>
  <c r="AJ133" i="1"/>
  <c r="AH133" i="1" s="1"/>
  <c r="Z133" i="1"/>
  <c r="X133" i="1" s="1"/>
  <c r="Y133" i="1"/>
  <c r="Q133" i="1"/>
  <c r="AN132" i="1"/>
  <c r="AM132" i="1"/>
  <c r="AL132" i="1"/>
  <c r="AK132" i="1"/>
  <c r="AJ132" i="1"/>
  <c r="AH132" i="1"/>
  <c r="J132" i="1" s="1"/>
  <c r="I132" i="1" s="1"/>
  <c r="AB132" i="1" s="1"/>
  <c r="Z132" i="1"/>
  <c r="Y132" i="1"/>
  <c r="X132" i="1"/>
  <c r="T132" i="1"/>
  <c r="Q132" i="1"/>
  <c r="L132" i="1"/>
  <c r="K132" i="1"/>
  <c r="AN131" i="1"/>
  <c r="AM131" i="1"/>
  <c r="AK131" i="1"/>
  <c r="AL131" i="1" s="1"/>
  <c r="AJ131" i="1"/>
  <c r="AH131" i="1" s="1"/>
  <c r="Z131" i="1"/>
  <c r="Y131" i="1"/>
  <c r="Q131" i="1"/>
  <c r="AN130" i="1"/>
  <c r="AM130" i="1"/>
  <c r="AL130" i="1"/>
  <c r="AK130" i="1"/>
  <c r="AJ130" i="1"/>
  <c r="AH130" i="1"/>
  <c r="Z130" i="1"/>
  <c r="Y130" i="1"/>
  <c r="X130" i="1"/>
  <c r="T130" i="1"/>
  <c r="Q130" i="1"/>
  <c r="AN129" i="1"/>
  <c r="AM129" i="1"/>
  <c r="AK129" i="1"/>
  <c r="AL129" i="1" s="1"/>
  <c r="AJ129" i="1"/>
  <c r="AH129" i="1" s="1"/>
  <c r="Z129" i="1"/>
  <c r="X129" i="1" s="1"/>
  <c r="Y129" i="1"/>
  <c r="Q129" i="1"/>
  <c r="O129" i="1"/>
  <c r="AN128" i="1"/>
  <c r="AM128" i="1"/>
  <c r="AL128" i="1" s="1"/>
  <c r="AK128" i="1"/>
  <c r="AJ128" i="1"/>
  <c r="AH128" i="1"/>
  <c r="J128" i="1" s="1"/>
  <c r="I128" i="1" s="1"/>
  <c r="AB128" i="1" s="1"/>
  <c r="Z128" i="1"/>
  <c r="Y128" i="1"/>
  <c r="X128" i="1"/>
  <c r="T128" i="1"/>
  <c r="Q128" i="1"/>
  <c r="L128" i="1"/>
  <c r="K128" i="1"/>
  <c r="AN127" i="1"/>
  <c r="AM127" i="1"/>
  <c r="AK127" i="1"/>
  <c r="AJ127" i="1"/>
  <c r="AH127" i="1" s="1"/>
  <c r="AI127" i="1" s="1"/>
  <c r="Z127" i="1"/>
  <c r="Y127" i="1"/>
  <c r="Q127" i="1"/>
  <c r="K127" i="1"/>
  <c r="AN126" i="1"/>
  <c r="AM126" i="1"/>
  <c r="AL126" i="1"/>
  <c r="AK126" i="1"/>
  <c r="AJ126" i="1"/>
  <c r="AI126" i="1"/>
  <c r="AH126" i="1"/>
  <c r="Z126" i="1"/>
  <c r="Y126" i="1"/>
  <c r="X126" i="1" s="1"/>
  <c r="T126" i="1"/>
  <c r="Q126" i="1"/>
  <c r="O126" i="1"/>
  <c r="AN125" i="1"/>
  <c r="AM125" i="1"/>
  <c r="AK125" i="1"/>
  <c r="AL125" i="1" s="1"/>
  <c r="AJ125" i="1"/>
  <c r="AH125" i="1" s="1"/>
  <c r="O125" i="1" s="1"/>
  <c r="Z125" i="1"/>
  <c r="X125" i="1" s="1"/>
  <c r="Y125" i="1"/>
  <c r="Q125" i="1"/>
  <c r="AN124" i="1"/>
  <c r="AM124" i="1"/>
  <c r="AK124" i="1"/>
  <c r="AL124" i="1" s="1"/>
  <c r="AJ124" i="1"/>
  <c r="AH124" i="1"/>
  <c r="J124" i="1" s="1"/>
  <c r="I124" i="1" s="1"/>
  <c r="Z124" i="1"/>
  <c r="Y124" i="1"/>
  <c r="X124" i="1"/>
  <c r="Q124" i="1"/>
  <c r="L124" i="1"/>
  <c r="K124" i="1"/>
  <c r="AN123" i="1"/>
  <c r="AM123" i="1"/>
  <c r="AK123" i="1"/>
  <c r="AJ123" i="1"/>
  <c r="AH123" i="1" s="1"/>
  <c r="Z123" i="1"/>
  <c r="Y123" i="1"/>
  <c r="X123" i="1" s="1"/>
  <c r="Q123" i="1"/>
  <c r="K123" i="1"/>
  <c r="AN122" i="1"/>
  <c r="AM122" i="1"/>
  <c r="AL122" i="1"/>
  <c r="AK122" i="1"/>
  <c r="AJ122" i="1"/>
  <c r="AI122" i="1"/>
  <c r="AH122" i="1"/>
  <c r="O122" i="1" s="1"/>
  <c r="Z122" i="1"/>
  <c r="Y122" i="1"/>
  <c r="X122" i="1"/>
  <c r="T122" i="1"/>
  <c r="Q122" i="1"/>
  <c r="AN121" i="1"/>
  <c r="AM121" i="1"/>
  <c r="AK121" i="1"/>
  <c r="AL121" i="1" s="1"/>
  <c r="AJ121" i="1"/>
  <c r="AH121" i="1" s="1"/>
  <c r="O121" i="1" s="1"/>
  <c r="Z121" i="1"/>
  <c r="X121" i="1" s="1"/>
  <c r="Y121" i="1"/>
  <c r="Q121" i="1"/>
  <c r="J121" i="1"/>
  <c r="I121" i="1" s="1"/>
  <c r="AB121" i="1" s="1"/>
  <c r="AN120" i="1"/>
  <c r="AM120" i="1"/>
  <c r="AK120" i="1"/>
  <c r="AL120" i="1" s="1"/>
  <c r="AJ120" i="1"/>
  <c r="AH120" i="1"/>
  <c r="Z120" i="1"/>
  <c r="Y120" i="1"/>
  <c r="X120" i="1"/>
  <c r="T120" i="1"/>
  <c r="Q120" i="1"/>
  <c r="AN119" i="1"/>
  <c r="AM119" i="1"/>
  <c r="AK119" i="1"/>
  <c r="AL119" i="1" s="1"/>
  <c r="AJ119" i="1"/>
  <c r="AH119" i="1" s="1"/>
  <c r="O119" i="1" s="1"/>
  <c r="Z119" i="1"/>
  <c r="Y119" i="1"/>
  <c r="X119" i="1" s="1"/>
  <c r="T119" i="1"/>
  <c r="Q119" i="1"/>
  <c r="J119" i="1"/>
  <c r="I119" i="1" s="1"/>
  <c r="AN118" i="1"/>
  <c r="AM118" i="1"/>
  <c r="AL118" i="1" s="1"/>
  <c r="AK118" i="1"/>
  <c r="AJ118" i="1"/>
  <c r="AH118" i="1"/>
  <c r="K118" i="1" s="1"/>
  <c r="Z118" i="1"/>
  <c r="Y118" i="1"/>
  <c r="X118" i="1"/>
  <c r="T118" i="1"/>
  <c r="Q118" i="1"/>
  <c r="J118" i="1"/>
  <c r="I118" i="1" s="1"/>
  <c r="AN117" i="1"/>
  <c r="AM117" i="1"/>
  <c r="AK117" i="1"/>
  <c r="AJ117" i="1"/>
  <c r="AH117" i="1"/>
  <c r="Z117" i="1"/>
  <c r="X117" i="1" s="1"/>
  <c r="Y117" i="1"/>
  <c r="Q117" i="1"/>
  <c r="K117" i="1"/>
  <c r="J117" i="1"/>
  <c r="I117" i="1" s="1"/>
  <c r="AB117" i="1" s="1"/>
  <c r="AN116" i="1"/>
  <c r="AM116" i="1"/>
  <c r="AK116" i="1"/>
  <c r="AL116" i="1" s="1"/>
  <c r="AJ116" i="1"/>
  <c r="AH116" i="1"/>
  <c r="K116" i="1" s="1"/>
  <c r="Z116" i="1"/>
  <c r="Y116" i="1"/>
  <c r="X116" i="1"/>
  <c r="T116" i="1"/>
  <c r="Q116" i="1"/>
  <c r="L116" i="1"/>
  <c r="AN115" i="1"/>
  <c r="AM115" i="1"/>
  <c r="AK115" i="1"/>
  <c r="AL115" i="1" s="1"/>
  <c r="AJ115" i="1"/>
  <c r="AH115" i="1" s="1"/>
  <c r="O115" i="1" s="1"/>
  <c r="AI115" i="1"/>
  <c r="Z115" i="1"/>
  <c r="Y115" i="1"/>
  <c r="X115" i="1" s="1"/>
  <c r="T115" i="1"/>
  <c r="Q115" i="1"/>
  <c r="L115" i="1"/>
  <c r="K115" i="1"/>
  <c r="J115" i="1"/>
  <c r="I115" i="1" s="1"/>
  <c r="AN114" i="1"/>
  <c r="AM114" i="1"/>
  <c r="AL114" i="1" s="1"/>
  <c r="AK114" i="1"/>
  <c r="AJ114" i="1"/>
  <c r="AI114" i="1"/>
  <c r="AH114" i="1"/>
  <c r="L114" i="1" s="1"/>
  <c r="Z114" i="1"/>
  <c r="Y114" i="1"/>
  <c r="X114" i="1"/>
  <c r="T114" i="1"/>
  <c r="Q114" i="1"/>
  <c r="O114" i="1"/>
  <c r="AN113" i="1"/>
  <c r="AM113" i="1"/>
  <c r="AK113" i="1"/>
  <c r="AL113" i="1" s="1"/>
  <c r="AJ113" i="1"/>
  <c r="AH113" i="1" s="1"/>
  <c r="Z113" i="1"/>
  <c r="X113" i="1" s="1"/>
  <c r="Y113" i="1"/>
  <c r="Q113" i="1"/>
  <c r="AN112" i="1"/>
  <c r="AM112" i="1"/>
  <c r="AL112" i="1"/>
  <c r="AK112" i="1"/>
  <c r="AJ112" i="1"/>
  <c r="AH112" i="1" s="1"/>
  <c r="Z112" i="1"/>
  <c r="Y112" i="1"/>
  <c r="X112" i="1" s="1"/>
  <c r="T112" i="1"/>
  <c r="Q112" i="1"/>
  <c r="AN111" i="1"/>
  <c r="AM111" i="1"/>
  <c r="AK111" i="1"/>
  <c r="AL111" i="1" s="1"/>
  <c r="AJ111" i="1"/>
  <c r="AH111" i="1" s="1"/>
  <c r="Z111" i="1"/>
  <c r="Y111" i="1"/>
  <c r="X111" i="1" s="1"/>
  <c r="Q111" i="1"/>
  <c r="AN110" i="1"/>
  <c r="T110" i="1" s="1"/>
  <c r="AM110" i="1"/>
  <c r="AL110" i="1" s="1"/>
  <c r="AK110" i="1"/>
  <c r="AJ110" i="1"/>
  <c r="AH110" i="1"/>
  <c r="L110" i="1" s="1"/>
  <c r="Z110" i="1"/>
  <c r="Y110" i="1"/>
  <c r="X110" i="1"/>
  <c r="Q110" i="1"/>
  <c r="AN109" i="1"/>
  <c r="AM109" i="1"/>
  <c r="AK109" i="1"/>
  <c r="AL109" i="1" s="1"/>
  <c r="AJ109" i="1"/>
  <c r="AH109" i="1"/>
  <c r="J109" i="1" s="1"/>
  <c r="I109" i="1" s="1"/>
  <c r="Z109" i="1"/>
  <c r="Y109" i="1"/>
  <c r="X109" i="1"/>
  <c r="Q109" i="1"/>
  <c r="O109" i="1"/>
  <c r="L109" i="1"/>
  <c r="K109" i="1"/>
  <c r="AN108" i="1"/>
  <c r="AM108" i="1"/>
  <c r="AL108" i="1"/>
  <c r="AK108" i="1"/>
  <c r="AJ108" i="1"/>
  <c r="AH108" i="1" s="1"/>
  <c r="Z108" i="1"/>
  <c r="Y108" i="1"/>
  <c r="X108" i="1" s="1"/>
  <c r="T108" i="1"/>
  <c r="Q108" i="1"/>
  <c r="AN107" i="1"/>
  <c r="AM107" i="1"/>
  <c r="AK107" i="1"/>
  <c r="AL107" i="1" s="1"/>
  <c r="AJ107" i="1"/>
  <c r="AH107" i="1" s="1"/>
  <c r="Z107" i="1"/>
  <c r="Y107" i="1"/>
  <c r="Q107" i="1"/>
  <c r="J107" i="1"/>
  <c r="I107" i="1" s="1"/>
  <c r="AB107" i="1" s="1"/>
  <c r="AN106" i="1"/>
  <c r="T106" i="1" s="1"/>
  <c r="AM106" i="1"/>
  <c r="AL106" i="1" s="1"/>
  <c r="AK106" i="1"/>
  <c r="AJ106" i="1"/>
  <c r="AH106" i="1"/>
  <c r="Z106" i="1"/>
  <c r="Y106" i="1"/>
  <c r="X106" i="1"/>
  <c r="Q106" i="1"/>
  <c r="AN105" i="1"/>
  <c r="AM105" i="1"/>
  <c r="AK105" i="1"/>
  <c r="AL105" i="1" s="1"/>
  <c r="AJ105" i="1"/>
  <c r="AH105" i="1"/>
  <c r="J105" i="1" s="1"/>
  <c r="I105" i="1" s="1"/>
  <c r="Z105" i="1"/>
  <c r="Y105" i="1"/>
  <c r="X105" i="1"/>
  <c r="Q105" i="1"/>
  <c r="O105" i="1"/>
  <c r="L105" i="1"/>
  <c r="K105" i="1"/>
  <c r="AN104" i="1"/>
  <c r="AM104" i="1"/>
  <c r="AK104" i="1"/>
  <c r="T104" i="1" s="1"/>
  <c r="AJ104" i="1"/>
  <c r="AH104" i="1" s="1"/>
  <c r="K104" i="1" s="1"/>
  <c r="Z104" i="1"/>
  <c r="Y104" i="1"/>
  <c r="X104" i="1" s="1"/>
  <c r="Q104" i="1"/>
  <c r="L104" i="1"/>
  <c r="AN103" i="1"/>
  <c r="AM103" i="1"/>
  <c r="AK103" i="1"/>
  <c r="AL103" i="1" s="1"/>
  <c r="AJ103" i="1"/>
  <c r="AH103" i="1" s="1"/>
  <c r="AI103" i="1" s="1"/>
  <c r="Z103" i="1"/>
  <c r="Y103" i="1"/>
  <c r="X103" i="1" s="1"/>
  <c r="Q103" i="1"/>
  <c r="J103" i="1"/>
  <c r="I103" i="1" s="1"/>
  <c r="AN102" i="1"/>
  <c r="AM102" i="1"/>
  <c r="AK102" i="1"/>
  <c r="AJ102" i="1"/>
  <c r="AH102" i="1"/>
  <c r="O102" i="1" s="1"/>
  <c r="Z102" i="1"/>
  <c r="Y102" i="1"/>
  <c r="X102" i="1"/>
  <c r="Q102" i="1"/>
  <c r="AN101" i="1"/>
  <c r="AM101" i="1"/>
  <c r="AK101" i="1"/>
  <c r="AJ101" i="1"/>
  <c r="AH101" i="1"/>
  <c r="J101" i="1" s="1"/>
  <c r="I101" i="1" s="1"/>
  <c r="Z101" i="1"/>
  <c r="Y101" i="1"/>
  <c r="X101" i="1"/>
  <c r="Q101" i="1"/>
  <c r="O101" i="1"/>
  <c r="L101" i="1"/>
  <c r="K101" i="1"/>
  <c r="AN100" i="1"/>
  <c r="AM100" i="1"/>
  <c r="AL100" i="1"/>
  <c r="AK100" i="1"/>
  <c r="T100" i="1" s="1"/>
  <c r="AJ100" i="1"/>
  <c r="AH100" i="1" s="1"/>
  <c r="AI100" i="1"/>
  <c r="Z100" i="1"/>
  <c r="Y100" i="1"/>
  <c r="X100" i="1" s="1"/>
  <c r="Q100" i="1"/>
  <c r="L100" i="1"/>
  <c r="K100" i="1"/>
  <c r="AN99" i="1"/>
  <c r="AM99" i="1"/>
  <c r="AK99" i="1"/>
  <c r="AJ99" i="1"/>
  <c r="AH99" i="1" s="1"/>
  <c r="L99" i="1" s="1"/>
  <c r="AI99" i="1"/>
  <c r="Z99" i="1"/>
  <c r="Y99" i="1"/>
  <c r="Q99" i="1"/>
  <c r="O99" i="1"/>
  <c r="K99" i="1"/>
  <c r="J99" i="1"/>
  <c r="I99" i="1" s="1"/>
  <c r="AN98" i="1"/>
  <c r="AM98" i="1"/>
  <c r="AK98" i="1"/>
  <c r="AJ98" i="1"/>
  <c r="AH98" i="1"/>
  <c r="O98" i="1" s="1"/>
  <c r="Z98" i="1"/>
  <c r="Y98" i="1"/>
  <c r="X98" i="1" s="1"/>
  <c r="Q98" i="1"/>
  <c r="AN97" i="1"/>
  <c r="AM97" i="1"/>
  <c r="AK97" i="1"/>
  <c r="AJ97" i="1"/>
  <c r="AH97" i="1"/>
  <c r="J97" i="1" s="1"/>
  <c r="I97" i="1" s="1"/>
  <c r="Z97" i="1"/>
  <c r="Y97" i="1"/>
  <c r="X97" i="1"/>
  <c r="Q97" i="1"/>
  <c r="O97" i="1"/>
  <c r="L97" i="1"/>
  <c r="K97" i="1"/>
  <c r="AN96" i="1"/>
  <c r="AM96" i="1"/>
  <c r="AK96" i="1"/>
  <c r="AL96" i="1" s="1"/>
  <c r="AJ96" i="1"/>
  <c r="AH96" i="1" s="1"/>
  <c r="O96" i="1" s="1"/>
  <c r="AI96" i="1"/>
  <c r="Z96" i="1"/>
  <c r="Y96" i="1"/>
  <c r="Q96" i="1"/>
  <c r="L96" i="1"/>
  <c r="J96" i="1"/>
  <c r="I96" i="1" s="1"/>
  <c r="AN95" i="1"/>
  <c r="AM95" i="1"/>
  <c r="AK95" i="1"/>
  <c r="AJ95" i="1"/>
  <c r="AI95" i="1"/>
  <c r="AH95" i="1"/>
  <c r="L95" i="1" s="1"/>
  <c r="Z95" i="1"/>
  <c r="Y95" i="1"/>
  <c r="X95" i="1" s="1"/>
  <c r="Q95" i="1"/>
  <c r="O95" i="1"/>
  <c r="K95" i="1"/>
  <c r="J95" i="1"/>
  <c r="I95" i="1" s="1"/>
  <c r="AN94" i="1"/>
  <c r="AM94" i="1"/>
  <c r="AK94" i="1"/>
  <c r="AL94" i="1" s="1"/>
  <c r="AJ94" i="1"/>
  <c r="AI94" i="1"/>
  <c r="AH94" i="1"/>
  <c r="Z94" i="1"/>
  <c r="Y94" i="1"/>
  <c r="X94" i="1" s="1"/>
  <c r="Q94" i="1"/>
  <c r="AN93" i="1"/>
  <c r="T93" i="1" s="1"/>
  <c r="AM93" i="1"/>
  <c r="AK93" i="1"/>
  <c r="AL93" i="1" s="1"/>
  <c r="AJ93" i="1"/>
  <c r="AH93" i="1"/>
  <c r="J93" i="1" s="1"/>
  <c r="I93" i="1" s="1"/>
  <c r="AB93" i="1" s="1"/>
  <c r="Z93" i="1"/>
  <c r="Y93" i="1"/>
  <c r="X93" i="1"/>
  <c r="Q93" i="1"/>
  <c r="O93" i="1"/>
  <c r="L93" i="1"/>
  <c r="K93" i="1"/>
  <c r="AN92" i="1"/>
  <c r="AM92" i="1"/>
  <c r="AL92" i="1"/>
  <c r="AK92" i="1"/>
  <c r="AJ92" i="1"/>
  <c r="AH92" i="1" s="1"/>
  <c r="O92" i="1" s="1"/>
  <c r="Z92" i="1"/>
  <c r="Y92" i="1"/>
  <c r="T92" i="1"/>
  <c r="Q92" i="1"/>
  <c r="L92" i="1"/>
  <c r="J92" i="1"/>
  <c r="I92" i="1" s="1"/>
  <c r="AN91" i="1"/>
  <c r="AM91" i="1"/>
  <c r="AL91" i="1"/>
  <c r="AK91" i="1"/>
  <c r="AJ91" i="1"/>
  <c r="AH91" i="1"/>
  <c r="O91" i="1" s="1"/>
  <c r="Z91" i="1"/>
  <c r="Y91" i="1"/>
  <c r="X91" i="1"/>
  <c r="T91" i="1"/>
  <c r="Q91" i="1"/>
  <c r="J91" i="1"/>
  <c r="I91" i="1" s="1"/>
  <c r="AN90" i="1"/>
  <c r="AM90" i="1"/>
  <c r="AK90" i="1"/>
  <c r="AL90" i="1" s="1"/>
  <c r="AJ90" i="1"/>
  <c r="AH90" i="1" s="1"/>
  <c r="Z90" i="1"/>
  <c r="Y90" i="1"/>
  <c r="X90" i="1" s="1"/>
  <c r="Q90" i="1"/>
  <c r="AN89" i="1"/>
  <c r="T89" i="1" s="1"/>
  <c r="AM89" i="1"/>
  <c r="AK89" i="1"/>
  <c r="AL89" i="1" s="1"/>
  <c r="AJ89" i="1"/>
  <c r="AH89" i="1"/>
  <c r="K89" i="1" s="1"/>
  <c r="Z89" i="1"/>
  <c r="Y89" i="1"/>
  <c r="X89" i="1"/>
  <c r="Q89" i="1"/>
  <c r="O89" i="1"/>
  <c r="L89" i="1"/>
  <c r="AN88" i="1"/>
  <c r="AM88" i="1"/>
  <c r="AL88" i="1"/>
  <c r="AK88" i="1"/>
  <c r="AJ88" i="1"/>
  <c r="AH88" i="1" s="1"/>
  <c r="L88" i="1" s="1"/>
  <c r="Z88" i="1"/>
  <c r="Y88" i="1"/>
  <c r="X88" i="1" s="1"/>
  <c r="T88" i="1"/>
  <c r="Q88" i="1"/>
  <c r="O88" i="1"/>
  <c r="AN87" i="1"/>
  <c r="AM87" i="1"/>
  <c r="AL87" i="1" s="1"/>
  <c r="AK87" i="1"/>
  <c r="AJ87" i="1"/>
  <c r="AH87" i="1" s="1"/>
  <c r="Z87" i="1"/>
  <c r="Y87" i="1"/>
  <c r="X87" i="1" s="1"/>
  <c r="T87" i="1"/>
  <c r="Q87" i="1"/>
  <c r="AN86" i="1"/>
  <c r="AM86" i="1"/>
  <c r="AK86" i="1"/>
  <c r="AL86" i="1" s="1"/>
  <c r="AJ86" i="1"/>
  <c r="AH86" i="1" s="1"/>
  <c r="Z86" i="1"/>
  <c r="Y86" i="1"/>
  <c r="X86" i="1" s="1"/>
  <c r="Q86" i="1"/>
  <c r="AN85" i="1"/>
  <c r="AM85" i="1"/>
  <c r="AK85" i="1"/>
  <c r="AL85" i="1" s="1"/>
  <c r="AJ85" i="1"/>
  <c r="AI85" i="1"/>
  <c r="AH85" i="1"/>
  <c r="L85" i="1" s="1"/>
  <c r="Z85" i="1"/>
  <c r="Y85" i="1"/>
  <c r="X85" i="1" s="1"/>
  <c r="Q85" i="1"/>
  <c r="AN84" i="1"/>
  <c r="AM84" i="1"/>
  <c r="AK84" i="1"/>
  <c r="AL84" i="1" s="1"/>
  <c r="AJ84" i="1"/>
  <c r="AI84" i="1"/>
  <c r="AH84" i="1"/>
  <c r="L84" i="1" s="1"/>
  <c r="Z84" i="1"/>
  <c r="Y84" i="1"/>
  <c r="X84" i="1" s="1"/>
  <c r="Q84" i="1"/>
  <c r="O84" i="1"/>
  <c r="K84" i="1"/>
  <c r="AN83" i="1"/>
  <c r="AM83" i="1"/>
  <c r="AL83" i="1" s="1"/>
  <c r="AK83" i="1"/>
  <c r="AJ83" i="1"/>
  <c r="AH83" i="1" s="1"/>
  <c r="Z83" i="1"/>
  <c r="Y83" i="1"/>
  <c r="X83" i="1" s="1"/>
  <c r="T83" i="1"/>
  <c r="Q83" i="1"/>
  <c r="AN82" i="1"/>
  <c r="AM82" i="1"/>
  <c r="AK82" i="1"/>
  <c r="AL82" i="1" s="1"/>
  <c r="AJ82" i="1"/>
  <c r="AH82" i="1" s="1"/>
  <c r="Z82" i="1"/>
  <c r="Y82" i="1"/>
  <c r="X82" i="1" s="1"/>
  <c r="Q82" i="1"/>
  <c r="AN81" i="1"/>
  <c r="AM81" i="1"/>
  <c r="AK81" i="1"/>
  <c r="AL81" i="1" s="1"/>
  <c r="AJ81" i="1"/>
  <c r="AI81" i="1"/>
  <c r="AH81" i="1"/>
  <c r="L81" i="1" s="1"/>
  <c r="Z81" i="1"/>
  <c r="Y81" i="1"/>
  <c r="X81" i="1" s="1"/>
  <c r="Q81" i="1"/>
  <c r="AN80" i="1"/>
  <c r="AM80" i="1"/>
  <c r="AK80" i="1"/>
  <c r="AL80" i="1" s="1"/>
  <c r="AJ80" i="1"/>
  <c r="AI80" i="1"/>
  <c r="AH80" i="1"/>
  <c r="L80" i="1" s="1"/>
  <c r="Z80" i="1"/>
  <c r="Y80" i="1"/>
  <c r="X80" i="1" s="1"/>
  <c r="Q80" i="1"/>
  <c r="O80" i="1"/>
  <c r="K80" i="1"/>
  <c r="AN79" i="1"/>
  <c r="AM79" i="1"/>
  <c r="AL79" i="1" s="1"/>
  <c r="AK79" i="1"/>
  <c r="AJ79" i="1"/>
  <c r="AI79" i="1"/>
  <c r="AH79" i="1"/>
  <c r="AB79" i="1"/>
  <c r="Z79" i="1"/>
  <c r="Y79" i="1"/>
  <c r="X79" i="1" s="1"/>
  <c r="U79" i="1"/>
  <c r="V79" i="1" s="1"/>
  <c r="T79" i="1"/>
  <c r="Q79" i="1"/>
  <c r="O79" i="1"/>
  <c r="L79" i="1"/>
  <c r="K79" i="1"/>
  <c r="J79" i="1"/>
  <c r="I79" i="1"/>
  <c r="AN78" i="1"/>
  <c r="AM78" i="1"/>
  <c r="AK78" i="1"/>
  <c r="AL78" i="1" s="1"/>
  <c r="AJ78" i="1"/>
  <c r="AH78" i="1" s="1"/>
  <c r="Z78" i="1"/>
  <c r="Y78" i="1"/>
  <c r="X78" i="1" s="1"/>
  <c r="Q78" i="1"/>
  <c r="AN77" i="1"/>
  <c r="AM77" i="1"/>
  <c r="AK77" i="1"/>
  <c r="AL77" i="1" s="1"/>
  <c r="AJ77" i="1"/>
  <c r="AI77" i="1"/>
  <c r="AH77" i="1"/>
  <c r="L77" i="1" s="1"/>
  <c r="Z77" i="1"/>
  <c r="Y77" i="1"/>
  <c r="X77" i="1" s="1"/>
  <c r="Q77" i="1"/>
  <c r="AN76" i="1"/>
  <c r="AM76" i="1"/>
  <c r="AK76" i="1"/>
  <c r="AL76" i="1" s="1"/>
  <c r="AJ76" i="1"/>
  <c r="AI76" i="1"/>
  <c r="AH76" i="1"/>
  <c r="L76" i="1" s="1"/>
  <c r="Z76" i="1"/>
  <c r="Y76" i="1"/>
  <c r="X76" i="1" s="1"/>
  <c r="Q76" i="1"/>
  <c r="O76" i="1"/>
  <c r="K76" i="1"/>
  <c r="AN75" i="1"/>
  <c r="AM75" i="1"/>
  <c r="AL75" i="1" s="1"/>
  <c r="AK75" i="1"/>
  <c r="AJ75" i="1"/>
  <c r="AI75" i="1"/>
  <c r="AH75" i="1"/>
  <c r="AB75" i="1"/>
  <c r="Z75" i="1"/>
  <c r="Y75" i="1"/>
  <c r="X75" i="1" s="1"/>
  <c r="U75" i="1"/>
  <c r="V75" i="1" s="1"/>
  <c r="T75" i="1"/>
  <c r="Q75" i="1"/>
  <c r="O75" i="1"/>
  <c r="L75" i="1"/>
  <c r="K75" i="1"/>
  <c r="J75" i="1"/>
  <c r="I75" i="1"/>
  <c r="R75" i="1" s="1"/>
  <c r="P75" i="1" s="1"/>
  <c r="S75" i="1" s="1"/>
  <c r="M75" i="1" s="1"/>
  <c r="N75" i="1" s="1"/>
  <c r="AN74" i="1"/>
  <c r="AM74" i="1"/>
  <c r="AK74" i="1"/>
  <c r="AJ74" i="1"/>
  <c r="AH74" i="1" s="1"/>
  <c r="K74" i="1" s="1"/>
  <c r="Z74" i="1"/>
  <c r="Y74" i="1"/>
  <c r="X74" i="1" s="1"/>
  <c r="Q74" i="1"/>
  <c r="AN73" i="1"/>
  <c r="AM73" i="1"/>
  <c r="AK73" i="1"/>
  <c r="AL73" i="1" s="1"/>
  <c r="AJ73" i="1"/>
  <c r="AI73" i="1"/>
  <c r="AH73" i="1"/>
  <c r="L73" i="1" s="1"/>
  <c r="Z73" i="1"/>
  <c r="Y73" i="1"/>
  <c r="X73" i="1" s="1"/>
  <c r="Q73" i="1"/>
  <c r="AN72" i="1"/>
  <c r="AM72" i="1"/>
  <c r="AK72" i="1"/>
  <c r="AL72" i="1" s="1"/>
  <c r="AJ72" i="1"/>
  <c r="AI72" i="1"/>
  <c r="AH72" i="1"/>
  <c r="L72" i="1" s="1"/>
  <c r="Z72" i="1"/>
  <c r="Y72" i="1"/>
  <c r="X72" i="1" s="1"/>
  <c r="Q72" i="1"/>
  <c r="O72" i="1"/>
  <c r="K72" i="1"/>
  <c r="AN71" i="1"/>
  <c r="AM71" i="1"/>
  <c r="AL71" i="1" s="1"/>
  <c r="AK71" i="1"/>
  <c r="AJ71" i="1"/>
  <c r="AH71" i="1" s="1"/>
  <c r="Z71" i="1"/>
  <c r="Y71" i="1"/>
  <c r="X71" i="1" s="1"/>
  <c r="T71" i="1"/>
  <c r="Q71" i="1"/>
  <c r="AN70" i="1"/>
  <c r="AM70" i="1"/>
  <c r="AK70" i="1"/>
  <c r="AJ70" i="1"/>
  <c r="AH70" i="1" s="1"/>
  <c r="Z70" i="1"/>
  <c r="Y70" i="1"/>
  <c r="X70" i="1" s="1"/>
  <c r="Q70" i="1"/>
  <c r="AN69" i="1"/>
  <c r="AM69" i="1"/>
  <c r="AK69" i="1"/>
  <c r="AL69" i="1" s="1"/>
  <c r="AJ69" i="1"/>
  <c r="AI69" i="1"/>
  <c r="AH69" i="1"/>
  <c r="L69" i="1" s="1"/>
  <c r="Z69" i="1"/>
  <c r="Y69" i="1"/>
  <c r="X69" i="1" s="1"/>
  <c r="Q69" i="1"/>
  <c r="AN68" i="1"/>
  <c r="AM68" i="1"/>
  <c r="AK68" i="1"/>
  <c r="AL68" i="1" s="1"/>
  <c r="AJ68" i="1"/>
  <c r="AI68" i="1"/>
  <c r="AH68" i="1"/>
  <c r="L68" i="1" s="1"/>
  <c r="Z68" i="1"/>
  <c r="Y68" i="1"/>
  <c r="X68" i="1" s="1"/>
  <c r="Q68" i="1"/>
  <c r="O68" i="1"/>
  <c r="K68" i="1"/>
  <c r="AN67" i="1"/>
  <c r="AM67" i="1"/>
  <c r="AL67" i="1" s="1"/>
  <c r="AK67" i="1"/>
  <c r="AJ67" i="1"/>
  <c r="AH67" i="1" s="1"/>
  <c r="Z67" i="1"/>
  <c r="Y67" i="1"/>
  <c r="X67" i="1" s="1"/>
  <c r="T67" i="1"/>
  <c r="Q67" i="1"/>
  <c r="L67" i="1"/>
  <c r="AN66" i="1"/>
  <c r="AM66" i="1"/>
  <c r="AK66" i="1"/>
  <c r="AJ66" i="1"/>
  <c r="AH66" i="1" s="1"/>
  <c r="Z66" i="1"/>
  <c r="Y66" i="1"/>
  <c r="X66" i="1" s="1"/>
  <c r="Q66" i="1"/>
  <c r="K66" i="1"/>
  <c r="J66" i="1"/>
  <c r="I66" i="1" s="1"/>
  <c r="AB66" i="1" s="1"/>
  <c r="AN65" i="1"/>
  <c r="AM65" i="1"/>
  <c r="AK65" i="1"/>
  <c r="AL65" i="1" s="1"/>
  <c r="AJ65" i="1"/>
  <c r="AI65" i="1"/>
  <c r="AH65" i="1"/>
  <c r="Z65" i="1"/>
  <c r="Y65" i="1"/>
  <c r="X65" i="1"/>
  <c r="Q65" i="1"/>
  <c r="AN64" i="1"/>
  <c r="AM64" i="1"/>
  <c r="AK64" i="1"/>
  <c r="AL64" i="1" s="1"/>
  <c r="AJ64" i="1"/>
  <c r="AI64" i="1"/>
  <c r="AH64" i="1"/>
  <c r="L64" i="1" s="1"/>
  <c r="Z64" i="1"/>
  <c r="Y64" i="1"/>
  <c r="X64" i="1" s="1"/>
  <c r="Q64" i="1"/>
  <c r="O64" i="1"/>
  <c r="K64" i="1"/>
  <c r="AN63" i="1"/>
  <c r="AM63" i="1"/>
  <c r="AL63" i="1" s="1"/>
  <c r="AK63" i="1"/>
  <c r="AJ63" i="1"/>
  <c r="AH63" i="1" s="1"/>
  <c r="Z63" i="1"/>
  <c r="Y63" i="1"/>
  <c r="X63" i="1" s="1"/>
  <c r="T63" i="1"/>
  <c r="Q63" i="1"/>
  <c r="O63" i="1"/>
  <c r="AN62" i="1"/>
  <c r="AM62" i="1"/>
  <c r="AK62" i="1"/>
  <c r="AJ62" i="1"/>
  <c r="AH62" i="1" s="1"/>
  <c r="K62" i="1" s="1"/>
  <c r="Z62" i="1"/>
  <c r="Y62" i="1"/>
  <c r="Q62" i="1"/>
  <c r="AN61" i="1"/>
  <c r="AM61" i="1"/>
  <c r="AK61" i="1"/>
  <c r="AJ61" i="1"/>
  <c r="AH61" i="1"/>
  <c r="Z61" i="1"/>
  <c r="Y61" i="1"/>
  <c r="X61" i="1"/>
  <c r="Q61" i="1"/>
  <c r="K61" i="1"/>
  <c r="AN60" i="1"/>
  <c r="AM60" i="1"/>
  <c r="AK60" i="1"/>
  <c r="AL60" i="1" s="1"/>
  <c r="AJ60" i="1"/>
  <c r="AI60" i="1"/>
  <c r="AH60" i="1"/>
  <c r="L60" i="1" s="1"/>
  <c r="Z60" i="1"/>
  <c r="Y60" i="1"/>
  <c r="X60" i="1" s="1"/>
  <c r="Q60" i="1"/>
  <c r="O60" i="1"/>
  <c r="K60" i="1"/>
  <c r="AN59" i="1"/>
  <c r="AM59" i="1"/>
  <c r="AL59" i="1" s="1"/>
  <c r="AK59" i="1"/>
  <c r="AJ59" i="1"/>
  <c r="AH59" i="1" s="1"/>
  <c r="O59" i="1" s="1"/>
  <c r="Z59" i="1"/>
  <c r="Y59" i="1"/>
  <c r="X59" i="1" s="1"/>
  <c r="T59" i="1"/>
  <c r="Q59" i="1"/>
  <c r="AN58" i="1"/>
  <c r="AM58" i="1"/>
  <c r="AK58" i="1"/>
  <c r="AJ58" i="1"/>
  <c r="AH58" i="1" s="1"/>
  <c r="Z58" i="1"/>
  <c r="Y58" i="1"/>
  <c r="Q58" i="1"/>
  <c r="AN57" i="1"/>
  <c r="AM57" i="1"/>
  <c r="AK57" i="1"/>
  <c r="AJ57" i="1"/>
  <c r="AI57" i="1"/>
  <c r="AH57" i="1"/>
  <c r="Z57" i="1"/>
  <c r="Y57" i="1"/>
  <c r="X57" i="1" s="1"/>
  <c r="Q57" i="1"/>
  <c r="O57" i="1"/>
  <c r="K57" i="1"/>
  <c r="AN56" i="1"/>
  <c r="AM56" i="1"/>
  <c r="AK56" i="1"/>
  <c r="AJ56" i="1"/>
  <c r="AI56" i="1"/>
  <c r="AH56" i="1"/>
  <c r="L56" i="1" s="1"/>
  <c r="Z56" i="1"/>
  <c r="Y56" i="1"/>
  <c r="X56" i="1" s="1"/>
  <c r="Q56" i="1"/>
  <c r="O56" i="1"/>
  <c r="K56" i="1"/>
  <c r="AN55" i="1"/>
  <c r="AM55" i="1"/>
  <c r="AK55" i="1"/>
  <c r="T55" i="1" s="1"/>
  <c r="AJ55" i="1"/>
  <c r="AH55" i="1" s="1"/>
  <c r="J55" i="1" s="1"/>
  <c r="I55" i="1" s="1"/>
  <c r="Z55" i="1"/>
  <c r="Y55" i="1"/>
  <c r="X55" i="1" s="1"/>
  <c r="Q55" i="1"/>
  <c r="AN54" i="1"/>
  <c r="AM54" i="1"/>
  <c r="AK54" i="1"/>
  <c r="T54" i="1" s="1"/>
  <c r="AJ54" i="1"/>
  <c r="AH54" i="1" s="1"/>
  <c r="J54" i="1" s="1"/>
  <c r="I54" i="1" s="1"/>
  <c r="Z54" i="1"/>
  <c r="Y54" i="1"/>
  <c r="X54" i="1" s="1"/>
  <c r="Q54" i="1"/>
  <c r="O54" i="1"/>
  <c r="L54" i="1"/>
  <c r="AN53" i="1"/>
  <c r="AM53" i="1"/>
  <c r="AK53" i="1"/>
  <c r="AJ53" i="1"/>
  <c r="AH53" i="1" s="1"/>
  <c r="Z53" i="1"/>
  <c r="Y53" i="1"/>
  <c r="X53" i="1"/>
  <c r="Q53" i="1"/>
  <c r="AN52" i="1"/>
  <c r="AM52" i="1"/>
  <c r="AK52" i="1"/>
  <c r="AJ52" i="1"/>
  <c r="AI52" i="1"/>
  <c r="AH52" i="1"/>
  <c r="K52" i="1" s="1"/>
  <c r="Z52" i="1"/>
  <c r="Y52" i="1"/>
  <c r="X52" i="1"/>
  <c r="Q52" i="1"/>
  <c r="O52" i="1"/>
  <c r="AN51" i="1"/>
  <c r="AM51" i="1"/>
  <c r="AL51" i="1"/>
  <c r="AK51" i="1"/>
  <c r="T51" i="1" s="1"/>
  <c r="AJ51" i="1"/>
  <c r="AH51" i="1" s="1"/>
  <c r="J51" i="1" s="1"/>
  <c r="I51" i="1" s="1"/>
  <c r="Z51" i="1"/>
  <c r="Y51" i="1"/>
  <c r="X51" i="1" s="1"/>
  <c r="Q51" i="1"/>
  <c r="AN50" i="1"/>
  <c r="AM50" i="1"/>
  <c r="AK50" i="1"/>
  <c r="T50" i="1" s="1"/>
  <c r="AJ50" i="1"/>
  <c r="AH50" i="1" s="1"/>
  <c r="J50" i="1" s="1"/>
  <c r="I50" i="1" s="1"/>
  <c r="Z50" i="1"/>
  <c r="Y50" i="1"/>
  <c r="X50" i="1" s="1"/>
  <c r="Q50" i="1"/>
  <c r="L50" i="1"/>
  <c r="AN49" i="1"/>
  <c r="AM49" i="1"/>
  <c r="AK49" i="1"/>
  <c r="AJ49" i="1"/>
  <c r="AH49" i="1" s="1"/>
  <c r="Z49" i="1"/>
  <c r="Y49" i="1"/>
  <c r="X49" i="1"/>
  <c r="Q49" i="1"/>
  <c r="AN48" i="1"/>
  <c r="AM48" i="1"/>
  <c r="AK48" i="1"/>
  <c r="AJ48" i="1"/>
  <c r="AI48" i="1"/>
  <c r="AH48" i="1"/>
  <c r="K48" i="1" s="1"/>
  <c r="Z48" i="1"/>
  <c r="Y48" i="1"/>
  <c r="X48" i="1"/>
  <c r="Q48" i="1"/>
  <c r="AN47" i="1"/>
  <c r="AM47" i="1"/>
  <c r="AL47" i="1"/>
  <c r="AK47" i="1"/>
  <c r="T47" i="1" s="1"/>
  <c r="AJ47" i="1"/>
  <c r="AH47" i="1" s="1"/>
  <c r="J47" i="1" s="1"/>
  <c r="I47" i="1" s="1"/>
  <c r="Z47" i="1"/>
  <c r="Y47" i="1"/>
  <c r="X47" i="1" s="1"/>
  <c r="Q47" i="1"/>
  <c r="AN46" i="1"/>
  <c r="AM46" i="1"/>
  <c r="AK46" i="1"/>
  <c r="T46" i="1" s="1"/>
  <c r="AJ46" i="1"/>
  <c r="AH46" i="1" s="1"/>
  <c r="J46" i="1" s="1"/>
  <c r="I46" i="1" s="1"/>
  <c r="Z46" i="1"/>
  <c r="Y46" i="1"/>
  <c r="X46" i="1" s="1"/>
  <c r="Q46" i="1"/>
  <c r="L46" i="1"/>
  <c r="AN45" i="1"/>
  <c r="AM45" i="1"/>
  <c r="AK45" i="1"/>
  <c r="AJ45" i="1"/>
  <c r="AH45" i="1" s="1"/>
  <c r="Z45" i="1"/>
  <c r="Y45" i="1"/>
  <c r="X45" i="1" s="1"/>
  <c r="T45" i="1"/>
  <c r="Q45" i="1"/>
  <c r="AN44" i="1"/>
  <c r="AM44" i="1"/>
  <c r="AL44" i="1"/>
  <c r="AK44" i="1"/>
  <c r="AJ44" i="1"/>
  <c r="AH44" i="1"/>
  <c r="L44" i="1" s="1"/>
  <c r="Z44" i="1"/>
  <c r="Y44" i="1"/>
  <c r="X44" i="1"/>
  <c r="T44" i="1"/>
  <c r="Q44" i="1"/>
  <c r="AN43" i="1"/>
  <c r="T43" i="1" s="1"/>
  <c r="AM43" i="1"/>
  <c r="AL43" i="1" s="1"/>
  <c r="AK43" i="1"/>
  <c r="AJ43" i="1"/>
  <c r="AH43" i="1"/>
  <c r="K43" i="1" s="1"/>
  <c r="Z43" i="1"/>
  <c r="Y43" i="1"/>
  <c r="X43" i="1"/>
  <c r="Q43" i="1"/>
  <c r="AN42" i="1"/>
  <c r="AM42" i="1"/>
  <c r="AL42" i="1"/>
  <c r="AK42" i="1"/>
  <c r="AJ42" i="1"/>
  <c r="AH42" i="1"/>
  <c r="AI42" i="1" s="1"/>
  <c r="Z42" i="1"/>
  <c r="Y42" i="1"/>
  <c r="X42" i="1"/>
  <c r="T42" i="1"/>
  <c r="Q42" i="1"/>
  <c r="O42" i="1"/>
  <c r="L42" i="1"/>
  <c r="K42" i="1"/>
  <c r="AN41" i="1"/>
  <c r="AM41" i="1"/>
  <c r="AL41" i="1"/>
  <c r="AK41" i="1"/>
  <c r="AJ41" i="1"/>
  <c r="AH41" i="1" s="1"/>
  <c r="Z41" i="1"/>
  <c r="Y41" i="1"/>
  <c r="X41" i="1" s="1"/>
  <c r="T41" i="1"/>
  <c r="Q41" i="1"/>
  <c r="AN40" i="1"/>
  <c r="AM40" i="1"/>
  <c r="AK40" i="1"/>
  <c r="AL40" i="1" s="1"/>
  <c r="AJ40" i="1"/>
  <c r="AH40" i="1"/>
  <c r="L40" i="1" s="1"/>
  <c r="Z40" i="1"/>
  <c r="Y40" i="1"/>
  <c r="X40" i="1"/>
  <c r="T40" i="1"/>
  <c r="Q40" i="1"/>
  <c r="AN39" i="1"/>
  <c r="T39" i="1" s="1"/>
  <c r="AM39" i="1"/>
  <c r="AL39" i="1" s="1"/>
  <c r="AK39" i="1"/>
  <c r="AJ39" i="1"/>
  <c r="AH39" i="1"/>
  <c r="K39" i="1" s="1"/>
  <c r="Z39" i="1"/>
  <c r="Y39" i="1"/>
  <c r="X39" i="1"/>
  <c r="Q39" i="1"/>
  <c r="AN38" i="1"/>
  <c r="AM38" i="1"/>
  <c r="AL38" i="1"/>
  <c r="AK38" i="1"/>
  <c r="AJ38" i="1"/>
  <c r="AH38" i="1"/>
  <c r="AI38" i="1" s="1"/>
  <c r="Z38" i="1"/>
  <c r="Y38" i="1"/>
  <c r="X38" i="1"/>
  <c r="T38" i="1"/>
  <c r="Q38" i="1"/>
  <c r="O38" i="1"/>
  <c r="L38" i="1"/>
  <c r="K38" i="1"/>
  <c r="AN37" i="1"/>
  <c r="AM37" i="1"/>
  <c r="AL37" i="1"/>
  <c r="AK37" i="1"/>
  <c r="AJ37" i="1"/>
  <c r="AH37" i="1" s="1"/>
  <c r="Z37" i="1"/>
  <c r="Y37" i="1"/>
  <c r="X37" i="1" s="1"/>
  <c r="T37" i="1"/>
  <c r="Q37" i="1"/>
  <c r="AN36" i="1"/>
  <c r="AM36" i="1"/>
  <c r="AK36" i="1"/>
  <c r="AL36" i="1" s="1"/>
  <c r="AJ36" i="1"/>
  <c r="AH36" i="1"/>
  <c r="L36" i="1" s="1"/>
  <c r="Z36" i="1"/>
  <c r="Y36" i="1"/>
  <c r="X36" i="1"/>
  <c r="Q36" i="1"/>
  <c r="AN35" i="1"/>
  <c r="T35" i="1" s="1"/>
  <c r="AM35" i="1"/>
  <c r="AL35" i="1" s="1"/>
  <c r="AK35" i="1"/>
  <c r="AJ35" i="1"/>
  <c r="AH35" i="1"/>
  <c r="K35" i="1" s="1"/>
  <c r="Z35" i="1"/>
  <c r="Y35" i="1"/>
  <c r="X35" i="1"/>
  <c r="Q35" i="1"/>
  <c r="AN34" i="1"/>
  <c r="AM34" i="1"/>
  <c r="AL34" i="1"/>
  <c r="AK34" i="1"/>
  <c r="AJ34" i="1"/>
  <c r="AH34" i="1"/>
  <c r="AI34" i="1" s="1"/>
  <c r="Z34" i="1"/>
  <c r="Y34" i="1"/>
  <c r="X34" i="1"/>
  <c r="T34" i="1"/>
  <c r="Q34" i="1"/>
  <c r="O34" i="1"/>
  <c r="L34" i="1"/>
  <c r="K34" i="1"/>
  <c r="AN33" i="1"/>
  <c r="AM33" i="1"/>
  <c r="AL33" i="1"/>
  <c r="AK33" i="1"/>
  <c r="AJ33" i="1"/>
  <c r="AH33" i="1" s="1"/>
  <c r="Z33" i="1"/>
  <c r="Y33" i="1"/>
  <c r="X33" i="1" s="1"/>
  <c r="T33" i="1"/>
  <c r="Q33" i="1"/>
  <c r="AN32" i="1"/>
  <c r="AM32" i="1"/>
  <c r="AK32" i="1"/>
  <c r="AL32" i="1" s="1"/>
  <c r="AJ32" i="1"/>
  <c r="AH32" i="1"/>
  <c r="L32" i="1" s="1"/>
  <c r="Z32" i="1"/>
  <c r="Y32" i="1"/>
  <c r="X32" i="1"/>
  <c r="Q32" i="1"/>
  <c r="AN31" i="1"/>
  <c r="T31" i="1" s="1"/>
  <c r="AM31" i="1"/>
  <c r="AL31" i="1" s="1"/>
  <c r="AK31" i="1"/>
  <c r="AJ31" i="1"/>
  <c r="AH31" i="1"/>
  <c r="K31" i="1" s="1"/>
  <c r="Z31" i="1"/>
  <c r="Y31" i="1"/>
  <c r="X31" i="1"/>
  <c r="Q31" i="1"/>
  <c r="AN30" i="1"/>
  <c r="AM30" i="1"/>
  <c r="AL30" i="1"/>
  <c r="AK30" i="1"/>
  <c r="AJ30" i="1"/>
  <c r="AH30" i="1"/>
  <c r="AI30" i="1" s="1"/>
  <c r="Z30" i="1"/>
  <c r="Y30" i="1"/>
  <c r="X30" i="1"/>
  <c r="T30" i="1"/>
  <c r="Q30" i="1"/>
  <c r="O30" i="1"/>
  <c r="L30" i="1"/>
  <c r="K30" i="1"/>
  <c r="AN29" i="1"/>
  <c r="AM29" i="1"/>
  <c r="AL29" i="1"/>
  <c r="AK29" i="1"/>
  <c r="AJ29" i="1"/>
  <c r="AH29" i="1" s="1"/>
  <c r="Z29" i="1"/>
  <c r="Y29" i="1"/>
  <c r="T29" i="1"/>
  <c r="Q29" i="1"/>
  <c r="J29" i="1"/>
  <c r="I29" i="1" s="1"/>
  <c r="AB29" i="1" s="1"/>
  <c r="AN28" i="1"/>
  <c r="AM28" i="1"/>
  <c r="AK28" i="1"/>
  <c r="AL28" i="1" s="1"/>
  <c r="AJ28" i="1"/>
  <c r="AH28" i="1"/>
  <c r="Z28" i="1"/>
  <c r="Y28" i="1"/>
  <c r="X28" i="1"/>
  <c r="Q28" i="1"/>
  <c r="AN27" i="1"/>
  <c r="T27" i="1" s="1"/>
  <c r="AM27" i="1"/>
  <c r="AL27" i="1" s="1"/>
  <c r="AK27" i="1"/>
  <c r="AJ27" i="1"/>
  <c r="AH27" i="1"/>
  <c r="K27" i="1" s="1"/>
  <c r="Z27" i="1"/>
  <c r="Y27" i="1"/>
  <c r="X27" i="1"/>
  <c r="Q27" i="1"/>
  <c r="AN26" i="1"/>
  <c r="AM26" i="1"/>
  <c r="AL26" i="1"/>
  <c r="AK26" i="1"/>
  <c r="AJ26" i="1"/>
  <c r="AH26" i="1"/>
  <c r="AI26" i="1" s="1"/>
  <c r="Z26" i="1"/>
  <c r="Y26" i="1"/>
  <c r="X26" i="1"/>
  <c r="T26" i="1"/>
  <c r="Q26" i="1"/>
  <c r="O26" i="1"/>
  <c r="L26" i="1"/>
  <c r="K26" i="1"/>
  <c r="AN25" i="1"/>
  <c r="AM25" i="1"/>
  <c r="AL25" i="1"/>
  <c r="AK25" i="1"/>
  <c r="AJ25" i="1"/>
  <c r="AH25" i="1" s="1"/>
  <c r="AI25" i="1"/>
  <c r="Z25" i="1"/>
  <c r="Y25" i="1"/>
  <c r="X25" i="1" s="1"/>
  <c r="T25" i="1"/>
  <c r="Q25" i="1"/>
  <c r="AN24" i="1"/>
  <c r="AM24" i="1"/>
  <c r="AK24" i="1"/>
  <c r="AL24" i="1" s="1"/>
  <c r="AJ24" i="1"/>
  <c r="AH24" i="1"/>
  <c r="Z24" i="1"/>
  <c r="Y24" i="1"/>
  <c r="X24" i="1"/>
  <c r="Q24" i="1"/>
  <c r="O24" i="1"/>
  <c r="AN23" i="1"/>
  <c r="T23" i="1" s="1"/>
  <c r="AM23" i="1"/>
  <c r="AL23" i="1" s="1"/>
  <c r="AK23" i="1"/>
  <c r="AJ23" i="1"/>
  <c r="AH23" i="1"/>
  <c r="K23" i="1" s="1"/>
  <c r="Z23" i="1"/>
  <c r="Y23" i="1"/>
  <c r="X23" i="1"/>
  <c r="Q23" i="1"/>
  <c r="AN22" i="1"/>
  <c r="AM22" i="1"/>
  <c r="AK22" i="1"/>
  <c r="AL22" i="1" s="1"/>
  <c r="AJ22" i="1"/>
  <c r="AH22" i="1"/>
  <c r="AI22" i="1" s="1"/>
  <c r="Z22" i="1"/>
  <c r="Y22" i="1"/>
  <c r="X22" i="1"/>
  <c r="T22" i="1"/>
  <c r="Q22" i="1"/>
  <c r="O22" i="1"/>
  <c r="L22" i="1"/>
  <c r="K22" i="1"/>
  <c r="AN21" i="1"/>
  <c r="AM21" i="1"/>
  <c r="AL21" i="1"/>
  <c r="AK21" i="1"/>
  <c r="AJ21" i="1"/>
  <c r="AH21" i="1" s="1"/>
  <c r="AI21" i="1"/>
  <c r="Z21" i="1"/>
  <c r="Y21" i="1"/>
  <c r="X21" i="1" s="1"/>
  <c r="T21" i="1"/>
  <c r="Q21" i="1"/>
  <c r="J21" i="1"/>
  <c r="I21" i="1" s="1"/>
  <c r="AN20" i="1"/>
  <c r="AM20" i="1"/>
  <c r="AK20" i="1"/>
  <c r="AL20" i="1" s="1"/>
  <c r="AJ20" i="1"/>
  <c r="AH20" i="1"/>
  <c r="Z20" i="1"/>
  <c r="Y20" i="1"/>
  <c r="X20" i="1"/>
  <c r="Q20" i="1"/>
  <c r="O20" i="1"/>
  <c r="AN19" i="1"/>
  <c r="T19" i="1" s="1"/>
  <c r="AM19" i="1"/>
  <c r="AL19" i="1" s="1"/>
  <c r="AK19" i="1"/>
  <c r="AJ19" i="1"/>
  <c r="AH19" i="1"/>
  <c r="K19" i="1" s="1"/>
  <c r="Z19" i="1"/>
  <c r="Y19" i="1"/>
  <c r="X19" i="1"/>
  <c r="Q19" i="1"/>
  <c r="AN18" i="1"/>
  <c r="AM18" i="1"/>
  <c r="AL18" i="1"/>
  <c r="AK18" i="1"/>
  <c r="AJ18" i="1"/>
  <c r="AH18" i="1"/>
  <c r="AI18" i="1" s="1"/>
  <c r="Z18" i="1"/>
  <c r="Y18" i="1"/>
  <c r="X18" i="1"/>
  <c r="T18" i="1"/>
  <c r="Q18" i="1"/>
  <c r="O18" i="1"/>
  <c r="L18" i="1"/>
  <c r="K18" i="1"/>
  <c r="AN17" i="1"/>
  <c r="AM17" i="1"/>
  <c r="AL17" i="1"/>
  <c r="AK17" i="1"/>
  <c r="AJ17" i="1"/>
  <c r="AH17" i="1" s="1"/>
  <c r="AI17" i="1"/>
  <c r="Z17" i="1"/>
  <c r="Y17" i="1"/>
  <c r="X17" i="1" s="1"/>
  <c r="T17" i="1"/>
  <c r="Q17" i="1"/>
  <c r="L17" i="1"/>
  <c r="J17" i="1"/>
  <c r="I17" i="1" s="1"/>
  <c r="AB21" i="1" l="1"/>
  <c r="AB17" i="1"/>
  <c r="O41" i="1"/>
  <c r="L41" i="1"/>
  <c r="K41" i="1"/>
  <c r="J41" i="1"/>
  <c r="I41" i="1" s="1"/>
  <c r="AI41" i="1"/>
  <c r="L53" i="1"/>
  <c r="O53" i="1"/>
  <c r="AI53" i="1"/>
  <c r="K53" i="1"/>
  <c r="J53" i="1"/>
  <c r="I53" i="1" s="1"/>
  <c r="AB55" i="1"/>
  <c r="L24" i="1"/>
  <c r="K24" i="1"/>
  <c r="J24" i="1"/>
  <c r="I24" i="1" s="1"/>
  <c r="AI24" i="1"/>
  <c r="L28" i="1"/>
  <c r="K28" i="1"/>
  <c r="J28" i="1"/>
  <c r="I28" i="1" s="1"/>
  <c r="AI28" i="1"/>
  <c r="AB54" i="1"/>
  <c r="U55" i="1"/>
  <c r="V55" i="1" s="1"/>
  <c r="AC55" i="1" s="1"/>
  <c r="O17" i="1"/>
  <c r="K17" i="1"/>
  <c r="X29" i="1"/>
  <c r="AB47" i="1"/>
  <c r="U54" i="1"/>
  <c r="V54" i="1" s="1"/>
  <c r="U59" i="1"/>
  <c r="V59" i="1" s="1"/>
  <c r="O28" i="1"/>
  <c r="O45" i="1"/>
  <c r="L45" i="1"/>
  <c r="K45" i="1"/>
  <c r="J45" i="1"/>
  <c r="I45" i="1" s="1"/>
  <c r="AI45" i="1"/>
  <c r="AB46" i="1"/>
  <c r="U47" i="1"/>
  <c r="V47" i="1" s="1"/>
  <c r="O21" i="1"/>
  <c r="L21" i="1"/>
  <c r="K21" i="1"/>
  <c r="O29" i="1"/>
  <c r="L29" i="1"/>
  <c r="K29" i="1"/>
  <c r="AI29" i="1"/>
  <c r="U46" i="1"/>
  <c r="V46" i="1" s="1"/>
  <c r="AC46" i="1" s="1"/>
  <c r="AB51" i="1"/>
  <c r="U17" i="1"/>
  <c r="V17" i="1" s="1"/>
  <c r="O33" i="1"/>
  <c r="L33" i="1"/>
  <c r="K33" i="1"/>
  <c r="J33" i="1"/>
  <c r="I33" i="1" s="1"/>
  <c r="AI33" i="1"/>
  <c r="L49" i="1"/>
  <c r="O49" i="1"/>
  <c r="AI49" i="1"/>
  <c r="K49" i="1"/>
  <c r="J49" i="1"/>
  <c r="I49" i="1" s="1"/>
  <c r="AB50" i="1"/>
  <c r="U51" i="1"/>
  <c r="V51" i="1" s="1"/>
  <c r="AC51" i="1" s="1"/>
  <c r="O25" i="1"/>
  <c r="L25" i="1"/>
  <c r="K25" i="1"/>
  <c r="O37" i="1"/>
  <c r="L37" i="1"/>
  <c r="K37" i="1"/>
  <c r="J37" i="1"/>
  <c r="I37" i="1" s="1"/>
  <c r="AI37" i="1"/>
  <c r="U50" i="1"/>
  <c r="V50" i="1" s="1"/>
  <c r="AC50" i="1" s="1"/>
  <c r="AC54" i="1"/>
  <c r="L20" i="1"/>
  <c r="K20" i="1"/>
  <c r="J20" i="1"/>
  <c r="I20" i="1" s="1"/>
  <c r="AI20" i="1"/>
  <c r="J25" i="1"/>
  <c r="I25" i="1" s="1"/>
  <c r="J18" i="1"/>
  <c r="I18" i="1" s="1"/>
  <c r="L19" i="1"/>
  <c r="J22" i="1"/>
  <c r="I22" i="1" s="1"/>
  <c r="U22" i="1" s="1"/>
  <c r="V22" i="1" s="1"/>
  <c r="L23" i="1"/>
  <c r="J26" i="1"/>
  <c r="I26" i="1" s="1"/>
  <c r="L27" i="1"/>
  <c r="J30" i="1"/>
  <c r="I30" i="1" s="1"/>
  <c r="L31" i="1"/>
  <c r="J34" i="1"/>
  <c r="I34" i="1" s="1"/>
  <c r="L35" i="1"/>
  <c r="J38" i="1"/>
  <c r="I38" i="1" s="1"/>
  <c r="L39" i="1"/>
  <c r="J42" i="1"/>
  <c r="I42" i="1" s="1"/>
  <c r="L43" i="1"/>
  <c r="K46" i="1"/>
  <c r="AI46" i="1"/>
  <c r="L47" i="1"/>
  <c r="K50" i="1"/>
  <c r="AI50" i="1"/>
  <c r="L51" i="1"/>
  <c r="K54" i="1"/>
  <c r="AI54" i="1"/>
  <c r="L55" i="1"/>
  <c r="AL57" i="1"/>
  <c r="T57" i="1"/>
  <c r="J62" i="1"/>
  <c r="I62" i="1" s="1"/>
  <c r="U88" i="1"/>
  <c r="V88" i="1" s="1"/>
  <c r="AB99" i="1"/>
  <c r="O32" i="1"/>
  <c r="O36" i="1"/>
  <c r="O40" i="1"/>
  <c r="O44" i="1"/>
  <c r="AI47" i="1"/>
  <c r="L48" i="1"/>
  <c r="J48" i="1"/>
  <c r="I48" i="1" s="1"/>
  <c r="AI51" i="1"/>
  <c r="L52" i="1"/>
  <c r="J52" i="1"/>
  <c r="I52" i="1" s="1"/>
  <c r="AI55" i="1"/>
  <c r="J67" i="1"/>
  <c r="I67" i="1" s="1"/>
  <c r="AI67" i="1"/>
  <c r="O67" i="1"/>
  <c r="K67" i="1"/>
  <c r="L58" i="1"/>
  <c r="AI58" i="1"/>
  <c r="L61" i="1"/>
  <c r="J61" i="1"/>
  <c r="I61" i="1" s="1"/>
  <c r="O61" i="1"/>
  <c r="O70" i="1"/>
  <c r="L70" i="1"/>
  <c r="J70" i="1"/>
  <c r="I70" i="1" s="1"/>
  <c r="AI70" i="1"/>
  <c r="W75" i="1"/>
  <c r="AA75" i="1" s="1"/>
  <c r="AD75" i="1"/>
  <c r="AE75" i="1" s="1"/>
  <c r="AC75" i="1"/>
  <c r="O86" i="1"/>
  <c r="L86" i="1"/>
  <c r="K86" i="1"/>
  <c r="J86" i="1"/>
  <c r="I86" i="1" s="1"/>
  <c r="AI86" i="1"/>
  <c r="J87" i="1"/>
  <c r="I87" i="1" s="1"/>
  <c r="AI87" i="1"/>
  <c r="O87" i="1"/>
  <c r="L87" i="1"/>
  <c r="K87" i="1"/>
  <c r="AB91" i="1"/>
  <c r="R91" i="1"/>
  <c r="P91" i="1" s="1"/>
  <c r="S91" i="1" s="1"/>
  <c r="M91" i="1" s="1"/>
  <c r="N91" i="1" s="1"/>
  <c r="AB96" i="1"/>
  <c r="O19" i="1"/>
  <c r="O23" i="1"/>
  <c r="O27" i="1"/>
  <c r="U30" i="1"/>
  <c r="V30" i="1" s="1"/>
  <c r="O31" i="1"/>
  <c r="AI32" i="1"/>
  <c r="U34" i="1"/>
  <c r="V34" i="1" s="1"/>
  <c r="O35" i="1"/>
  <c r="AI36" i="1"/>
  <c r="U38" i="1"/>
  <c r="V38" i="1" s="1"/>
  <c r="O39" i="1"/>
  <c r="AI40" i="1"/>
  <c r="U42" i="1"/>
  <c r="V42" i="1" s="1"/>
  <c r="O43" i="1"/>
  <c r="AI44" i="1"/>
  <c r="AL45" i="1"/>
  <c r="O46" i="1"/>
  <c r="AL46" i="1"/>
  <c r="O47" i="1"/>
  <c r="O48" i="1"/>
  <c r="AL49" i="1"/>
  <c r="T49" i="1"/>
  <c r="O50" i="1"/>
  <c r="AL50" i="1"/>
  <c r="O51" i="1"/>
  <c r="AL53" i="1"/>
  <c r="T53" i="1"/>
  <c r="AL54" i="1"/>
  <c r="O55" i="1"/>
  <c r="AL56" i="1"/>
  <c r="T56" i="1"/>
  <c r="AL58" i="1"/>
  <c r="T58" i="1"/>
  <c r="J59" i="1"/>
  <c r="I59" i="1" s="1"/>
  <c r="AI59" i="1"/>
  <c r="K59" i="1"/>
  <c r="AI61" i="1"/>
  <c r="O62" i="1"/>
  <c r="L62" i="1"/>
  <c r="AI62" i="1"/>
  <c r="J63" i="1"/>
  <c r="I63" i="1" s="1"/>
  <c r="AI63" i="1"/>
  <c r="K63" i="1"/>
  <c r="AL70" i="1"/>
  <c r="T70" i="1"/>
  <c r="O78" i="1"/>
  <c r="L78" i="1"/>
  <c r="K78" i="1"/>
  <c r="J78" i="1"/>
  <c r="I78" i="1" s="1"/>
  <c r="AI78" i="1"/>
  <c r="AB103" i="1"/>
  <c r="J32" i="1"/>
  <c r="I32" i="1" s="1"/>
  <c r="J36" i="1"/>
  <c r="I36" i="1" s="1"/>
  <c r="J40" i="1"/>
  <c r="I40" i="1" s="1"/>
  <c r="J44" i="1"/>
  <c r="I44" i="1" s="1"/>
  <c r="AL48" i="1"/>
  <c r="T48" i="1"/>
  <c r="AL52" i="1"/>
  <c r="T52" i="1"/>
  <c r="AL55" i="1"/>
  <c r="J58" i="1"/>
  <c r="I58" i="1" s="1"/>
  <c r="AL62" i="1"/>
  <c r="T62" i="1"/>
  <c r="K70" i="1"/>
  <c r="U93" i="1"/>
  <c r="V93" i="1" s="1"/>
  <c r="AI19" i="1"/>
  <c r="U21" i="1"/>
  <c r="V21" i="1" s="1"/>
  <c r="AC21" i="1" s="1"/>
  <c r="AI23" i="1"/>
  <c r="U25" i="1"/>
  <c r="V25" i="1" s="1"/>
  <c r="AC25" i="1" s="1"/>
  <c r="AI27" i="1"/>
  <c r="U29" i="1"/>
  <c r="V29" i="1" s="1"/>
  <c r="AI31" i="1"/>
  <c r="K32" i="1"/>
  <c r="AI35" i="1"/>
  <c r="K36" i="1"/>
  <c r="U37" i="1"/>
  <c r="V37" i="1" s="1"/>
  <c r="AC37" i="1" s="1"/>
  <c r="AI39" i="1"/>
  <c r="K40" i="1"/>
  <c r="U41" i="1"/>
  <c r="V41" i="1" s="1"/>
  <c r="AI43" i="1"/>
  <c r="K44" i="1"/>
  <c r="U45" i="1"/>
  <c r="V45" i="1" s="1"/>
  <c r="AC45" i="1" s="1"/>
  <c r="L57" i="1"/>
  <c r="J57" i="1"/>
  <c r="I57" i="1" s="1"/>
  <c r="K58" i="1"/>
  <c r="X58" i="1"/>
  <c r="AL61" i="1"/>
  <c r="T61" i="1"/>
  <c r="O66" i="1"/>
  <c r="L66" i="1"/>
  <c r="AI66" i="1"/>
  <c r="U67" i="1"/>
  <c r="V67" i="1" s="1"/>
  <c r="J71" i="1"/>
  <c r="I71" i="1" s="1"/>
  <c r="AI71" i="1"/>
  <c r="O71" i="1"/>
  <c r="L71" i="1"/>
  <c r="K71" i="1"/>
  <c r="J19" i="1"/>
  <c r="I19" i="1" s="1"/>
  <c r="T20" i="1"/>
  <c r="J23" i="1"/>
  <c r="I23" i="1" s="1"/>
  <c r="T24" i="1"/>
  <c r="J27" i="1"/>
  <c r="I27" i="1" s="1"/>
  <c r="U27" i="1" s="1"/>
  <c r="V27" i="1" s="1"/>
  <c r="T28" i="1"/>
  <c r="J31" i="1"/>
  <c r="I31" i="1" s="1"/>
  <c r="U31" i="1" s="1"/>
  <c r="V31" i="1" s="1"/>
  <c r="T32" i="1"/>
  <c r="J35" i="1"/>
  <c r="I35" i="1" s="1"/>
  <c r="T36" i="1"/>
  <c r="J39" i="1"/>
  <c r="I39" i="1" s="1"/>
  <c r="J43" i="1"/>
  <c r="I43" i="1" s="1"/>
  <c r="U43" i="1" s="1"/>
  <c r="V43" i="1" s="1"/>
  <c r="AL66" i="1"/>
  <c r="T66" i="1"/>
  <c r="O74" i="1"/>
  <c r="L74" i="1"/>
  <c r="J74" i="1"/>
  <c r="I74" i="1" s="1"/>
  <c r="AI74" i="1"/>
  <c r="W79" i="1"/>
  <c r="AA79" i="1" s="1"/>
  <c r="AD79" i="1"/>
  <c r="AE79" i="1" s="1"/>
  <c r="AC79" i="1"/>
  <c r="L90" i="1"/>
  <c r="K90" i="1"/>
  <c r="O90" i="1"/>
  <c r="AI90" i="1"/>
  <c r="J90" i="1"/>
  <c r="I90" i="1" s="1"/>
  <c r="AB92" i="1"/>
  <c r="AB95" i="1"/>
  <c r="K47" i="1"/>
  <c r="K51" i="1"/>
  <c r="K55" i="1"/>
  <c r="O58" i="1"/>
  <c r="L59" i="1"/>
  <c r="X62" i="1"/>
  <c r="L63" i="1"/>
  <c r="L65" i="1"/>
  <c r="K65" i="1"/>
  <c r="J65" i="1"/>
  <c r="I65" i="1" s="1"/>
  <c r="O65" i="1"/>
  <c r="AL74" i="1"/>
  <c r="T74" i="1"/>
  <c r="R79" i="1"/>
  <c r="P79" i="1" s="1"/>
  <c r="S79" i="1" s="1"/>
  <c r="M79" i="1" s="1"/>
  <c r="N79" i="1" s="1"/>
  <c r="O82" i="1"/>
  <c r="L82" i="1"/>
  <c r="K82" i="1"/>
  <c r="J82" i="1"/>
  <c r="I82" i="1" s="1"/>
  <c r="AI82" i="1"/>
  <c r="J83" i="1"/>
  <c r="I83" i="1" s="1"/>
  <c r="AI83" i="1"/>
  <c r="O83" i="1"/>
  <c r="L83" i="1"/>
  <c r="K83" i="1"/>
  <c r="O69" i="1"/>
  <c r="O73" i="1"/>
  <c r="O77" i="1"/>
  <c r="O81" i="1"/>
  <c r="O85" i="1"/>
  <c r="AL95" i="1"/>
  <c r="T95" i="1"/>
  <c r="X99" i="1"/>
  <c r="AL102" i="1"/>
  <c r="AB109" i="1"/>
  <c r="AI88" i="1"/>
  <c r="L94" i="1"/>
  <c r="K94" i="1"/>
  <c r="J94" i="1"/>
  <c r="I94" i="1" s="1"/>
  <c r="AB97" i="1"/>
  <c r="AI104" i="1"/>
  <c r="O104" i="1"/>
  <c r="J104" i="1"/>
  <c r="I104" i="1" s="1"/>
  <c r="AI108" i="1"/>
  <c r="O108" i="1"/>
  <c r="K108" i="1"/>
  <c r="J108" i="1"/>
  <c r="I108" i="1" s="1"/>
  <c r="O111" i="1"/>
  <c r="L111" i="1"/>
  <c r="K111" i="1"/>
  <c r="J111" i="1"/>
  <c r="I111" i="1" s="1"/>
  <c r="AI111" i="1"/>
  <c r="AI112" i="1"/>
  <c r="O112" i="1"/>
  <c r="L112" i="1"/>
  <c r="K112" i="1"/>
  <c r="J112" i="1"/>
  <c r="I112" i="1" s="1"/>
  <c r="K113" i="1"/>
  <c r="J113" i="1"/>
  <c r="I113" i="1" s="1"/>
  <c r="AI113" i="1"/>
  <c r="O113" i="1"/>
  <c r="L113" i="1"/>
  <c r="AB115" i="1"/>
  <c r="U91" i="1"/>
  <c r="V91" i="1" s="1"/>
  <c r="L98" i="1"/>
  <c r="K98" i="1"/>
  <c r="J98" i="1"/>
  <c r="I98" i="1" s="1"/>
  <c r="AB118" i="1"/>
  <c r="U118" i="1"/>
  <c r="V118" i="1" s="1"/>
  <c r="R118" i="1"/>
  <c r="P118" i="1" s="1"/>
  <c r="S118" i="1" s="1"/>
  <c r="J69" i="1"/>
  <c r="I69" i="1" s="1"/>
  <c r="J73" i="1"/>
  <c r="I73" i="1" s="1"/>
  <c r="J77" i="1"/>
  <c r="I77" i="1" s="1"/>
  <c r="T78" i="1"/>
  <c r="J81" i="1"/>
  <c r="I81" i="1" s="1"/>
  <c r="T82" i="1"/>
  <c r="J85" i="1"/>
  <c r="I85" i="1" s="1"/>
  <c r="T86" i="1"/>
  <c r="K91" i="1"/>
  <c r="AI91" i="1"/>
  <c r="K92" i="1"/>
  <c r="U92" i="1"/>
  <c r="V92" i="1" s="1"/>
  <c r="R92" i="1" s="1"/>
  <c r="P92" i="1" s="1"/>
  <c r="S92" i="1" s="1"/>
  <c r="M92" i="1" s="1"/>
  <c r="N92" i="1" s="1"/>
  <c r="AI92" i="1"/>
  <c r="T96" i="1"/>
  <c r="AL97" i="1"/>
  <c r="T97" i="1"/>
  <c r="AI98" i="1"/>
  <c r="AL104" i="1"/>
  <c r="AB105" i="1"/>
  <c r="L108" i="1"/>
  <c r="AC118" i="1"/>
  <c r="K69" i="1"/>
  <c r="K73" i="1"/>
  <c r="K77" i="1"/>
  <c r="K81" i="1"/>
  <c r="K85" i="1"/>
  <c r="J89" i="1"/>
  <c r="I89" i="1" s="1"/>
  <c r="U89" i="1" s="1"/>
  <c r="V89" i="1" s="1"/>
  <c r="AI89" i="1"/>
  <c r="L91" i="1"/>
  <c r="R93" i="1"/>
  <c r="P93" i="1" s="1"/>
  <c r="S93" i="1" s="1"/>
  <c r="M93" i="1" s="1"/>
  <c r="N93" i="1" s="1"/>
  <c r="L103" i="1"/>
  <c r="K103" i="1"/>
  <c r="J56" i="1"/>
  <c r="I56" i="1" s="1"/>
  <c r="J60" i="1"/>
  <c r="I60" i="1" s="1"/>
  <c r="J64" i="1"/>
  <c r="I64" i="1" s="1"/>
  <c r="T65" i="1"/>
  <c r="J68" i="1"/>
  <c r="I68" i="1" s="1"/>
  <c r="T69" i="1"/>
  <c r="J72" i="1"/>
  <c r="I72" i="1" s="1"/>
  <c r="T73" i="1"/>
  <c r="J76" i="1"/>
  <c r="I76" i="1" s="1"/>
  <c r="T77" i="1"/>
  <c r="J80" i="1"/>
  <c r="I80" i="1" s="1"/>
  <c r="T81" i="1"/>
  <c r="J84" i="1"/>
  <c r="I84" i="1" s="1"/>
  <c r="T85" i="1"/>
  <c r="J88" i="1"/>
  <c r="I88" i="1" s="1"/>
  <c r="X92" i="1"/>
  <c r="O94" i="1"/>
  <c r="K96" i="1"/>
  <c r="X96" i="1"/>
  <c r="AL98" i="1"/>
  <c r="AB101" i="1"/>
  <c r="O103" i="1"/>
  <c r="L106" i="1"/>
  <c r="K106" i="1"/>
  <c r="J106" i="1"/>
  <c r="I106" i="1" s="1"/>
  <c r="AI106" i="1"/>
  <c r="O106" i="1"/>
  <c r="X107" i="1"/>
  <c r="U108" i="1"/>
  <c r="V108" i="1" s="1"/>
  <c r="AB119" i="1"/>
  <c r="K88" i="1"/>
  <c r="AL99" i="1"/>
  <c r="T99" i="1"/>
  <c r="L102" i="1"/>
  <c r="K102" i="1"/>
  <c r="J102" i="1"/>
  <c r="I102" i="1" s="1"/>
  <c r="AI102" i="1"/>
  <c r="T60" i="1"/>
  <c r="T64" i="1"/>
  <c r="T68" i="1"/>
  <c r="T72" i="1"/>
  <c r="T76" i="1"/>
  <c r="T80" i="1"/>
  <c r="T84" i="1"/>
  <c r="O100" i="1"/>
  <c r="J100" i="1"/>
  <c r="I100" i="1" s="1"/>
  <c r="AL101" i="1"/>
  <c r="T101" i="1"/>
  <c r="O107" i="1"/>
  <c r="L107" i="1"/>
  <c r="K107" i="1"/>
  <c r="AI107" i="1"/>
  <c r="T105" i="1"/>
  <c r="T109" i="1"/>
  <c r="T113" i="1"/>
  <c r="AI119" i="1"/>
  <c r="O123" i="1"/>
  <c r="L123" i="1"/>
  <c r="O130" i="1"/>
  <c r="L130" i="1"/>
  <c r="K130" i="1"/>
  <c r="J130" i="1"/>
  <c r="I130" i="1" s="1"/>
  <c r="AI130" i="1"/>
  <c r="O186" i="1"/>
  <c r="L186" i="1"/>
  <c r="AI186" i="1"/>
  <c r="K186" i="1"/>
  <c r="J186" i="1"/>
  <c r="I186" i="1" s="1"/>
  <c r="AD187" i="1"/>
  <c r="AC187" i="1"/>
  <c r="W187" i="1"/>
  <c r="AA187" i="1" s="1"/>
  <c r="O110" i="1"/>
  <c r="U115" i="1"/>
  <c r="V115" i="1" s="1"/>
  <c r="AL123" i="1"/>
  <c r="T123" i="1"/>
  <c r="T124" i="1"/>
  <c r="L126" i="1"/>
  <c r="K126" i="1"/>
  <c r="J126" i="1"/>
  <c r="I126" i="1" s="1"/>
  <c r="J127" i="1"/>
  <c r="I127" i="1" s="1"/>
  <c r="X131" i="1"/>
  <c r="O138" i="1"/>
  <c r="L138" i="1"/>
  <c r="K138" i="1"/>
  <c r="J138" i="1"/>
  <c r="I138" i="1" s="1"/>
  <c r="AI138" i="1"/>
  <c r="X139" i="1"/>
  <c r="L141" i="1"/>
  <c r="O141" i="1"/>
  <c r="AI141" i="1"/>
  <c r="K141" i="1"/>
  <c r="J141" i="1"/>
  <c r="I141" i="1" s="1"/>
  <c r="J116" i="1"/>
  <c r="I116" i="1" s="1"/>
  <c r="O116" i="1"/>
  <c r="U119" i="1"/>
  <c r="V119" i="1" s="1"/>
  <c r="O127" i="1"/>
  <c r="L127" i="1"/>
  <c r="U132" i="1"/>
  <c r="V132" i="1" s="1"/>
  <c r="AC140" i="1"/>
  <c r="W140" i="1"/>
  <c r="AA140" i="1" s="1"/>
  <c r="AE140" i="1"/>
  <c r="AI110" i="1"/>
  <c r="AI116" i="1"/>
  <c r="L118" i="1"/>
  <c r="AI118" i="1"/>
  <c r="K119" i="1"/>
  <c r="J120" i="1"/>
  <c r="I120" i="1" s="1"/>
  <c r="AI120" i="1"/>
  <c r="O120" i="1"/>
  <c r="L125" i="1"/>
  <c r="K125" i="1"/>
  <c r="J125" i="1"/>
  <c r="I125" i="1" s="1"/>
  <c r="AI125" i="1"/>
  <c r="AL127" i="1"/>
  <c r="T127" i="1"/>
  <c r="AI131" i="1"/>
  <c r="O131" i="1"/>
  <c r="L131" i="1"/>
  <c r="K131" i="1"/>
  <c r="L133" i="1"/>
  <c r="K133" i="1"/>
  <c r="J133" i="1"/>
  <c r="I133" i="1" s="1"/>
  <c r="AI133" i="1"/>
  <c r="O133" i="1"/>
  <c r="AI139" i="1"/>
  <c r="O139" i="1"/>
  <c r="L139" i="1"/>
  <c r="K139" i="1"/>
  <c r="AB143" i="1"/>
  <c r="L145" i="1"/>
  <c r="AI145" i="1"/>
  <c r="K145" i="1"/>
  <c r="J145" i="1"/>
  <c r="I145" i="1" s="1"/>
  <c r="O145" i="1"/>
  <c r="T103" i="1"/>
  <c r="T107" i="1"/>
  <c r="J110" i="1"/>
  <c r="I110" i="1" s="1"/>
  <c r="U110" i="1" s="1"/>
  <c r="V110" i="1" s="1"/>
  <c r="T111" i="1"/>
  <c r="J114" i="1"/>
  <c r="I114" i="1" s="1"/>
  <c r="L117" i="1"/>
  <c r="AI117" i="1"/>
  <c r="L119" i="1"/>
  <c r="U120" i="1"/>
  <c r="V120" i="1" s="1"/>
  <c r="L122" i="1"/>
  <c r="U128" i="1"/>
  <c r="V128" i="1" s="1"/>
  <c r="R128" i="1" s="1"/>
  <c r="P128" i="1" s="1"/>
  <c r="S128" i="1" s="1"/>
  <c r="M128" i="1" s="1"/>
  <c r="N128" i="1" s="1"/>
  <c r="U162" i="1"/>
  <c r="V162" i="1" s="1"/>
  <c r="AI93" i="1"/>
  <c r="AI97" i="1"/>
  <c r="AI101" i="1"/>
  <c r="AI105" i="1"/>
  <c r="AI109" i="1"/>
  <c r="K110" i="1"/>
  <c r="K114" i="1"/>
  <c r="O117" i="1"/>
  <c r="O118" i="1"/>
  <c r="K120" i="1"/>
  <c r="L129" i="1"/>
  <c r="K129" i="1"/>
  <c r="J129" i="1"/>
  <c r="I129" i="1" s="1"/>
  <c r="AI129" i="1"/>
  <c r="O134" i="1"/>
  <c r="L134" i="1"/>
  <c r="K134" i="1"/>
  <c r="J134" i="1"/>
  <c r="I134" i="1" s="1"/>
  <c r="AI134" i="1"/>
  <c r="X135" i="1"/>
  <c r="AD140" i="1"/>
  <c r="AB142" i="1"/>
  <c r="R142" i="1"/>
  <c r="P142" i="1" s="1"/>
  <c r="S142" i="1" s="1"/>
  <c r="O146" i="1"/>
  <c r="K146" i="1"/>
  <c r="AI146" i="1"/>
  <c r="L146" i="1"/>
  <c r="J146" i="1"/>
  <c r="I146" i="1" s="1"/>
  <c r="T90" i="1"/>
  <c r="T94" i="1"/>
  <c r="T98" i="1"/>
  <c r="T102" i="1"/>
  <c r="AC115" i="1"/>
  <c r="AL117" i="1"/>
  <c r="T117" i="1"/>
  <c r="L120" i="1"/>
  <c r="X127" i="1"/>
  <c r="J131" i="1"/>
  <c r="I131" i="1" s="1"/>
  <c r="U136" i="1"/>
  <c r="V136" i="1" s="1"/>
  <c r="J139" i="1"/>
  <c r="I139" i="1" s="1"/>
  <c r="R140" i="1"/>
  <c r="P140" i="1" s="1"/>
  <c r="S140" i="1" s="1"/>
  <c r="M140" i="1" s="1"/>
  <c r="N140" i="1" s="1"/>
  <c r="AB140" i="1"/>
  <c r="L121" i="1"/>
  <c r="K121" i="1"/>
  <c r="AI121" i="1"/>
  <c r="K122" i="1"/>
  <c r="J122" i="1"/>
  <c r="I122" i="1" s="1"/>
  <c r="J123" i="1"/>
  <c r="I123" i="1" s="1"/>
  <c r="AI123" i="1"/>
  <c r="AB124" i="1"/>
  <c r="R132" i="1"/>
  <c r="P132" i="1" s="1"/>
  <c r="S132" i="1" s="1"/>
  <c r="M132" i="1" s="1"/>
  <c r="N132" i="1" s="1"/>
  <c r="AI135" i="1"/>
  <c r="O135" i="1"/>
  <c r="L135" i="1"/>
  <c r="K135" i="1"/>
  <c r="L137" i="1"/>
  <c r="K137" i="1"/>
  <c r="J137" i="1"/>
  <c r="I137" i="1" s="1"/>
  <c r="AI137" i="1"/>
  <c r="O137" i="1"/>
  <c r="U146" i="1"/>
  <c r="V146" i="1" s="1"/>
  <c r="K148" i="1"/>
  <c r="J148" i="1"/>
  <c r="I148" i="1" s="1"/>
  <c r="AI148" i="1"/>
  <c r="O148" i="1"/>
  <c r="O150" i="1"/>
  <c r="L150" i="1"/>
  <c r="K150" i="1"/>
  <c r="J150" i="1"/>
  <c r="I150" i="1" s="1"/>
  <c r="AI150" i="1"/>
  <c r="AC154" i="1"/>
  <c r="AI155" i="1"/>
  <c r="O155" i="1"/>
  <c r="L155" i="1"/>
  <c r="K155" i="1"/>
  <c r="L157" i="1"/>
  <c r="K157" i="1"/>
  <c r="J157" i="1"/>
  <c r="I157" i="1" s="1"/>
  <c r="AI157" i="1"/>
  <c r="O157" i="1"/>
  <c r="AB167" i="1"/>
  <c r="W208" i="1"/>
  <c r="AA208" i="1" s="1"/>
  <c r="AD208" i="1"/>
  <c r="AC208" i="1"/>
  <c r="AE208" i="1" s="1"/>
  <c r="T131" i="1"/>
  <c r="T135" i="1"/>
  <c r="T139" i="1"/>
  <c r="K142" i="1"/>
  <c r="U142" i="1"/>
  <c r="V142" i="1" s="1"/>
  <c r="AI142" i="1"/>
  <c r="U143" i="1"/>
  <c r="V143" i="1" s="1"/>
  <c r="AC159" i="1"/>
  <c r="U159" i="1"/>
  <c r="V159" i="1" s="1"/>
  <c r="K164" i="1"/>
  <c r="J164" i="1"/>
  <c r="I164" i="1" s="1"/>
  <c r="O164" i="1"/>
  <c r="O124" i="1"/>
  <c r="O128" i="1"/>
  <c r="O132" i="1"/>
  <c r="O136" i="1"/>
  <c r="O140" i="1"/>
  <c r="AI140" i="1"/>
  <c r="L142" i="1"/>
  <c r="AI147" i="1"/>
  <c r="O147" i="1"/>
  <c r="O158" i="1"/>
  <c r="L158" i="1"/>
  <c r="K158" i="1"/>
  <c r="J158" i="1"/>
  <c r="I158" i="1" s="1"/>
  <c r="AI158" i="1"/>
  <c r="R159" i="1"/>
  <c r="P159" i="1" s="1"/>
  <c r="S159" i="1" s="1"/>
  <c r="L164" i="1"/>
  <c r="U147" i="1"/>
  <c r="V147" i="1" s="1"/>
  <c r="U148" i="1"/>
  <c r="V148" i="1" s="1"/>
  <c r="AI151" i="1"/>
  <c r="O151" i="1"/>
  <c r="L151" i="1"/>
  <c r="K151" i="1"/>
  <c r="L153" i="1"/>
  <c r="K153" i="1"/>
  <c r="J153" i="1"/>
  <c r="I153" i="1" s="1"/>
  <c r="AI153" i="1"/>
  <c r="O153" i="1"/>
  <c r="J155" i="1"/>
  <c r="I155" i="1" s="1"/>
  <c r="AI124" i="1"/>
  <c r="AI128" i="1"/>
  <c r="AI132" i="1"/>
  <c r="AI136" i="1"/>
  <c r="AL141" i="1"/>
  <c r="T141" i="1"/>
  <c r="U155" i="1"/>
  <c r="V155" i="1" s="1"/>
  <c r="U160" i="1"/>
  <c r="V160" i="1" s="1"/>
  <c r="AB165" i="1"/>
  <c r="L169" i="1"/>
  <c r="AI169" i="1"/>
  <c r="O169" i="1"/>
  <c r="K169" i="1"/>
  <c r="J169" i="1"/>
  <c r="I169" i="1" s="1"/>
  <c r="T121" i="1"/>
  <c r="T125" i="1"/>
  <c r="T129" i="1"/>
  <c r="T133" i="1"/>
  <c r="T137" i="1"/>
  <c r="X147" i="1"/>
  <c r="O154" i="1"/>
  <c r="L154" i="1"/>
  <c r="K154" i="1"/>
  <c r="J154" i="1"/>
  <c r="I154" i="1" s="1"/>
  <c r="AI154" i="1"/>
  <c r="AI159" i="1"/>
  <c r="O159" i="1"/>
  <c r="L159" i="1"/>
  <c r="K159" i="1"/>
  <c r="L161" i="1"/>
  <c r="K161" i="1"/>
  <c r="J161" i="1"/>
  <c r="I161" i="1" s="1"/>
  <c r="AI161" i="1"/>
  <c r="O161" i="1"/>
  <c r="AC162" i="1"/>
  <c r="R183" i="1"/>
  <c r="P183" i="1" s="1"/>
  <c r="S183" i="1" s="1"/>
  <c r="AB183" i="1"/>
  <c r="K144" i="1"/>
  <c r="J144" i="1"/>
  <c r="I144" i="1" s="1"/>
  <c r="O144" i="1"/>
  <c r="AC146" i="1"/>
  <c r="L149" i="1"/>
  <c r="K149" i="1"/>
  <c r="AI149" i="1"/>
  <c r="O149" i="1"/>
  <c r="J151" i="1"/>
  <c r="I151" i="1" s="1"/>
  <c r="U151" i="1" s="1"/>
  <c r="V151" i="1" s="1"/>
  <c r="X155" i="1"/>
  <c r="L163" i="1"/>
  <c r="AI163" i="1"/>
  <c r="K163" i="1"/>
  <c r="J163" i="1"/>
  <c r="I163" i="1" s="1"/>
  <c r="O163" i="1"/>
  <c r="R162" i="1"/>
  <c r="P162" i="1" s="1"/>
  <c r="S162" i="1" s="1"/>
  <c r="M162" i="1" s="1"/>
  <c r="N162" i="1" s="1"/>
  <c r="AL169" i="1"/>
  <c r="T169" i="1"/>
  <c r="AB178" i="1"/>
  <c r="AI181" i="1"/>
  <c r="O181" i="1"/>
  <c r="L181" i="1"/>
  <c r="J181" i="1"/>
  <c r="I181" i="1" s="1"/>
  <c r="AB194" i="1"/>
  <c r="O152" i="1"/>
  <c r="O156" i="1"/>
  <c r="O160" i="1"/>
  <c r="AL163" i="1"/>
  <c r="T163" i="1"/>
  <c r="O165" i="1"/>
  <c r="X169" i="1"/>
  <c r="U170" i="1"/>
  <c r="V170" i="1" s="1"/>
  <c r="AB174" i="1"/>
  <c r="AL181" i="1"/>
  <c r="T181" i="1"/>
  <c r="AI191" i="1"/>
  <c r="O191" i="1"/>
  <c r="K191" i="1"/>
  <c r="L191" i="1"/>
  <c r="J166" i="1"/>
  <c r="I166" i="1" s="1"/>
  <c r="O166" i="1"/>
  <c r="L167" i="1"/>
  <c r="AI167" i="1"/>
  <c r="R170" i="1"/>
  <c r="P170" i="1" s="1"/>
  <c r="S170" i="1" s="1"/>
  <c r="M170" i="1" s="1"/>
  <c r="N170" i="1" s="1"/>
  <c r="AI177" i="1"/>
  <c r="O177" i="1"/>
  <c r="L177" i="1"/>
  <c r="J177" i="1"/>
  <c r="I177" i="1" s="1"/>
  <c r="K181" i="1"/>
  <c r="K182" i="1"/>
  <c r="J182" i="1"/>
  <c r="I182" i="1" s="1"/>
  <c r="AI182" i="1"/>
  <c r="O182" i="1"/>
  <c r="L182" i="1"/>
  <c r="R187" i="1"/>
  <c r="P187" i="1" s="1"/>
  <c r="S187" i="1" s="1"/>
  <c r="AI152" i="1"/>
  <c r="U154" i="1"/>
  <c r="V154" i="1" s="1"/>
  <c r="AI156" i="1"/>
  <c r="U158" i="1"/>
  <c r="V158" i="1" s="1"/>
  <c r="AI160" i="1"/>
  <c r="U166" i="1"/>
  <c r="V166" i="1" s="1"/>
  <c r="AC166" i="1" s="1"/>
  <c r="AI166" i="1"/>
  <c r="AL167" i="1"/>
  <c r="T167" i="1"/>
  <c r="L168" i="1"/>
  <c r="K168" i="1"/>
  <c r="J168" i="1"/>
  <c r="I168" i="1" s="1"/>
  <c r="L171" i="1"/>
  <c r="J171" i="1"/>
  <c r="I171" i="1" s="1"/>
  <c r="AI171" i="1"/>
  <c r="AL177" i="1"/>
  <c r="T177" i="1"/>
  <c r="U178" i="1"/>
  <c r="V178" i="1" s="1"/>
  <c r="L179" i="1"/>
  <c r="K179" i="1"/>
  <c r="J179" i="1"/>
  <c r="I179" i="1" s="1"/>
  <c r="AI179" i="1"/>
  <c r="T145" i="1"/>
  <c r="T149" i="1"/>
  <c r="J152" i="1"/>
  <c r="I152" i="1" s="1"/>
  <c r="T153" i="1"/>
  <c r="J156" i="1"/>
  <c r="I156" i="1" s="1"/>
  <c r="T157" i="1"/>
  <c r="J160" i="1"/>
  <c r="I160" i="1" s="1"/>
  <c r="T161" i="1"/>
  <c r="K166" i="1"/>
  <c r="AI168" i="1"/>
  <c r="AL171" i="1"/>
  <c r="T171" i="1"/>
  <c r="AI173" i="1"/>
  <c r="O173" i="1"/>
  <c r="L173" i="1"/>
  <c r="J173" i="1"/>
  <c r="I173" i="1" s="1"/>
  <c r="K177" i="1"/>
  <c r="J191" i="1"/>
  <c r="I191" i="1" s="1"/>
  <c r="AB201" i="1"/>
  <c r="R201" i="1"/>
  <c r="P201" i="1" s="1"/>
  <c r="S201" i="1" s="1"/>
  <c r="M201" i="1" s="1"/>
  <c r="N201" i="1" s="1"/>
  <c r="T165" i="1"/>
  <c r="L166" i="1"/>
  <c r="O167" i="1"/>
  <c r="AB170" i="1"/>
  <c r="AL173" i="1"/>
  <c r="T173" i="1"/>
  <c r="U174" i="1"/>
  <c r="V174" i="1" s="1"/>
  <c r="L175" i="1"/>
  <c r="K175" i="1"/>
  <c r="J175" i="1"/>
  <c r="I175" i="1" s="1"/>
  <c r="AI175" i="1"/>
  <c r="O179" i="1"/>
  <c r="O194" i="1"/>
  <c r="L194" i="1"/>
  <c r="K194" i="1"/>
  <c r="AI194" i="1"/>
  <c r="L199" i="1"/>
  <c r="K199" i="1"/>
  <c r="J199" i="1"/>
  <c r="I199" i="1" s="1"/>
  <c r="AI199" i="1"/>
  <c r="O199" i="1"/>
  <c r="L185" i="1"/>
  <c r="J185" i="1"/>
  <c r="I185" i="1" s="1"/>
  <c r="O185" i="1"/>
  <c r="K188" i="1"/>
  <c r="J188" i="1"/>
  <c r="I188" i="1" s="1"/>
  <c r="AI188" i="1"/>
  <c r="L197" i="1"/>
  <c r="K197" i="1"/>
  <c r="J197" i="1"/>
  <c r="I197" i="1" s="1"/>
  <c r="AI197" i="1"/>
  <c r="O197" i="1"/>
  <c r="AL198" i="1"/>
  <c r="T198" i="1"/>
  <c r="J172" i="1"/>
  <c r="I172" i="1" s="1"/>
  <c r="J176" i="1"/>
  <c r="I176" i="1" s="1"/>
  <c r="J180" i="1"/>
  <c r="I180" i="1" s="1"/>
  <c r="K183" i="1"/>
  <c r="U196" i="1"/>
  <c r="V196" i="1" s="1"/>
  <c r="R196" i="1" s="1"/>
  <c r="P196" i="1" s="1"/>
  <c r="S196" i="1" s="1"/>
  <c r="M196" i="1" s="1"/>
  <c r="N196" i="1" s="1"/>
  <c r="AD204" i="1"/>
  <c r="W204" i="1"/>
  <c r="AA204" i="1" s="1"/>
  <c r="L226" i="1"/>
  <c r="K226" i="1"/>
  <c r="J226" i="1"/>
  <c r="I226" i="1" s="1"/>
  <c r="O226" i="1"/>
  <c r="AI226" i="1"/>
  <c r="O170" i="1"/>
  <c r="K172" i="1"/>
  <c r="O174" i="1"/>
  <c r="K176" i="1"/>
  <c r="O178" i="1"/>
  <c r="K180" i="1"/>
  <c r="L183" i="1"/>
  <c r="U183" i="1"/>
  <c r="V183" i="1" s="1"/>
  <c r="AL185" i="1"/>
  <c r="T185" i="1"/>
  <c r="AB187" i="1"/>
  <c r="J195" i="1"/>
  <c r="I195" i="1" s="1"/>
  <c r="AI195" i="1"/>
  <c r="O195" i="1"/>
  <c r="K195" i="1"/>
  <c r="L176" i="1"/>
  <c r="L180" i="1"/>
  <c r="L188" i="1"/>
  <c r="O190" i="1"/>
  <c r="L190" i="1"/>
  <c r="AI190" i="1"/>
  <c r="L193" i="1"/>
  <c r="K193" i="1"/>
  <c r="J193" i="1"/>
  <c r="I193" i="1" s="1"/>
  <c r="AI193" i="1"/>
  <c r="O193" i="1"/>
  <c r="O200" i="1"/>
  <c r="AI200" i="1"/>
  <c r="L200" i="1"/>
  <c r="J200" i="1"/>
  <c r="I200" i="1" s="1"/>
  <c r="AB203" i="1"/>
  <c r="U220" i="1"/>
  <c r="V220" i="1" s="1"/>
  <c r="AL182" i="1"/>
  <c r="T182" i="1"/>
  <c r="O183" i="1"/>
  <c r="K185" i="1"/>
  <c r="AL186" i="1"/>
  <c r="T186" i="1"/>
  <c r="AE187" i="1"/>
  <c r="K190" i="1"/>
  <c r="AB198" i="1"/>
  <c r="R205" i="1"/>
  <c r="P205" i="1" s="1"/>
  <c r="S205" i="1" s="1"/>
  <c r="M205" i="1" s="1"/>
  <c r="N205" i="1" s="1"/>
  <c r="AB205" i="1"/>
  <c r="T175" i="1"/>
  <c r="T179" i="1"/>
  <c r="AI187" i="1"/>
  <c r="K187" i="1"/>
  <c r="O188" i="1"/>
  <c r="L189" i="1"/>
  <c r="K189" i="1"/>
  <c r="J189" i="1"/>
  <c r="I189" i="1" s="1"/>
  <c r="O189" i="1"/>
  <c r="X191" i="1"/>
  <c r="K200" i="1"/>
  <c r="U201" i="1"/>
  <c r="V201" i="1" s="1"/>
  <c r="AE204" i="1"/>
  <c r="R208" i="1"/>
  <c r="P208" i="1" s="1"/>
  <c r="S208" i="1" s="1"/>
  <c r="AB208" i="1"/>
  <c r="K184" i="1"/>
  <c r="J184" i="1"/>
  <c r="I184" i="1" s="1"/>
  <c r="K192" i="1"/>
  <c r="J192" i="1"/>
  <c r="I192" i="1" s="1"/>
  <c r="AI192" i="1"/>
  <c r="O192" i="1"/>
  <c r="AB204" i="1"/>
  <c r="R204" i="1"/>
  <c r="P204" i="1" s="1"/>
  <c r="S204" i="1" s="1"/>
  <c r="M204" i="1" s="1"/>
  <c r="N204" i="1" s="1"/>
  <c r="K206" i="1"/>
  <c r="J206" i="1"/>
  <c r="I206" i="1" s="1"/>
  <c r="U206" i="1" s="1"/>
  <c r="V206" i="1" s="1"/>
  <c r="O206" i="1"/>
  <c r="AL211" i="1"/>
  <c r="T211" i="1"/>
  <c r="U214" i="1"/>
  <c r="V214" i="1" s="1"/>
  <c r="AL215" i="1"/>
  <c r="T215" i="1"/>
  <c r="AL219" i="1"/>
  <c r="T219" i="1"/>
  <c r="AL223" i="1"/>
  <c r="T223" i="1"/>
  <c r="W224" i="1"/>
  <c r="AA224" i="1" s="1"/>
  <c r="AD224" i="1"/>
  <c r="J202" i="1"/>
  <c r="I202" i="1" s="1"/>
  <c r="O202" i="1"/>
  <c r="AI204" i="1"/>
  <c r="K204" i="1"/>
  <c r="L205" i="1"/>
  <c r="T190" i="1"/>
  <c r="T194" i="1"/>
  <c r="AI202" i="1"/>
  <c r="L204" i="1"/>
  <c r="X209" i="1"/>
  <c r="X213" i="1"/>
  <c r="U213" i="1"/>
  <c r="V213" i="1" s="1"/>
  <c r="X217" i="1"/>
  <c r="U217" i="1"/>
  <c r="V217" i="1" s="1"/>
  <c r="X221" i="1"/>
  <c r="U221" i="1"/>
  <c r="V221" i="1" s="1"/>
  <c r="AC221" i="1" s="1"/>
  <c r="AL199" i="1"/>
  <c r="T199" i="1"/>
  <c r="L203" i="1"/>
  <c r="AI203" i="1"/>
  <c r="O207" i="1"/>
  <c r="L207" i="1"/>
  <c r="AI207" i="1"/>
  <c r="J209" i="1"/>
  <c r="I209" i="1" s="1"/>
  <c r="U209" i="1" s="1"/>
  <c r="V209" i="1" s="1"/>
  <c r="J211" i="1"/>
  <c r="I211" i="1" s="1"/>
  <c r="J213" i="1"/>
  <c r="I213" i="1" s="1"/>
  <c r="J215" i="1"/>
  <c r="I215" i="1" s="1"/>
  <c r="J217" i="1"/>
  <c r="I217" i="1" s="1"/>
  <c r="T189" i="1"/>
  <c r="T193" i="1"/>
  <c r="T197" i="1"/>
  <c r="O203" i="1"/>
  <c r="O204" i="1"/>
  <c r="K210" i="1"/>
  <c r="J210" i="1"/>
  <c r="I210" i="1" s="1"/>
  <c r="O210" i="1"/>
  <c r="K214" i="1"/>
  <c r="J214" i="1"/>
  <c r="I214" i="1" s="1"/>
  <c r="O214" i="1"/>
  <c r="K218" i="1"/>
  <c r="J218" i="1"/>
  <c r="I218" i="1" s="1"/>
  <c r="O218" i="1"/>
  <c r="K222" i="1"/>
  <c r="J222" i="1"/>
  <c r="I222" i="1" s="1"/>
  <c r="O222" i="1"/>
  <c r="AC224" i="1"/>
  <c r="L225" i="1"/>
  <c r="K225" i="1"/>
  <c r="J225" i="1"/>
  <c r="I225" i="1" s="1"/>
  <c r="U225" i="1" s="1"/>
  <c r="V225" i="1" s="1"/>
  <c r="AI225" i="1"/>
  <c r="U226" i="1"/>
  <c r="V226" i="1" s="1"/>
  <c r="AC201" i="1"/>
  <c r="AL203" i="1"/>
  <c r="T203" i="1"/>
  <c r="AL207" i="1"/>
  <c r="T207" i="1"/>
  <c r="AI208" i="1"/>
  <c r="O208" i="1"/>
  <c r="K208" i="1"/>
  <c r="AI210" i="1"/>
  <c r="J212" i="1"/>
  <c r="I212" i="1" s="1"/>
  <c r="U212" i="1" s="1"/>
  <c r="V212" i="1" s="1"/>
  <c r="AI212" i="1"/>
  <c r="O212" i="1"/>
  <c r="K212" i="1"/>
  <c r="AI214" i="1"/>
  <c r="J216" i="1"/>
  <c r="I216" i="1" s="1"/>
  <c r="AI216" i="1"/>
  <c r="O216" i="1"/>
  <c r="K216" i="1"/>
  <c r="AI218" i="1"/>
  <c r="J220" i="1"/>
  <c r="I220" i="1" s="1"/>
  <c r="AI220" i="1"/>
  <c r="O220" i="1"/>
  <c r="K220" i="1"/>
  <c r="AI222" i="1"/>
  <c r="R224" i="1"/>
  <c r="P224" i="1" s="1"/>
  <c r="S224" i="1" s="1"/>
  <c r="U205" i="1"/>
  <c r="V205" i="1" s="1"/>
  <c r="K205" i="1"/>
  <c r="AI205" i="1"/>
  <c r="L209" i="1"/>
  <c r="K209" i="1"/>
  <c r="AI209" i="1"/>
  <c r="O211" i="1"/>
  <c r="L211" i="1"/>
  <c r="AI211" i="1"/>
  <c r="L213" i="1"/>
  <c r="K213" i="1"/>
  <c r="AI213" i="1"/>
  <c r="O215" i="1"/>
  <c r="L215" i="1"/>
  <c r="AI215" i="1"/>
  <c r="L217" i="1"/>
  <c r="K217" i="1"/>
  <c r="AI217" i="1"/>
  <c r="O219" i="1"/>
  <c r="L219" i="1"/>
  <c r="AI219" i="1"/>
  <c r="L221" i="1"/>
  <c r="K221" i="1"/>
  <c r="AI221" i="1"/>
  <c r="O223" i="1"/>
  <c r="L223" i="1"/>
  <c r="AI223" i="1"/>
  <c r="AE224" i="1"/>
  <c r="K224" i="1"/>
  <c r="O224" i="1"/>
  <c r="AI224" i="1"/>
  <c r="W206" i="1" l="1"/>
  <c r="AA206" i="1" s="1"/>
  <c r="AD206" i="1"/>
  <c r="AC206" i="1"/>
  <c r="W31" i="1"/>
  <c r="AA31" i="1" s="1"/>
  <c r="AD31" i="1"/>
  <c r="AC31" i="1"/>
  <c r="W212" i="1"/>
  <c r="AA212" i="1" s="1"/>
  <c r="AD212" i="1"/>
  <c r="AE212" i="1" s="1"/>
  <c r="AC212" i="1"/>
  <c r="W22" i="1"/>
  <c r="AA22" i="1" s="1"/>
  <c r="AD22" i="1"/>
  <c r="AC22" i="1"/>
  <c r="W151" i="1"/>
  <c r="AA151" i="1" s="1"/>
  <c r="AD151" i="1"/>
  <c r="AC151" i="1"/>
  <c r="W27" i="1"/>
  <c r="AA27" i="1" s="1"/>
  <c r="AD27" i="1"/>
  <c r="AC27" i="1"/>
  <c r="AD225" i="1"/>
  <c r="W225" i="1"/>
  <c r="AA225" i="1" s="1"/>
  <c r="AC225" i="1"/>
  <c r="W89" i="1"/>
  <c r="AA89" i="1" s="1"/>
  <c r="AD89" i="1"/>
  <c r="AC89" i="1"/>
  <c r="W43" i="1"/>
  <c r="AA43" i="1" s="1"/>
  <c r="AD43" i="1"/>
  <c r="AC43" i="1"/>
  <c r="AD209" i="1"/>
  <c r="W209" i="1"/>
  <c r="AA209" i="1" s="1"/>
  <c r="AC209" i="1"/>
  <c r="AC110" i="1"/>
  <c r="W110" i="1"/>
  <c r="AA110" i="1" s="1"/>
  <c r="AD110" i="1"/>
  <c r="AD217" i="1"/>
  <c r="W217" i="1"/>
  <c r="AA217" i="1" s="1"/>
  <c r="U194" i="1"/>
  <c r="V194" i="1" s="1"/>
  <c r="W174" i="1"/>
  <c r="AA174" i="1" s="1"/>
  <c r="AD174" i="1"/>
  <c r="AC174" i="1"/>
  <c r="AB168" i="1"/>
  <c r="U168" i="1"/>
  <c r="V168" i="1" s="1"/>
  <c r="AB153" i="1"/>
  <c r="AB125" i="1"/>
  <c r="AB130" i="1"/>
  <c r="AB64" i="1"/>
  <c r="AB73" i="1"/>
  <c r="AB113" i="1"/>
  <c r="AB216" i="1"/>
  <c r="AB222" i="1"/>
  <c r="U189" i="1"/>
  <c r="V189" i="1" s="1"/>
  <c r="U219" i="1"/>
  <c r="V219" i="1" s="1"/>
  <c r="AD214" i="1"/>
  <c r="W214" i="1"/>
  <c r="AA214" i="1" s="1"/>
  <c r="M208" i="1"/>
  <c r="N208" i="1" s="1"/>
  <c r="AB189" i="1"/>
  <c r="R189" i="1"/>
  <c r="P189" i="1" s="1"/>
  <c r="S189" i="1" s="1"/>
  <c r="M189" i="1" s="1"/>
  <c r="N189" i="1" s="1"/>
  <c r="U186" i="1"/>
  <c r="V186" i="1" s="1"/>
  <c r="U165" i="1"/>
  <c r="V165" i="1" s="1"/>
  <c r="U157" i="1"/>
  <c r="V157" i="1" s="1"/>
  <c r="AB179" i="1"/>
  <c r="M183" i="1"/>
  <c r="N183" i="1" s="1"/>
  <c r="AB169" i="1"/>
  <c r="R169" i="1"/>
  <c r="P169" i="1" s="1"/>
  <c r="S169" i="1" s="1"/>
  <c r="M169" i="1" s="1"/>
  <c r="N169" i="1" s="1"/>
  <c r="W160" i="1"/>
  <c r="AA160" i="1" s="1"/>
  <c r="AD160" i="1"/>
  <c r="AC160" i="1"/>
  <c r="M159" i="1"/>
  <c r="N159" i="1" s="1"/>
  <c r="U131" i="1"/>
  <c r="V131" i="1" s="1"/>
  <c r="W136" i="1"/>
  <c r="AA136" i="1" s="1"/>
  <c r="AD136" i="1"/>
  <c r="AC136" i="1"/>
  <c r="U134" i="1"/>
  <c r="V134" i="1" s="1"/>
  <c r="AB134" i="1"/>
  <c r="R134" i="1"/>
  <c r="P134" i="1" s="1"/>
  <c r="S134" i="1" s="1"/>
  <c r="M134" i="1" s="1"/>
  <c r="N134" i="1" s="1"/>
  <c r="U130" i="1"/>
  <c r="V130" i="1" s="1"/>
  <c r="U111" i="1"/>
  <c r="V111" i="1" s="1"/>
  <c r="W119" i="1"/>
  <c r="AA119" i="1" s="1"/>
  <c r="AD119" i="1"/>
  <c r="AE119" i="1" s="1"/>
  <c r="U123" i="1"/>
  <c r="V123" i="1" s="1"/>
  <c r="U80" i="1"/>
  <c r="V80" i="1" s="1"/>
  <c r="R119" i="1"/>
  <c r="P119" i="1" s="1"/>
  <c r="S119" i="1" s="1"/>
  <c r="M119" i="1" s="1"/>
  <c r="N119" i="1" s="1"/>
  <c r="U81" i="1"/>
  <c r="V81" i="1" s="1"/>
  <c r="U65" i="1"/>
  <c r="V65" i="1" s="1"/>
  <c r="AB77" i="1"/>
  <c r="AB94" i="1"/>
  <c r="U95" i="1"/>
  <c r="V95" i="1" s="1"/>
  <c r="R39" i="1"/>
  <c r="P39" i="1" s="1"/>
  <c r="S39" i="1" s="1"/>
  <c r="M39" i="1" s="1"/>
  <c r="N39" i="1" s="1"/>
  <c r="AB39" i="1"/>
  <c r="AB23" i="1"/>
  <c r="W41" i="1"/>
  <c r="AA41" i="1" s="1"/>
  <c r="AD41" i="1"/>
  <c r="AB44" i="1"/>
  <c r="W42" i="1"/>
  <c r="AA42" i="1" s="1"/>
  <c r="AD42" i="1"/>
  <c r="AC42" i="1"/>
  <c r="AB61" i="1"/>
  <c r="R67" i="1"/>
  <c r="P67" i="1" s="1"/>
  <c r="S67" i="1" s="1"/>
  <c r="M67" i="1" s="1"/>
  <c r="N67" i="1" s="1"/>
  <c r="AB67" i="1"/>
  <c r="AB42" i="1"/>
  <c r="R42" i="1"/>
  <c r="P42" i="1" s="1"/>
  <c r="S42" i="1" s="1"/>
  <c r="M42" i="1" s="1"/>
  <c r="N42" i="1" s="1"/>
  <c r="AB26" i="1"/>
  <c r="AB20" i="1"/>
  <c r="AB37" i="1"/>
  <c r="R37" i="1"/>
  <c r="P37" i="1" s="1"/>
  <c r="S37" i="1" s="1"/>
  <c r="M37" i="1" s="1"/>
  <c r="N37" i="1" s="1"/>
  <c r="W17" i="1"/>
  <c r="AA17" i="1" s="1"/>
  <c r="AD17" i="1"/>
  <c r="AE17" i="1" s="1"/>
  <c r="AC17" i="1"/>
  <c r="AB24" i="1"/>
  <c r="AB210" i="1"/>
  <c r="U211" i="1"/>
  <c r="V211" i="1" s="1"/>
  <c r="R156" i="1"/>
  <c r="P156" i="1" s="1"/>
  <c r="S156" i="1" s="1"/>
  <c r="M156" i="1" s="1"/>
  <c r="N156" i="1" s="1"/>
  <c r="AB156" i="1"/>
  <c r="U169" i="1"/>
  <c r="V169" i="1" s="1"/>
  <c r="W148" i="1"/>
  <c r="AA148" i="1" s="1"/>
  <c r="AD148" i="1"/>
  <c r="AC148" i="1"/>
  <c r="AB111" i="1"/>
  <c r="R111" i="1"/>
  <c r="P111" i="1" s="1"/>
  <c r="S111" i="1" s="1"/>
  <c r="M111" i="1" s="1"/>
  <c r="N111" i="1" s="1"/>
  <c r="U36" i="1"/>
  <c r="V36" i="1" s="1"/>
  <c r="U20" i="1"/>
  <c r="V20" i="1" s="1"/>
  <c r="R20" i="1" s="1"/>
  <c r="P20" i="1" s="1"/>
  <c r="S20" i="1" s="1"/>
  <c r="M20" i="1" s="1"/>
  <c r="N20" i="1" s="1"/>
  <c r="W29" i="1"/>
  <c r="AA29" i="1" s="1"/>
  <c r="AD29" i="1"/>
  <c r="AB40" i="1"/>
  <c r="R40" i="1"/>
  <c r="P40" i="1" s="1"/>
  <c r="S40" i="1" s="1"/>
  <c r="M40" i="1" s="1"/>
  <c r="N40" i="1" s="1"/>
  <c r="AB78" i="1"/>
  <c r="W30" i="1"/>
  <c r="AA30" i="1" s="1"/>
  <c r="AD30" i="1"/>
  <c r="AC30" i="1"/>
  <c r="U87" i="1"/>
  <c r="V87" i="1" s="1"/>
  <c r="AB87" i="1"/>
  <c r="AD88" i="1"/>
  <c r="AC88" i="1"/>
  <c r="W88" i="1"/>
  <c r="AA88" i="1" s="1"/>
  <c r="AB49" i="1"/>
  <c r="AB33" i="1"/>
  <c r="AD59" i="1"/>
  <c r="AE59" i="1" s="1"/>
  <c r="W59" i="1"/>
  <c r="AA59" i="1" s="1"/>
  <c r="AC59" i="1"/>
  <c r="AC214" i="1"/>
  <c r="R220" i="1"/>
  <c r="P220" i="1" s="1"/>
  <c r="S220" i="1" s="1"/>
  <c r="M220" i="1" s="1"/>
  <c r="N220" i="1" s="1"/>
  <c r="AB220" i="1"/>
  <c r="AB217" i="1"/>
  <c r="R217" i="1"/>
  <c r="P217" i="1" s="1"/>
  <c r="S217" i="1" s="1"/>
  <c r="M217" i="1" s="1"/>
  <c r="N217" i="1" s="1"/>
  <c r="U190" i="1"/>
  <c r="V190" i="1" s="1"/>
  <c r="U223" i="1"/>
  <c r="V223" i="1" s="1"/>
  <c r="W201" i="1"/>
  <c r="AA201" i="1" s="1"/>
  <c r="AD201" i="1"/>
  <c r="AE201" i="1" s="1"/>
  <c r="U180" i="1"/>
  <c r="V180" i="1" s="1"/>
  <c r="AB180" i="1"/>
  <c r="R180" i="1"/>
  <c r="P180" i="1" s="1"/>
  <c r="S180" i="1" s="1"/>
  <c r="M180" i="1" s="1"/>
  <c r="N180" i="1" s="1"/>
  <c r="AB188" i="1"/>
  <c r="U173" i="1"/>
  <c r="V173" i="1" s="1"/>
  <c r="U171" i="1"/>
  <c r="V171" i="1" s="1"/>
  <c r="U153" i="1"/>
  <c r="V153" i="1" s="1"/>
  <c r="AB182" i="1"/>
  <c r="W155" i="1"/>
  <c r="AA155" i="1" s="1"/>
  <c r="AD155" i="1"/>
  <c r="AB158" i="1"/>
  <c r="R158" i="1"/>
  <c r="P158" i="1" s="1"/>
  <c r="S158" i="1" s="1"/>
  <c r="M158" i="1" s="1"/>
  <c r="N158" i="1" s="1"/>
  <c r="AC143" i="1"/>
  <c r="W143" i="1"/>
  <c r="AA143" i="1" s="1"/>
  <c r="AD143" i="1"/>
  <c r="AB157" i="1"/>
  <c r="R157" i="1"/>
  <c r="P157" i="1" s="1"/>
  <c r="S157" i="1" s="1"/>
  <c r="M157" i="1" s="1"/>
  <c r="N157" i="1" s="1"/>
  <c r="R148" i="1"/>
  <c r="P148" i="1" s="1"/>
  <c r="S148" i="1" s="1"/>
  <c r="M148" i="1" s="1"/>
  <c r="N148" i="1" s="1"/>
  <c r="AB148" i="1"/>
  <c r="AB137" i="1"/>
  <c r="R137" i="1"/>
  <c r="P137" i="1" s="1"/>
  <c r="S137" i="1" s="1"/>
  <c r="M137" i="1" s="1"/>
  <c r="N137" i="1" s="1"/>
  <c r="AB131" i="1"/>
  <c r="R131" i="1"/>
  <c r="P131" i="1" s="1"/>
  <c r="S131" i="1" s="1"/>
  <c r="M131" i="1" s="1"/>
  <c r="N131" i="1" s="1"/>
  <c r="U102" i="1"/>
  <c r="V102" i="1" s="1"/>
  <c r="W162" i="1"/>
  <c r="AA162" i="1" s="1"/>
  <c r="AD162" i="1"/>
  <c r="AE162" i="1" s="1"/>
  <c r="U107" i="1"/>
  <c r="V107" i="1" s="1"/>
  <c r="AB133" i="1"/>
  <c r="AB127" i="1"/>
  <c r="U101" i="1"/>
  <c r="V101" i="1" s="1"/>
  <c r="U72" i="1"/>
  <c r="V72" i="1" s="1"/>
  <c r="AB102" i="1"/>
  <c r="R102" i="1"/>
  <c r="P102" i="1" s="1"/>
  <c r="S102" i="1" s="1"/>
  <c r="M102" i="1" s="1"/>
  <c r="N102" i="1" s="1"/>
  <c r="AB106" i="1"/>
  <c r="R106" i="1"/>
  <c r="P106" i="1" s="1"/>
  <c r="S106" i="1" s="1"/>
  <c r="M106" i="1" s="1"/>
  <c r="N106" i="1" s="1"/>
  <c r="U77" i="1"/>
  <c r="V77" i="1" s="1"/>
  <c r="AB60" i="1"/>
  <c r="AB69" i="1"/>
  <c r="U106" i="1"/>
  <c r="V106" i="1" s="1"/>
  <c r="AB74" i="1"/>
  <c r="AB35" i="1"/>
  <c r="AB19" i="1"/>
  <c r="AB71" i="1"/>
  <c r="U71" i="1"/>
  <c r="V71" i="1" s="1"/>
  <c r="AB58" i="1"/>
  <c r="AB36" i="1"/>
  <c r="R36" i="1"/>
  <c r="P36" i="1" s="1"/>
  <c r="S36" i="1" s="1"/>
  <c r="M36" i="1" s="1"/>
  <c r="N36" i="1" s="1"/>
  <c r="U53" i="1"/>
  <c r="V53" i="1" s="1"/>
  <c r="AB52" i="1"/>
  <c r="AB38" i="1"/>
  <c r="R38" i="1"/>
  <c r="P38" i="1" s="1"/>
  <c r="S38" i="1" s="1"/>
  <c r="M38" i="1" s="1"/>
  <c r="N38" i="1" s="1"/>
  <c r="R22" i="1"/>
  <c r="P22" i="1" s="1"/>
  <c r="S22" i="1" s="1"/>
  <c r="M22" i="1" s="1"/>
  <c r="N22" i="1" s="1"/>
  <c r="AB22" i="1"/>
  <c r="AD47" i="1"/>
  <c r="AE47" i="1" s="1"/>
  <c r="W47" i="1"/>
  <c r="AA47" i="1" s="1"/>
  <c r="AD54" i="1"/>
  <c r="AE54" i="1" s="1"/>
  <c r="W54" i="1"/>
  <c r="AA54" i="1" s="1"/>
  <c r="R54" i="1"/>
  <c r="P54" i="1" s="1"/>
  <c r="S54" i="1" s="1"/>
  <c r="M54" i="1" s="1"/>
  <c r="N54" i="1" s="1"/>
  <c r="U35" i="1"/>
  <c r="V35" i="1" s="1"/>
  <c r="AB195" i="1"/>
  <c r="W158" i="1"/>
  <c r="AA158" i="1" s="1"/>
  <c r="AD158" i="1"/>
  <c r="W128" i="1"/>
  <c r="AA128" i="1" s="1"/>
  <c r="AD128" i="1"/>
  <c r="AE128" i="1" s="1"/>
  <c r="AC128" i="1"/>
  <c r="AB186" i="1"/>
  <c r="R186" i="1"/>
  <c r="P186" i="1" s="1"/>
  <c r="S186" i="1" s="1"/>
  <c r="M186" i="1" s="1"/>
  <c r="N186" i="1" s="1"/>
  <c r="AB80" i="1"/>
  <c r="R80" i="1"/>
  <c r="P80" i="1" s="1"/>
  <c r="S80" i="1" s="1"/>
  <c r="M80" i="1" s="1"/>
  <c r="N80" i="1" s="1"/>
  <c r="AB65" i="1"/>
  <c r="AD205" i="1"/>
  <c r="AE205" i="1" s="1"/>
  <c r="W205" i="1"/>
  <c r="AA205" i="1" s="1"/>
  <c r="AB225" i="1"/>
  <c r="R225" i="1"/>
  <c r="P225" i="1" s="1"/>
  <c r="S225" i="1" s="1"/>
  <c r="M225" i="1" s="1"/>
  <c r="N225" i="1" s="1"/>
  <c r="AB218" i="1"/>
  <c r="AC205" i="1"/>
  <c r="AB215" i="1"/>
  <c r="AD213" i="1"/>
  <c r="W213" i="1"/>
  <c r="AA213" i="1" s="1"/>
  <c r="U185" i="1"/>
  <c r="V185" i="1" s="1"/>
  <c r="U176" i="1"/>
  <c r="V176" i="1" s="1"/>
  <c r="AB176" i="1"/>
  <c r="AB197" i="1"/>
  <c r="AB199" i="1"/>
  <c r="AB191" i="1"/>
  <c r="AB152" i="1"/>
  <c r="W178" i="1"/>
  <c r="AA178" i="1" s="1"/>
  <c r="AD178" i="1"/>
  <c r="AE178" i="1" s="1"/>
  <c r="AC178" i="1"/>
  <c r="W154" i="1"/>
  <c r="AA154" i="1" s="1"/>
  <c r="AD154" i="1"/>
  <c r="R174" i="1"/>
  <c r="P174" i="1" s="1"/>
  <c r="S174" i="1" s="1"/>
  <c r="M174" i="1" s="1"/>
  <c r="N174" i="1" s="1"/>
  <c r="AC158" i="1"/>
  <c r="U137" i="1"/>
  <c r="V137" i="1" s="1"/>
  <c r="W147" i="1"/>
  <c r="AA147" i="1" s="1"/>
  <c r="AC147" i="1"/>
  <c r="AD147" i="1"/>
  <c r="AE147" i="1" s="1"/>
  <c r="R147" i="1"/>
  <c r="P147" i="1" s="1"/>
  <c r="S147" i="1" s="1"/>
  <c r="M147" i="1" s="1"/>
  <c r="N147" i="1" s="1"/>
  <c r="AB150" i="1"/>
  <c r="U98" i="1"/>
  <c r="V98" i="1" s="1"/>
  <c r="M142" i="1"/>
  <c r="N142" i="1" s="1"/>
  <c r="W120" i="1"/>
  <c r="AA120" i="1" s="1"/>
  <c r="AD120" i="1"/>
  <c r="AC120" i="1"/>
  <c r="U103" i="1"/>
  <c r="V103" i="1" s="1"/>
  <c r="W132" i="1"/>
  <c r="AA132" i="1" s="1"/>
  <c r="AD132" i="1"/>
  <c r="AE132" i="1" s="1"/>
  <c r="AC132" i="1"/>
  <c r="AB116" i="1"/>
  <c r="U116" i="1"/>
  <c r="V116" i="1" s="1"/>
  <c r="AB126" i="1"/>
  <c r="U113" i="1"/>
  <c r="V113" i="1" s="1"/>
  <c r="R113" i="1" s="1"/>
  <c r="P113" i="1" s="1"/>
  <c r="S113" i="1" s="1"/>
  <c r="M113" i="1" s="1"/>
  <c r="N113" i="1" s="1"/>
  <c r="U68" i="1"/>
  <c r="V68" i="1" s="1"/>
  <c r="AB76" i="1"/>
  <c r="R76" i="1"/>
  <c r="P76" i="1" s="1"/>
  <c r="S76" i="1" s="1"/>
  <c r="M76" i="1" s="1"/>
  <c r="N76" i="1" s="1"/>
  <c r="AB56" i="1"/>
  <c r="U97" i="1"/>
  <c r="V97" i="1" s="1"/>
  <c r="U86" i="1"/>
  <c r="V86" i="1" s="1"/>
  <c r="M118" i="1"/>
  <c r="N118" i="1" s="1"/>
  <c r="AD91" i="1"/>
  <c r="W91" i="1"/>
  <c r="AA91" i="1" s="1"/>
  <c r="AB112" i="1"/>
  <c r="AB104" i="1"/>
  <c r="U32" i="1"/>
  <c r="V32" i="1" s="1"/>
  <c r="W67" i="1"/>
  <c r="AA67" i="1" s="1"/>
  <c r="AD67" i="1"/>
  <c r="AE67" i="1" s="1"/>
  <c r="AC67" i="1"/>
  <c r="AB57" i="1"/>
  <c r="W37" i="1"/>
  <c r="AA37" i="1" s="1"/>
  <c r="AD37" i="1"/>
  <c r="AE37" i="1" s="1"/>
  <c r="W25" i="1"/>
  <c r="AA25" i="1" s="1"/>
  <c r="AD25" i="1"/>
  <c r="AB32" i="1"/>
  <c r="R59" i="1"/>
  <c r="P59" i="1" s="1"/>
  <c r="S59" i="1" s="1"/>
  <c r="M59" i="1" s="1"/>
  <c r="N59" i="1" s="1"/>
  <c r="AB59" i="1"/>
  <c r="W38" i="1"/>
  <c r="AA38" i="1" s="1"/>
  <c r="AD38" i="1"/>
  <c r="AC38" i="1"/>
  <c r="AB86" i="1"/>
  <c r="R86" i="1"/>
  <c r="P86" i="1" s="1"/>
  <c r="S86" i="1" s="1"/>
  <c r="M86" i="1" s="1"/>
  <c r="N86" i="1" s="1"/>
  <c r="AB62" i="1"/>
  <c r="R51" i="1"/>
  <c r="P51" i="1" s="1"/>
  <c r="S51" i="1" s="1"/>
  <c r="M51" i="1" s="1"/>
  <c r="N51" i="1" s="1"/>
  <c r="R46" i="1"/>
  <c r="P46" i="1" s="1"/>
  <c r="S46" i="1" s="1"/>
  <c r="M46" i="1" s="1"/>
  <c r="N46" i="1" s="1"/>
  <c r="U19" i="1"/>
  <c r="V19" i="1" s="1"/>
  <c r="R19" i="1" s="1"/>
  <c r="P19" i="1" s="1"/>
  <c r="S19" i="1" s="1"/>
  <c r="M19" i="1" s="1"/>
  <c r="N19" i="1" s="1"/>
  <c r="AD226" i="1"/>
  <c r="W226" i="1"/>
  <c r="AA226" i="1" s="1"/>
  <c r="R192" i="1"/>
  <c r="P192" i="1" s="1"/>
  <c r="S192" i="1" s="1"/>
  <c r="M192" i="1" s="1"/>
  <c r="N192" i="1" s="1"/>
  <c r="AB192" i="1"/>
  <c r="U76" i="1"/>
  <c r="V76" i="1" s="1"/>
  <c r="U207" i="1"/>
  <c r="V207" i="1" s="1"/>
  <c r="AB213" i="1"/>
  <c r="R213" i="1"/>
  <c r="P213" i="1" s="1"/>
  <c r="S213" i="1" s="1"/>
  <c r="M213" i="1" s="1"/>
  <c r="N213" i="1" s="1"/>
  <c r="U218" i="1"/>
  <c r="V218" i="1" s="1"/>
  <c r="R218" i="1" s="1"/>
  <c r="P218" i="1" s="1"/>
  <c r="S218" i="1" s="1"/>
  <c r="M218" i="1" s="1"/>
  <c r="N218" i="1" s="1"/>
  <c r="U210" i="1"/>
  <c r="V210" i="1" s="1"/>
  <c r="R210" i="1" s="1"/>
  <c r="P210" i="1" s="1"/>
  <c r="S210" i="1" s="1"/>
  <c r="M210" i="1" s="1"/>
  <c r="N210" i="1" s="1"/>
  <c r="AC196" i="1"/>
  <c r="U191" i="1"/>
  <c r="V191" i="1" s="1"/>
  <c r="R191" i="1" s="1"/>
  <c r="P191" i="1" s="1"/>
  <c r="S191" i="1" s="1"/>
  <c r="M191" i="1" s="1"/>
  <c r="N191" i="1" s="1"/>
  <c r="AB200" i="1"/>
  <c r="U200" i="1"/>
  <c r="V200" i="1" s="1"/>
  <c r="AB193" i="1"/>
  <c r="R193" i="1"/>
  <c r="P193" i="1" s="1"/>
  <c r="S193" i="1" s="1"/>
  <c r="M193" i="1" s="1"/>
  <c r="N193" i="1" s="1"/>
  <c r="AB172" i="1"/>
  <c r="U172" i="1"/>
  <c r="V172" i="1" s="1"/>
  <c r="U188" i="1"/>
  <c r="V188" i="1" s="1"/>
  <c r="U149" i="1"/>
  <c r="V149" i="1" s="1"/>
  <c r="U177" i="1"/>
  <c r="V177" i="1" s="1"/>
  <c r="R177" i="1" s="1"/>
  <c r="P177" i="1" s="1"/>
  <c r="S177" i="1" s="1"/>
  <c r="M177" i="1" s="1"/>
  <c r="N177" i="1" s="1"/>
  <c r="U167" i="1"/>
  <c r="V167" i="1" s="1"/>
  <c r="W170" i="1"/>
  <c r="AA170" i="1" s="1"/>
  <c r="AD170" i="1"/>
  <c r="AE170" i="1" s="1"/>
  <c r="AC170" i="1"/>
  <c r="U192" i="1"/>
  <c r="V192" i="1" s="1"/>
  <c r="U144" i="1"/>
  <c r="V144" i="1" s="1"/>
  <c r="R144" i="1" s="1"/>
  <c r="P144" i="1" s="1"/>
  <c r="S144" i="1" s="1"/>
  <c r="M144" i="1" s="1"/>
  <c r="N144" i="1" s="1"/>
  <c r="AB144" i="1"/>
  <c r="AB161" i="1"/>
  <c r="U133" i="1"/>
  <c r="V133" i="1" s="1"/>
  <c r="AC155" i="1"/>
  <c r="U164" i="1"/>
  <c r="V164" i="1" s="1"/>
  <c r="R164" i="1"/>
  <c r="P164" i="1" s="1"/>
  <c r="S164" i="1" s="1"/>
  <c r="M164" i="1" s="1"/>
  <c r="N164" i="1" s="1"/>
  <c r="AB164" i="1"/>
  <c r="W142" i="1"/>
  <c r="AA142" i="1" s="1"/>
  <c r="AD142" i="1"/>
  <c r="AE142" i="1" s="1"/>
  <c r="AC142" i="1"/>
  <c r="W146" i="1"/>
  <c r="AA146" i="1" s="1"/>
  <c r="AD146" i="1"/>
  <c r="AC119" i="1"/>
  <c r="U94" i="1"/>
  <c r="V94" i="1" s="1"/>
  <c r="R94" i="1" s="1"/>
  <c r="P94" i="1" s="1"/>
  <c r="S94" i="1" s="1"/>
  <c r="M94" i="1" s="1"/>
  <c r="N94" i="1" s="1"/>
  <c r="U156" i="1"/>
  <c r="V156" i="1" s="1"/>
  <c r="U127" i="1"/>
  <c r="V127" i="1" s="1"/>
  <c r="U112" i="1"/>
  <c r="V112" i="1" s="1"/>
  <c r="W115" i="1"/>
  <c r="AA115" i="1" s="1"/>
  <c r="AD115" i="1"/>
  <c r="AE115" i="1" s="1"/>
  <c r="U109" i="1"/>
  <c r="V109" i="1" s="1"/>
  <c r="AB100" i="1"/>
  <c r="U64" i="1"/>
  <c r="V64" i="1" s="1"/>
  <c r="U73" i="1"/>
  <c r="V73" i="1" s="1"/>
  <c r="AB85" i="1"/>
  <c r="AD118" i="1"/>
  <c r="AE118" i="1" s="1"/>
  <c r="W118" i="1"/>
  <c r="AA118" i="1" s="1"/>
  <c r="R115" i="1"/>
  <c r="P115" i="1" s="1"/>
  <c r="S115" i="1" s="1"/>
  <c r="M115" i="1" s="1"/>
  <c r="N115" i="1" s="1"/>
  <c r="U83" i="1"/>
  <c r="V83" i="1" s="1"/>
  <c r="AB83" i="1"/>
  <c r="U74" i="1"/>
  <c r="V74" i="1" s="1"/>
  <c r="R74" i="1" s="1"/>
  <c r="P74" i="1" s="1"/>
  <c r="S74" i="1" s="1"/>
  <c r="M74" i="1" s="1"/>
  <c r="N74" i="1" s="1"/>
  <c r="R31" i="1"/>
  <c r="P31" i="1" s="1"/>
  <c r="S31" i="1" s="1"/>
  <c r="M31" i="1" s="1"/>
  <c r="N31" i="1" s="1"/>
  <c r="AB31" i="1"/>
  <c r="U52" i="1"/>
  <c r="V52" i="1" s="1"/>
  <c r="AB63" i="1"/>
  <c r="U58" i="1"/>
  <c r="V58" i="1" s="1"/>
  <c r="AB70" i="1"/>
  <c r="U104" i="1"/>
  <c r="V104" i="1" s="1"/>
  <c r="U57" i="1"/>
  <c r="V57" i="1" s="1"/>
  <c r="AB34" i="1"/>
  <c r="R34" i="1"/>
  <c r="P34" i="1" s="1"/>
  <c r="S34" i="1" s="1"/>
  <c r="M34" i="1" s="1"/>
  <c r="N34" i="1" s="1"/>
  <c r="AB18" i="1"/>
  <c r="AC29" i="1"/>
  <c r="AD46" i="1"/>
  <c r="AE46" i="1" s="1"/>
  <c r="W46" i="1"/>
  <c r="AA46" i="1" s="1"/>
  <c r="U40" i="1"/>
  <c r="V40" i="1" s="1"/>
  <c r="AB28" i="1"/>
  <c r="R28" i="1"/>
  <c r="P28" i="1" s="1"/>
  <c r="S28" i="1" s="1"/>
  <c r="M28" i="1" s="1"/>
  <c r="N28" i="1" s="1"/>
  <c r="AD55" i="1"/>
  <c r="AE55" i="1" s="1"/>
  <c r="W55" i="1"/>
  <c r="AA55" i="1" s="1"/>
  <c r="AC217" i="1"/>
  <c r="M224" i="1"/>
  <c r="N224" i="1" s="1"/>
  <c r="AB211" i="1"/>
  <c r="R211" i="1"/>
  <c r="P211" i="1" s="1"/>
  <c r="S211" i="1" s="1"/>
  <c r="M211" i="1" s="1"/>
  <c r="N211" i="1" s="1"/>
  <c r="U199" i="1"/>
  <c r="V199" i="1" s="1"/>
  <c r="U215" i="1"/>
  <c r="V215" i="1" s="1"/>
  <c r="R215" i="1" s="1"/>
  <c r="P215" i="1" s="1"/>
  <c r="S215" i="1" s="1"/>
  <c r="M215" i="1" s="1"/>
  <c r="N215" i="1" s="1"/>
  <c r="U195" i="1"/>
  <c r="V195" i="1" s="1"/>
  <c r="R195" i="1" s="1"/>
  <c r="P195" i="1" s="1"/>
  <c r="S195" i="1" s="1"/>
  <c r="M195" i="1" s="1"/>
  <c r="N195" i="1" s="1"/>
  <c r="AB184" i="1"/>
  <c r="U182" i="1"/>
  <c r="V182" i="1" s="1"/>
  <c r="U216" i="1"/>
  <c r="V216" i="1" s="1"/>
  <c r="R216" i="1" s="1"/>
  <c r="P216" i="1" s="1"/>
  <c r="S216" i="1" s="1"/>
  <c r="M216" i="1" s="1"/>
  <c r="N216" i="1" s="1"/>
  <c r="AD183" i="1"/>
  <c r="W183" i="1"/>
  <c r="AA183" i="1" s="1"/>
  <c r="AC183" i="1"/>
  <c r="U145" i="1"/>
  <c r="V145" i="1" s="1"/>
  <c r="U150" i="1"/>
  <c r="V150" i="1" s="1"/>
  <c r="AB151" i="1"/>
  <c r="R151" i="1"/>
  <c r="P151" i="1" s="1"/>
  <c r="S151" i="1" s="1"/>
  <c r="M151" i="1" s="1"/>
  <c r="N151" i="1" s="1"/>
  <c r="AB154" i="1"/>
  <c r="R154" i="1"/>
  <c r="P154" i="1" s="1"/>
  <c r="S154" i="1" s="1"/>
  <c r="M154" i="1" s="1"/>
  <c r="N154" i="1" s="1"/>
  <c r="U129" i="1"/>
  <c r="V129" i="1" s="1"/>
  <c r="AB123" i="1"/>
  <c r="R123" i="1"/>
  <c r="P123" i="1" s="1"/>
  <c r="S123" i="1" s="1"/>
  <c r="M123" i="1" s="1"/>
  <c r="N123" i="1" s="1"/>
  <c r="U90" i="1"/>
  <c r="V90" i="1" s="1"/>
  <c r="AB129" i="1"/>
  <c r="AB145" i="1"/>
  <c r="R145" i="1"/>
  <c r="P145" i="1" s="1"/>
  <c r="S145" i="1" s="1"/>
  <c r="M145" i="1" s="1"/>
  <c r="N145" i="1" s="1"/>
  <c r="U138" i="1"/>
  <c r="V138" i="1" s="1"/>
  <c r="AB138" i="1"/>
  <c r="R138" i="1"/>
  <c r="P138" i="1" s="1"/>
  <c r="S138" i="1" s="1"/>
  <c r="M138" i="1" s="1"/>
  <c r="N138" i="1" s="1"/>
  <c r="U105" i="1"/>
  <c r="V105" i="1" s="1"/>
  <c r="U60" i="1"/>
  <c r="V60" i="1" s="1"/>
  <c r="R60" i="1" s="1"/>
  <c r="P60" i="1" s="1"/>
  <c r="S60" i="1" s="1"/>
  <c r="M60" i="1" s="1"/>
  <c r="N60" i="1" s="1"/>
  <c r="U99" i="1"/>
  <c r="V99" i="1" s="1"/>
  <c r="W108" i="1"/>
  <c r="AA108" i="1" s="1"/>
  <c r="AD108" i="1"/>
  <c r="AE108" i="1" s="1"/>
  <c r="AB88" i="1"/>
  <c r="R88" i="1"/>
  <c r="P88" i="1" s="1"/>
  <c r="S88" i="1" s="1"/>
  <c r="M88" i="1" s="1"/>
  <c r="N88" i="1" s="1"/>
  <c r="AB72" i="1"/>
  <c r="R72" i="1"/>
  <c r="P72" i="1" s="1"/>
  <c r="S72" i="1" s="1"/>
  <c r="M72" i="1" s="1"/>
  <c r="N72" i="1" s="1"/>
  <c r="AC108" i="1"/>
  <c r="U96" i="1"/>
  <c r="V96" i="1" s="1"/>
  <c r="U82" i="1"/>
  <c r="V82" i="1" s="1"/>
  <c r="R108" i="1"/>
  <c r="P108" i="1" s="1"/>
  <c r="S108" i="1" s="1"/>
  <c r="M108" i="1" s="1"/>
  <c r="N108" i="1" s="1"/>
  <c r="AB108" i="1"/>
  <c r="U66" i="1"/>
  <c r="V66" i="1" s="1"/>
  <c r="U28" i="1"/>
  <c r="V28" i="1" s="1"/>
  <c r="W45" i="1"/>
  <c r="AA45" i="1" s="1"/>
  <c r="AD45" i="1"/>
  <c r="W21" i="1"/>
  <c r="AA21" i="1" s="1"/>
  <c r="AD21" i="1"/>
  <c r="AE21" i="1" s="1"/>
  <c r="U100" i="1"/>
  <c r="V100" i="1" s="1"/>
  <c r="AB48" i="1"/>
  <c r="U63" i="1"/>
  <c r="V63" i="1" s="1"/>
  <c r="AD50" i="1"/>
  <c r="AE50" i="1" s="1"/>
  <c r="W50" i="1"/>
  <c r="AA50" i="1" s="1"/>
  <c r="R55" i="1"/>
  <c r="P55" i="1" s="1"/>
  <c r="S55" i="1" s="1"/>
  <c r="M55" i="1" s="1"/>
  <c r="N55" i="1" s="1"/>
  <c r="R29" i="1"/>
  <c r="P29" i="1" s="1"/>
  <c r="S29" i="1" s="1"/>
  <c r="M29" i="1" s="1"/>
  <c r="N29" i="1" s="1"/>
  <c r="R17" i="1"/>
  <c r="P17" i="1" s="1"/>
  <c r="S17" i="1" s="1"/>
  <c r="M17" i="1" s="1"/>
  <c r="N17" i="1" s="1"/>
  <c r="AC226" i="1"/>
  <c r="W220" i="1"/>
  <c r="AA220" i="1" s="1"/>
  <c r="AD220" i="1"/>
  <c r="AE220" i="1" s="1"/>
  <c r="AC220" i="1"/>
  <c r="AB110" i="1"/>
  <c r="R110" i="1"/>
  <c r="P110" i="1" s="1"/>
  <c r="S110" i="1" s="1"/>
  <c r="M110" i="1" s="1"/>
  <c r="N110" i="1" s="1"/>
  <c r="AC213" i="1"/>
  <c r="R212" i="1"/>
  <c r="P212" i="1" s="1"/>
  <c r="S212" i="1" s="1"/>
  <c r="M212" i="1" s="1"/>
  <c r="N212" i="1" s="1"/>
  <c r="AB212" i="1"/>
  <c r="U203" i="1"/>
  <c r="V203" i="1" s="1"/>
  <c r="R214" i="1"/>
  <c r="P214" i="1" s="1"/>
  <c r="S214" i="1" s="1"/>
  <c r="M214" i="1" s="1"/>
  <c r="N214" i="1" s="1"/>
  <c r="AB214" i="1"/>
  <c r="U197" i="1"/>
  <c r="V197" i="1" s="1"/>
  <c r="R197" i="1" s="1"/>
  <c r="P197" i="1" s="1"/>
  <c r="S197" i="1" s="1"/>
  <c r="M197" i="1" s="1"/>
  <c r="N197" i="1" s="1"/>
  <c r="AB209" i="1"/>
  <c r="R209" i="1"/>
  <c r="P209" i="1" s="1"/>
  <c r="S209" i="1" s="1"/>
  <c r="M209" i="1" s="1"/>
  <c r="N209" i="1" s="1"/>
  <c r="U222" i="1"/>
  <c r="V222" i="1" s="1"/>
  <c r="R206" i="1"/>
  <c r="P206" i="1" s="1"/>
  <c r="S206" i="1" s="1"/>
  <c r="M206" i="1" s="1"/>
  <c r="N206" i="1" s="1"/>
  <c r="AB206" i="1"/>
  <c r="U179" i="1"/>
  <c r="V179" i="1" s="1"/>
  <c r="U198" i="1"/>
  <c r="V198" i="1" s="1"/>
  <c r="AB185" i="1"/>
  <c r="R185" i="1"/>
  <c r="P185" i="1" s="1"/>
  <c r="S185" i="1" s="1"/>
  <c r="M185" i="1" s="1"/>
  <c r="N185" i="1" s="1"/>
  <c r="AB175" i="1"/>
  <c r="R175" i="1"/>
  <c r="P175" i="1" s="1"/>
  <c r="S175" i="1" s="1"/>
  <c r="M175" i="1" s="1"/>
  <c r="N175" i="1" s="1"/>
  <c r="AB173" i="1"/>
  <c r="R173" i="1"/>
  <c r="P173" i="1" s="1"/>
  <c r="S173" i="1" s="1"/>
  <c r="M173" i="1" s="1"/>
  <c r="N173" i="1" s="1"/>
  <c r="U161" i="1"/>
  <c r="V161" i="1" s="1"/>
  <c r="R161" i="1" s="1"/>
  <c r="P161" i="1" s="1"/>
  <c r="S161" i="1" s="1"/>
  <c r="M161" i="1" s="1"/>
  <c r="N161" i="1" s="1"/>
  <c r="M187" i="1"/>
  <c r="N187" i="1" s="1"/>
  <c r="AB177" i="1"/>
  <c r="AB181" i="1"/>
  <c r="R181" i="1"/>
  <c r="P181" i="1" s="1"/>
  <c r="S181" i="1" s="1"/>
  <c r="M181" i="1" s="1"/>
  <c r="N181" i="1" s="1"/>
  <c r="AB163" i="1"/>
  <c r="U125" i="1"/>
  <c r="V125" i="1" s="1"/>
  <c r="R125" i="1" s="1"/>
  <c r="P125" i="1" s="1"/>
  <c r="S125" i="1" s="1"/>
  <c r="M125" i="1" s="1"/>
  <c r="N125" i="1" s="1"/>
  <c r="U141" i="1"/>
  <c r="V141" i="1" s="1"/>
  <c r="AB155" i="1"/>
  <c r="R155" i="1"/>
  <c r="P155" i="1" s="1"/>
  <c r="S155" i="1" s="1"/>
  <c r="M155" i="1" s="1"/>
  <c r="N155" i="1" s="1"/>
  <c r="U184" i="1"/>
  <c r="V184" i="1" s="1"/>
  <c r="R184" i="1" s="1"/>
  <c r="P184" i="1" s="1"/>
  <c r="S184" i="1" s="1"/>
  <c r="M184" i="1" s="1"/>
  <c r="N184" i="1" s="1"/>
  <c r="U152" i="1"/>
  <c r="V152" i="1" s="1"/>
  <c r="W159" i="1"/>
  <c r="AA159" i="1" s="1"/>
  <c r="AD159" i="1"/>
  <c r="AE159" i="1" s="1"/>
  <c r="U139" i="1"/>
  <c r="V139" i="1" s="1"/>
  <c r="R122" i="1"/>
  <c r="P122" i="1" s="1"/>
  <c r="S122" i="1" s="1"/>
  <c r="M122" i="1" s="1"/>
  <c r="N122" i="1" s="1"/>
  <c r="AB122" i="1"/>
  <c r="AB146" i="1"/>
  <c r="R146" i="1"/>
  <c r="P146" i="1" s="1"/>
  <c r="S146" i="1" s="1"/>
  <c r="M146" i="1" s="1"/>
  <c r="N146" i="1" s="1"/>
  <c r="R136" i="1"/>
  <c r="P136" i="1" s="1"/>
  <c r="S136" i="1" s="1"/>
  <c r="M136" i="1" s="1"/>
  <c r="N136" i="1" s="1"/>
  <c r="R120" i="1"/>
  <c r="P120" i="1" s="1"/>
  <c r="S120" i="1" s="1"/>
  <c r="M120" i="1" s="1"/>
  <c r="N120" i="1" s="1"/>
  <c r="AB120" i="1"/>
  <c r="AB141" i="1"/>
  <c r="R141" i="1"/>
  <c r="P141" i="1" s="1"/>
  <c r="S141" i="1" s="1"/>
  <c r="M141" i="1" s="1"/>
  <c r="N141" i="1" s="1"/>
  <c r="AC91" i="1"/>
  <c r="U85" i="1"/>
  <c r="V85" i="1" s="1"/>
  <c r="U69" i="1"/>
  <c r="V69" i="1" s="1"/>
  <c r="R89" i="1"/>
  <c r="P89" i="1" s="1"/>
  <c r="S89" i="1" s="1"/>
  <c r="M89" i="1" s="1"/>
  <c r="N89" i="1" s="1"/>
  <c r="AB89" i="1"/>
  <c r="AB81" i="1"/>
  <c r="R81" i="1"/>
  <c r="P81" i="1" s="1"/>
  <c r="S81" i="1" s="1"/>
  <c r="M81" i="1" s="1"/>
  <c r="N81" i="1" s="1"/>
  <c r="AB82" i="1"/>
  <c r="R27" i="1"/>
  <c r="P27" i="1" s="1"/>
  <c r="S27" i="1" s="1"/>
  <c r="M27" i="1" s="1"/>
  <c r="N27" i="1" s="1"/>
  <c r="AB27" i="1"/>
  <c r="U33" i="1"/>
  <c r="V33" i="1" s="1"/>
  <c r="R33" i="1" s="1"/>
  <c r="P33" i="1" s="1"/>
  <c r="S33" i="1" s="1"/>
  <c r="M33" i="1" s="1"/>
  <c r="N33" i="1" s="1"/>
  <c r="U62" i="1"/>
  <c r="V62" i="1" s="1"/>
  <c r="U48" i="1"/>
  <c r="V48" i="1" s="1"/>
  <c r="R48" i="1" s="1"/>
  <c r="P48" i="1" s="1"/>
  <c r="S48" i="1" s="1"/>
  <c r="M48" i="1" s="1"/>
  <c r="N48" i="1" s="1"/>
  <c r="U70" i="1"/>
  <c r="V70" i="1" s="1"/>
  <c r="U56" i="1"/>
  <c r="V56" i="1" s="1"/>
  <c r="W34" i="1"/>
  <c r="AA34" i="1" s="1"/>
  <c r="AD34" i="1"/>
  <c r="AC34" i="1"/>
  <c r="AB30" i="1"/>
  <c r="R30" i="1"/>
  <c r="P30" i="1" s="1"/>
  <c r="S30" i="1" s="1"/>
  <c r="M30" i="1" s="1"/>
  <c r="N30" i="1" s="1"/>
  <c r="AB25" i="1"/>
  <c r="R25" i="1"/>
  <c r="P25" i="1" s="1"/>
  <c r="S25" i="1" s="1"/>
  <c r="M25" i="1" s="1"/>
  <c r="N25" i="1" s="1"/>
  <c r="AD51" i="1"/>
  <c r="AE51" i="1" s="1"/>
  <c r="W51" i="1"/>
  <c r="AA51" i="1" s="1"/>
  <c r="U44" i="1"/>
  <c r="V44" i="1" s="1"/>
  <c r="AB45" i="1"/>
  <c r="R45" i="1"/>
  <c r="P45" i="1" s="1"/>
  <c r="S45" i="1" s="1"/>
  <c r="M45" i="1" s="1"/>
  <c r="N45" i="1" s="1"/>
  <c r="R47" i="1"/>
  <c r="P47" i="1" s="1"/>
  <c r="S47" i="1" s="1"/>
  <c r="M47" i="1" s="1"/>
  <c r="N47" i="1" s="1"/>
  <c r="U39" i="1"/>
  <c r="V39" i="1" s="1"/>
  <c r="AB53" i="1"/>
  <c r="R53" i="1"/>
  <c r="P53" i="1" s="1"/>
  <c r="S53" i="1" s="1"/>
  <c r="M53" i="1" s="1"/>
  <c r="N53" i="1" s="1"/>
  <c r="AB41" i="1"/>
  <c r="R41" i="1"/>
  <c r="P41" i="1" s="1"/>
  <c r="S41" i="1" s="1"/>
  <c r="M41" i="1" s="1"/>
  <c r="N41" i="1" s="1"/>
  <c r="U26" i="1"/>
  <c r="V26" i="1" s="1"/>
  <c r="R21" i="1"/>
  <c r="P21" i="1" s="1"/>
  <c r="S21" i="1" s="1"/>
  <c r="M21" i="1" s="1"/>
  <c r="N21" i="1" s="1"/>
  <c r="U193" i="1"/>
  <c r="V193" i="1" s="1"/>
  <c r="AD221" i="1"/>
  <c r="AE221" i="1" s="1"/>
  <c r="W221" i="1"/>
  <c r="AA221" i="1" s="1"/>
  <c r="AB202" i="1"/>
  <c r="U202" i="1"/>
  <c r="V202" i="1" s="1"/>
  <c r="R202" i="1" s="1"/>
  <c r="P202" i="1" s="1"/>
  <c r="S202" i="1" s="1"/>
  <c r="M202" i="1" s="1"/>
  <c r="N202" i="1" s="1"/>
  <c r="R221" i="1"/>
  <c r="P221" i="1" s="1"/>
  <c r="S221" i="1" s="1"/>
  <c r="M221" i="1" s="1"/>
  <c r="N221" i="1" s="1"/>
  <c r="U175" i="1"/>
  <c r="V175" i="1" s="1"/>
  <c r="AB226" i="1"/>
  <c r="R226" i="1"/>
  <c r="P226" i="1" s="1"/>
  <c r="S226" i="1" s="1"/>
  <c r="M226" i="1" s="1"/>
  <c r="N226" i="1" s="1"/>
  <c r="W196" i="1"/>
  <c r="AA196" i="1" s="1"/>
  <c r="AD196" i="1"/>
  <c r="AE196" i="1" s="1"/>
  <c r="R160" i="1"/>
  <c r="P160" i="1" s="1"/>
  <c r="S160" i="1" s="1"/>
  <c r="M160" i="1" s="1"/>
  <c r="N160" i="1" s="1"/>
  <c r="AB160" i="1"/>
  <c r="AB171" i="1"/>
  <c r="R171" i="1"/>
  <c r="P171" i="1" s="1"/>
  <c r="S171" i="1" s="1"/>
  <c r="M171" i="1" s="1"/>
  <c r="N171" i="1" s="1"/>
  <c r="W166" i="1"/>
  <c r="AA166" i="1" s="1"/>
  <c r="AD166" i="1"/>
  <c r="R166" i="1"/>
  <c r="P166" i="1" s="1"/>
  <c r="S166" i="1" s="1"/>
  <c r="M166" i="1" s="1"/>
  <c r="N166" i="1" s="1"/>
  <c r="AB166" i="1"/>
  <c r="U181" i="1"/>
  <c r="V181" i="1" s="1"/>
  <c r="U163" i="1"/>
  <c r="V163" i="1" s="1"/>
  <c r="R178" i="1"/>
  <c r="P178" i="1" s="1"/>
  <c r="S178" i="1" s="1"/>
  <c r="M178" i="1" s="1"/>
  <c r="N178" i="1" s="1"/>
  <c r="U121" i="1"/>
  <c r="V121" i="1" s="1"/>
  <c r="U135" i="1"/>
  <c r="V135" i="1" s="1"/>
  <c r="AB139" i="1"/>
  <c r="U117" i="1"/>
  <c r="V117" i="1" s="1"/>
  <c r="U114" i="1"/>
  <c r="V114" i="1" s="1"/>
  <c r="AB114" i="1"/>
  <c r="R114" i="1"/>
  <c r="P114" i="1" s="1"/>
  <c r="S114" i="1" s="1"/>
  <c r="M114" i="1" s="1"/>
  <c r="N114" i="1" s="1"/>
  <c r="U126" i="1"/>
  <c r="V126" i="1" s="1"/>
  <c r="R143" i="1"/>
  <c r="P143" i="1" s="1"/>
  <c r="S143" i="1" s="1"/>
  <c r="M143" i="1" s="1"/>
  <c r="N143" i="1" s="1"/>
  <c r="U124" i="1"/>
  <c r="V124" i="1" s="1"/>
  <c r="U122" i="1"/>
  <c r="V122" i="1" s="1"/>
  <c r="U84" i="1"/>
  <c r="V84" i="1" s="1"/>
  <c r="AB84" i="1"/>
  <c r="R84" i="1"/>
  <c r="P84" i="1" s="1"/>
  <c r="S84" i="1" s="1"/>
  <c r="M84" i="1" s="1"/>
  <c r="N84" i="1" s="1"/>
  <c r="AB68" i="1"/>
  <c r="R68" i="1"/>
  <c r="P68" i="1" s="1"/>
  <c r="S68" i="1" s="1"/>
  <c r="M68" i="1" s="1"/>
  <c r="N68" i="1" s="1"/>
  <c r="W92" i="1"/>
  <c r="AA92" i="1" s="1"/>
  <c r="AD92" i="1"/>
  <c r="AE92" i="1" s="1"/>
  <c r="AC92" i="1"/>
  <c r="U78" i="1"/>
  <c r="V78" i="1" s="1"/>
  <c r="AB98" i="1"/>
  <c r="R98" i="1"/>
  <c r="P98" i="1" s="1"/>
  <c r="S98" i="1" s="1"/>
  <c r="M98" i="1" s="1"/>
  <c r="N98" i="1" s="1"/>
  <c r="AB90" i="1"/>
  <c r="R43" i="1"/>
  <c r="P43" i="1" s="1"/>
  <c r="S43" i="1" s="1"/>
  <c r="M43" i="1" s="1"/>
  <c r="N43" i="1" s="1"/>
  <c r="AB43" i="1"/>
  <c r="U24" i="1"/>
  <c r="V24" i="1" s="1"/>
  <c r="U61" i="1"/>
  <c r="V61" i="1" s="1"/>
  <c r="R61" i="1" s="1"/>
  <c r="P61" i="1" s="1"/>
  <c r="S61" i="1" s="1"/>
  <c r="M61" i="1" s="1"/>
  <c r="N61" i="1" s="1"/>
  <c r="W93" i="1"/>
  <c r="AA93" i="1" s="1"/>
  <c r="AD93" i="1"/>
  <c r="AE93" i="1" s="1"/>
  <c r="AC93" i="1"/>
  <c r="U49" i="1"/>
  <c r="V49" i="1" s="1"/>
  <c r="AC47" i="1"/>
  <c r="R50" i="1"/>
  <c r="P50" i="1" s="1"/>
  <c r="S50" i="1" s="1"/>
  <c r="M50" i="1" s="1"/>
  <c r="N50" i="1" s="1"/>
  <c r="U23" i="1"/>
  <c r="V23" i="1" s="1"/>
  <c r="R23" i="1" s="1"/>
  <c r="P23" i="1" s="1"/>
  <c r="S23" i="1" s="1"/>
  <c r="M23" i="1" s="1"/>
  <c r="N23" i="1" s="1"/>
  <c r="AC41" i="1"/>
  <c r="U18" i="1"/>
  <c r="V18" i="1" s="1"/>
  <c r="W90" i="1" l="1"/>
  <c r="AA90" i="1" s="1"/>
  <c r="AD90" i="1"/>
  <c r="AE90" i="1" s="1"/>
  <c r="AC90" i="1"/>
  <c r="W78" i="1"/>
  <c r="AA78" i="1" s="1"/>
  <c r="AD78" i="1"/>
  <c r="AC78" i="1"/>
  <c r="W44" i="1"/>
  <c r="AA44" i="1" s="1"/>
  <c r="AD44" i="1"/>
  <c r="AE44" i="1" s="1"/>
  <c r="AC44" i="1"/>
  <c r="AE34" i="1"/>
  <c r="W62" i="1"/>
  <c r="AA62" i="1" s="1"/>
  <c r="AD62" i="1"/>
  <c r="AC62" i="1"/>
  <c r="AD199" i="1"/>
  <c r="AE199" i="1" s="1"/>
  <c r="W199" i="1"/>
  <c r="AA199" i="1" s="1"/>
  <c r="AC199" i="1"/>
  <c r="AD164" i="1"/>
  <c r="AE164" i="1" s="1"/>
  <c r="W164" i="1"/>
  <c r="AA164" i="1" s="1"/>
  <c r="AC164" i="1"/>
  <c r="AE25" i="1"/>
  <c r="AE91" i="1"/>
  <c r="W116" i="1"/>
  <c r="AA116" i="1" s="1"/>
  <c r="AD116" i="1"/>
  <c r="AE116" i="1" s="1"/>
  <c r="AC116" i="1"/>
  <c r="AE154" i="1"/>
  <c r="W107" i="1"/>
  <c r="AA107" i="1" s="1"/>
  <c r="AD107" i="1"/>
  <c r="AC107" i="1"/>
  <c r="R107" i="1"/>
  <c r="P107" i="1" s="1"/>
  <c r="S107" i="1" s="1"/>
  <c r="M107" i="1" s="1"/>
  <c r="N107" i="1" s="1"/>
  <c r="W153" i="1"/>
  <c r="AA153" i="1" s="1"/>
  <c r="AD153" i="1"/>
  <c r="AE153" i="1" s="1"/>
  <c r="AC153" i="1"/>
  <c r="W87" i="1"/>
  <c r="AA87" i="1" s="1"/>
  <c r="AD87" i="1"/>
  <c r="AE87" i="1" s="1"/>
  <c r="AC87" i="1"/>
  <c r="W211" i="1"/>
  <c r="AA211" i="1" s="1"/>
  <c r="AC211" i="1"/>
  <c r="AD211" i="1"/>
  <c r="R44" i="1"/>
  <c r="P44" i="1" s="1"/>
  <c r="S44" i="1" s="1"/>
  <c r="M44" i="1" s="1"/>
  <c r="N44" i="1" s="1"/>
  <c r="AE136" i="1"/>
  <c r="AD165" i="1"/>
  <c r="AE165" i="1" s="1"/>
  <c r="W165" i="1"/>
  <c r="AA165" i="1" s="1"/>
  <c r="AC165" i="1"/>
  <c r="R165" i="1"/>
  <c r="P165" i="1" s="1"/>
  <c r="S165" i="1" s="1"/>
  <c r="M165" i="1" s="1"/>
  <c r="N165" i="1" s="1"/>
  <c r="W219" i="1"/>
  <c r="AA219" i="1" s="1"/>
  <c r="AC219" i="1"/>
  <c r="AD219" i="1"/>
  <c r="AE219" i="1" s="1"/>
  <c r="R219" i="1"/>
  <c r="P219" i="1" s="1"/>
  <c r="S219" i="1" s="1"/>
  <c r="M219" i="1" s="1"/>
  <c r="N219" i="1" s="1"/>
  <c r="AE174" i="1"/>
  <c r="AE89" i="1"/>
  <c r="W26" i="1"/>
  <c r="AA26" i="1" s="1"/>
  <c r="AD26" i="1"/>
  <c r="AC26" i="1"/>
  <c r="AD65" i="1"/>
  <c r="W65" i="1"/>
  <c r="AA65" i="1" s="1"/>
  <c r="AC65" i="1"/>
  <c r="AD49" i="1"/>
  <c r="AC49" i="1"/>
  <c r="W49" i="1"/>
  <c r="AA49" i="1" s="1"/>
  <c r="AD24" i="1"/>
  <c r="W24" i="1"/>
  <c r="AA24" i="1" s="1"/>
  <c r="AC24" i="1"/>
  <c r="W84" i="1"/>
  <c r="AA84" i="1" s="1"/>
  <c r="AD84" i="1"/>
  <c r="AE84" i="1" s="1"/>
  <c r="AC84" i="1"/>
  <c r="W139" i="1"/>
  <c r="AA139" i="1" s="1"/>
  <c r="AD139" i="1"/>
  <c r="AC139" i="1"/>
  <c r="W203" i="1"/>
  <c r="AA203" i="1" s="1"/>
  <c r="AD203" i="1"/>
  <c r="AC203" i="1"/>
  <c r="R203" i="1"/>
  <c r="P203" i="1" s="1"/>
  <c r="S203" i="1" s="1"/>
  <c r="M203" i="1" s="1"/>
  <c r="N203" i="1" s="1"/>
  <c r="AD63" i="1"/>
  <c r="AE63" i="1" s="1"/>
  <c r="W63" i="1"/>
  <c r="AA63" i="1" s="1"/>
  <c r="AC63" i="1"/>
  <c r="W96" i="1"/>
  <c r="AA96" i="1" s="1"/>
  <c r="AD96" i="1"/>
  <c r="AE96" i="1" s="1"/>
  <c r="AC96" i="1"/>
  <c r="R96" i="1"/>
  <c r="P96" i="1" s="1"/>
  <c r="S96" i="1" s="1"/>
  <c r="M96" i="1" s="1"/>
  <c r="N96" i="1" s="1"/>
  <c r="W150" i="1"/>
  <c r="AA150" i="1" s="1"/>
  <c r="AD150" i="1"/>
  <c r="AE150" i="1" s="1"/>
  <c r="AC150" i="1"/>
  <c r="W182" i="1"/>
  <c r="AA182" i="1" s="1"/>
  <c r="AD182" i="1"/>
  <c r="AC182" i="1"/>
  <c r="W40" i="1"/>
  <c r="AA40" i="1" s="1"/>
  <c r="AD40" i="1"/>
  <c r="AE40" i="1" s="1"/>
  <c r="AC40" i="1"/>
  <c r="R63" i="1"/>
  <c r="P63" i="1" s="1"/>
  <c r="S63" i="1" s="1"/>
  <c r="M63" i="1" s="1"/>
  <c r="N63" i="1" s="1"/>
  <c r="W83" i="1"/>
  <c r="AA83" i="1" s="1"/>
  <c r="AD83" i="1"/>
  <c r="AC83" i="1"/>
  <c r="AD73" i="1"/>
  <c r="W73" i="1"/>
  <c r="AA73" i="1" s="1"/>
  <c r="AC73" i="1"/>
  <c r="AE146" i="1"/>
  <c r="W192" i="1"/>
  <c r="AA192" i="1" s="1"/>
  <c r="AD192" i="1"/>
  <c r="AE192" i="1" s="1"/>
  <c r="AC192" i="1"/>
  <c r="AD200" i="1"/>
  <c r="AC200" i="1"/>
  <c r="W200" i="1"/>
  <c r="AA200" i="1" s="1"/>
  <c r="AE226" i="1"/>
  <c r="AE120" i="1"/>
  <c r="R199" i="1"/>
  <c r="P199" i="1" s="1"/>
  <c r="S199" i="1" s="1"/>
  <c r="M199" i="1" s="1"/>
  <c r="N199" i="1" s="1"/>
  <c r="W185" i="1"/>
  <c r="AA185" i="1" s="1"/>
  <c r="AD185" i="1"/>
  <c r="AC185" i="1"/>
  <c r="AD72" i="1"/>
  <c r="W72" i="1"/>
  <c r="AA72" i="1" s="1"/>
  <c r="AC72" i="1"/>
  <c r="W180" i="1"/>
  <c r="AA180" i="1" s="1"/>
  <c r="AD180" i="1"/>
  <c r="AE180" i="1" s="1"/>
  <c r="AC180" i="1"/>
  <c r="R87" i="1"/>
  <c r="P87" i="1" s="1"/>
  <c r="S87" i="1" s="1"/>
  <c r="M87" i="1" s="1"/>
  <c r="N87" i="1" s="1"/>
  <c r="AE29" i="1"/>
  <c r="AD95" i="1"/>
  <c r="W95" i="1"/>
  <c r="AA95" i="1" s="1"/>
  <c r="R95" i="1"/>
  <c r="P95" i="1" s="1"/>
  <c r="S95" i="1" s="1"/>
  <c r="M95" i="1" s="1"/>
  <c r="N95" i="1" s="1"/>
  <c r="AC95" i="1"/>
  <c r="AD81" i="1"/>
  <c r="AE81" i="1" s="1"/>
  <c r="W81" i="1"/>
  <c r="AA81" i="1" s="1"/>
  <c r="AC81" i="1"/>
  <c r="W111" i="1"/>
  <c r="AA111" i="1" s="1"/>
  <c r="AD111" i="1"/>
  <c r="AC111" i="1"/>
  <c r="W186" i="1"/>
  <c r="AA186" i="1" s="1"/>
  <c r="AD186" i="1"/>
  <c r="AC186" i="1"/>
  <c r="AE151" i="1"/>
  <c r="AC179" i="1"/>
  <c r="AD179" i="1"/>
  <c r="W179" i="1"/>
  <c r="AA179" i="1" s="1"/>
  <c r="AE45" i="1"/>
  <c r="W216" i="1"/>
  <c r="AA216" i="1" s="1"/>
  <c r="AD216" i="1"/>
  <c r="AC216" i="1"/>
  <c r="AD58" i="1"/>
  <c r="W58" i="1"/>
  <c r="AA58" i="1" s="1"/>
  <c r="AC58" i="1"/>
  <c r="AD114" i="1"/>
  <c r="AC114" i="1"/>
  <c r="W114" i="1"/>
  <c r="AA114" i="1" s="1"/>
  <c r="AD121" i="1"/>
  <c r="AC121" i="1"/>
  <c r="W121" i="1"/>
  <c r="AA121" i="1" s="1"/>
  <c r="R121" i="1"/>
  <c r="P121" i="1" s="1"/>
  <c r="S121" i="1" s="1"/>
  <c r="M121" i="1" s="1"/>
  <c r="N121" i="1" s="1"/>
  <c r="AE166" i="1"/>
  <c r="AD56" i="1"/>
  <c r="W56" i="1"/>
  <c r="AA56" i="1" s="1"/>
  <c r="AC56" i="1"/>
  <c r="W33" i="1"/>
  <c r="AA33" i="1" s="1"/>
  <c r="AD33" i="1"/>
  <c r="AE33" i="1" s="1"/>
  <c r="AC33" i="1"/>
  <c r="W141" i="1"/>
  <c r="AA141" i="1" s="1"/>
  <c r="AD141" i="1"/>
  <c r="AC141" i="1"/>
  <c r="AD222" i="1"/>
  <c r="W222" i="1"/>
  <c r="AA222" i="1" s="1"/>
  <c r="AC222" i="1"/>
  <c r="W28" i="1"/>
  <c r="AA28" i="1" s="1"/>
  <c r="AD28" i="1"/>
  <c r="AC28" i="1"/>
  <c r="W138" i="1"/>
  <c r="AA138" i="1" s="1"/>
  <c r="AD138" i="1"/>
  <c r="AC138" i="1"/>
  <c r="AD57" i="1"/>
  <c r="AE57" i="1" s="1"/>
  <c r="W57" i="1"/>
  <c r="AA57" i="1" s="1"/>
  <c r="AC57" i="1"/>
  <c r="R83" i="1"/>
  <c r="P83" i="1" s="1"/>
  <c r="S83" i="1" s="1"/>
  <c r="M83" i="1" s="1"/>
  <c r="N83" i="1" s="1"/>
  <c r="W112" i="1"/>
  <c r="AA112" i="1" s="1"/>
  <c r="AD112" i="1"/>
  <c r="AC112" i="1"/>
  <c r="W149" i="1"/>
  <c r="AA149" i="1" s="1"/>
  <c r="AD149" i="1"/>
  <c r="AE149" i="1" s="1"/>
  <c r="R149" i="1"/>
  <c r="P149" i="1" s="1"/>
  <c r="S149" i="1" s="1"/>
  <c r="M149" i="1" s="1"/>
  <c r="N149" i="1" s="1"/>
  <c r="AC149" i="1"/>
  <c r="W207" i="1"/>
  <c r="AA207" i="1" s="1"/>
  <c r="AC207" i="1"/>
  <c r="AD207" i="1"/>
  <c r="R207" i="1"/>
  <c r="P207" i="1" s="1"/>
  <c r="S207" i="1" s="1"/>
  <c r="M207" i="1" s="1"/>
  <c r="N207" i="1" s="1"/>
  <c r="W19" i="1"/>
  <c r="AA19" i="1" s="1"/>
  <c r="AD19" i="1"/>
  <c r="AE19" i="1" s="1"/>
  <c r="AC19" i="1"/>
  <c r="AE38" i="1"/>
  <c r="W32" i="1"/>
  <c r="AA32" i="1" s="1"/>
  <c r="AD32" i="1"/>
  <c r="AE32" i="1" s="1"/>
  <c r="AC32" i="1"/>
  <c r="W86" i="1"/>
  <c r="AA86" i="1" s="1"/>
  <c r="AD86" i="1"/>
  <c r="AC86" i="1"/>
  <c r="R116" i="1"/>
  <c r="P116" i="1" s="1"/>
  <c r="S116" i="1" s="1"/>
  <c r="M116" i="1" s="1"/>
  <c r="N116" i="1" s="1"/>
  <c r="W35" i="1"/>
  <c r="AA35" i="1" s="1"/>
  <c r="AD35" i="1"/>
  <c r="AC35" i="1"/>
  <c r="R58" i="1"/>
  <c r="P58" i="1" s="1"/>
  <c r="S58" i="1" s="1"/>
  <c r="M58" i="1" s="1"/>
  <c r="N58" i="1" s="1"/>
  <c r="R35" i="1"/>
  <c r="P35" i="1" s="1"/>
  <c r="S35" i="1" s="1"/>
  <c r="M35" i="1" s="1"/>
  <c r="N35" i="1" s="1"/>
  <c r="W101" i="1"/>
  <c r="AA101" i="1" s="1"/>
  <c r="AD101" i="1"/>
  <c r="AE101" i="1" s="1"/>
  <c r="AC101" i="1"/>
  <c r="R101" i="1"/>
  <c r="P101" i="1" s="1"/>
  <c r="S101" i="1" s="1"/>
  <c r="M101" i="1" s="1"/>
  <c r="N101" i="1" s="1"/>
  <c r="AD171" i="1"/>
  <c r="W171" i="1"/>
  <c r="AA171" i="1" s="1"/>
  <c r="AC171" i="1"/>
  <c r="R49" i="1"/>
  <c r="P49" i="1" s="1"/>
  <c r="S49" i="1" s="1"/>
  <c r="M49" i="1" s="1"/>
  <c r="N49" i="1" s="1"/>
  <c r="AE148" i="1"/>
  <c r="AE41" i="1"/>
  <c r="W131" i="1"/>
  <c r="AA131" i="1" s="1"/>
  <c r="AD131" i="1"/>
  <c r="AE131" i="1" s="1"/>
  <c r="AC131" i="1"/>
  <c r="R73" i="1"/>
  <c r="P73" i="1" s="1"/>
  <c r="S73" i="1" s="1"/>
  <c r="M73" i="1" s="1"/>
  <c r="N73" i="1" s="1"/>
  <c r="R153" i="1"/>
  <c r="P153" i="1" s="1"/>
  <c r="S153" i="1" s="1"/>
  <c r="M153" i="1" s="1"/>
  <c r="N153" i="1" s="1"/>
  <c r="W194" i="1"/>
  <c r="AA194" i="1" s="1"/>
  <c r="AD194" i="1"/>
  <c r="AC194" i="1"/>
  <c r="R194" i="1"/>
  <c r="P194" i="1" s="1"/>
  <c r="S194" i="1" s="1"/>
  <c r="M194" i="1" s="1"/>
  <c r="N194" i="1" s="1"/>
  <c r="AE31" i="1"/>
  <c r="AD126" i="1"/>
  <c r="W126" i="1"/>
  <c r="AA126" i="1" s="1"/>
  <c r="AC126" i="1"/>
  <c r="W144" i="1"/>
  <c r="AA144" i="1" s="1"/>
  <c r="AD144" i="1"/>
  <c r="AC144" i="1"/>
  <c r="AD218" i="1"/>
  <c r="AE218" i="1" s="1"/>
  <c r="W218" i="1"/>
  <c r="AA218" i="1" s="1"/>
  <c r="AC218" i="1"/>
  <c r="W176" i="1"/>
  <c r="AA176" i="1" s="1"/>
  <c r="AD176" i="1"/>
  <c r="AC176" i="1"/>
  <c r="AE214" i="1"/>
  <c r="AD122" i="1"/>
  <c r="AE122" i="1" s="1"/>
  <c r="W122" i="1"/>
  <c r="AA122" i="1" s="1"/>
  <c r="AC122" i="1"/>
  <c r="W117" i="1"/>
  <c r="AA117" i="1" s="1"/>
  <c r="AD117" i="1"/>
  <c r="AE117" i="1" s="1"/>
  <c r="AC117" i="1"/>
  <c r="R117" i="1"/>
  <c r="P117" i="1" s="1"/>
  <c r="S117" i="1" s="1"/>
  <c r="M117" i="1" s="1"/>
  <c r="N117" i="1" s="1"/>
  <c r="W66" i="1"/>
  <c r="AA66" i="1" s="1"/>
  <c r="AD66" i="1"/>
  <c r="AE66" i="1" s="1"/>
  <c r="AC66" i="1"/>
  <c r="R66" i="1"/>
  <c r="P66" i="1" s="1"/>
  <c r="S66" i="1" s="1"/>
  <c r="M66" i="1" s="1"/>
  <c r="N66" i="1" s="1"/>
  <c r="AD99" i="1"/>
  <c r="W99" i="1"/>
  <c r="AA99" i="1" s="1"/>
  <c r="R99" i="1"/>
  <c r="P99" i="1" s="1"/>
  <c r="S99" i="1" s="1"/>
  <c r="M99" i="1" s="1"/>
  <c r="N99" i="1" s="1"/>
  <c r="AC99" i="1"/>
  <c r="W145" i="1"/>
  <c r="AA145" i="1" s="1"/>
  <c r="AD145" i="1"/>
  <c r="AE145" i="1" s="1"/>
  <c r="AC145" i="1"/>
  <c r="W104" i="1"/>
  <c r="AA104" i="1" s="1"/>
  <c r="AD104" i="1"/>
  <c r="AC104" i="1"/>
  <c r="AD52" i="1"/>
  <c r="AC52" i="1"/>
  <c r="W52" i="1"/>
  <c r="AA52" i="1" s="1"/>
  <c r="W64" i="1"/>
  <c r="AA64" i="1" s="1"/>
  <c r="AD64" i="1"/>
  <c r="AC64" i="1"/>
  <c r="W127" i="1"/>
  <c r="AA127" i="1" s="1"/>
  <c r="AD127" i="1"/>
  <c r="AE127" i="1" s="1"/>
  <c r="AC127" i="1"/>
  <c r="AC133" i="1"/>
  <c r="W133" i="1"/>
  <c r="AA133" i="1" s="1"/>
  <c r="AD133" i="1"/>
  <c r="AE133" i="1" s="1"/>
  <c r="AD188" i="1"/>
  <c r="AE188" i="1" s="1"/>
  <c r="W188" i="1"/>
  <c r="AA188" i="1" s="1"/>
  <c r="AC188" i="1"/>
  <c r="R200" i="1"/>
  <c r="P200" i="1" s="1"/>
  <c r="S200" i="1" s="1"/>
  <c r="M200" i="1" s="1"/>
  <c r="N200" i="1" s="1"/>
  <c r="AD68" i="1"/>
  <c r="AE68" i="1" s="1"/>
  <c r="W68" i="1"/>
  <c r="AA68" i="1" s="1"/>
  <c r="AC68" i="1"/>
  <c r="AE213" i="1"/>
  <c r="AD77" i="1"/>
  <c r="AE77" i="1" s="1"/>
  <c r="W77" i="1"/>
  <c r="AA77" i="1" s="1"/>
  <c r="AC77" i="1"/>
  <c r="AE155" i="1"/>
  <c r="W173" i="1"/>
  <c r="AA173" i="1" s="1"/>
  <c r="AD173" i="1"/>
  <c r="AE173" i="1" s="1"/>
  <c r="AC173" i="1"/>
  <c r="AE30" i="1"/>
  <c r="W80" i="1"/>
  <c r="AA80" i="1" s="1"/>
  <c r="AD80" i="1"/>
  <c r="AE80" i="1" s="1"/>
  <c r="AC80" i="1"/>
  <c r="W130" i="1"/>
  <c r="AA130" i="1" s="1"/>
  <c r="AD130" i="1"/>
  <c r="AC130" i="1"/>
  <c r="R179" i="1"/>
  <c r="P179" i="1" s="1"/>
  <c r="S179" i="1" s="1"/>
  <c r="M179" i="1" s="1"/>
  <c r="N179" i="1" s="1"/>
  <c r="W189" i="1"/>
  <c r="AA189" i="1" s="1"/>
  <c r="AD189" i="1"/>
  <c r="AC189" i="1"/>
  <c r="AE209" i="1"/>
  <c r="W177" i="1"/>
  <c r="AA177" i="1" s="1"/>
  <c r="AD177" i="1"/>
  <c r="AC177" i="1"/>
  <c r="W18" i="1"/>
  <c r="AA18" i="1" s="1"/>
  <c r="AD18" i="1"/>
  <c r="AE18" i="1" s="1"/>
  <c r="AC18" i="1"/>
  <c r="R90" i="1"/>
  <c r="P90" i="1" s="1"/>
  <c r="S90" i="1" s="1"/>
  <c r="M90" i="1" s="1"/>
  <c r="N90" i="1" s="1"/>
  <c r="W124" i="1"/>
  <c r="AA124" i="1" s="1"/>
  <c r="AD124" i="1"/>
  <c r="AE124" i="1" s="1"/>
  <c r="AC124" i="1"/>
  <c r="R124" i="1"/>
  <c r="P124" i="1" s="1"/>
  <c r="S124" i="1" s="1"/>
  <c r="M124" i="1" s="1"/>
  <c r="N124" i="1" s="1"/>
  <c r="W39" i="1"/>
  <c r="AA39" i="1" s="1"/>
  <c r="AD39" i="1"/>
  <c r="AE39" i="1" s="1"/>
  <c r="AC39" i="1"/>
  <c r="W70" i="1"/>
  <c r="AA70" i="1" s="1"/>
  <c r="AD70" i="1"/>
  <c r="AC70" i="1"/>
  <c r="AD69" i="1"/>
  <c r="W69" i="1"/>
  <c r="AA69" i="1" s="1"/>
  <c r="AC69" i="1"/>
  <c r="W125" i="1"/>
  <c r="AA125" i="1" s="1"/>
  <c r="AD125" i="1"/>
  <c r="AC125" i="1"/>
  <c r="W198" i="1"/>
  <c r="AA198" i="1" s="1"/>
  <c r="AD198" i="1"/>
  <c r="AE198" i="1" s="1"/>
  <c r="R198" i="1"/>
  <c r="P198" i="1" s="1"/>
  <c r="S198" i="1" s="1"/>
  <c r="M198" i="1" s="1"/>
  <c r="N198" i="1" s="1"/>
  <c r="AC198" i="1"/>
  <c r="W100" i="1"/>
  <c r="AA100" i="1" s="1"/>
  <c r="AD100" i="1"/>
  <c r="AE100" i="1" s="1"/>
  <c r="AC100" i="1"/>
  <c r="W129" i="1"/>
  <c r="AA129" i="1" s="1"/>
  <c r="AD129" i="1"/>
  <c r="AC129" i="1"/>
  <c r="W195" i="1"/>
  <c r="AA195" i="1" s="1"/>
  <c r="AD195" i="1"/>
  <c r="AE195" i="1" s="1"/>
  <c r="AC195" i="1"/>
  <c r="R70" i="1"/>
  <c r="P70" i="1" s="1"/>
  <c r="S70" i="1" s="1"/>
  <c r="M70" i="1" s="1"/>
  <c r="N70" i="1" s="1"/>
  <c r="W172" i="1"/>
  <c r="AA172" i="1" s="1"/>
  <c r="AD172" i="1"/>
  <c r="AE172" i="1" s="1"/>
  <c r="AC172" i="1"/>
  <c r="W191" i="1"/>
  <c r="AA191" i="1" s="1"/>
  <c r="AD191" i="1"/>
  <c r="AC191" i="1"/>
  <c r="W76" i="1"/>
  <c r="AA76" i="1" s="1"/>
  <c r="AD76" i="1"/>
  <c r="AE76" i="1" s="1"/>
  <c r="AC76" i="1"/>
  <c r="R57" i="1"/>
  <c r="P57" i="1" s="1"/>
  <c r="S57" i="1" s="1"/>
  <c r="M57" i="1" s="1"/>
  <c r="N57" i="1" s="1"/>
  <c r="R104" i="1"/>
  <c r="P104" i="1" s="1"/>
  <c r="S104" i="1" s="1"/>
  <c r="M104" i="1" s="1"/>
  <c r="N104" i="1" s="1"/>
  <c r="W113" i="1"/>
  <c r="AA113" i="1" s="1"/>
  <c r="AD113" i="1"/>
  <c r="AC113" i="1"/>
  <c r="R52" i="1"/>
  <c r="P52" i="1" s="1"/>
  <c r="S52" i="1" s="1"/>
  <c r="M52" i="1" s="1"/>
  <c r="N52" i="1" s="1"/>
  <c r="W71" i="1"/>
  <c r="AA71" i="1" s="1"/>
  <c r="AD71" i="1"/>
  <c r="AC71" i="1"/>
  <c r="R127" i="1"/>
  <c r="P127" i="1" s="1"/>
  <c r="S127" i="1" s="1"/>
  <c r="M127" i="1" s="1"/>
  <c r="N127" i="1" s="1"/>
  <c r="W223" i="1"/>
  <c r="AA223" i="1" s="1"/>
  <c r="AD223" i="1"/>
  <c r="AC223" i="1"/>
  <c r="R223" i="1"/>
  <c r="P223" i="1" s="1"/>
  <c r="S223" i="1" s="1"/>
  <c r="M223" i="1" s="1"/>
  <c r="N223" i="1" s="1"/>
  <c r="AD20" i="1"/>
  <c r="AE20" i="1" s="1"/>
  <c r="W20" i="1"/>
  <c r="AA20" i="1" s="1"/>
  <c r="AC20" i="1"/>
  <c r="R24" i="1"/>
  <c r="P24" i="1" s="1"/>
  <c r="S24" i="1" s="1"/>
  <c r="M24" i="1" s="1"/>
  <c r="N24" i="1" s="1"/>
  <c r="R77" i="1"/>
  <c r="P77" i="1" s="1"/>
  <c r="S77" i="1" s="1"/>
  <c r="M77" i="1" s="1"/>
  <c r="N77" i="1" s="1"/>
  <c r="R64" i="1"/>
  <c r="P64" i="1" s="1"/>
  <c r="S64" i="1" s="1"/>
  <c r="M64" i="1" s="1"/>
  <c r="N64" i="1" s="1"/>
  <c r="AD168" i="1"/>
  <c r="W168" i="1"/>
  <c r="AA168" i="1" s="1"/>
  <c r="AC168" i="1"/>
  <c r="AE225" i="1"/>
  <c r="AE22" i="1"/>
  <c r="W135" i="1"/>
  <c r="AA135" i="1" s="1"/>
  <c r="AD135" i="1"/>
  <c r="AE135" i="1" s="1"/>
  <c r="AC135" i="1"/>
  <c r="R135" i="1"/>
  <c r="P135" i="1" s="1"/>
  <c r="S135" i="1" s="1"/>
  <c r="M135" i="1" s="1"/>
  <c r="N135" i="1" s="1"/>
  <c r="AD48" i="1"/>
  <c r="AE48" i="1" s="1"/>
  <c r="W48" i="1"/>
  <c r="AA48" i="1" s="1"/>
  <c r="AC48" i="1"/>
  <c r="W82" i="1"/>
  <c r="AA82" i="1" s="1"/>
  <c r="AD82" i="1"/>
  <c r="AC82" i="1"/>
  <c r="R139" i="1"/>
  <c r="P139" i="1" s="1"/>
  <c r="S139" i="1" s="1"/>
  <c r="M139" i="1" s="1"/>
  <c r="N139" i="1" s="1"/>
  <c r="AD163" i="1"/>
  <c r="AC163" i="1"/>
  <c r="W163" i="1"/>
  <c r="AA163" i="1" s="1"/>
  <c r="AC175" i="1"/>
  <c r="AD175" i="1"/>
  <c r="AE175" i="1" s="1"/>
  <c r="W175" i="1"/>
  <c r="AA175" i="1" s="1"/>
  <c r="W193" i="1"/>
  <c r="AA193" i="1" s="1"/>
  <c r="AD193" i="1"/>
  <c r="AC193" i="1"/>
  <c r="R82" i="1"/>
  <c r="P82" i="1" s="1"/>
  <c r="S82" i="1" s="1"/>
  <c r="M82" i="1" s="1"/>
  <c r="N82" i="1" s="1"/>
  <c r="W152" i="1"/>
  <c r="AA152" i="1" s="1"/>
  <c r="AD152" i="1"/>
  <c r="AC152" i="1"/>
  <c r="R163" i="1"/>
  <c r="P163" i="1" s="1"/>
  <c r="S163" i="1" s="1"/>
  <c r="M163" i="1" s="1"/>
  <c r="N163" i="1" s="1"/>
  <c r="W161" i="1"/>
  <c r="AA161" i="1" s="1"/>
  <c r="AD161" i="1"/>
  <c r="AC161" i="1"/>
  <c r="W60" i="1"/>
  <c r="AA60" i="1" s="1"/>
  <c r="AD60" i="1"/>
  <c r="AE60" i="1" s="1"/>
  <c r="AC60" i="1"/>
  <c r="R129" i="1"/>
  <c r="P129" i="1" s="1"/>
  <c r="S129" i="1" s="1"/>
  <c r="M129" i="1" s="1"/>
  <c r="N129" i="1" s="1"/>
  <c r="W215" i="1"/>
  <c r="AA215" i="1" s="1"/>
  <c r="AC215" i="1"/>
  <c r="AD215" i="1"/>
  <c r="R100" i="1"/>
  <c r="P100" i="1" s="1"/>
  <c r="S100" i="1" s="1"/>
  <c r="M100" i="1" s="1"/>
  <c r="N100" i="1" s="1"/>
  <c r="W156" i="1"/>
  <c r="AA156" i="1" s="1"/>
  <c r="AD156" i="1"/>
  <c r="AE156" i="1" s="1"/>
  <c r="AC156" i="1"/>
  <c r="W167" i="1"/>
  <c r="AA167" i="1" s="1"/>
  <c r="AD167" i="1"/>
  <c r="AC167" i="1"/>
  <c r="R167" i="1"/>
  <c r="P167" i="1" s="1"/>
  <c r="S167" i="1" s="1"/>
  <c r="M167" i="1" s="1"/>
  <c r="N167" i="1" s="1"/>
  <c r="R172" i="1"/>
  <c r="P172" i="1" s="1"/>
  <c r="S172" i="1" s="1"/>
  <c r="M172" i="1" s="1"/>
  <c r="N172" i="1" s="1"/>
  <c r="R62" i="1"/>
  <c r="P62" i="1" s="1"/>
  <c r="S62" i="1" s="1"/>
  <c r="M62" i="1" s="1"/>
  <c r="N62" i="1" s="1"/>
  <c r="R112" i="1"/>
  <c r="P112" i="1" s="1"/>
  <c r="S112" i="1" s="1"/>
  <c r="M112" i="1" s="1"/>
  <c r="N112" i="1" s="1"/>
  <c r="AD97" i="1"/>
  <c r="AC97" i="1"/>
  <c r="W97" i="1"/>
  <c r="AA97" i="1" s="1"/>
  <c r="R97" i="1"/>
  <c r="P97" i="1" s="1"/>
  <c r="S97" i="1" s="1"/>
  <c r="M97" i="1" s="1"/>
  <c r="N97" i="1" s="1"/>
  <c r="AD98" i="1"/>
  <c r="W98" i="1"/>
  <c r="AA98" i="1" s="1"/>
  <c r="AC98" i="1"/>
  <c r="AC137" i="1"/>
  <c r="W137" i="1"/>
  <c r="AA137" i="1" s="1"/>
  <c r="AD137" i="1"/>
  <c r="R176" i="1"/>
  <c r="P176" i="1" s="1"/>
  <c r="S176" i="1" s="1"/>
  <c r="M176" i="1" s="1"/>
  <c r="N176" i="1" s="1"/>
  <c r="R65" i="1"/>
  <c r="P65" i="1" s="1"/>
  <c r="S65" i="1" s="1"/>
  <c r="M65" i="1" s="1"/>
  <c r="N65" i="1" s="1"/>
  <c r="AC106" i="1"/>
  <c r="W106" i="1"/>
  <c r="AA106" i="1" s="1"/>
  <c r="AD106" i="1"/>
  <c r="AE106" i="1" s="1"/>
  <c r="AD102" i="1"/>
  <c r="AE102" i="1" s="1"/>
  <c r="AC102" i="1"/>
  <c r="W102" i="1"/>
  <c r="AA102" i="1" s="1"/>
  <c r="R182" i="1"/>
  <c r="P182" i="1" s="1"/>
  <c r="S182" i="1" s="1"/>
  <c r="M182" i="1" s="1"/>
  <c r="N182" i="1" s="1"/>
  <c r="R78" i="1"/>
  <c r="P78" i="1" s="1"/>
  <c r="S78" i="1" s="1"/>
  <c r="M78" i="1" s="1"/>
  <c r="N78" i="1" s="1"/>
  <c r="AD169" i="1"/>
  <c r="W169" i="1"/>
  <c r="AA169" i="1" s="1"/>
  <c r="AC169" i="1"/>
  <c r="W123" i="1"/>
  <c r="AA123" i="1" s="1"/>
  <c r="AD123" i="1"/>
  <c r="AC123" i="1"/>
  <c r="R222" i="1"/>
  <c r="P222" i="1" s="1"/>
  <c r="S222" i="1" s="1"/>
  <c r="M222" i="1" s="1"/>
  <c r="N222" i="1" s="1"/>
  <c r="R168" i="1"/>
  <c r="P168" i="1" s="1"/>
  <c r="S168" i="1" s="1"/>
  <c r="M168" i="1" s="1"/>
  <c r="N168" i="1" s="1"/>
  <c r="AE217" i="1"/>
  <c r="AE43" i="1"/>
  <c r="AE206" i="1"/>
  <c r="AD61" i="1"/>
  <c r="AE61" i="1" s="1"/>
  <c r="W61" i="1"/>
  <c r="AA61" i="1" s="1"/>
  <c r="AC61" i="1"/>
  <c r="W202" i="1"/>
  <c r="AA202" i="1" s="1"/>
  <c r="AC202" i="1"/>
  <c r="AD202" i="1"/>
  <c r="W23" i="1"/>
  <c r="AA23" i="1" s="1"/>
  <c r="AD23" i="1"/>
  <c r="AC23" i="1"/>
  <c r="W181" i="1"/>
  <c r="AA181" i="1" s="1"/>
  <c r="AD181" i="1"/>
  <c r="AE181" i="1" s="1"/>
  <c r="AC181" i="1"/>
  <c r="AD85" i="1"/>
  <c r="AE85" i="1" s="1"/>
  <c r="W85" i="1"/>
  <c r="AA85" i="1" s="1"/>
  <c r="AC85" i="1"/>
  <c r="AD184" i="1"/>
  <c r="AE184" i="1" s="1"/>
  <c r="W184" i="1"/>
  <c r="AA184" i="1" s="1"/>
  <c r="AC184" i="1"/>
  <c r="AD197" i="1"/>
  <c r="W197" i="1"/>
  <c r="AA197" i="1" s="1"/>
  <c r="AC197" i="1"/>
  <c r="W105" i="1"/>
  <c r="AA105" i="1" s="1"/>
  <c r="AD105" i="1"/>
  <c r="AC105" i="1"/>
  <c r="R105" i="1"/>
  <c r="P105" i="1" s="1"/>
  <c r="S105" i="1" s="1"/>
  <c r="M105" i="1" s="1"/>
  <c r="N105" i="1" s="1"/>
  <c r="AE183" i="1"/>
  <c r="R18" i="1"/>
  <c r="P18" i="1" s="1"/>
  <c r="S18" i="1" s="1"/>
  <c r="M18" i="1" s="1"/>
  <c r="N18" i="1" s="1"/>
  <c r="W74" i="1"/>
  <c r="AA74" i="1" s="1"/>
  <c r="AD74" i="1"/>
  <c r="AE74" i="1" s="1"/>
  <c r="AC74" i="1"/>
  <c r="R85" i="1"/>
  <c r="P85" i="1" s="1"/>
  <c r="S85" i="1" s="1"/>
  <c r="M85" i="1" s="1"/>
  <c r="N85" i="1" s="1"/>
  <c r="W109" i="1"/>
  <c r="AA109" i="1" s="1"/>
  <c r="AC109" i="1"/>
  <c r="AD109" i="1"/>
  <c r="R109" i="1"/>
  <c r="P109" i="1" s="1"/>
  <c r="S109" i="1" s="1"/>
  <c r="M109" i="1" s="1"/>
  <c r="N109" i="1" s="1"/>
  <c r="AD94" i="1"/>
  <c r="AC94" i="1"/>
  <c r="W94" i="1"/>
  <c r="AA94" i="1" s="1"/>
  <c r="AD210" i="1"/>
  <c r="W210" i="1"/>
  <c r="AA210" i="1" s="1"/>
  <c r="AC210" i="1"/>
  <c r="R32" i="1"/>
  <c r="P32" i="1" s="1"/>
  <c r="S32" i="1" s="1"/>
  <c r="M32" i="1" s="1"/>
  <c r="N32" i="1" s="1"/>
  <c r="R56" i="1"/>
  <c r="P56" i="1" s="1"/>
  <c r="S56" i="1" s="1"/>
  <c r="M56" i="1" s="1"/>
  <c r="N56" i="1" s="1"/>
  <c r="R126" i="1"/>
  <c r="P126" i="1" s="1"/>
  <c r="S126" i="1" s="1"/>
  <c r="M126" i="1" s="1"/>
  <c r="N126" i="1" s="1"/>
  <c r="AD103" i="1"/>
  <c r="AE103" i="1" s="1"/>
  <c r="W103" i="1"/>
  <c r="AA103" i="1" s="1"/>
  <c r="R103" i="1"/>
  <c r="P103" i="1" s="1"/>
  <c r="S103" i="1" s="1"/>
  <c r="M103" i="1" s="1"/>
  <c r="N103" i="1" s="1"/>
  <c r="AC103" i="1"/>
  <c r="R150" i="1"/>
  <c r="P150" i="1" s="1"/>
  <c r="S150" i="1" s="1"/>
  <c r="M150" i="1" s="1"/>
  <c r="N150" i="1" s="1"/>
  <c r="R152" i="1"/>
  <c r="P152" i="1" s="1"/>
  <c r="S152" i="1" s="1"/>
  <c r="M152" i="1" s="1"/>
  <c r="N152" i="1" s="1"/>
  <c r="AE158" i="1"/>
  <c r="AD53" i="1"/>
  <c r="AC53" i="1"/>
  <c r="W53" i="1"/>
  <c r="AA53" i="1" s="1"/>
  <c r="R71" i="1"/>
  <c r="P71" i="1" s="1"/>
  <c r="S71" i="1" s="1"/>
  <c r="M71" i="1" s="1"/>
  <c r="N71" i="1" s="1"/>
  <c r="R69" i="1"/>
  <c r="P69" i="1" s="1"/>
  <c r="S69" i="1" s="1"/>
  <c r="M69" i="1" s="1"/>
  <c r="N69" i="1" s="1"/>
  <c r="R133" i="1"/>
  <c r="P133" i="1" s="1"/>
  <c r="S133" i="1" s="1"/>
  <c r="M133" i="1" s="1"/>
  <c r="N133" i="1" s="1"/>
  <c r="AE143" i="1"/>
  <c r="R188" i="1"/>
  <c r="P188" i="1" s="1"/>
  <c r="S188" i="1" s="1"/>
  <c r="M188" i="1" s="1"/>
  <c r="N188" i="1" s="1"/>
  <c r="W190" i="1"/>
  <c r="AA190" i="1" s="1"/>
  <c r="AD190" i="1"/>
  <c r="AE190" i="1" s="1"/>
  <c r="AC190" i="1"/>
  <c r="R190" i="1"/>
  <c r="P190" i="1" s="1"/>
  <c r="S190" i="1" s="1"/>
  <c r="M190" i="1" s="1"/>
  <c r="N190" i="1" s="1"/>
  <c r="AE88" i="1"/>
  <c r="W36" i="1"/>
  <c r="AA36" i="1" s="1"/>
  <c r="AD36" i="1"/>
  <c r="AC36" i="1"/>
  <c r="R26" i="1"/>
  <c r="P26" i="1" s="1"/>
  <c r="S26" i="1" s="1"/>
  <c r="M26" i="1" s="1"/>
  <c r="N26" i="1" s="1"/>
  <c r="AE42" i="1"/>
  <c r="W134" i="1"/>
  <c r="AA134" i="1" s="1"/>
  <c r="AD134" i="1"/>
  <c r="AC134" i="1"/>
  <c r="AE160" i="1"/>
  <c r="W157" i="1"/>
  <c r="AA157" i="1" s="1"/>
  <c r="AD157" i="1"/>
  <c r="AE157" i="1" s="1"/>
  <c r="AC157" i="1"/>
  <c r="R130" i="1"/>
  <c r="P130" i="1" s="1"/>
  <c r="S130" i="1" s="1"/>
  <c r="M130" i="1" s="1"/>
  <c r="N130" i="1" s="1"/>
  <c r="AE110" i="1"/>
  <c r="AE27" i="1"/>
  <c r="AE36" i="1" l="1"/>
  <c r="AE109" i="1"/>
  <c r="AE123" i="1"/>
  <c r="AE97" i="1"/>
  <c r="AE152" i="1"/>
  <c r="AE71" i="1"/>
  <c r="AE125" i="1"/>
  <c r="AE189" i="1"/>
  <c r="AE64" i="1"/>
  <c r="AE121" i="1"/>
  <c r="AE216" i="1"/>
  <c r="AE186" i="1"/>
  <c r="AE23" i="1"/>
  <c r="AE144" i="1"/>
  <c r="AE194" i="1"/>
  <c r="AE86" i="1"/>
  <c r="AE222" i="1"/>
  <c r="AE203" i="1"/>
  <c r="AE65" i="1"/>
  <c r="AE211" i="1"/>
  <c r="AE134" i="1"/>
  <c r="AE210" i="1"/>
  <c r="AE105" i="1"/>
  <c r="AE163" i="1"/>
  <c r="AE168" i="1"/>
  <c r="AE138" i="1"/>
  <c r="AE56" i="1"/>
  <c r="AE114" i="1"/>
  <c r="AE111" i="1"/>
  <c r="AE95" i="1"/>
  <c r="AE72" i="1"/>
  <c r="AE73" i="1"/>
  <c r="AE78" i="1"/>
  <c r="AE202" i="1"/>
  <c r="AE169" i="1"/>
  <c r="AE98" i="1"/>
  <c r="AE215" i="1"/>
  <c r="AE161" i="1"/>
  <c r="AE193" i="1"/>
  <c r="AE223" i="1"/>
  <c r="AE113" i="1"/>
  <c r="AE191" i="1"/>
  <c r="AE69" i="1"/>
  <c r="AE177" i="1"/>
  <c r="AE130" i="1"/>
  <c r="AE52" i="1"/>
  <c r="AE176" i="1"/>
  <c r="AE207" i="1"/>
  <c r="AE112" i="1"/>
  <c r="AE141" i="1"/>
  <c r="AE179" i="1"/>
  <c r="AE200" i="1"/>
  <c r="AE182" i="1"/>
  <c r="AE24" i="1"/>
  <c r="AE26" i="1"/>
  <c r="AE62" i="1"/>
  <c r="AE185" i="1"/>
  <c r="AE83" i="1"/>
  <c r="AE139" i="1"/>
  <c r="AE107" i="1"/>
  <c r="AE53" i="1"/>
  <c r="AE94" i="1"/>
  <c r="AE167" i="1"/>
  <c r="AE82" i="1"/>
  <c r="AE129" i="1"/>
  <c r="AE70" i="1"/>
  <c r="AE104" i="1"/>
  <c r="AE99" i="1"/>
  <c r="AE126" i="1"/>
  <c r="AE171" i="1"/>
  <c r="AE35" i="1"/>
  <c r="AE28" i="1"/>
  <c r="AE58" i="1"/>
  <c r="AE197" i="1"/>
  <c r="AE137" i="1"/>
  <c r="AE49" i="1"/>
</calcChain>
</file>

<file path=xl/sharedStrings.xml><?xml version="1.0" encoding="utf-8"?>
<sst xmlns="http://schemas.openxmlformats.org/spreadsheetml/2006/main" count="3165" uniqueCount="755">
  <si>
    <t>File opened</t>
  </si>
  <si>
    <t>2023-07-25 06:58:42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</si>
  <si>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</si>
  <si>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</si>
  <si>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</si>
  <si>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</si>
  <si>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</si>
  <si>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</si>
  <si>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</si>
  <si>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</si>
  <si>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</si>
  <si>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</si>
  <si>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</si>
  <si>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</si>
  <si>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</si>
  <si>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</si>
  <si>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</si>
  <si>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</si>
  <si>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</si>
  <si>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</si>
  <si>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</si>
  <si>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</si>
  <si>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</si>
  <si>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</si>
  <si>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</si>
  <si>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</si>
  <si>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</si>
  <si>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</si>
  <si>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</si>
  <si>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</si>
  <si>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</si>
  <si>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</si>
  <si>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</si>
  <si>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</si>
  <si>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06:58:42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</si>
  <si>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</si>
  <si>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</si>
  <si>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</si>
  <si>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</si>
  <si>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</si>
  <si>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</si>
  <si>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</si>
  <si>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</si>
  <si>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</si>
  <si>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</si>
  <si>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</si>
  <si>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</si>
  <si>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</si>
  <si>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</si>
  <si>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</si>
  <si>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</si>
  <si>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</si>
  <si>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</si>
  <si>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</si>
  <si>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</si>
  <si>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</si>
  <si>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</si>
  <si>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</si>
  <si>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</si>
  <si>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</si>
  <si>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</si>
  <si>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</si>
  <si>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</si>
  <si>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</si>
  <si>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</si>
  <si>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</si>
  <si>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</si>
  <si>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</si>
  <si>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</si>
  <si>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</si>
  <si>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</si>
  <si>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</si>
  <si>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</si>
  <si>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</si>
  <si>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</si>
  <si>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</si>
  <si>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</si>
  <si>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</si>
  <si>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</si>
  <si>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</si>
  <si>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</si>
  <si>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</si>
  <si>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</si>
  <si>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</si>
  <si>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</si>
  <si>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</si>
  <si>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</si>
  <si>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6.54938 89.3494 374.933 613.769 849.664 1063.48 1249.76 1429.91</t>
  </si>
  <si>
    <t>Fs_true</t>
  </si>
  <si>
    <t>-0.0309868 101.653 401.58 600.757 801.064 1000.98 1202.25 1400.63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</si>
  <si>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</si>
  <si>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</si>
  <si>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</si>
  <si>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</si>
  <si>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</si>
  <si>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</si>
  <si>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</si>
  <si>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</si>
  <si>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</si>
  <si>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</si>
  <si>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</si>
  <si>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</si>
  <si>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</si>
  <si>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</si>
  <si>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</si>
  <si>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</si>
  <si>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</si>
  <si>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</si>
  <si>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</si>
  <si>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</si>
  <si>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</si>
  <si>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</si>
  <si>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</si>
  <si>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</si>
  <si>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</si>
  <si>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</si>
  <si>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</si>
  <si>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</si>
  <si>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</si>
  <si>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</si>
  <si>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</si>
  <si>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</si>
  <si>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</si>
  <si>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</si>
  <si>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</si>
  <si>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</si>
  <si>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</si>
  <si>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</si>
  <si>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</si>
  <si>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</si>
  <si>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</si>
  <si>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</si>
  <si>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</si>
  <si>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</si>
  <si>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</si>
  <si>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</si>
  <si>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</si>
  <si>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</si>
  <si>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</si>
  <si>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</si>
  <si>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</si>
  <si>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</si>
  <si>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</si>
  <si>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</si>
  <si>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</si>
  <si>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</si>
  <si>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</si>
  <si>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</si>
  <si>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</si>
  <si>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</si>
  <si>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</si>
  <si>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</si>
  <si>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</si>
  <si>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</si>
  <si>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</si>
  <si>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</si>
  <si>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</si>
  <si>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</si>
  <si>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</si>
  <si>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</si>
  <si>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</si>
  <si>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</si>
  <si>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</si>
  <si>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</si>
  <si>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</si>
  <si>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</si>
  <si>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</si>
  <si>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</si>
  <si>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</si>
  <si>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</si>
  <si>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</si>
  <si>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</si>
  <si>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</si>
  <si>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</si>
  <si>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</si>
  <si>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</si>
  <si>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</si>
  <si>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</si>
  <si>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</si>
  <si>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</si>
  <si>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</si>
  <si>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</si>
  <si>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</si>
  <si>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</si>
  <si>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</si>
  <si>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</si>
  <si>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</si>
  <si>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</si>
  <si>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</si>
  <si>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</si>
  <si>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</si>
  <si>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</si>
  <si>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</si>
  <si>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</si>
  <si>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</si>
  <si>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</si>
  <si>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</si>
  <si>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</si>
  <si>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</si>
  <si>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</si>
  <si>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</si>
  <si>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</si>
  <si>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</si>
  <si>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</si>
  <si>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</si>
  <si>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</si>
  <si>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</si>
  <si>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</si>
  <si>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</si>
  <si>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</si>
  <si>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</si>
  <si>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</si>
  <si>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</si>
  <si>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</si>
  <si>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</si>
  <si>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</si>
  <si>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</si>
  <si>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</si>
  <si>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</si>
  <si>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</si>
  <si>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</si>
  <si>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</si>
  <si>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</si>
  <si>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</si>
  <si>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</si>
  <si>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</si>
  <si>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</si>
  <si>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</si>
  <si>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</si>
  <si>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</si>
  <si>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</si>
  <si>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</si>
  <si>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</si>
  <si>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</si>
  <si>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</si>
  <si>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</si>
  <si>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</si>
  <si>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</si>
  <si>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</si>
  <si>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</si>
  <si>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</si>
  <si>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</si>
  <si>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</si>
  <si>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</si>
  <si>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</si>
  <si>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</si>
  <si>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</si>
  <si>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</si>
  <si>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</si>
  <si>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</si>
  <si>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</si>
  <si>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</si>
  <si>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</si>
  <si>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</si>
  <si>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</si>
  <si>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</si>
  <si>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</si>
  <si>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</si>
  <si>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</si>
  <si>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</si>
  <si>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</si>
  <si>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</si>
  <si>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</si>
  <si>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</si>
  <si>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</si>
  <si>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</si>
  <si>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</si>
  <si>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</si>
  <si>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</si>
  <si>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</si>
  <si>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</si>
  <si>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</si>
  <si>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</si>
  <si>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</si>
  <si>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</si>
  <si>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</si>
  <si>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</si>
  <si>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</si>
  <si>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</si>
  <si>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</si>
  <si>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</si>
  <si>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</si>
  <si>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</si>
  <si>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</si>
  <si>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</si>
  <si>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</si>
  <si>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</si>
  <si>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</si>
  <si>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</si>
  <si>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</si>
  <si>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</si>
  <si>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</si>
  <si>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</si>
  <si>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</si>
  <si>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</si>
  <si>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</si>
  <si>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</si>
  <si>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</si>
  <si>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</si>
  <si>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</si>
  <si>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</si>
  <si>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</si>
  <si>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</si>
  <si>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</si>
  <si>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</si>
  <si>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</si>
  <si>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</si>
  <si>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</si>
  <si>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</si>
  <si>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</si>
  <si>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</si>
  <si>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</si>
  <si>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</si>
  <si>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</si>
  <si>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</si>
  <si>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</si>
  <si>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</si>
  <si>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</si>
  <si>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</si>
  <si>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</si>
  <si>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</si>
  <si>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</si>
  <si>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</si>
  <si>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</si>
  <si>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</si>
  <si>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</si>
  <si>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</si>
  <si>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</si>
  <si>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20230725 07:02:18</t>
  </si>
  <si>
    <t>07:02:18</t>
  </si>
  <si>
    <t>none</t>
  </si>
  <si>
    <t>0: Broadleaf</t>
  </si>
  <si>
    <t>06:57:48</t>
  </si>
  <si>
    <t>0/0</t>
  </si>
  <si>
    <t>00000000</t>
  </si>
  <si>
    <t>iiiiiiii</t>
  </si>
  <si>
    <t>off</t>
  </si>
  <si>
    <t>20230725 07:02:19</t>
  </si>
  <si>
    <t>07:02:19</t>
  </si>
  <si>
    <t>20230725 07:02:20</t>
  </si>
  <si>
    <t>07:02:20</t>
  </si>
  <si>
    <t>20230725 07:02:21</t>
  </si>
  <si>
    <t>07:02:21</t>
  </si>
  <si>
    <t>20230725 07:02:22</t>
  </si>
  <si>
    <t>07:02:22</t>
  </si>
  <si>
    <t>20230725 07:04:50</t>
  </si>
  <si>
    <t>07:04:50</t>
  </si>
  <si>
    <t>20230725 07:05:00</t>
  </si>
  <si>
    <t>07:05:00</t>
  </si>
  <si>
    <t>20230725 07:05:10</t>
  </si>
  <si>
    <t>07:05:10</t>
  </si>
  <si>
    <t>20230725 07:05:20</t>
  </si>
  <si>
    <t>07:05:20</t>
  </si>
  <si>
    <t>20230725 07:05:30</t>
  </si>
  <si>
    <t>07:05:30</t>
  </si>
  <si>
    <t>20230725 07:05:40</t>
  </si>
  <si>
    <t>07:05:40</t>
  </si>
  <si>
    <t>20230725 07:05:50</t>
  </si>
  <si>
    <t>07:05:50</t>
  </si>
  <si>
    <t>20230725 07:06:00</t>
  </si>
  <si>
    <t>07:06:00</t>
  </si>
  <si>
    <t>20230725 07:06:10</t>
  </si>
  <si>
    <t>07:06:10</t>
  </si>
  <si>
    <t>20230725 07:06:20</t>
  </si>
  <si>
    <t>07:06:20</t>
  </si>
  <si>
    <t>20230725 07:06:30</t>
  </si>
  <si>
    <t>07:06:30</t>
  </si>
  <si>
    <t>20230725 07:06:40</t>
  </si>
  <si>
    <t>07:06:40</t>
  </si>
  <si>
    <t>20230725 07:06:50</t>
  </si>
  <si>
    <t>07:06:50</t>
  </si>
  <si>
    <t>20230725 07:07:00</t>
  </si>
  <si>
    <t>07:07:00</t>
  </si>
  <si>
    <t>20230725 07:07:10</t>
  </si>
  <si>
    <t>07:07:10</t>
  </si>
  <si>
    <t>20230725 07:07:20</t>
  </si>
  <si>
    <t>07:07:20</t>
  </si>
  <si>
    <t>20230725 07:07:30</t>
  </si>
  <si>
    <t>07:07:30</t>
  </si>
  <si>
    <t>20230725 07:07:40</t>
  </si>
  <si>
    <t>07:07:40</t>
  </si>
  <si>
    <t>20230725 07:07:50</t>
  </si>
  <si>
    <t>07:07:50</t>
  </si>
  <si>
    <t>20230725 07:08:00</t>
  </si>
  <si>
    <t>07:08:00</t>
  </si>
  <si>
    <t>20230725 07:08:10</t>
  </si>
  <si>
    <t>07:08:10</t>
  </si>
  <si>
    <t>20230725 07:08:20</t>
  </si>
  <si>
    <t>07:08:20</t>
  </si>
  <si>
    <t>20230725 07:08:30</t>
  </si>
  <si>
    <t>07:08:30</t>
  </si>
  <si>
    <t>20230725 07:08:40</t>
  </si>
  <si>
    <t>07:08:40</t>
  </si>
  <si>
    <t>20230725 07:08:50</t>
  </si>
  <si>
    <t>07:08:50</t>
  </si>
  <si>
    <t>20230725 07:09:00</t>
  </si>
  <si>
    <t>07:09:00</t>
  </si>
  <si>
    <t>20230725 07:09:10</t>
  </si>
  <si>
    <t>07:09:10</t>
  </si>
  <si>
    <t>20230725 07:09:20</t>
  </si>
  <si>
    <t>07:09:20</t>
  </si>
  <si>
    <t>20230725 07:09:30</t>
  </si>
  <si>
    <t>07:09:30</t>
  </si>
  <si>
    <t>20230725 07:09:40</t>
  </si>
  <si>
    <t>07:09:40</t>
  </si>
  <si>
    <t>20230725 07:09:50</t>
  </si>
  <si>
    <t>07:09:50</t>
  </si>
  <si>
    <t>20230725 07:10:00</t>
  </si>
  <si>
    <t>07:10:00</t>
  </si>
  <si>
    <t>20230725 07:10:10</t>
  </si>
  <si>
    <t>07:10:10</t>
  </si>
  <si>
    <t>20230725 07:10:20</t>
  </si>
  <si>
    <t>07:10:20</t>
  </si>
  <si>
    <t>20230725 07:10:30</t>
  </si>
  <si>
    <t>07:10:30</t>
  </si>
  <si>
    <t>20230725 07:10:40</t>
  </si>
  <si>
    <t>07:10:40</t>
  </si>
  <si>
    <t>20230725 07:10:50</t>
  </si>
  <si>
    <t>07:10:50</t>
  </si>
  <si>
    <t>20230725 07:11:00</t>
  </si>
  <si>
    <t>07:11:00</t>
  </si>
  <si>
    <t>20230725 07:11:10</t>
  </si>
  <si>
    <t>07:11:10</t>
  </si>
  <si>
    <t>20230725 07:11:20</t>
  </si>
  <si>
    <t>07:11:20</t>
  </si>
  <si>
    <t>20230725 07:11:30</t>
  </si>
  <si>
    <t>07:11:30</t>
  </si>
  <si>
    <t>20230725 07:11:40</t>
  </si>
  <si>
    <t>07:11:40</t>
  </si>
  <si>
    <t>20230725 07:11:50</t>
  </si>
  <si>
    <t>07:11:50</t>
  </si>
  <si>
    <t>20230725 07:12:00</t>
  </si>
  <si>
    <t>07:12:00</t>
  </si>
  <si>
    <t>20230725 07:12:10</t>
  </si>
  <si>
    <t>07:12:10</t>
  </si>
  <si>
    <t>20230725 07:12:20</t>
  </si>
  <si>
    <t>07:12:20</t>
  </si>
  <si>
    <t>20230725 07:12:30</t>
  </si>
  <si>
    <t>07:12:30</t>
  </si>
  <si>
    <t>20230725 07:12:40</t>
  </si>
  <si>
    <t>07:12:40</t>
  </si>
  <si>
    <t>20230725 07:12:50</t>
  </si>
  <si>
    <t>07:12:50</t>
  </si>
  <si>
    <t>20230725 07:13:00</t>
  </si>
  <si>
    <t>07:13:00</t>
  </si>
  <si>
    <t>20230725 07:13:10</t>
  </si>
  <si>
    <t>07:13:10</t>
  </si>
  <si>
    <t>20230725 07:13:20</t>
  </si>
  <si>
    <t>07:13:20</t>
  </si>
  <si>
    <t>20230725 07:13:30</t>
  </si>
  <si>
    <t>07:13:30</t>
  </si>
  <si>
    <t>20230725 07:13:40</t>
  </si>
  <si>
    <t>07:13:40</t>
  </si>
  <si>
    <t>20230725 07:13:50</t>
  </si>
  <si>
    <t>07:13:50</t>
  </si>
  <si>
    <t>20230725 07:14:00</t>
  </si>
  <si>
    <t>07:14:00</t>
  </si>
  <si>
    <t>20230725 07:14:10</t>
  </si>
  <si>
    <t>07:14:10</t>
  </si>
  <si>
    <t>20230725 07:14:20</t>
  </si>
  <si>
    <t>07:14:20</t>
  </si>
  <si>
    <t>20230725 07:14:30</t>
  </si>
  <si>
    <t>07:14:30</t>
  </si>
  <si>
    <t>20230725 07:14:40</t>
  </si>
  <si>
    <t>07:14:40</t>
  </si>
  <si>
    <t>20230725 07:14:50</t>
  </si>
  <si>
    <t>07:14:50</t>
  </si>
  <si>
    <t>20230725 07:15:00</t>
  </si>
  <si>
    <t>07:15:00</t>
  </si>
  <si>
    <t>20230725 07:15:10</t>
  </si>
  <si>
    <t>07:15:10</t>
  </si>
  <si>
    <t>20230725 07:15:20</t>
  </si>
  <si>
    <t>07:15:20</t>
  </si>
  <si>
    <t>20230725 07:15:30</t>
  </si>
  <si>
    <t>07:15:30</t>
  </si>
  <si>
    <t>20230725 07:15:40</t>
  </si>
  <si>
    <t>07:15:40</t>
  </si>
  <si>
    <t>20230725 07:15:50</t>
  </si>
  <si>
    <t>07:15:50</t>
  </si>
  <si>
    <t>20230725 07:16:00</t>
  </si>
  <si>
    <t>07:16:00</t>
  </si>
  <si>
    <t>20230725 07:16:10</t>
  </si>
  <si>
    <t>07:16:10</t>
  </si>
  <si>
    <t>20230725 07:16:20</t>
  </si>
  <si>
    <t>07:16:20</t>
  </si>
  <si>
    <t>20230725 07:16:30</t>
  </si>
  <si>
    <t>07:16:30</t>
  </si>
  <si>
    <t>20230725 07:16:40</t>
  </si>
  <si>
    <t>07:16:40</t>
  </si>
  <si>
    <t>20230725 07:16:50</t>
  </si>
  <si>
    <t>07:16:50</t>
  </si>
  <si>
    <t>20230725 07:17:00</t>
  </si>
  <si>
    <t>07:17:00</t>
  </si>
  <si>
    <t>20230725 07:17:10</t>
  </si>
  <si>
    <t>07:17:10</t>
  </si>
  <si>
    <t>20230725 07:17:20</t>
  </si>
  <si>
    <t>07:17:20</t>
  </si>
  <si>
    <t>20230725 07:17:30</t>
  </si>
  <si>
    <t>07:17:30</t>
  </si>
  <si>
    <t>20230725 07:17:40</t>
  </si>
  <si>
    <t>07:17:40</t>
  </si>
  <si>
    <t>20230725 07:17:50</t>
  </si>
  <si>
    <t>07:17:50</t>
  </si>
  <si>
    <t>20230725 07:18:00</t>
  </si>
  <si>
    <t>07:18:00</t>
  </si>
  <si>
    <t>20230725 07:18:10</t>
  </si>
  <si>
    <t>07:18:10</t>
  </si>
  <si>
    <t>20230725 07:18:20</t>
  </si>
  <si>
    <t>07:18:20</t>
  </si>
  <si>
    <t>20230725 07:18:30</t>
  </si>
  <si>
    <t>07:18:30</t>
  </si>
  <si>
    <t>20230725 07:18:40</t>
  </si>
  <si>
    <t>07:18:40</t>
  </si>
  <si>
    <t>20230725 07:18:50</t>
  </si>
  <si>
    <t>07:18:50</t>
  </si>
  <si>
    <t>20230725 07:19:00</t>
  </si>
  <si>
    <t>07:19:00</t>
  </si>
  <si>
    <t>20230725 07:19:10</t>
  </si>
  <si>
    <t>07:19:10</t>
  </si>
  <si>
    <t>20230725 07:19:20</t>
  </si>
  <si>
    <t>07:19:20</t>
  </si>
  <si>
    <t>20230725 07:19:30</t>
  </si>
  <si>
    <t>07:19:30</t>
  </si>
  <si>
    <t>20230725 07:19:40</t>
  </si>
  <si>
    <t>07:19:40</t>
  </si>
  <si>
    <t>20230725 07:19:50</t>
  </si>
  <si>
    <t>07:19:50</t>
  </si>
  <si>
    <t>20230725 07:20:00</t>
  </si>
  <si>
    <t>07:20:00</t>
  </si>
  <si>
    <t>20230725 07:20:10</t>
  </si>
  <si>
    <t>07:20:10</t>
  </si>
  <si>
    <t>20230725 07:20:20</t>
  </si>
  <si>
    <t>07:20:20</t>
  </si>
  <si>
    <t>20230725 07:20:30</t>
  </si>
  <si>
    <t>07:20:30</t>
  </si>
  <si>
    <t>20230725 07:20:40</t>
  </si>
  <si>
    <t>07:20:40</t>
  </si>
  <si>
    <t>20230725 07:20:50</t>
  </si>
  <si>
    <t>07:20:50</t>
  </si>
  <si>
    <t>20230725 07:21:00</t>
  </si>
  <si>
    <t>07:21:00</t>
  </si>
  <si>
    <t>20230725 07:21:10</t>
  </si>
  <si>
    <t>07:21:10</t>
  </si>
  <si>
    <t>20230725 07:21:20</t>
  </si>
  <si>
    <t>07:21:20</t>
  </si>
  <si>
    <t>20230725 07:21:30</t>
  </si>
  <si>
    <t>07:21:30</t>
  </si>
  <si>
    <t>20230725 07:21:40</t>
  </si>
  <si>
    <t>07:21:40</t>
  </si>
  <si>
    <t>20230725 07:21:50</t>
  </si>
  <si>
    <t>07:21:50</t>
  </si>
  <si>
    <t>20230725 07:22:00</t>
  </si>
  <si>
    <t>07:22:00</t>
  </si>
  <si>
    <t>20230725 07:22:10</t>
  </si>
  <si>
    <t>07:22:10</t>
  </si>
  <si>
    <t>20230725 07:22:20</t>
  </si>
  <si>
    <t>07:22:20</t>
  </si>
  <si>
    <t>20230725 07:22:30</t>
  </si>
  <si>
    <t>07:22:30</t>
  </si>
  <si>
    <t>20230725 07:22:40</t>
  </si>
  <si>
    <t>07:22:40</t>
  </si>
  <si>
    <t>20230725 07:22:50</t>
  </si>
  <si>
    <t>07:22:50</t>
  </si>
  <si>
    <t>20230725 07:23:00</t>
  </si>
  <si>
    <t>07:23:00</t>
  </si>
  <si>
    <t>20230725 07:23:10</t>
  </si>
  <si>
    <t>07:23:10</t>
  </si>
  <si>
    <t>20230725 07:23:20</t>
  </si>
  <si>
    <t>07:23:20</t>
  </si>
  <si>
    <t>20230725 07:23:30</t>
  </si>
  <si>
    <t>07:23:30</t>
  </si>
  <si>
    <t>20230725 07:23:40</t>
  </si>
  <si>
    <t>07:23:40</t>
  </si>
  <si>
    <t>20230725 07:23:50</t>
  </si>
  <si>
    <t>07:23:50</t>
  </si>
  <si>
    <t>20230725 07:24:00</t>
  </si>
  <si>
    <t>07:24:00</t>
  </si>
  <si>
    <t>20230725 07:24:10</t>
  </si>
  <si>
    <t>07:24:10</t>
  </si>
  <si>
    <t>20230725 07:24:20</t>
  </si>
  <si>
    <t>07:24:20</t>
  </si>
  <si>
    <t>20230725 07:24:30</t>
  </si>
  <si>
    <t>07:24:30</t>
  </si>
  <si>
    <t>20230725 07:24:40</t>
  </si>
  <si>
    <t>07:24:40</t>
  </si>
  <si>
    <t>20230725 07:24:50</t>
  </si>
  <si>
    <t>07:24:50</t>
  </si>
  <si>
    <t>20230725 07:25:00</t>
  </si>
  <si>
    <t>07:25:00</t>
  </si>
  <si>
    <t>20230725 07:25:10</t>
  </si>
  <si>
    <t>07:25:10</t>
  </si>
  <si>
    <t>20230725 07:25:20</t>
  </si>
  <si>
    <t>07:25:20</t>
  </si>
  <si>
    <t>20230725 07:25:30</t>
  </si>
  <si>
    <t>07:25:30</t>
  </si>
  <si>
    <t>20230725 07:25:40</t>
  </si>
  <si>
    <t>07:25:40</t>
  </si>
  <si>
    <t>20230725 07:25:50</t>
  </si>
  <si>
    <t>07:25:50</t>
  </si>
  <si>
    <t>20230725 07:26:00</t>
  </si>
  <si>
    <t>07:26:00</t>
  </si>
  <si>
    <t>20230725 07:26:10</t>
  </si>
  <si>
    <t>07:26:10</t>
  </si>
  <si>
    <t>20230725 07:26:20</t>
  </si>
  <si>
    <t>07:26:20</t>
  </si>
  <si>
    <t>20230725 07:26:30</t>
  </si>
  <si>
    <t>07:26:30</t>
  </si>
  <si>
    <t>20230725 07:26:40</t>
  </si>
  <si>
    <t>07:26:40</t>
  </si>
  <si>
    <t>20230725 07:26:50</t>
  </si>
  <si>
    <t>07:26:50</t>
  </si>
  <si>
    <t>20230725 07:27:00</t>
  </si>
  <si>
    <t>07:27:00</t>
  </si>
  <si>
    <t>20230725 07:27:10</t>
  </si>
  <si>
    <t>07:27:10</t>
  </si>
  <si>
    <t>20230725 07:27:20</t>
  </si>
  <si>
    <t>07:27:20</t>
  </si>
  <si>
    <t>20230725 07:27:30</t>
  </si>
  <si>
    <t>07:27:30</t>
  </si>
  <si>
    <t>20230725 07:27:40</t>
  </si>
  <si>
    <t>07:27:40</t>
  </si>
  <si>
    <t>20230725 07:27:50</t>
  </si>
  <si>
    <t>07:27:50</t>
  </si>
  <si>
    <t>20230725 07:28:00</t>
  </si>
  <si>
    <t>07:28:00</t>
  </si>
  <si>
    <t>20230725 07:28:10</t>
  </si>
  <si>
    <t>07:28:10</t>
  </si>
  <si>
    <t>20230725 07:28:20</t>
  </si>
  <si>
    <t>07:28:20</t>
  </si>
  <si>
    <t>20230725 07:28:30</t>
  </si>
  <si>
    <t>07:28:30</t>
  </si>
  <si>
    <t>20230725 07:28:40</t>
  </si>
  <si>
    <t>07:28:40</t>
  </si>
  <si>
    <t>20230725 07:28:50</t>
  </si>
  <si>
    <t>07:28:50</t>
  </si>
  <si>
    <t>20230725 07:29:00</t>
  </si>
  <si>
    <t>07:29:00</t>
  </si>
  <si>
    <t>20230725 07:29:10</t>
  </si>
  <si>
    <t>07:29:10</t>
  </si>
  <si>
    <t>20230725 07:29:20</t>
  </si>
  <si>
    <t>07:29:20</t>
  </si>
  <si>
    <t>20230725 07:29:30</t>
  </si>
  <si>
    <t>07:29:30</t>
  </si>
  <si>
    <t>20230725 07:29:40</t>
  </si>
  <si>
    <t>07:29:40</t>
  </si>
  <si>
    <t>20230725 07:29:50</t>
  </si>
  <si>
    <t>07:29:50</t>
  </si>
  <si>
    <t>20230725 07:30:00</t>
  </si>
  <si>
    <t>07:30:00</t>
  </si>
  <si>
    <t>20230725 07:30:10</t>
  </si>
  <si>
    <t>07:30:10</t>
  </si>
  <si>
    <t>20230725 07:30:20</t>
  </si>
  <si>
    <t>07:30:20</t>
  </si>
  <si>
    <t>20230725 07:30:30</t>
  </si>
  <si>
    <t>07:30:30</t>
  </si>
  <si>
    <t>20230725 07:30:40</t>
  </si>
  <si>
    <t>07:30:40</t>
  </si>
  <si>
    <t>20230725 07:30:50</t>
  </si>
  <si>
    <t>07:30:50</t>
  </si>
  <si>
    <t>20230725 07:31:00</t>
  </si>
  <si>
    <t>07:31:00</t>
  </si>
  <si>
    <t>20230725 07:31:10</t>
  </si>
  <si>
    <t>07:31:10</t>
  </si>
  <si>
    <t>20230725 07:31:20</t>
  </si>
  <si>
    <t>07:31:20</t>
  </si>
  <si>
    <t>20230725 07:31:30</t>
  </si>
  <si>
    <t>07:31:30</t>
  </si>
  <si>
    <t>20230725 07:31:40</t>
  </si>
  <si>
    <t>07:31:40</t>
  </si>
  <si>
    <t>20230725 07:31:50</t>
  </si>
  <si>
    <t>07:31:50</t>
  </si>
  <si>
    <t>20230725 07:32:00</t>
  </si>
  <si>
    <t>07:32:00</t>
  </si>
  <si>
    <t>20230725 07:32:10</t>
  </si>
  <si>
    <t>07:32:10</t>
  </si>
  <si>
    <t>20230725 07:32:20</t>
  </si>
  <si>
    <t>07:32:20</t>
  </si>
  <si>
    <t>20230725 07:32:30</t>
  </si>
  <si>
    <t>07:32:30</t>
  </si>
  <si>
    <t>20230725 07:32:40</t>
  </si>
  <si>
    <t>07:32:40</t>
  </si>
  <si>
    <t>20230725 07:32:50</t>
  </si>
  <si>
    <t>07:32:50</t>
  </si>
  <si>
    <t>20230725 07:33:00</t>
  </si>
  <si>
    <t>07:33:00</t>
  </si>
  <si>
    <t>20230725 07:33:10</t>
  </si>
  <si>
    <t>07:33:10</t>
  </si>
  <si>
    <t>20230725 07:33:20</t>
  </si>
  <si>
    <t>07:33:20</t>
  </si>
  <si>
    <t>20230725 07:33:30</t>
  </si>
  <si>
    <t>07:33:30</t>
  </si>
  <si>
    <t>20230725 07:33:40</t>
  </si>
  <si>
    <t>07:33:40</t>
  </si>
  <si>
    <t>20230725 07:33:50</t>
  </si>
  <si>
    <t>07:33:50</t>
  </si>
  <si>
    <t>20230725 07:34:00</t>
  </si>
  <si>
    <t>07:34:00</t>
  </si>
  <si>
    <t>20230725 07:34:10</t>
  </si>
  <si>
    <t>07:34:10</t>
  </si>
  <si>
    <t>20230725 07:34:20</t>
  </si>
  <si>
    <t>07:34:20</t>
  </si>
  <si>
    <t>20230725 07:34:30</t>
  </si>
  <si>
    <t>07:34:30</t>
  </si>
  <si>
    <t>20230725 07:34:40</t>
  </si>
  <si>
    <t>07:34:40</t>
  </si>
  <si>
    <t>20230725 07:34:50</t>
  </si>
  <si>
    <t>07:34:50</t>
  </si>
  <si>
    <t>20230725 07:35:00</t>
  </si>
  <si>
    <t>07:35:00</t>
  </si>
  <si>
    <t>20230725 07:35:10</t>
  </si>
  <si>
    <t>07:35:10</t>
  </si>
  <si>
    <t>20230725 07:35:20</t>
  </si>
  <si>
    <t>07:35:20</t>
  </si>
  <si>
    <t>20230725 07:35:30</t>
  </si>
  <si>
    <t>07:35:30</t>
  </si>
  <si>
    <t>20230725 07:35:40</t>
  </si>
  <si>
    <t>07:35:40</t>
  </si>
  <si>
    <t>20230725 07:35:50</t>
  </si>
  <si>
    <t>07:35:50</t>
  </si>
  <si>
    <t>20230725 07:36:00</t>
  </si>
  <si>
    <t>07:36:00</t>
  </si>
  <si>
    <t>20230725 07:36:10</t>
  </si>
  <si>
    <t>07:36:10</t>
  </si>
  <si>
    <t>20230725 07:36:20</t>
  </si>
  <si>
    <t>07:36:20</t>
  </si>
  <si>
    <t>20230725 07:36:30</t>
  </si>
  <si>
    <t>07:36:30</t>
  </si>
  <si>
    <t>20230725 07:36:40</t>
  </si>
  <si>
    <t>07:36:40</t>
  </si>
  <si>
    <t>20230725 07:36:50</t>
  </si>
  <si>
    <t>07:36:50</t>
  </si>
  <si>
    <t>20230725 07:37:00</t>
  </si>
  <si>
    <t>07:37:00</t>
  </si>
  <si>
    <t>20230725 07:37:10</t>
  </si>
  <si>
    <t>07:37:10</t>
  </si>
  <si>
    <t>20230725 07:37:20</t>
  </si>
  <si>
    <t>07:37:20</t>
  </si>
  <si>
    <t>20230725 07:37:30</t>
  </si>
  <si>
    <t>07:37:30</t>
  </si>
  <si>
    <t>20230725 07:37:40</t>
  </si>
  <si>
    <t>07:37:40</t>
  </si>
  <si>
    <t>20230725 07:37:50</t>
  </si>
  <si>
    <t>07:37:50</t>
  </si>
  <si>
    <t>20230725 07:38:00</t>
  </si>
  <si>
    <t>07:38:00</t>
  </si>
  <si>
    <t>20230725 07:38:10</t>
  </si>
  <si>
    <t>07:38:10</t>
  </si>
  <si>
    <t>20230725 07:38:20</t>
  </si>
  <si>
    <t>07:38:20</t>
  </si>
  <si>
    <t>20230725 07:38:30</t>
  </si>
  <si>
    <t>07:38:30</t>
  </si>
  <si>
    <t>20230725 07:38:40</t>
  </si>
  <si>
    <t>07:38:40</t>
  </si>
  <si>
    <t>20230725 07:38:50</t>
  </si>
  <si>
    <t>07:38:50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</si>
</sst>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6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1690286538.5999999</v>
      </c>
      <c r="C17">
        <v>0</v>
      </c>
      <c r="D17" t="s">
        <v>328</v>
      </c>
      <c r="E17" t="s">
        <v>329</v>
      </c>
      <c r="F17" t="s">
        <v>330</v>
      </c>
      <c r="H17">
        <v>1690286538.5999999</v>
      </c>
      <c r="I17">
        <f t="shared" ref="I17:I80" si="0">(J17)/1000</f>
        <v>8.1690155860099714E-5</v>
      </c>
      <c r="J17">
        <f t="shared" ref="J17:J80" si="1">1000*AZ17*AH17*(AV17-AW17)/(100*AO17*(1000-AH17*AV17))</f>
        <v>8.1690155860099714E-2</v>
      </c>
      <c r="K17">
        <f t="shared" ref="K17:K80" si="2">AZ17*AH17*(AU17-AT17*(1000-AH17*AW17)/(1000-AH17*AV17))/(100*AO17)</f>
        <v>-1.3453852268973707</v>
      </c>
      <c r="L17">
        <f t="shared" ref="L17:L80" si="3">AT17 - IF(AH17&gt;1, K17*AO17*100/(AJ17*BH17), 0)</f>
        <v>812.39700000000005</v>
      </c>
      <c r="M17">
        <f t="shared" ref="M17:M80" si="4">((S17-I17/2)*L17-K17)/(S17+I17/2)</f>
        <v>1133.6895696273173</v>
      </c>
      <c r="N17">
        <f t="shared" ref="N17:N80" si="5">M17*(BA17+BB17)/1000</f>
        <v>112.69356933745324</v>
      </c>
      <c r="O17">
        <f t="shared" ref="O17:O80" si="6">(AT17 - IF(AH17&gt;1, K17*AO17*100/(AJ17*BH17), 0))*(BA17+BB17)/1000</f>
        <v>80.755720174029008</v>
      </c>
      <c r="P17">
        <f t="shared" ref="P17:P80" si="7">2/((1/R17-1/Q17)+SIGN(R17)*SQRT((1/R17-1/Q17)*(1/R17-1/Q17) + 4*AP17/((AP17+1)*(AP17+1))*(2*1/R17*1/Q17-1/Q17*1/Q17)))</f>
        <v>6.3122538908069641E-3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2.2992832972332975</v>
      </c>
      <c r="R17">
        <f t="shared" ref="R17:R80" si="9">I17*(1000-(1000*0.61365*EXP(17.502*V17/(240.97+V17))/(BA17+BB17)+AV17)/2)/(1000*0.61365*EXP(17.502*V17/(240.97+V17))/(BA17+BB17)-AV17)</f>
        <v>6.3026424341985406E-3</v>
      </c>
      <c r="S17">
        <f t="shared" ref="S17:S80" si="10">1/((AP17+1)/(P17/1.6)+1/(Q17/1.37)) + AP17/((AP17+1)/(P17/1.6) + AP17/(Q17/1.37))</f>
        <v>3.9400138346513732E-3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26.813927776952816</v>
      </c>
      <c r="V17">
        <f t="shared" ref="V17:V80" si="13">($C$7*BD17+$D$7*BE17+$E$7*U17)</f>
        <v>26.813927776952816</v>
      </c>
      <c r="W17">
        <f t="shared" ref="W17:W80" si="14">0.61365*EXP(17.502*V17/(240.97+V17))</f>
        <v>3.5402309820011566</v>
      </c>
      <c r="X17">
        <f t="shared" ref="X17:X80" si="15">(Y17/Z17*100)</f>
        <v>64.572989262397456</v>
      </c>
      <c r="Y17">
        <f t="shared" ref="Y17:Y80" si="16">AV17*(BA17+BB17)/1000</f>
        <v>2.2896080727581003</v>
      </c>
      <c r="Z17">
        <f t="shared" ref="Z17:Z80" si="17">0.61365*EXP(17.502*BC17/(240.97+BC17))</f>
        <v>3.5457675088481606</v>
      </c>
      <c r="AA17">
        <f t="shared" ref="AA17:AA80" si="18">(W17-AV17*(BA17+BB17)/1000)</f>
        <v>1.2506229092430563</v>
      </c>
      <c r="AB17">
        <f t="shared" ref="AB17:AB80" si="19">(-I17*44100)</f>
        <v>-3.6025358734303974</v>
      </c>
      <c r="AC17">
        <f t="shared" ref="AC17:AC80" si="20">2*29.3*Q17*0.92*(BC17-V17)</f>
        <v>3.2938651635893739</v>
      </c>
      <c r="AD17">
        <f t="shared" ref="AD17:AD80" si="21">2*0.95*0.0000000567*(((BC17+$B$7)+273)^4-(V17+273)^4)</f>
        <v>0.30862968011544484</v>
      </c>
      <c r="AE17">
        <f t="shared" ref="AE17:AE80" si="22">T17+AD17+AB17+AC17</f>
        <v>-4.1029725578844989E-5</v>
      </c>
      <c r="AF17">
        <v>0</v>
      </c>
      <c r="AG17">
        <v>0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52518.339977044947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29.1</v>
      </c>
      <c r="AP17">
        <v>0.5</v>
      </c>
      <c r="AQ17" t="s">
        <v>331</v>
      </c>
      <c r="AR17">
        <v>2</v>
      </c>
      <c r="AS17">
        <v>1690286538.5999999</v>
      </c>
      <c r="AT17">
        <v>812.39700000000005</v>
      </c>
      <c r="AU17">
        <v>799.99599999999998</v>
      </c>
      <c r="AV17">
        <v>23.033300000000001</v>
      </c>
      <c r="AW17">
        <v>22.259499999999999</v>
      </c>
      <c r="AX17">
        <v>813.64300000000003</v>
      </c>
      <c r="AY17">
        <v>22.842199999999998</v>
      </c>
      <c r="AZ17">
        <v>300.13299999999998</v>
      </c>
      <c r="BA17">
        <v>99.304299999999998</v>
      </c>
      <c r="BB17">
        <v>9.9957000000000004E-2</v>
      </c>
      <c r="BC17">
        <v>26.840499999999999</v>
      </c>
      <c r="BD17">
        <v>27.0167</v>
      </c>
      <c r="BE17">
        <v>26.917999999999999</v>
      </c>
      <c r="BF17">
        <v>0</v>
      </c>
      <c r="BG17">
        <v>0</v>
      </c>
      <c r="BH17">
        <v>9996.25</v>
      </c>
      <c r="BI17">
        <v>0.739367</v>
      </c>
      <c r="BJ17">
        <v>1.1325400000000001</v>
      </c>
      <c r="BK17">
        <v>12.4009</v>
      </c>
      <c r="BL17">
        <v>831.55</v>
      </c>
      <c r="BM17">
        <v>818.20899999999995</v>
      </c>
      <c r="BN17">
        <v>0.773783</v>
      </c>
      <c r="BO17">
        <v>799.99599999999998</v>
      </c>
      <c r="BP17">
        <v>22.259499999999999</v>
      </c>
      <c r="BQ17">
        <v>2.2873100000000002</v>
      </c>
      <c r="BR17">
        <v>2.2104699999999999</v>
      </c>
      <c r="BS17">
        <v>19.587299999999999</v>
      </c>
      <c r="BT17">
        <v>19.038399999999999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21</v>
      </c>
      <c r="CA17">
        <v>0</v>
      </c>
      <c r="CB17">
        <v>1690286268.5999999</v>
      </c>
      <c r="CC17" t="s">
        <v>332</v>
      </c>
      <c r="CD17">
        <v>1690286261.0999999</v>
      </c>
      <c r="CE17">
        <v>1690286268.5999999</v>
      </c>
      <c r="CF17">
        <v>1</v>
      </c>
      <c r="CG17">
        <v>-0.89900000000000002</v>
      </c>
      <c r="CH17">
        <v>3.4000000000000002E-2</v>
      </c>
      <c r="CI17">
        <v>-1.2370000000000001</v>
      </c>
      <c r="CJ17">
        <v>8.5999999999999993E-2</v>
      </c>
      <c r="CK17">
        <v>799</v>
      </c>
      <c r="CL17">
        <v>16</v>
      </c>
      <c r="CM17">
        <v>0.28999999999999998</v>
      </c>
      <c r="CN17">
        <v>0.09</v>
      </c>
      <c r="CO17">
        <v>12.404505</v>
      </c>
      <c r="CP17">
        <v>0.1446709193245321</v>
      </c>
      <c r="CQ17">
        <v>4.2000178273431152E-2</v>
      </c>
      <c r="CR17">
        <v>-1</v>
      </c>
      <c r="CS17">
        <v>0.75253882500000002</v>
      </c>
      <c r="CT17">
        <v>0.12734581238273671</v>
      </c>
      <c r="CU17">
        <v>1.2259354195648929E-2</v>
      </c>
      <c r="CV17">
        <v>-1</v>
      </c>
      <c r="CW17">
        <v>0</v>
      </c>
      <c r="CX17">
        <v>0</v>
      </c>
      <c r="CY17" t="s">
        <v>333</v>
      </c>
      <c r="CZ17">
        <v>2.3653200000000001</v>
      </c>
      <c r="DA17">
        <v>2.71374</v>
      </c>
      <c r="DB17">
        <v>0.14909700000000001</v>
      </c>
      <c r="DC17">
        <v>0.14712500000000001</v>
      </c>
      <c r="DD17">
        <v>0.11115899999999999</v>
      </c>
      <c r="DE17">
        <v>0.106959</v>
      </c>
      <c r="DF17">
        <v>31073</v>
      </c>
      <c r="DG17">
        <v>27448.400000000001</v>
      </c>
      <c r="DH17">
        <v>31171.1</v>
      </c>
      <c r="DI17">
        <v>28039.3</v>
      </c>
      <c r="DJ17">
        <v>37607.699999999997</v>
      </c>
      <c r="DK17">
        <v>35577.599999999999</v>
      </c>
      <c r="DL17">
        <v>44351.199999999997</v>
      </c>
      <c r="DM17">
        <v>42466.5</v>
      </c>
      <c r="DN17">
        <v>1.4793000000000001</v>
      </c>
      <c r="DO17">
        <v>2.11422</v>
      </c>
      <c r="DP17">
        <v>0.10188700000000001</v>
      </c>
      <c r="DQ17">
        <v>9.2439400000000005E-2</v>
      </c>
      <c r="DR17">
        <v>25.348199999999999</v>
      </c>
      <c r="DS17">
        <v>25.404199999999999</v>
      </c>
      <c r="DT17">
        <v>68.2</v>
      </c>
      <c r="DU17">
        <v>23.8</v>
      </c>
      <c r="DV17">
        <v>20.3262</v>
      </c>
      <c r="DW17">
        <v>62.0914</v>
      </c>
      <c r="DX17">
        <v>35.793300000000002</v>
      </c>
      <c r="DY17">
        <v>1</v>
      </c>
      <c r="DZ17">
        <v>-0.16919500000000001</v>
      </c>
      <c r="EA17">
        <v>-1.9782299999999999</v>
      </c>
      <c r="EB17">
        <v>20.292100000000001</v>
      </c>
      <c r="EC17">
        <v>5.24275</v>
      </c>
      <c r="ED17">
        <v>12.039899999999999</v>
      </c>
      <c r="EE17">
        <v>5.01715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1.8686799999999999</v>
      </c>
      <c r="EL17">
        <v>1.86432</v>
      </c>
      <c r="EM17">
        <v>1.86903</v>
      </c>
      <c r="EN17">
        <v>1.86703</v>
      </c>
      <c r="EO17">
        <v>1.8632</v>
      </c>
      <c r="EP17">
        <v>1.8641700000000001</v>
      </c>
      <c r="EQ17">
        <v>1.8699600000000001</v>
      </c>
      <c r="ER17">
        <v>1.86921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-1.246</v>
      </c>
      <c r="FG17">
        <v>0.19109999999999999</v>
      </c>
      <c r="FH17">
        <v>-0.68620417327404271</v>
      </c>
      <c r="FI17">
        <v>-6.1462078757559423E-4</v>
      </c>
      <c r="FJ17">
        <v>-1.8861989874597051E-7</v>
      </c>
      <c r="FK17">
        <v>1.1980462299894961E-10</v>
      </c>
      <c r="FL17">
        <v>0.1911242781723908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4.5999999999999996</v>
      </c>
      <c r="FU17">
        <v>4.5</v>
      </c>
      <c r="FV17">
        <v>1.78467</v>
      </c>
      <c r="FW17">
        <v>2.5549300000000001</v>
      </c>
      <c r="FX17">
        <v>1.5490699999999999</v>
      </c>
      <c r="FY17">
        <v>2.34375</v>
      </c>
      <c r="FZ17">
        <v>1.50146</v>
      </c>
      <c r="GA17">
        <v>2.3083499999999999</v>
      </c>
      <c r="GB17">
        <v>29.346399999999999</v>
      </c>
      <c r="GC17">
        <v>24.017499999999998</v>
      </c>
      <c r="GD17">
        <v>19</v>
      </c>
      <c r="GE17">
        <v>279.31700000000001</v>
      </c>
      <c r="GF17">
        <v>635.52300000000002</v>
      </c>
      <c r="GG17">
        <v>29.798100000000002</v>
      </c>
      <c r="GH17">
        <v>25.294499999999999</v>
      </c>
      <c r="GI17">
        <v>30.000299999999999</v>
      </c>
      <c r="GJ17">
        <v>25.2515</v>
      </c>
      <c r="GK17">
        <v>25.165700000000001</v>
      </c>
      <c r="GL17">
        <v>35.667099999999998</v>
      </c>
      <c r="GM17">
        <v>0</v>
      </c>
      <c r="GN17">
        <v>100</v>
      </c>
      <c r="GO17">
        <v>29.7911</v>
      </c>
      <c r="GP17">
        <v>800</v>
      </c>
      <c r="GQ17">
        <v>25.481999999999999</v>
      </c>
      <c r="GR17">
        <v>99.723299999999995</v>
      </c>
      <c r="GS17">
        <v>99.373099999999994</v>
      </c>
    </row>
    <row r="18" spans="1:201" x14ac:dyDescent="0.25">
      <c r="A18">
        <v>2</v>
      </c>
      <c r="B18">
        <v>1690286539.5999999</v>
      </c>
      <c r="C18">
        <v>1</v>
      </c>
      <c r="D18" t="s">
        <v>337</v>
      </c>
      <c r="E18" t="s">
        <v>338</v>
      </c>
      <c r="F18" t="s">
        <v>330</v>
      </c>
      <c r="H18">
        <v>1690286539.5999999</v>
      </c>
      <c r="I18">
        <f t="shared" si="0"/>
        <v>8.1892139609408216E-5</v>
      </c>
      <c r="J18">
        <f t="shared" si="1"/>
        <v>8.1892139609408221E-2</v>
      </c>
      <c r="K18">
        <f t="shared" si="2"/>
        <v>-1.3475088515523175</v>
      </c>
      <c r="L18">
        <f t="shared" si="3"/>
        <v>812.423</v>
      </c>
      <c r="M18">
        <f t="shared" si="4"/>
        <v>1133.3377128626989</v>
      </c>
      <c r="N18">
        <f t="shared" si="5"/>
        <v>112.656943137486</v>
      </c>
      <c r="O18">
        <f t="shared" si="6"/>
        <v>80.757121796822986</v>
      </c>
      <c r="P18">
        <f t="shared" si="7"/>
        <v>6.3294044925750808E-3</v>
      </c>
      <c r="Q18">
        <f t="shared" si="8"/>
        <v>2.2968470068022619</v>
      </c>
      <c r="R18">
        <f t="shared" si="9"/>
        <v>6.3197305454072601E-3</v>
      </c>
      <c r="S18">
        <f t="shared" si="10"/>
        <v>3.9506995060168103E-3</v>
      </c>
      <c r="T18">
        <f t="shared" si="11"/>
        <v>0</v>
      </c>
      <c r="U18">
        <f t="shared" si="12"/>
        <v>26.813436234561252</v>
      </c>
      <c r="V18">
        <f t="shared" si="13"/>
        <v>26.813436234561252</v>
      </c>
      <c r="W18">
        <f t="shared" si="14"/>
        <v>3.5401286365043307</v>
      </c>
      <c r="X18">
        <f t="shared" si="15"/>
        <v>64.580570981087618</v>
      </c>
      <c r="Y18">
        <f t="shared" si="16"/>
        <v>2.2898230432757996</v>
      </c>
      <c r="Z18">
        <f t="shared" si="17"/>
        <v>3.545684109770991</v>
      </c>
      <c r="AA18">
        <f t="shared" si="18"/>
        <v>1.2503055932285312</v>
      </c>
      <c r="AB18">
        <f t="shared" si="19"/>
        <v>-3.6114433567749025</v>
      </c>
      <c r="AC18">
        <f t="shared" si="20"/>
        <v>3.3017105033498169</v>
      </c>
      <c r="AD18">
        <f t="shared" si="21"/>
        <v>0.30969154063252696</v>
      </c>
      <c r="AE18">
        <f t="shared" si="22"/>
        <v>-4.1312792558478861E-5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52426.279725934124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29.1</v>
      </c>
      <c r="AP18">
        <v>0.5</v>
      </c>
      <c r="AQ18" t="s">
        <v>331</v>
      </c>
      <c r="AR18">
        <v>2</v>
      </c>
      <c r="AS18">
        <v>1690286539.5999999</v>
      </c>
      <c r="AT18">
        <v>812.423</v>
      </c>
      <c r="AU18">
        <v>800</v>
      </c>
      <c r="AV18">
        <v>23.035799999999998</v>
      </c>
      <c r="AW18">
        <v>22.259899999999998</v>
      </c>
      <c r="AX18">
        <v>813.66899999999998</v>
      </c>
      <c r="AY18">
        <v>22.8447</v>
      </c>
      <c r="AZ18">
        <v>300.06</v>
      </c>
      <c r="BA18">
        <v>99.302899999999994</v>
      </c>
      <c r="BB18">
        <v>9.9901000000000004E-2</v>
      </c>
      <c r="BC18">
        <v>26.8401</v>
      </c>
      <c r="BD18">
        <v>27.0151</v>
      </c>
      <c r="BE18">
        <v>26.914400000000001</v>
      </c>
      <c r="BF18">
        <v>0</v>
      </c>
      <c r="BG18">
        <v>0</v>
      </c>
      <c r="BH18">
        <v>9978.1200000000008</v>
      </c>
      <c r="BI18">
        <v>0.72482000000000002</v>
      </c>
      <c r="BJ18">
        <v>1.09609</v>
      </c>
      <c r="BK18">
        <v>12.422700000000001</v>
      </c>
      <c r="BL18">
        <v>831.57899999999995</v>
      </c>
      <c r="BM18">
        <v>818.21299999999997</v>
      </c>
      <c r="BN18">
        <v>0.77588299999999999</v>
      </c>
      <c r="BO18">
        <v>800</v>
      </c>
      <c r="BP18">
        <v>22.259899999999998</v>
      </c>
      <c r="BQ18">
        <v>2.2875200000000002</v>
      </c>
      <c r="BR18">
        <v>2.2104699999999999</v>
      </c>
      <c r="BS18">
        <v>19.588799999999999</v>
      </c>
      <c r="BT18">
        <v>19.038399999999999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21</v>
      </c>
      <c r="CA18">
        <v>0</v>
      </c>
      <c r="CB18">
        <v>1690286268.5999999</v>
      </c>
      <c r="CC18" t="s">
        <v>332</v>
      </c>
      <c r="CD18">
        <v>1690286261.0999999</v>
      </c>
      <c r="CE18">
        <v>1690286268.5999999</v>
      </c>
      <c r="CF18">
        <v>1</v>
      </c>
      <c r="CG18">
        <v>-0.89900000000000002</v>
      </c>
      <c r="CH18">
        <v>3.4000000000000002E-2</v>
      </c>
      <c r="CI18">
        <v>-1.2370000000000001</v>
      </c>
      <c r="CJ18">
        <v>8.5999999999999993E-2</v>
      </c>
      <c r="CK18">
        <v>799</v>
      </c>
      <c r="CL18">
        <v>16</v>
      </c>
      <c r="CM18">
        <v>0.28999999999999998</v>
      </c>
      <c r="CN18">
        <v>0.09</v>
      </c>
      <c r="CO18">
        <v>12.4089925</v>
      </c>
      <c r="CP18">
        <v>6.3889305816123024E-2</v>
      </c>
      <c r="CQ18">
        <v>3.6900104251207801E-2</v>
      </c>
      <c r="CR18">
        <v>-1</v>
      </c>
      <c r="CS18">
        <v>0.75458722500000008</v>
      </c>
      <c r="CT18">
        <v>0.12600615759849829</v>
      </c>
      <c r="CU18">
        <v>1.2134381948594449E-2</v>
      </c>
      <c r="CV18">
        <v>-1</v>
      </c>
      <c r="CW18">
        <v>0</v>
      </c>
      <c r="CX18">
        <v>0</v>
      </c>
      <c r="CY18" t="s">
        <v>333</v>
      </c>
      <c r="CZ18">
        <v>2.3650799999999998</v>
      </c>
      <c r="DA18">
        <v>2.71367</v>
      </c>
      <c r="DB18">
        <v>0.14909800000000001</v>
      </c>
      <c r="DC18">
        <v>0.147123</v>
      </c>
      <c r="DD18">
        <v>0.111166</v>
      </c>
      <c r="DE18">
        <v>0.106958</v>
      </c>
      <c r="DF18">
        <v>31073.1</v>
      </c>
      <c r="DG18">
        <v>27448.6</v>
      </c>
      <c r="DH18">
        <v>31171.200000000001</v>
      </c>
      <c r="DI18">
        <v>28039.4</v>
      </c>
      <c r="DJ18">
        <v>37607.5</v>
      </c>
      <c r="DK18">
        <v>35577.800000000003</v>
      </c>
      <c r="DL18">
        <v>44351.3</v>
      </c>
      <c r="DM18">
        <v>42466.7</v>
      </c>
      <c r="DN18">
        <v>1.4791700000000001</v>
      </c>
      <c r="DO18">
        <v>2.1143000000000001</v>
      </c>
      <c r="DP18">
        <v>0.101678</v>
      </c>
      <c r="DQ18">
        <v>9.2156199999999994E-2</v>
      </c>
      <c r="DR18">
        <v>25.350100000000001</v>
      </c>
      <c r="DS18">
        <v>25.405200000000001</v>
      </c>
      <c r="DT18">
        <v>68.2</v>
      </c>
      <c r="DU18">
        <v>23.8</v>
      </c>
      <c r="DV18">
        <v>20.324400000000001</v>
      </c>
      <c r="DW18">
        <v>61.961399999999998</v>
      </c>
      <c r="DX18">
        <v>36.2941</v>
      </c>
      <c r="DY18">
        <v>1</v>
      </c>
      <c r="DZ18">
        <v>-0.16911799999999999</v>
      </c>
      <c r="EA18">
        <v>-1.9859</v>
      </c>
      <c r="EB18">
        <v>20.291899999999998</v>
      </c>
      <c r="EC18">
        <v>5.2424499999999998</v>
      </c>
      <c r="ED18">
        <v>12.039899999999999</v>
      </c>
      <c r="EE18">
        <v>5.01715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1.8686799999999999</v>
      </c>
      <c r="EL18">
        <v>1.86432</v>
      </c>
      <c r="EM18">
        <v>1.86903</v>
      </c>
      <c r="EN18">
        <v>1.86703</v>
      </c>
      <c r="EO18">
        <v>1.86321</v>
      </c>
      <c r="EP18">
        <v>1.8641700000000001</v>
      </c>
      <c r="EQ18">
        <v>1.8699699999999999</v>
      </c>
      <c r="ER18">
        <v>1.86921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-1.246</v>
      </c>
      <c r="FG18">
        <v>0.19109999999999999</v>
      </c>
      <c r="FH18">
        <v>-0.68620417327404271</v>
      </c>
      <c r="FI18">
        <v>-6.1462078757559423E-4</v>
      </c>
      <c r="FJ18">
        <v>-1.8861989874597051E-7</v>
      </c>
      <c r="FK18">
        <v>1.1980462299894961E-10</v>
      </c>
      <c r="FL18">
        <v>0.1911242781723908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4.5999999999999996</v>
      </c>
      <c r="FU18">
        <v>4.5</v>
      </c>
      <c r="FV18">
        <v>1.78467</v>
      </c>
      <c r="FW18">
        <v>2.5573700000000001</v>
      </c>
      <c r="FX18">
        <v>1.5490699999999999</v>
      </c>
      <c r="FY18">
        <v>2.34375</v>
      </c>
      <c r="FZ18">
        <v>1.50146</v>
      </c>
      <c r="GA18">
        <v>2.34131</v>
      </c>
      <c r="GB18">
        <v>29.367599999999999</v>
      </c>
      <c r="GC18">
        <v>24.017499999999998</v>
      </c>
      <c r="GD18">
        <v>19</v>
      </c>
      <c r="GE18">
        <v>279.26900000000001</v>
      </c>
      <c r="GF18">
        <v>635.60199999999998</v>
      </c>
      <c r="GG18">
        <v>29.7927</v>
      </c>
      <c r="GH18">
        <v>25.295000000000002</v>
      </c>
      <c r="GI18">
        <v>30.000299999999999</v>
      </c>
      <c r="GJ18">
        <v>25.252500000000001</v>
      </c>
      <c r="GK18">
        <v>25.166699999999999</v>
      </c>
      <c r="GL18">
        <v>35.668300000000002</v>
      </c>
      <c r="GM18">
        <v>0</v>
      </c>
      <c r="GN18">
        <v>100</v>
      </c>
      <c r="GO18">
        <v>29.7911</v>
      </c>
      <c r="GP18">
        <v>800</v>
      </c>
      <c r="GQ18">
        <v>25.481999999999999</v>
      </c>
      <c r="GR18">
        <v>99.723600000000005</v>
      </c>
      <c r="GS18">
        <v>99.373599999999996</v>
      </c>
    </row>
    <row r="19" spans="1:201" x14ac:dyDescent="0.25">
      <c r="A19">
        <v>3</v>
      </c>
      <c r="B19">
        <v>1690286540.0999999</v>
      </c>
      <c r="C19">
        <v>1.5</v>
      </c>
      <c r="D19" t="s">
        <v>339</v>
      </c>
      <c r="E19" t="s">
        <v>340</v>
      </c>
      <c r="F19" t="s">
        <v>330</v>
      </c>
      <c r="H19">
        <v>1690286540.0999999</v>
      </c>
      <c r="I19">
        <f t="shared" si="0"/>
        <v>8.2010374439255937E-5</v>
      </c>
      <c r="J19">
        <f t="shared" si="1"/>
        <v>8.2010374439255934E-2</v>
      </c>
      <c r="K19">
        <f t="shared" si="2"/>
        <v>-1.3468526229901587</v>
      </c>
      <c r="L19">
        <f t="shared" si="3"/>
        <v>812.42899999999997</v>
      </c>
      <c r="M19">
        <f t="shared" si="4"/>
        <v>1132.660788540943</v>
      </c>
      <c r="N19">
        <f t="shared" si="5"/>
        <v>112.58900379715112</v>
      </c>
      <c r="O19">
        <f t="shared" si="6"/>
        <v>80.7572511481969</v>
      </c>
      <c r="P19">
        <f t="shared" si="7"/>
        <v>6.3391923808779399E-3</v>
      </c>
      <c r="Q19">
        <f t="shared" si="8"/>
        <v>2.2974233281427461</v>
      </c>
      <c r="R19">
        <f t="shared" si="9"/>
        <v>6.3294909457069521E-3</v>
      </c>
      <c r="S19">
        <f t="shared" si="10"/>
        <v>3.9568022207453236E-3</v>
      </c>
      <c r="T19">
        <f t="shared" si="11"/>
        <v>0</v>
      </c>
      <c r="U19">
        <f t="shared" si="12"/>
        <v>26.813303859522978</v>
      </c>
      <c r="V19">
        <f t="shared" si="13"/>
        <v>26.813303859522978</v>
      </c>
      <c r="W19">
        <f t="shared" si="14"/>
        <v>3.5401010747471235</v>
      </c>
      <c r="X19">
        <f t="shared" si="15"/>
        <v>64.583941411621595</v>
      </c>
      <c r="Y19">
        <f t="shared" si="16"/>
        <v>2.2899290826657004</v>
      </c>
      <c r="Z19">
        <f t="shared" si="17"/>
        <v>3.5456632602692748</v>
      </c>
      <c r="AA19">
        <f t="shared" si="18"/>
        <v>1.2501719920814232</v>
      </c>
      <c r="AB19">
        <f t="shared" si="19"/>
        <v>-3.6166575127711869</v>
      </c>
      <c r="AC19">
        <f t="shared" si="20"/>
        <v>3.3065488932178893</v>
      </c>
      <c r="AD19">
        <f t="shared" si="21"/>
        <v>0.31006720640655933</v>
      </c>
      <c r="AE19">
        <f t="shared" si="22"/>
        <v>-4.1413146738111806E-5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52448.063503123958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29.1</v>
      </c>
      <c r="AP19">
        <v>0.5</v>
      </c>
      <c r="AQ19" t="s">
        <v>331</v>
      </c>
      <c r="AR19">
        <v>2</v>
      </c>
      <c r="AS19">
        <v>1690286540.0999999</v>
      </c>
      <c r="AT19">
        <v>812.42899999999997</v>
      </c>
      <c r="AU19">
        <v>800.02</v>
      </c>
      <c r="AV19">
        <v>23.036999999999999</v>
      </c>
      <c r="AW19">
        <v>22.260400000000001</v>
      </c>
      <c r="AX19">
        <v>813.67600000000004</v>
      </c>
      <c r="AY19">
        <v>22.8459</v>
      </c>
      <c r="AZ19">
        <v>300.22199999999998</v>
      </c>
      <c r="BA19">
        <v>99.302300000000002</v>
      </c>
      <c r="BB19">
        <v>9.9926100000000004E-2</v>
      </c>
      <c r="BC19">
        <v>26.84</v>
      </c>
      <c r="BD19">
        <v>27.014299999999999</v>
      </c>
      <c r="BE19">
        <v>26.912500000000001</v>
      </c>
      <c r="BF19">
        <v>0</v>
      </c>
      <c r="BG19">
        <v>0</v>
      </c>
      <c r="BH19">
        <v>9982.5</v>
      </c>
      <c r="BI19">
        <v>0.72482000000000002</v>
      </c>
      <c r="BJ19">
        <v>1.0820799999999999</v>
      </c>
      <c r="BK19">
        <v>12.409000000000001</v>
      </c>
      <c r="BL19">
        <v>831.58600000000001</v>
      </c>
      <c r="BM19">
        <v>818.23400000000004</v>
      </c>
      <c r="BN19">
        <v>0.77657100000000001</v>
      </c>
      <c r="BO19">
        <v>800.02</v>
      </c>
      <c r="BP19">
        <v>22.260400000000001</v>
      </c>
      <c r="BQ19">
        <v>2.2876300000000001</v>
      </c>
      <c r="BR19">
        <v>2.2105100000000002</v>
      </c>
      <c r="BS19">
        <v>19.589500000000001</v>
      </c>
      <c r="BT19">
        <v>19.038699999999999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21</v>
      </c>
      <c r="CA19">
        <v>0</v>
      </c>
      <c r="CB19">
        <v>1690286268.5999999</v>
      </c>
      <c r="CC19" t="s">
        <v>332</v>
      </c>
      <c r="CD19">
        <v>1690286261.0999999</v>
      </c>
      <c r="CE19">
        <v>1690286268.5999999</v>
      </c>
      <c r="CF19">
        <v>1</v>
      </c>
      <c r="CG19">
        <v>-0.89900000000000002</v>
      </c>
      <c r="CH19">
        <v>3.4000000000000002E-2</v>
      </c>
      <c r="CI19">
        <v>-1.2370000000000001</v>
      </c>
      <c r="CJ19">
        <v>8.5999999999999993E-2</v>
      </c>
      <c r="CK19">
        <v>799</v>
      </c>
      <c r="CL19">
        <v>16</v>
      </c>
      <c r="CM19">
        <v>0.28999999999999998</v>
      </c>
      <c r="CN19">
        <v>0.09</v>
      </c>
      <c r="CO19">
        <v>12.4089925</v>
      </c>
      <c r="CP19">
        <v>6.3889305816123024E-2</v>
      </c>
      <c r="CQ19">
        <v>3.6900104251207801E-2</v>
      </c>
      <c r="CR19">
        <v>-1</v>
      </c>
      <c r="CS19">
        <v>0.75458722500000008</v>
      </c>
      <c r="CT19">
        <v>0.12600615759849829</v>
      </c>
      <c r="CU19">
        <v>1.2134381948594449E-2</v>
      </c>
      <c r="CV19">
        <v>-1</v>
      </c>
      <c r="CW19">
        <v>0</v>
      </c>
      <c r="CX19">
        <v>0</v>
      </c>
      <c r="CY19" t="s">
        <v>333</v>
      </c>
      <c r="CZ19">
        <v>2.3656100000000002</v>
      </c>
      <c r="DA19">
        <v>2.7136999999999998</v>
      </c>
      <c r="DB19">
        <v>0.14909700000000001</v>
      </c>
      <c r="DC19">
        <v>0.147124</v>
      </c>
      <c r="DD19">
        <v>0.111169</v>
      </c>
      <c r="DE19">
        <v>0.106959</v>
      </c>
      <c r="DF19">
        <v>31073.1</v>
      </c>
      <c r="DG19">
        <v>27448.5</v>
      </c>
      <c r="DH19">
        <v>31171.200000000001</v>
      </c>
      <c r="DI19">
        <v>28039.5</v>
      </c>
      <c r="DJ19">
        <v>37607.4</v>
      </c>
      <c r="DK19">
        <v>35577.9</v>
      </c>
      <c r="DL19">
        <v>44351.4</v>
      </c>
      <c r="DM19">
        <v>42466.8</v>
      </c>
      <c r="DN19">
        <v>1.47915</v>
      </c>
      <c r="DO19">
        <v>2.11443</v>
      </c>
      <c r="DP19">
        <v>0.101566</v>
      </c>
      <c r="DQ19">
        <v>9.2007199999999997E-2</v>
      </c>
      <c r="DR19">
        <v>25.351099999999999</v>
      </c>
      <c r="DS19">
        <v>25.405799999999999</v>
      </c>
      <c r="DT19">
        <v>68.2</v>
      </c>
      <c r="DU19">
        <v>23.8</v>
      </c>
      <c r="DV19">
        <v>20.324999999999999</v>
      </c>
      <c r="DW19">
        <v>62.131399999999999</v>
      </c>
      <c r="DX19">
        <v>35.180300000000003</v>
      </c>
      <c r="DY19">
        <v>1</v>
      </c>
      <c r="DZ19">
        <v>-0.16908799999999999</v>
      </c>
      <c r="EA19">
        <v>-1.9981599999999999</v>
      </c>
      <c r="EB19">
        <v>20.291699999999999</v>
      </c>
      <c r="EC19">
        <v>5.2424499999999998</v>
      </c>
      <c r="ED19">
        <v>12.039899999999999</v>
      </c>
      <c r="EE19">
        <v>5.0171999999999999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1.86869</v>
      </c>
      <c r="EL19">
        <v>1.86432</v>
      </c>
      <c r="EM19">
        <v>1.86904</v>
      </c>
      <c r="EN19">
        <v>1.86703</v>
      </c>
      <c r="EO19">
        <v>1.86321</v>
      </c>
      <c r="EP19">
        <v>1.8641700000000001</v>
      </c>
      <c r="EQ19">
        <v>1.8699699999999999</v>
      </c>
      <c r="ER19">
        <v>1.86921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-1.2470000000000001</v>
      </c>
      <c r="FG19">
        <v>0.19109999999999999</v>
      </c>
      <c r="FH19">
        <v>-0.68620417327404271</v>
      </c>
      <c r="FI19">
        <v>-6.1462078757559423E-4</v>
      </c>
      <c r="FJ19">
        <v>-1.8861989874597051E-7</v>
      </c>
      <c r="FK19">
        <v>1.1980462299894961E-10</v>
      </c>
      <c r="FL19">
        <v>0.1911242781723908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4.7</v>
      </c>
      <c r="FU19">
        <v>4.5</v>
      </c>
      <c r="FV19">
        <v>1.78345</v>
      </c>
      <c r="FW19">
        <v>2.5439500000000002</v>
      </c>
      <c r="FX19">
        <v>1.5490699999999999</v>
      </c>
      <c r="FY19">
        <v>2.34375</v>
      </c>
      <c r="FZ19">
        <v>1.50146</v>
      </c>
      <c r="GA19">
        <v>2.34985</v>
      </c>
      <c r="GB19">
        <v>29.367599999999999</v>
      </c>
      <c r="GC19">
        <v>24.017499999999998</v>
      </c>
      <c r="GD19">
        <v>19</v>
      </c>
      <c r="GE19">
        <v>279.26100000000002</v>
      </c>
      <c r="GF19">
        <v>635.71900000000005</v>
      </c>
      <c r="GG19">
        <v>29.789899999999999</v>
      </c>
      <c r="GH19">
        <v>25.295400000000001</v>
      </c>
      <c r="GI19">
        <v>30.000299999999999</v>
      </c>
      <c r="GJ19">
        <v>25.2531</v>
      </c>
      <c r="GK19">
        <v>25.167200000000001</v>
      </c>
      <c r="GL19">
        <v>35.666400000000003</v>
      </c>
      <c r="GM19">
        <v>0</v>
      </c>
      <c r="GN19">
        <v>100</v>
      </c>
      <c r="GO19">
        <v>29.7758</v>
      </c>
      <c r="GP19">
        <v>800</v>
      </c>
      <c r="GQ19">
        <v>25.481999999999999</v>
      </c>
      <c r="GR19">
        <v>99.723799999999997</v>
      </c>
      <c r="GS19">
        <v>99.373699999999999</v>
      </c>
    </row>
    <row r="20" spans="1:201" x14ac:dyDescent="0.25">
      <c r="A20">
        <v>4</v>
      </c>
      <c r="B20">
        <v>1690286541.0999999</v>
      </c>
      <c r="C20">
        <v>2.5</v>
      </c>
      <c r="D20" t="s">
        <v>341</v>
      </c>
      <c r="E20" t="s">
        <v>342</v>
      </c>
      <c r="F20" t="s">
        <v>330</v>
      </c>
      <c r="H20">
        <v>1690286541.0999999</v>
      </c>
      <c r="I20">
        <f t="shared" si="0"/>
        <v>8.2211194614249645E-5</v>
      </c>
      <c r="J20">
        <f t="shared" si="1"/>
        <v>8.2211194614249639E-2</v>
      </c>
      <c r="K20">
        <f t="shared" si="2"/>
        <v>-1.3444360550528207</v>
      </c>
      <c r="L20">
        <f t="shared" si="3"/>
        <v>812.423</v>
      </c>
      <c r="M20">
        <f t="shared" si="4"/>
        <v>1131.1450738786384</v>
      </c>
      <c r="N20">
        <f t="shared" si="5"/>
        <v>112.43787676528098</v>
      </c>
      <c r="O20">
        <f t="shared" si="6"/>
        <v>80.756323185013997</v>
      </c>
      <c r="P20">
        <f t="shared" si="7"/>
        <v>6.3564269462940259E-3</v>
      </c>
      <c r="Q20">
        <f t="shared" si="8"/>
        <v>2.2976673837420938</v>
      </c>
      <c r="R20">
        <f t="shared" si="9"/>
        <v>6.3466737663986118E-3</v>
      </c>
      <c r="S20">
        <f t="shared" si="10"/>
        <v>3.9675461228031814E-3</v>
      </c>
      <c r="T20">
        <f t="shared" si="11"/>
        <v>0</v>
      </c>
      <c r="U20">
        <f t="shared" si="12"/>
        <v>26.812641073330258</v>
      </c>
      <c r="V20">
        <f t="shared" si="13"/>
        <v>26.812641073330258</v>
      </c>
      <c r="W20">
        <f t="shared" si="14"/>
        <v>3.5399630790989138</v>
      </c>
      <c r="X20">
        <f t="shared" si="15"/>
        <v>64.59184242786398</v>
      </c>
      <c r="Y20">
        <f t="shared" si="16"/>
        <v>2.2901284250838003</v>
      </c>
      <c r="Z20">
        <f t="shared" si="17"/>
        <v>3.5455381655065974</v>
      </c>
      <c r="AA20">
        <f t="shared" si="18"/>
        <v>1.2498346540151135</v>
      </c>
      <c r="AB20">
        <f t="shared" si="19"/>
        <v>-3.6255136824884096</v>
      </c>
      <c r="AC20">
        <f t="shared" si="20"/>
        <v>3.314677589835874</v>
      </c>
      <c r="AD20">
        <f t="shared" si="21"/>
        <v>0.31079448465162024</v>
      </c>
      <c r="AE20">
        <f t="shared" si="22"/>
        <v>-4.1608000915349663E-5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52457.382050097425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29.1</v>
      </c>
      <c r="AP20">
        <v>0.5</v>
      </c>
      <c r="AQ20" t="s">
        <v>331</v>
      </c>
      <c r="AR20">
        <v>2</v>
      </c>
      <c r="AS20">
        <v>1690286541.0999999</v>
      </c>
      <c r="AT20">
        <v>812.423</v>
      </c>
      <c r="AU20">
        <v>800.03899999999999</v>
      </c>
      <c r="AV20">
        <v>23.039100000000001</v>
      </c>
      <c r="AW20">
        <v>22.2606</v>
      </c>
      <c r="AX20">
        <v>813.66899999999998</v>
      </c>
      <c r="AY20">
        <v>22.847999999999999</v>
      </c>
      <c r="AZ20">
        <v>300.22199999999998</v>
      </c>
      <c r="BA20">
        <v>99.3018</v>
      </c>
      <c r="BB20">
        <v>0.100018</v>
      </c>
      <c r="BC20">
        <v>26.839400000000001</v>
      </c>
      <c r="BD20">
        <v>27.012799999999999</v>
      </c>
      <c r="BE20">
        <v>26.918099999999999</v>
      </c>
      <c r="BF20">
        <v>0</v>
      </c>
      <c r="BG20">
        <v>0</v>
      </c>
      <c r="BH20">
        <v>9984.3799999999992</v>
      </c>
      <c r="BI20">
        <v>0.74664399999999997</v>
      </c>
      <c r="BJ20">
        <v>1.0666599999999999</v>
      </c>
      <c r="BK20">
        <v>12.383100000000001</v>
      </c>
      <c r="BL20">
        <v>831.58100000000002</v>
      </c>
      <c r="BM20">
        <v>818.25400000000002</v>
      </c>
      <c r="BN20">
        <v>0.77846700000000002</v>
      </c>
      <c r="BO20">
        <v>800.03899999999999</v>
      </c>
      <c r="BP20">
        <v>22.2606</v>
      </c>
      <c r="BQ20">
        <v>2.28782</v>
      </c>
      <c r="BR20">
        <v>2.2105199999999998</v>
      </c>
      <c r="BS20">
        <v>19.590900000000001</v>
      </c>
      <c r="BT20">
        <v>19.038699999999999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21</v>
      </c>
      <c r="CA20">
        <v>0</v>
      </c>
      <c r="CB20">
        <v>1690286268.5999999</v>
      </c>
      <c r="CC20" t="s">
        <v>332</v>
      </c>
      <c r="CD20">
        <v>1690286261.0999999</v>
      </c>
      <c r="CE20">
        <v>1690286268.5999999</v>
      </c>
      <c r="CF20">
        <v>1</v>
      </c>
      <c r="CG20">
        <v>-0.89900000000000002</v>
      </c>
      <c r="CH20">
        <v>3.4000000000000002E-2</v>
      </c>
      <c r="CI20">
        <v>-1.2370000000000001</v>
      </c>
      <c r="CJ20">
        <v>8.5999999999999993E-2</v>
      </c>
      <c r="CK20">
        <v>799</v>
      </c>
      <c r="CL20">
        <v>16</v>
      </c>
      <c r="CM20">
        <v>0.28999999999999998</v>
      </c>
      <c r="CN20">
        <v>0.09</v>
      </c>
      <c r="CO20">
        <v>12.41237317073171</v>
      </c>
      <c r="CP20">
        <v>6.1505226480977953E-3</v>
      </c>
      <c r="CQ20">
        <v>3.3455627871673901E-2</v>
      </c>
      <c r="CR20">
        <v>-1</v>
      </c>
      <c r="CS20">
        <v>0.75714190243902435</v>
      </c>
      <c r="CT20">
        <v>0.1238466480836231</v>
      </c>
      <c r="CU20">
        <v>1.222713456411674E-2</v>
      </c>
      <c r="CV20">
        <v>-1</v>
      </c>
      <c r="CW20">
        <v>0</v>
      </c>
      <c r="CX20">
        <v>0</v>
      </c>
      <c r="CY20" t="s">
        <v>333</v>
      </c>
      <c r="CZ20">
        <v>2.3656000000000001</v>
      </c>
      <c r="DA20">
        <v>2.7138</v>
      </c>
      <c r="DB20">
        <v>0.14909500000000001</v>
      </c>
      <c r="DC20">
        <v>0.14712600000000001</v>
      </c>
      <c r="DD20">
        <v>0.111176</v>
      </c>
      <c r="DE20">
        <v>0.106959</v>
      </c>
      <c r="DF20">
        <v>31073.1</v>
      </c>
      <c r="DG20">
        <v>27448.7</v>
      </c>
      <c r="DH20">
        <v>31171.200000000001</v>
      </c>
      <c r="DI20">
        <v>28039.599999999999</v>
      </c>
      <c r="DJ20">
        <v>37607.199999999997</v>
      </c>
      <c r="DK20">
        <v>35578</v>
      </c>
      <c r="DL20">
        <v>44351.4</v>
      </c>
      <c r="DM20">
        <v>42466.9</v>
      </c>
      <c r="DN20">
        <v>1.47933</v>
      </c>
      <c r="DO20">
        <v>2.11422</v>
      </c>
      <c r="DP20">
        <v>0.101373</v>
      </c>
      <c r="DQ20">
        <v>9.2253100000000005E-2</v>
      </c>
      <c r="DR20">
        <v>25.352799999999998</v>
      </c>
      <c r="DS20">
        <v>25.407299999999999</v>
      </c>
      <c r="DT20">
        <v>68.2</v>
      </c>
      <c r="DU20">
        <v>23.8</v>
      </c>
      <c r="DV20">
        <v>20.324999999999999</v>
      </c>
      <c r="DW20">
        <v>61.971400000000003</v>
      </c>
      <c r="DX20">
        <v>35.084099999999999</v>
      </c>
      <c r="DY20">
        <v>1</v>
      </c>
      <c r="DZ20">
        <v>-0.169047</v>
      </c>
      <c r="EA20">
        <v>-2.0030999999999999</v>
      </c>
      <c r="EB20">
        <v>20.291599999999999</v>
      </c>
      <c r="EC20">
        <v>5.2426000000000004</v>
      </c>
      <c r="ED20">
        <v>12.039899999999999</v>
      </c>
      <c r="EE20">
        <v>5.01715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1.8687</v>
      </c>
      <c r="EL20">
        <v>1.86432</v>
      </c>
      <c r="EM20">
        <v>1.86904</v>
      </c>
      <c r="EN20">
        <v>1.86703</v>
      </c>
      <c r="EO20">
        <v>1.8632200000000001</v>
      </c>
      <c r="EP20">
        <v>1.8641700000000001</v>
      </c>
      <c r="EQ20">
        <v>1.86998</v>
      </c>
      <c r="ER20">
        <v>1.86921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-1.246</v>
      </c>
      <c r="FG20">
        <v>0.19109999999999999</v>
      </c>
      <c r="FH20">
        <v>-0.68620417327404271</v>
      </c>
      <c r="FI20">
        <v>-6.1462078757559423E-4</v>
      </c>
      <c r="FJ20">
        <v>-1.8861989874597051E-7</v>
      </c>
      <c r="FK20">
        <v>1.1980462299894961E-10</v>
      </c>
      <c r="FL20">
        <v>0.1911242781723908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4.7</v>
      </c>
      <c r="FU20">
        <v>4.5</v>
      </c>
      <c r="FV20">
        <v>1.78345</v>
      </c>
      <c r="FW20">
        <v>2.5451700000000002</v>
      </c>
      <c r="FX20">
        <v>1.5490699999999999</v>
      </c>
      <c r="FY20">
        <v>2.34375</v>
      </c>
      <c r="FZ20">
        <v>1.50024</v>
      </c>
      <c r="GA20">
        <v>2.3120099999999999</v>
      </c>
      <c r="GB20">
        <v>29.367599999999999</v>
      </c>
      <c r="GC20">
        <v>24.017499999999998</v>
      </c>
      <c r="GD20">
        <v>19</v>
      </c>
      <c r="GE20">
        <v>279.339</v>
      </c>
      <c r="GF20">
        <v>635.55600000000004</v>
      </c>
      <c r="GG20">
        <v>29.785399999999999</v>
      </c>
      <c r="GH20">
        <v>25.296399999999998</v>
      </c>
      <c r="GI20">
        <v>30.000299999999999</v>
      </c>
      <c r="GJ20">
        <v>25.254100000000001</v>
      </c>
      <c r="GK20">
        <v>25.168299999999999</v>
      </c>
      <c r="GL20">
        <v>35.666499999999999</v>
      </c>
      <c r="GM20">
        <v>0</v>
      </c>
      <c r="GN20">
        <v>100</v>
      </c>
      <c r="GO20">
        <v>29.7758</v>
      </c>
      <c r="GP20">
        <v>800</v>
      </c>
      <c r="GQ20">
        <v>25.481999999999999</v>
      </c>
      <c r="GR20">
        <v>99.723799999999997</v>
      </c>
      <c r="GS20">
        <v>99.374200000000002</v>
      </c>
    </row>
    <row r="21" spans="1:201" x14ac:dyDescent="0.25">
      <c r="A21">
        <v>5</v>
      </c>
      <c r="B21">
        <v>1690286542.0999999</v>
      </c>
      <c r="C21">
        <v>3.5</v>
      </c>
      <c r="D21" t="s">
        <v>343</v>
      </c>
      <c r="E21" t="s">
        <v>344</v>
      </c>
      <c r="F21" t="s">
        <v>330</v>
      </c>
      <c r="H21">
        <v>1690286542.0999999</v>
      </c>
      <c r="I21">
        <f t="shared" si="0"/>
        <v>8.233173117957432E-5</v>
      </c>
      <c r="J21">
        <f t="shared" si="1"/>
        <v>8.2331731179574319E-2</v>
      </c>
      <c r="K21">
        <f t="shared" si="2"/>
        <v>-1.3478203585560062</v>
      </c>
      <c r="L21">
        <f t="shared" si="3"/>
        <v>812.41200000000003</v>
      </c>
      <c r="M21">
        <f t="shared" si="4"/>
        <v>1131.4098807570385</v>
      </c>
      <c r="N21">
        <f t="shared" si="5"/>
        <v>112.46576164059915</v>
      </c>
      <c r="O21">
        <f t="shared" si="6"/>
        <v>80.756351787229192</v>
      </c>
      <c r="P21">
        <f t="shared" si="7"/>
        <v>6.3672882719569565E-3</v>
      </c>
      <c r="Q21">
        <f t="shared" si="8"/>
        <v>2.3013538643152938</v>
      </c>
      <c r="R21">
        <f t="shared" si="9"/>
        <v>6.3575174112595403E-3</v>
      </c>
      <c r="S21">
        <f t="shared" si="10"/>
        <v>3.9743249869671777E-3</v>
      </c>
      <c r="T21">
        <f t="shared" si="11"/>
        <v>0</v>
      </c>
      <c r="U21">
        <f t="shared" si="12"/>
        <v>26.812141080698755</v>
      </c>
      <c r="V21">
        <f t="shared" si="13"/>
        <v>26.812141080698755</v>
      </c>
      <c r="W21">
        <f t="shared" si="14"/>
        <v>3.5398589810528449</v>
      </c>
      <c r="X21">
        <f t="shared" si="15"/>
        <v>64.598844571483781</v>
      </c>
      <c r="Y21">
        <f t="shared" si="16"/>
        <v>2.2903093491834601</v>
      </c>
      <c r="Z21">
        <f t="shared" si="17"/>
        <v>3.5454339228142846</v>
      </c>
      <c r="AA21">
        <f t="shared" si="18"/>
        <v>1.2495496318693848</v>
      </c>
      <c r="AB21">
        <f t="shared" si="19"/>
        <v>-3.6308293450192277</v>
      </c>
      <c r="AC21">
        <f t="shared" si="20"/>
        <v>3.3199948929704184</v>
      </c>
      <c r="AD21">
        <f t="shared" si="21"/>
        <v>0.31079284420969311</v>
      </c>
      <c r="AE21">
        <f t="shared" si="22"/>
        <v>-4.1607839116331036E-5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52596.94179727634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29.1</v>
      </c>
      <c r="AP21">
        <v>0.5</v>
      </c>
      <c r="AQ21" t="s">
        <v>331</v>
      </c>
      <c r="AR21">
        <v>2</v>
      </c>
      <c r="AS21">
        <v>1690286542.0999999</v>
      </c>
      <c r="AT21">
        <v>812.41200000000003</v>
      </c>
      <c r="AU21">
        <v>799.99199999999996</v>
      </c>
      <c r="AV21">
        <v>23.040600000000001</v>
      </c>
      <c r="AW21">
        <v>22.2607</v>
      </c>
      <c r="AX21">
        <v>813.65899999999999</v>
      </c>
      <c r="AY21">
        <v>22.849399999999999</v>
      </c>
      <c r="AZ21">
        <v>300.12200000000001</v>
      </c>
      <c r="BA21">
        <v>99.303299999999993</v>
      </c>
      <c r="BB21">
        <v>9.9899100000000005E-2</v>
      </c>
      <c r="BC21">
        <v>26.838899999999999</v>
      </c>
      <c r="BD21">
        <v>27.015799999999999</v>
      </c>
      <c r="BE21">
        <v>26.915700000000001</v>
      </c>
      <c r="BF21">
        <v>0</v>
      </c>
      <c r="BG21">
        <v>0</v>
      </c>
      <c r="BH21">
        <v>10011.9</v>
      </c>
      <c r="BI21">
        <v>0.72724999999999995</v>
      </c>
      <c r="BJ21">
        <v>1.0652600000000001</v>
      </c>
      <c r="BK21">
        <v>12.4206</v>
      </c>
      <c r="BL21">
        <v>831.572</v>
      </c>
      <c r="BM21">
        <v>818.20600000000002</v>
      </c>
      <c r="BN21">
        <v>0.77984399999999998</v>
      </c>
      <c r="BO21">
        <v>799.99199999999996</v>
      </c>
      <c r="BP21">
        <v>22.2607</v>
      </c>
      <c r="BQ21">
        <v>2.2879999999999998</v>
      </c>
      <c r="BR21">
        <v>2.2105600000000001</v>
      </c>
      <c r="BS21">
        <v>19.592199999999998</v>
      </c>
      <c r="BT21">
        <v>19.039100000000001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21</v>
      </c>
      <c r="CA21">
        <v>0</v>
      </c>
      <c r="CB21">
        <v>1690286268.5999999</v>
      </c>
      <c r="CC21" t="s">
        <v>332</v>
      </c>
      <c r="CD21">
        <v>1690286261.0999999</v>
      </c>
      <c r="CE21">
        <v>1690286268.5999999</v>
      </c>
      <c r="CF21">
        <v>1</v>
      </c>
      <c r="CG21">
        <v>-0.89900000000000002</v>
      </c>
      <c r="CH21">
        <v>3.4000000000000002E-2</v>
      </c>
      <c r="CI21">
        <v>-1.2370000000000001</v>
      </c>
      <c r="CJ21">
        <v>8.5999999999999993E-2</v>
      </c>
      <c r="CK21">
        <v>799</v>
      </c>
      <c r="CL21">
        <v>16</v>
      </c>
      <c r="CM21">
        <v>0.28999999999999998</v>
      </c>
      <c r="CN21">
        <v>0.09</v>
      </c>
      <c r="CO21">
        <v>12.412407317073169</v>
      </c>
      <c r="CP21">
        <v>-3.8406271777008658E-2</v>
      </c>
      <c r="CQ21">
        <v>3.3323187490232963E-2</v>
      </c>
      <c r="CR21">
        <v>-1</v>
      </c>
      <c r="CS21">
        <v>0.75917517073170737</v>
      </c>
      <c r="CT21">
        <v>0.1221656655052285</v>
      </c>
      <c r="CU21">
        <v>1.20629399965802E-2</v>
      </c>
      <c r="CV21">
        <v>-1</v>
      </c>
      <c r="CW21">
        <v>0</v>
      </c>
      <c r="CX21">
        <v>0</v>
      </c>
      <c r="CY21" t="s">
        <v>333</v>
      </c>
      <c r="CZ21">
        <v>2.3652700000000002</v>
      </c>
      <c r="DA21">
        <v>2.7136999999999998</v>
      </c>
      <c r="DB21">
        <v>0.14909600000000001</v>
      </c>
      <c r="DC21">
        <v>0.147122</v>
      </c>
      <c r="DD21">
        <v>0.111182</v>
      </c>
      <c r="DE21">
        <v>0.106961</v>
      </c>
      <c r="DF21">
        <v>31073.1</v>
      </c>
      <c r="DG21">
        <v>27448.9</v>
      </c>
      <c r="DH21">
        <v>31171.200000000001</v>
      </c>
      <c r="DI21">
        <v>28039.8</v>
      </c>
      <c r="DJ21">
        <v>37606.9</v>
      </c>
      <c r="DK21">
        <v>35578.1</v>
      </c>
      <c r="DL21">
        <v>44351.4</v>
      </c>
      <c r="DM21">
        <v>42467.1</v>
      </c>
      <c r="DN21">
        <v>1.4793000000000001</v>
      </c>
      <c r="DO21">
        <v>2.1141999999999999</v>
      </c>
      <c r="DP21">
        <v>0.101455</v>
      </c>
      <c r="DQ21">
        <v>9.2040700000000003E-2</v>
      </c>
      <c r="DR21">
        <v>25.354399999999998</v>
      </c>
      <c r="DS21">
        <v>25.4084</v>
      </c>
      <c r="DT21">
        <v>68.2</v>
      </c>
      <c r="DU21">
        <v>23.8</v>
      </c>
      <c r="DV21">
        <v>20.321999999999999</v>
      </c>
      <c r="DW21">
        <v>61.751399999999997</v>
      </c>
      <c r="DX21">
        <v>35.336500000000001</v>
      </c>
      <c r="DY21">
        <v>1</v>
      </c>
      <c r="DZ21">
        <v>-0.16891500000000001</v>
      </c>
      <c r="EA21">
        <v>-2.0051999999999999</v>
      </c>
      <c r="EB21">
        <v>20.291599999999999</v>
      </c>
      <c r="EC21">
        <v>5.2424499999999998</v>
      </c>
      <c r="ED21">
        <v>12.039899999999999</v>
      </c>
      <c r="EE21">
        <v>5.0170000000000003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1.8687100000000001</v>
      </c>
      <c r="EL21">
        <v>1.86432</v>
      </c>
      <c r="EM21">
        <v>1.86904</v>
      </c>
      <c r="EN21">
        <v>1.86703</v>
      </c>
      <c r="EO21">
        <v>1.8632200000000001</v>
      </c>
      <c r="EP21">
        <v>1.8641700000000001</v>
      </c>
      <c r="EQ21">
        <v>1.86998</v>
      </c>
      <c r="ER21">
        <v>1.86921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-1.2470000000000001</v>
      </c>
      <c r="FG21">
        <v>0.19120000000000001</v>
      </c>
      <c r="FH21">
        <v>-0.68620417327404271</v>
      </c>
      <c r="FI21">
        <v>-6.1462078757559423E-4</v>
      </c>
      <c r="FJ21">
        <v>-1.8861989874597051E-7</v>
      </c>
      <c r="FK21">
        <v>1.1980462299894961E-10</v>
      </c>
      <c r="FL21">
        <v>0.1911242781723908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4.7</v>
      </c>
      <c r="FU21">
        <v>4.5999999999999996</v>
      </c>
      <c r="FV21">
        <v>1.78467</v>
      </c>
      <c r="FW21">
        <v>2.5549300000000001</v>
      </c>
      <c r="FX21">
        <v>1.5490699999999999</v>
      </c>
      <c r="FY21">
        <v>2.34375</v>
      </c>
      <c r="FZ21">
        <v>1.50146</v>
      </c>
      <c r="GA21">
        <v>2.2546400000000002</v>
      </c>
      <c r="GB21">
        <v>29.367599999999999</v>
      </c>
      <c r="GC21">
        <v>24.008700000000001</v>
      </c>
      <c r="GD21">
        <v>19</v>
      </c>
      <c r="GE21">
        <v>279.334</v>
      </c>
      <c r="GF21">
        <v>635.54700000000003</v>
      </c>
      <c r="GG21">
        <v>29.781500000000001</v>
      </c>
      <c r="GH21">
        <v>25.297000000000001</v>
      </c>
      <c r="GI21">
        <v>30.000399999999999</v>
      </c>
      <c r="GJ21">
        <v>25.255199999999999</v>
      </c>
      <c r="GK21">
        <v>25.1693</v>
      </c>
      <c r="GL21">
        <v>35.669699999999999</v>
      </c>
      <c r="GM21">
        <v>0</v>
      </c>
      <c r="GN21">
        <v>100</v>
      </c>
      <c r="GO21">
        <v>29.7758</v>
      </c>
      <c r="GP21">
        <v>800</v>
      </c>
      <c r="GQ21">
        <v>25.481999999999999</v>
      </c>
      <c r="GR21">
        <v>99.723699999999994</v>
      </c>
      <c r="GS21">
        <v>99.374700000000004</v>
      </c>
    </row>
    <row r="22" spans="1:201" x14ac:dyDescent="0.25">
      <c r="A22">
        <v>6</v>
      </c>
      <c r="B22">
        <v>1690286690.0999999</v>
      </c>
      <c r="C22">
        <v>151.5</v>
      </c>
      <c r="D22" t="s">
        <v>345</v>
      </c>
      <c r="E22" t="s">
        <v>346</v>
      </c>
      <c r="F22" t="s">
        <v>330</v>
      </c>
      <c r="H22">
        <v>1690286690.0999999</v>
      </c>
      <c r="I22">
        <f t="shared" si="0"/>
        <v>1.0871388955116484E-4</v>
      </c>
      <c r="J22">
        <f t="shared" si="1"/>
        <v>0.10871388955116484</v>
      </c>
      <c r="K22">
        <f t="shared" si="2"/>
        <v>-1.2796951996951249</v>
      </c>
      <c r="L22">
        <f t="shared" si="3"/>
        <v>811.48299999999995</v>
      </c>
      <c r="M22">
        <f t="shared" si="4"/>
        <v>1137.9874843407335</v>
      </c>
      <c r="N22">
        <f t="shared" si="5"/>
        <v>113.12558161060521</v>
      </c>
      <c r="O22">
        <f t="shared" si="6"/>
        <v>80.668274128955488</v>
      </c>
      <c r="P22">
        <f t="shared" si="7"/>
        <v>5.7585709088939369E-3</v>
      </c>
      <c r="Q22">
        <f t="shared" si="8"/>
        <v>2.301995771162384</v>
      </c>
      <c r="R22">
        <f t="shared" si="9"/>
        <v>5.7505799094385111E-3</v>
      </c>
      <c r="S22">
        <f t="shared" si="10"/>
        <v>3.5948294633874264E-3</v>
      </c>
      <c r="T22">
        <f t="shared" si="11"/>
        <v>276.07083900131562</v>
      </c>
      <c r="U22">
        <f t="shared" si="12"/>
        <v>29.475481257781546</v>
      </c>
      <c r="V22">
        <f t="shared" si="13"/>
        <v>29.475481257781546</v>
      </c>
      <c r="W22">
        <f t="shared" si="14"/>
        <v>4.1337640181324211</v>
      </c>
      <c r="X22">
        <f t="shared" si="15"/>
        <v>62.904744296726179</v>
      </c>
      <c r="Y22">
        <f t="shared" si="16"/>
        <v>2.3154218153820003</v>
      </c>
      <c r="Z22">
        <f t="shared" si="17"/>
        <v>3.680838132748764</v>
      </c>
      <c r="AA22">
        <f t="shared" si="18"/>
        <v>1.8183422027504208</v>
      </c>
      <c r="AB22">
        <f t="shared" si="19"/>
        <v>-4.7942825292063693</v>
      </c>
      <c r="AC22">
        <f t="shared" si="20"/>
        <v>-247.92262407228378</v>
      </c>
      <c r="AD22">
        <f t="shared" si="21"/>
        <v>-23.587864008978258</v>
      </c>
      <c r="AE22">
        <f t="shared" si="22"/>
        <v>-0.23393160915279054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52509.468082992709</v>
      </c>
      <c r="AK22">
        <f t="shared" si="26"/>
        <v>1799.71</v>
      </c>
      <c r="AL22">
        <f t="shared" si="27"/>
        <v>1498.8710990996599</v>
      </c>
      <c r="AM22">
        <f t="shared" si="28"/>
        <v>0.8328403459999999</v>
      </c>
      <c r="AN22">
        <f t="shared" si="29"/>
        <v>0.15339740236000002</v>
      </c>
      <c r="AO22">
        <v>29.1</v>
      </c>
      <c r="AP22">
        <v>0.5</v>
      </c>
      <c r="AQ22" t="s">
        <v>331</v>
      </c>
      <c r="AR22">
        <v>2</v>
      </c>
      <c r="AS22">
        <v>1690286690.0999999</v>
      </c>
      <c r="AT22">
        <v>811.48299999999995</v>
      </c>
      <c r="AU22">
        <v>799.93200000000002</v>
      </c>
      <c r="AV22">
        <v>23.292000000000002</v>
      </c>
      <c r="AW22">
        <v>22.262599999999999</v>
      </c>
      <c r="AX22">
        <v>812.72900000000004</v>
      </c>
      <c r="AY22">
        <v>23.1008</v>
      </c>
      <c r="AZ22">
        <v>300.16399999999999</v>
      </c>
      <c r="BA22">
        <v>99.308499999999995</v>
      </c>
      <c r="BB22">
        <v>9.9958500000000006E-2</v>
      </c>
      <c r="BC22">
        <v>27.477799999999998</v>
      </c>
      <c r="BD22">
        <v>27.854399999999998</v>
      </c>
      <c r="BE22">
        <v>28.8095</v>
      </c>
      <c r="BF22">
        <v>0</v>
      </c>
      <c r="BG22">
        <v>0</v>
      </c>
      <c r="BH22">
        <v>10016.200000000001</v>
      </c>
      <c r="BI22">
        <v>1123.83</v>
      </c>
      <c r="BJ22">
        <v>1.11992</v>
      </c>
      <c r="BK22">
        <v>11.550700000000001</v>
      </c>
      <c r="BL22">
        <v>830.83500000000004</v>
      </c>
      <c r="BM22">
        <v>818.14599999999996</v>
      </c>
      <c r="BN22">
        <v>1.0293699999999999</v>
      </c>
      <c r="BO22">
        <v>799.93200000000002</v>
      </c>
      <c r="BP22">
        <v>22.262599999999999</v>
      </c>
      <c r="BQ22">
        <v>2.3130899999999999</v>
      </c>
      <c r="BR22">
        <v>2.2108699999999999</v>
      </c>
      <c r="BS22">
        <v>19.767900000000001</v>
      </c>
      <c r="BT22">
        <v>19.0413</v>
      </c>
      <c r="BU22">
        <v>1799.71</v>
      </c>
      <c r="BV22">
        <v>0.91000199999999998</v>
      </c>
      <c r="BW22">
        <v>3.39992E-2</v>
      </c>
      <c r="BX22">
        <v>2.19998E-2</v>
      </c>
      <c r="BY22">
        <v>3.39992E-2</v>
      </c>
      <c r="BZ22">
        <v>21</v>
      </c>
      <c r="CA22">
        <v>33523</v>
      </c>
      <c r="CB22">
        <v>1690286268.5999999</v>
      </c>
      <c r="CC22" t="s">
        <v>332</v>
      </c>
      <c r="CD22">
        <v>1690286261.0999999</v>
      </c>
      <c r="CE22">
        <v>1690286268.5999999</v>
      </c>
      <c r="CF22">
        <v>1</v>
      </c>
      <c r="CG22">
        <v>-0.89900000000000002</v>
      </c>
      <c r="CH22">
        <v>3.4000000000000002E-2</v>
      </c>
      <c r="CI22">
        <v>-1.2370000000000001</v>
      </c>
      <c r="CJ22">
        <v>8.5999999999999993E-2</v>
      </c>
      <c r="CK22">
        <v>799</v>
      </c>
      <c r="CL22">
        <v>16</v>
      </c>
      <c r="CM22">
        <v>0.28999999999999998</v>
      </c>
      <c r="CN22">
        <v>0.09</v>
      </c>
      <c r="CO22">
        <v>12.350973170731709</v>
      </c>
      <c r="CP22">
        <v>-1.2635895470383389</v>
      </c>
      <c r="CQ22">
        <v>0.17619170272591911</v>
      </c>
      <c r="CR22">
        <v>-1</v>
      </c>
      <c r="CS22">
        <v>0.98397321951219496</v>
      </c>
      <c r="CT22">
        <v>3.6304578397216097E-2</v>
      </c>
      <c r="CU22">
        <v>9.0161532236211674E-3</v>
      </c>
      <c r="CV22">
        <v>-1</v>
      </c>
      <c r="CW22">
        <v>0</v>
      </c>
      <c r="CX22">
        <v>0</v>
      </c>
      <c r="CY22" t="s">
        <v>333</v>
      </c>
      <c r="CZ22">
        <v>2.36531</v>
      </c>
      <c r="DA22">
        <v>2.7137600000000002</v>
      </c>
      <c r="DB22">
        <v>0.148954</v>
      </c>
      <c r="DC22">
        <v>0.14707700000000001</v>
      </c>
      <c r="DD22">
        <v>0.112014</v>
      </c>
      <c r="DE22">
        <v>0.10693800000000001</v>
      </c>
      <c r="DF22">
        <v>31076.2</v>
      </c>
      <c r="DG22">
        <v>27448.7</v>
      </c>
      <c r="DH22">
        <v>31169.4</v>
      </c>
      <c r="DI22">
        <v>28038.400000000001</v>
      </c>
      <c r="DJ22">
        <v>37569.1</v>
      </c>
      <c r="DK22">
        <v>35578.199999999997</v>
      </c>
      <c r="DL22">
        <v>44348.6</v>
      </c>
      <c r="DM22">
        <v>42466.3</v>
      </c>
      <c r="DN22">
        <v>1.4802200000000001</v>
      </c>
      <c r="DO22">
        <v>2.1109200000000001</v>
      </c>
      <c r="DP22">
        <v>0.14121800000000001</v>
      </c>
      <c r="DQ22">
        <v>0.19617799999999999</v>
      </c>
      <c r="DR22">
        <v>25.543800000000001</v>
      </c>
      <c r="DS22">
        <v>25.6023</v>
      </c>
      <c r="DT22">
        <v>69.3</v>
      </c>
      <c r="DU22">
        <v>24</v>
      </c>
      <c r="DV22">
        <v>20.901599999999998</v>
      </c>
      <c r="DW22">
        <v>61.711399999999998</v>
      </c>
      <c r="DX22">
        <v>35.813299999999998</v>
      </c>
      <c r="DY22">
        <v>1</v>
      </c>
      <c r="DZ22">
        <v>-0.16298299999999999</v>
      </c>
      <c r="EA22">
        <v>-0.79079500000000003</v>
      </c>
      <c r="EB22">
        <v>20.189399999999999</v>
      </c>
      <c r="EC22">
        <v>5.2426000000000004</v>
      </c>
      <c r="ED22">
        <v>12.039899999999999</v>
      </c>
      <c r="EE22">
        <v>5.0168499999999998</v>
      </c>
      <c r="EF22">
        <v>3.2879499999999999</v>
      </c>
      <c r="EG22">
        <v>9999</v>
      </c>
      <c r="EH22">
        <v>9999</v>
      </c>
      <c r="EI22">
        <v>9999</v>
      </c>
      <c r="EJ22">
        <v>999.9</v>
      </c>
      <c r="EK22">
        <v>1.8687</v>
      </c>
      <c r="EL22">
        <v>1.86432</v>
      </c>
      <c r="EM22">
        <v>1.8690500000000001</v>
      </c>
      <c r="EN22">
        <v>1.86703</v>
      </c>
      <c r="EO22">
        <v>1.8632</v>
      </c>
      <c r="EP22">
        <v>1.8641700000000001</v>
      </c>
      <c r="EQ22">
        <v>1.86999</v>
      </c>
      <c r="ER22">
        <v>1.8692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-1.246</v>
      </c>
      <c r="FG22">
        <v>0.19120000000000001</v>
      </c>
      <c r="FH22">
        <v>-0.68620417327404271</v>
      </c>
      <c r="FI22">
        <v>-6.1462078757559423E-4</v>
      </c>
      <c r="FJ22">
        <v>-1.8861989874597051E-7</v>
      </c>
      <c r="FK22">
        <v>1.1980462299894961E-10</v>
      </c>
      <c r="FL22">
        <v>0.1911242781723908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7.2</v>
      </c>
      <c r="FU22">
        <v>7</v>
      </c>
      <c r="FV22">
        <v>1.78589</v>
      </c>
      <c r="FW22">
        <v>2.5500500000000001</v>
      </c>
      <c r="FX22">
        <v>1.5490699999999999</v>
      </c>
      <c r="FY22">
        <v>2.34375</v>
      </c>
      <c r="FZ22">
        <v>1.50146</v>
      </c>
      <c r="GA22">
        <v>2.3962400000000001</v>
      </c>
      <c r="GB22">
        <v>29.559100000000001</v>
      </c>
      <c r="GC22">
        <v>23.991199999999999</v>
      </c>
      <c r="GD22">
        <v>19</v>
      </c>
      <c r="GE22">
        <v>280.28199999999998</v>
      </c>
      <c r="GF22">
        <v>634.41600000000005</v>
      </c>
      <c r="GG22">
        <v>29.490400000000001</v>
      </c>
      <c r="GH22">
        <v>25.394500000000001</v>
      </c>
      <c r="GI22">
        <v>30.0001</v>
      </c>
      <c r="GJ22">
        <v>25.3813</v>
      </c>
      <c r="GK22">
        <v>25.308199999999999</v>
      </c>
      <c r="GL22">
        <v>35.708300000000001</v>
      </c>
      <c r="GM22">
        <v>0</v>
      </c>
      <c r="GN22">
        <v>100</v>
      </c>
      <c r="GO22">
        <v>28.817699999999999</v>
      </c>
      <c r="GP22">
        <v>800</v>
      </c>
      <c r="GQ22">
        <v>25.481999999999999</v>
      </c>
      <c r="GR22">
        <v>99.717699999999994</v>
      </c>
      <c r="GS22">
        <v>99.371399999999994</v>
      </c>
    </row>
    <row r="23" spans="1:201" x14ac:dyDescent="0.25">
      <c r="A23">
        <v>7</v>
      </c>
      <c r="B23">
        <v>1690286700.0999999</v>
      </c>
      <c r="C23">
        <v>161.5</v>
      </c>
      <c r="D23" t="s">
        <v>347</v>
      </c>
      <c r="E23" t="s">
        <v>348</v>
      </c>
      <c r="F23" t="s">
        <v>330</v>
      </c>
      <c r="H23">
        <v>1690286700.0999999</v>
      </c>
      <c r="I23">
        <f t="shared" si="0"/>
        <v>1.1981004962218099E-4</v>
      </c>
      <c r="J23">
        <f t="shared" si="1"/>
        <v>0.11981004962218099</v>
      </c>
      <c r="K23">
        <f t="shared" si="2"/>
        <v>-1.1080270489300377</v>
      </c>
      <c r="L23">
        <f t="shared" si="3"/>
        <v>809.73800000000006</v>
      </c>
      <c r="M23">
        <f t="shared" si="4"/>
        <v>1067.666618227667</v>
      </c>
      <c r="N23">
        <f t="shared" si="5"/>
        <v>106.13924539923197</v>
      </c>
      <c r="O23">
        <f t="shared" si="6"/>
        <v>80.497955844824006</v>
      </c>
      <c r="P23">
        <f t="shared" si="7"/>
        <v>6.1836235713752909E-3</v>
      </c>
      <c r="Q23">
        <f t="shared" si="8"/>
        <v>2.3013814549602269</v>
      </c>
      <c r="R23">
        <f t="shared" si="9"/>
        <v>6.1744079325684337E-3</v>
      </c>
      <c r="S23">
        <f t="shared" si="10"/>
        <v>3.8598317842182886E-3</v>
      </c>
      <c r="T23">
        <f t="shared" si="11"/>
        <v>276.09967366503406</v>
      </c>
      <c r="U23">
        <f t="shared" si="12"/>
        <v>29.716756858377423</v>
      </c>
      <c r="V23">
        <f t="shared" si="13"/>
        <v>29.716756858377423</v>
      </c>
      <c r="W23">
        <f t="shared" si="14"/>
        <v>4.1916248756147763</v>
      </c>
      <c r="X23">
        <f t="shared" si="15"/>
        <v>62.290282773380476</v>
      </c>
      <c r="Y23">
        <f t="shared" si="16"/>
        <v>2.3258314113383998</v>
      </c>
      <c r="Z23">
        <f t="shared" si="17"/>
        <v>3.7338591314476024</v>
      </c>
      <c r="AA23">
        <f t="shared" si="18"/>
        <v>1.8657934642763765</v>
      </c>
      <c r="AB23">
        <f t="shared" si="19"/>
        <v>-5.2836231883381819</v>
      </c>
      <c r="AC23">
        <f t="shared" si="20"/>
        <v>-247.4439976977142</v>
      </c>
      <c r="AD23">
        <f t="shared" si="21"/>
        <v>-23.605583636913533</v>
      </c>
      <c r="AE23">
        <f t="shared" si="22"/>
        <v>-0.23353085793183936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52443.652786710023</v>
      </c>
      <c r="AK23">
        <f t="shared" si="26"/>
        <v>1799.9</v>
      </c>
      <c r="AL23">
        <f t="shared" si="27"/>
        <v>1499.0281058339001</v>
      </c>
      <c r="AM23">
        <f t="shared" si="28"/>
        <v>0.83283966100000006</v>
      </c>
      <c r="AN23">
        <f t="shared" si="29"/>
        <v>0.15339722966000002</v>
      </c>
      <c r="AO23">
        <v>29.1</v>
      </c>
      <c r="AP23">
        <v>0.5</v>
      </c>
      <c r="AQ23" t="s">
        <v>331</v>
      </c>
      <c r="AR23">
        <v>2</v>
      </c>
      <c r="AS23">
        <v>1690286700.0999999</v>
      </c>
      <c r="AT23">
        <v>809.73800000000006</v>
      </c>
      <c r="AU23">
        <v>799.94299999999998</v>
      </c>
      <c r="AV23">
        <v>23.395800000000001</v>
      </c>
      <c r="AW23">
        <v>22.2622</v>
      </c>
      <c r="AX23">
        <v>810.98199999999997</v>
      </c>
      <c r="AY23">
        <v>23.204599999999999</v>
      </c>
      <c r="AZ23">
        <v>300.36200000000002</v>
      </c>
      <c r="BA23">
        <v>99.312299999999993</v>
      </c>
      <c r="BB23">
        <v>0.100048</v>
      </c>
      <c r="BC23">
        <v>27.7224</v>
      </c>
      <c r="BD23">
        <v>28.215699999999998</v>
      </c>
      <c r="BE23">
        <v>29.847899999999999</v>
      </c>
      <c r="BF23">
        <v>0</v>
      </c>
      <c r="BG23">
        <v>0</v>
      </c>
      <c r="BH23">
        <v>10011.200000000001</v>
      </c>
      <c r="BI23">
        <v>1124.27</v>
      </c>
      <c r="BJ23">
        <v>1.0778700000000001</v>
      </c>
      <c r="BK23">
        <v>9.7947399999999991</v>
      </c>
      <c r="BL23">
        <v>829.13599999999997</v>
      </c>
      <c r="BM23">
        <v>818.15700000000004</v>
      </c>
      <c r="BN23">
        <v>1.13357</v>
      </c>
      <c r="BO23">
        <v>799.94299999999998</v>
      </c>
      <c r="BP23">
        <v>22.2622</v>
      </c>
      <c r="BQ23">
        <v>2.3234900000000001</v>
      </c>
      <c r="BR23">
        <v>2.2109100000000002</v>
      </c>
      <c r="BS23">
        <v>19.840199999999999</v>
      </c>
      <c r="BT23">
        <v>19.041599999999999</v>
      </c>
      <c r="BU23">
        <v>1799.9</v>
      </c>
      <c r="BV23">
        <v>0.909999</v>
      </c>
      <c r="BW23">
        <v>3.3996400000000003E-2</v>
      </c>
      <c r="BX23">
        <v>2.1998299999999998E-2</v>
      </c>
      <c r="BY23">
        <v>3.4006000000000002E-2</v>
      </c>
      <c r="BZ23">
        <v>21</v>
      </c>
      <c r="CA23">
        <v>33526.5</v>
      </c>
      <c r="CB23">
        <v>1690286268.5999999</v>
      </c>
      <c r="CC23" t="s">
        <v>332</v>
      </c>
      <c r="CD23">
        <v>1690286261.0999999</v>
      </c>
      <c r="CE23">
        <v>1690286268.5999999</v>
      </c>
      <c r="CF23">
        <v>1</v>
      </c>
      <c r="CG23">
        <v>-0.89900000000000002</v>
      </c>
      <c r="CH23">
        <v>3.4000000000000002E-2</v>
      </c>
      <c r="CI23">
        <v>-1.2370000000000001</v>
      </c>
      <c r="CJ23">
        <v>8.5999999999999993E-2</v>
      </c>
      <c r="CK23">
        <v>799</v>
      </c>
      <c r="CL23">
        <v>16</v>
      </c>
      <c r="CM23">
        <v>0.28999999999999998</v>
      </c>
      <c r="CN23">
        <v>0.09</v>
      </c>
      <c r="CO23">
        <v>11.51844292682927</v>
      </c>
      <c r="CP23">
        <v>-8.4225930313588755</v>
      </c>
      <c r="CQ23">
        <v>0.85769946049754231</v>
      </c>
      <c r="CR23">
        <v>-1</v>
      </c>
      <c r="CS23">
        <v>1.0309261219512189</v>
      </c>
      <c r="CT23">
        <v>0.51376960975609709</v>
      </c>
      <c r="CU23">
        <v>5.2584602264603937E-2</v>
      </c>
      <c r="CV23">
        <v>-1</v>
      </c>
      <c r="CW23">
        <v>0</v>
      </c>
      <c r="CX23">
        <v>0</v>
      </c>
      <c r="CY23" t="s">
        <v>333</v>
      </c>
      <c r="CZ23">
        <v>2.3659699999999999</v>
      </c>
      <c r="DA23">
        <v>2.7138499999999999</v>
      </c>
      <c r="DB23">
        <v>0.14874399999999999</v>
      </c>
      <c r="DC23">
        <v>0.14707899999999999</v>
      </c>
      <c r="DD23">
        <v>0.112368</v>
      </c>
      <c r="DE23">
        <v>0.10693800000000001</v>
      </c>
      <c r="DF23">
        <v>31083.4</v>
      </c>
      <c r="DG23">
        <v>27448</v>
      </c>
      <c r="DH23">
        <v>31169</v>
      </c>
      <c r="DI23">
        <v>28037.8</v>
      </c>
      <c r="DJ23">
        <v>37553.800000000003</v>
      </c>
      <c r="DK23">
        <v>35577.699999999997</v>
      </c>
      <c r="DL23">
        <v>44348.4</v>
      </c>
      <c r="DM23">
        <v>42465.599999999999</v>
      </c>
      <c r="DN23">
        <v>1.4783299999999999</v>
      </c>
      <c r="DO23">
        <v>2.1109</v>
      </c>
      <c r="DP23">
        <v>0.15819800000000001</v>
      </c>
      <c r="DQ23">
        <v>0.257187</v>
      </c>
      <c r="DR23">
        <v>25.6282</v>
      </c>
      <c r="DS23">
        <v>25.646899999999999</v>
      </c>
      <c r="DT23">
        <v>69.3</v>
      </c>
      <c r="DU23">
        <v>24</v>
      </c>
      <c r="DV23">
        <v>20.895800000000001</v>
      </c>
      <c r="DW23">
        <v>61.941400000000002</v>
      </c>
      <c r="DX23">
        <v>35.048099999999998</v>
      </c>
      <c r="DY23">
        <v>1</v>
      </c>
      <c r="DZ23">
        <v>-0.156253</v>
      </c>
      <c r="EA23">
        <v>3.1289699999999998</v>
      </c>
      <c r="EB23">
        <v>20.144200000000001</v>
      </c>
      <c r="EC23">
        <v>5.2423000000000002</v>
      </c>
      <c r="ED23">
        <v>12.039899999999999</v>
      </c>
      <c r="EE23">
        <v>5.0168999999999997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1.8686799999999999</v>
      </c>
      <c r="EL23">
        <v>1.86432</v>
      </c>
      <c r="EM23">
        <v>1.8690500000000001</v>
      </c>
      <c r="EN23">
        <v>1.8670500000000001</v>
      </c>
      <c r="EO23">
        <v>1.8632</v>
      </c>
      <c r="EP23">
        <v>1.8641700000000001</v>
      </c>
      <c r="EQ23">
        <v>1.86999</v>
      </c>
      <c r="ER23">
        <v>1.8692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-1.244</v>
      </c>
      <c r="FG23">
        <v>0.19120000000000001</v>
      </c>
      <c r="FH23">
        <v>-0.68620417327404271</v>
      </c>
      <c r="FI23">
        <v>-6.1462078757559423E-4</v>
      </c>
      <c r="FJ23">
        <v>-1.8861989874597051E-7</v>
      </c>
      <c r="FK23">
        <v>1.1980462299894961E-10</v>
      </c>
      <c r="FL23">
        <v>0.1911242781723908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7.3</v>
      </c>
      <c r="FU23">
        <v>7.2</v>
      </c>
      <c r="FV23">
        <v>1.78589</v>
      </c>
      <c r="FW23">
        <v>2.5476100000000002</v>
      </c>
      <c r="FX23">
        <v>1.5490699999999999</v>
      </c>
      <c r="FY23">
        <v>2.34253</v>
      </c>
      <c r="FZ23">
        <v>1.50146</v>
      </c>
      <c r="GA23">
        <v>2.3547400000000001</v>
      </c>
      <c r="GB23">
        <v>29.580400000000001</v>
      </c>
      <c r="GC23">
        <v>23.982399999999998</v>
      </c>
      <c r="GD23">
        <v>19</v>
      </c>
      <c r="GE23">
        <v>279.52800000000002</v>
      </c>
      <c r="GF23">
        <v>634.50599999999997</v>
      </c>
      <c r="GG23">
        <v>28.104399999999998</v>
      </c>
      <c r="GH23">
        <v>25.401399999999999</v>
      </c>
      <c r="GI23">
        <v>30.003799999999998</v>
      </c>
      <c r="GJ23">
        <v>25.390799999999999</v>
      </c>
      <c r="GK23">
        <v>25.3171</v>
      </c>
      <c r="GL23">
        <v>35.710599999999999</v>
      </c>
      <c r="GM23">
        <v>0</v>
      </c>
      <c r="GN23">
        <v>100</v>
      </c>
      <c r="GO23">
        <v>26.636700000000001</v>
      </c>
      <c r="GP23">
        <v>800</v>
      </c>
      <c r="GQ23">
        <v>25.481999999999999</v>
      </c>
      <c r="GR23">
        <v>99.716899999999995</v>
      </c>
      <c r="GS23">
        <v>99.369699999999995</v>
      </c>
    </row>
    <row r="24" spans="1:201" x14ac:dyDescent="0.25">
      <c r="A24">
        <v>8</v>
      </c>
      <c r="B24">
        <v>1690286710.0999999</v>
      </c>
      <c r="C24">
        <v>171.5</v>
      </c>
      <c r="D24" t="s">
        <v>349</v>
      </c>
      <c r="E24" t="s">
        <v>350</v>
      </c>
      <c r="F24" t="s">
        <v>330</v>
      </c>
      <c r="H24">
        <v>1690286710.0999999</v>
      </c>
      <c r="I24">
        <f t="shared" si="0"/>
        <v>1.1940752556220871E-4</v>
      </c>
      <c r="J24">
        <f t="shared" si="1"/>
        <v>0.11940752556220871</v>
      </c>
      <c r="K24">
        <f t="shared" si="2"/>
        <v>-0.75483217410459613</v>
      </c>
      <c r="L24">
        <f t="shared" si="3"/>
        <v>806.40499999999997</v>
      </c>
      <c r="M24">
        <f t="shared" si="4"/>
        <v>972.24329871588304</v>
      </c>
      <c r="N24">
        <f t="shared" si="5"/>
        <v>96.652219816489037</v>
      </c>
      <c r="O24">
        <f t="shared" si="6"/>
        <v>80.165976380663508</v>
      </c>
      <c r="P24">
        <f t="shared" si="7"/>
        <v>6.2661801290003726E-3</v>
      </c>
      <c r="Q24">
        <f t="shared" si="8"/>
        <v>2.2940426850676161</v>
      </c>
      <c r="R24">
        <f t="shared" si="9"/>
        <v>6.2566867542484788E-3</v>
      </c>
      <c r="S24">
        <f t="shared" si="10"/>
        <v>3.9112809467390253E-3</v>
      </c>
      <c r="T24">
        <f t="shared" si="11"/>
        <v>276.10392947338414</v>
      </c>
      <c r="U24">
        <f t="shared" si="12"/>
        <v>29.588579296467532</v>
      </c>
      <c r="V24">
        <f t="shared" si="13"/>
        <v>29.588579296467532</v>
      </c>
      <c r="W24">
        <f t="shared" si="14"/>
        <v>4.1607990366224969</v>
      </c>
      <c r="X24">
        <f t="shared" si="15"/>
        <v>62.77108290284017</v>
      </c>
      <c r="Y24">
        <f t="shared" si="16"/>
        <v>2.3254450754820701</v>
      </c>
      <c r="Z24">
        <f t="shared" si="17"/>
        <v>3.7046438709389413</v>
      </c>
      <c r="AA24">
        <f t="shared" si="18"/>
        <v>1.8353539611404268</v>
      </c>
      <c r="AB24">
        <f t="shared" si="19"/>
        <v>-5.2658718772934039</v>
      </c>
      <c r="AC24">
        <f t="shared" si="20"/>
        <v>-247.42450379330478</v>
      </c>
      <c r="AD24">
        <f t="shared" si="21"/>
        <v>-23.648337878555889</v>
      </c>
      <c r="AE24">
        <f t="shared" si="22"/>
        <v>-0.2347840757699089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52190.376232009759</v>
      </c>
      <c r="AK24">
        <f t="shared" si="26"/>
        <v>1799.93</v>
      </c>
      <c r="AL24">
        <f t="shared" si="27"/>
        <v>1499.05186887126</v>
      </c>
      <c r="AM24">
        <f t="shared" si="28"/>
        <v>0.83283898199999995</v>
      </c>
      <c r="AN24">
        <f t="shared" si="29"/>
        <v>0.15339703737000002</v>
      </c>
      <c r="AO24">
        <v>29.1</v>
      </c>
      <c r="AP24">
        <v>0.5</v>
      </c>
      <c r="AQ24" t="s">
        <v>331</v>
      </c>
      <c r="AR24">
        <v>2</v>
      </c>
      <c r="AS24">
        <v>1690286710.0999999</v>
      </c>
      <c r="AT24">
        <v>806.40499999999997</v>
      </c>
      <c r="AU24">
        <v>800.02200000000005</v>
      </c>
      <c r="AV24">
        <v>23.392099999999999</v>
      </c>
      <c r="AW24">
        <v>22.261800000000001</v>
      </c>
      <c r="AX24">
        <v>807.64800000000002</v>
      </c>
      <c r="AY24">
        <v>23.201000000000001</v>
      </c>
      <c r="AZ24">
        <v>300.22800000000001</v>
      </c>
      <c r="BA24">
        <v>99.311599999999999</v>
      </c>
      <c r="BB24">
        <v>9.9956699999999996E-2</v>
      </c>
      <c r="BC24">
        <v>27.588000000000001</v>
      </c>
      <c r="BD24">
        <v>28.094000000000001</v>
      </c>
      <c r="BE24">
        <v>29.954599999999999</v>
      </c>
      <c r="BF24">
        <v>0</v>
      </c>
      <c r="BG24">
        <v>0</v>
      </c>
      <c r="BH24">
        <v>9956.25</v>
      </c>
      <c r="BI24">
        <v>1123.3699999999999</v>
      </c>
      <c r="BJ24">
        <v>1.2334499999999999</v>
      </c>
      <c r="BK24">
        <v>6.3833599999999997</v>
      </c>
      <c r="BL24">
        <v>825.721</v>
      </c>
      <c r="BM24">
        <v>818.23800000000006</v>
      </c>
      <c r="BN24">
        <v>1.13036</v>
      </c>
      <c r="BO24">
        <v>800.02200000000005</v>
      </c>
      <c r="BP24">
        <v>22.261800000000001</v>
      </c>
      <c r="BQ24">
        <v>2.3231099999999998</v>
      </c>
      <c r="BR24">
        <v>2.2108500000000002</v>
      </c>
      <c r="BS24">
        <v>19.837599999999998</v>
      </c>
      <c r="BT24">
        <v>19.0412</v>
      </c>
      <c r="BU24">
        <v>1799.93</v>
      </c>
      <c r="BV24">
        <v>0.90999600000000003</v>
      </c>
      <c r="BW24">
        <v>3.4000500000000003E-2</v>
      </c>
      <c r="BX24">
        <v>2.1994099999999999E-2</v>
      </c>
      <c r="BY24">
        <v>3.4009499999999998E-2</v>
      </c>
      <c r="BZ24">
        <v>21.75</v>
      </c>
      <c r="CA24">
        <v>33527.1</v>
      </c>
      <c r="CB24">
        <v>1690286268.5999999</v>
      </c>
      <c r="CC24" t="s">
        <v>332</v>
      </c>
      <c r="CD24">
        <v>1690286261.0999999</v>
      </c>
      <c r="CE24">
        <v>1690286268.5999999</v>
      </c>
      <c r="CF24">
        <v>1</v>
      </c>
      <c r="CG24">
        <v>-0.89900000000000002</v>
      </c>
      <c r="CH24">
        <v>3.4000000000000002E-2</v>
      </c>
      <c r="CI24">
        <v>-1.2370000000000001</v>
      </c>
      <c r="CJ24">
        <v>8.5999999999999993E-2</v>
      </c>
      <c r="CK24">
        <v>799</v>
      </c>
      <c r="CL24">
        <v>16</v>
      </c>
      <c r="CM24">
        <v>0.28999999999999998</v>
      </c>
      <c r="CN24">
        <v>0.09</v>
      </c>
      <c r="CO24">
        <v>9.8152454999999996</v>
      </c>
      <c r="CP24">
        <v>-12.72092172607884</v>
      </c>
      <c r="CQ24">
        <v>1.24342129742286</v>
      </c>
      <c r="CR24">
        <v>-1</v>
      </c>
      <c r="CS24">
        <v>1.108581</v>
      </c>
      <c r="CT24">
        <v>0.41547962476547728</v>
      </c>
      <c r="CU24">
        <v>4.2577166815090002E-2</v>
      </c>
      <c r="CV24">
        <v>-1</v>
      </c>
      <c r="CW24">
        <v>0</v>
      </c>
      <c r="CX24">
        <v>0</v>
      </c>
      <c r="CY24" t="s">
        <v>333</v>
      </c>
      <c r="CZ24">
        <v>2.36551</v>
      </c>
      <c r="DA24">
        <v>2.7137099999999998</v>
      </c>
      <c r="DB24">
        <v>0.14833399999999999</v>
      </c>
      <c r="DC24">
        <v>0.14708599999999999</v>
      </c>
      <c r="DD24">
        <v>0.112354</v>
      </c>
      <c r="DE24">
        <v>0.106934</v>
      </c>
      <c r="DF24">
        <v>31095.9</v>
      </c>
      <c r="DG24">
        <v>27446.1</v>
      </c>
      <c r="DH24">
        <v>31166.5</v>
      </c>
      <c r="DI24">
        <v>28036.1</v>
      </c>
      <c r="DJ24">
        <v>37551.699999999997</v>
      </c>
      <c r="DK24">
        <v>35575.800000000003</v>
      </c>
      <c r="DL24">
        <v>44345.2</v>
      </c>
      <c r="DM24">
        <v>42463.199999999997</v>
      </c>
      <c r="DN24">
        <v>1.476</v>
      </c>
      <c r="DO24">
        <v>2.11097</v>
      </c>
      <c r="DP24">
        <v>0.14502599999999999</v>
      </c>
      <c r="DQ24">
        <v>0.26072899999999999</v>
      </c>
      <c r="DR24">
        <v>25.721900000000002</v>
      </c>
      <c r="DS24">
        <v>25.696300000000001</v>
      </c>
      <c r="DT24">
        <v>69.400000000000006</v>
      </c>
      <c r="DU24">
        <v>24.1</v>
      </c>
      <c r="DV24">
        <v>21.0548</v>
      </c>
      <c r="DW24">
        <v>62.861400000000003</v>
      </c>
      <c r="DX24">
        <v>35.160299999999999</v>
      </c>
      <c r="DY24">
        <v>1</v>
      </c>
      <c r="DZ24">
        <v>-0.14393800000000001</v>
      </c>
      <c r="EA24">
        <v>7.28613</v>
      </c>
      <c r="EB24">
        <v>19.978200000000001</v>
      </c>
      <c r="EC24">
        <v>5.2435</v>
      </c>
      <c r="ED24">
        <v>12.039899999999999</v>
      </c>
      <c r="EE24">
        <v>5.0173500000000004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1.86866</v>
      </c>
      <c r="EL24">
        <v>1.86432</v>
      </c>
      <c r="EM24">
        <v>1.86903</v>
      </c>
      <c r="EN24">
        <v>1.8670100000000001</v>
      </c>
      <c r="EO24">
        <v>1.8631800000000001</v>
      </c>
      <c r="EP24">
        <v>1.8641700000000001</v>
      </c>
      <c r="EQ24">
        <v>1.86998</v>
      </c>
      <c r="ER24">
        <v>1.8692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-1.2430000000000001</v>
      </c>
      <c r="FG24">
        <v>0.19109999999999999</v>
      </c>
      <c r="FH24">
        <v>-0.68620417327404271</v>
      </c>
      <c r="FI24">
        <v>-6.1462078757559423E-4</v>
      </c>
      <c r="FJ24">
        <v>-1.8861989874597051E-7</v>
      </c>
      <c r="FK24">
        <v>1.1980462299894961E-10</v>
      </c>
      <c r="FL24">
        <v>0.1911242781723908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7.5</v>
      </c>
      <c r="FU24">
        <v>7.4</v>
      </c>
      <c r="FV24">
        <v>1.78589</v>
      </c>
      <c r="FW24">
        <v>2.5537100000000001</v>
      </c>
      <c r="FX24">
        <v>1.5490699999999999</v>
      </c>
      <c r="FY24">
        <v>2.34375</v>
      </c>
      <c r="FZ24">
        <v>1.50146</v>
      </c>
      <c r="GA24">
        <v>2.3022499999999999</v>
      </c>
      <c r="GB24">
        <v>29.601700000000001</v>
      </c>
      <c r="GC24">
        <v>23.938700000000001</v>
      </c>
      <c r="GD24">
        <v>19</v>
      </c>
      <c r="GE24">
        <v>278.58300000000003</v>
      </c>
      <c r="GF24">
        <v>634.66999999999996</v>
      </c>
      <c r="GG24">
        <v>25.715199999999999</v>
      </c>
      <c r="GH24">
        <v>25.4084</v>
      </c>
      <c r="GI24">
        <v>30.0059</v>
      </c>
      <c r="GJ24">
        <v>25.397200000000002</v>
      </c>
      <c r="GK24">
        <v>25.3249</v>
      </c>
      <c r="GL24">
        <v>35.712000000000003</v>
      </c>
      <c r="GM24">
        <v>0</v>
      </c>
      <c r="GN24">
        <v>100</v>
      </c>
      <c r="GO24">
        <v>24.302</v>
      </c>
      <c r="GP24">
        <v>800</v>
      </c>
      <c r="GQ24">
        <v>25.481999999999999</v>
      </c>
      <c r="GR24">
        <v>99.709500000000006</v>
      </c>
      <c r="GS24">
        <v>99.363900000000001</v>
      </c>
    </row>
    <row r="25" spans="1:201" x14ac:dyDescent="0.25">
      <c r="A25">
        <v>9</v>
      </c>
      <c r="B25">
        <v>1690286720.0999999</v>
      </c>
      <c r="C25">
        <v>181.5</v>
      </c>
      <c r="D25" t="s">
        <v>351</v>
      </c>
      <c r="E25" t="s">
        <v>352</v>
      </c>
      <c r="F25" t="s">
        <v>330</v>
      </c>
      <c r="H25">
        <v>1690286720.0999999</v>
      </c>
      <c r="I25">
        <f t="shared" si="0"/>
        <v>9.5337627497946438E-5</v>
      </c>
      <c r="J25">
        <f t="shared" si="1"/>
        <v>9.5337627497946442E-2</v>
      </c>
      <c r="K25">
        <f t="shared" si="2"/>
        <v>-0.19039862095910076</v>
      </c>
      <c r="L25">
        <f t="shared" si="3"/>
        <v>801.06399999999996</v>
      </c>
      <c r="M25">
        <f t="shared" si="4"/>
        <v>836.1502625184022</v>
      </c>
      <c r="N25">
        <f t="shared" si="5"/>
        <v>83.12263768069451</v>
      </c>
      <c r="O25">
        <f t="shared" si="6"/>
        <v>79.634672876255195</v>
      </c>
      <c r="P25">
        <f t="shared" si="7"/>
        <v>5.1290181166230428E-3</v>
      </c>
      <c r="Q25">
        <f t="shared" si="8"/>
        <v>2.2987947890499631</v>
      </c>
      <c r="R25">
        <f t="shared" si="9"/>
        <v>5.1226689782601868E-3</v>
      </c>
      <c r="S25">
        <f t="shared" si="10"/>
        <v>3.2022378887754006E-3</v>
      </c>
      <c r="T25">
        <f t="shared" si="11"/>
        <v>276.10614704297041</v>
      </c>
      <c r="U25">
        <f t="shared" si="12"/>
        <v>29.306337585526723</v>
      </c>
      <c r="V25">
        <f t="shared" si="13"/>
        <v>29.306337585526723</v>
      </c>
      <c r="W25">
        <f t="shared" si="14"/>
        <v>4.0936175950746296</v>
      </c>
      <c r="X25">
        <f t="shared" si="15"/>
        <v>63.217918933348052</v>
      </c>
      <c r="Y25">
        <f t="shared" si="16"/>
        <v>2.30300781109595</v>
      </c>
      <c r="Z25">
        <f t="shared" si="17"/>
        <v>3.6429668200942493</v>
      </c>
      <c r="AA25">
        <f t="shared" si="18"/>
        <v>1.7906097839786796</v>
      </c>
      <c r="AB25">
        <f t="shared" si="19"/>
        <v>-4.2043893726594384</v>
      </c>
      <c r="AC25">
        <f t="shared" si="20"/>
        <v>-248.50196379330237</v>
      </c>
      <c r="AD25">
        <f t="shared" si="21"/>
        <v>-23.635202593121264</v>
      </c>
      <c r="AE25">
        <f t="shared" si="22"/>
        <v>-0.23540871611268699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52419.47460152697</v>
      </c>
      <c r="AK25">
        <f t="shared" si="26"/>
        <v>1799.94</v>
      </c>
      <c r="AL25">
        <f t="shared" si="27"/>
        <v>1499.0620943978402</v>
      </c>
      <c r="AM25">
        <f t="shared" si="28"/>
        <v>0.83284003600000001</v>
      </c>
      <c r="AN25">
        <f t="shared" si="29"/>
        <v>0.15339741715999999</v>
      </c>
      <c r="AO25">
        <v>29.1</v>
      </c>
      <c r="AP25">
        <v>0.5</v>
      </c>
      <c r="AQ25" t="s">
        <v>331</v>
      </c>
      <c r="AR25">
        <v>2</v>
      </c>
      <c r="AS25">
        <v>1690286720.0999999</v>
      </c>
      <c r="AT25">
        <v>801.06399999999996</v>
      </c>
      <c r="AU25">
        <v>799.95799999999997</v>
      </c>
      <c r="AV25">
        <v>23.166499999999999</v>
      </c>
      <c r="AW25">
        <v>22.263200000000001</v>
      </c>
      <c r="AX25">
        <v>802.303</v>
      </c>
      <c r="AY25">
        <v>22.9754</v>
      </c>
      <c r="AZ25">
        <v>300.017</v>
      </c>
      <c r="BA25">
        <v>99.311300000000003</v>
      </c>
      <c r="BB25">
        <v>9.9824300000000005E-2</v>
      </c>
      <c r="BC25">
        <v>27.301200000000001</v>
      </c>
      <c r="BD25">
        <v>27.781600000000001</v>
      </c>
      <c r="BE25">
        <v>29.720099999999999</v>
      </c>
      <c r="BF25">
        <v>0</v>
      </c>
      <c r="BG25">
        <v>0</v>
      </c>
      <c r="BH25">
        <v>9991.8799999999992</v>
      </c>
      <c r="BI25">
        <v>1121.45</v>
      </c>
      <c r="BJ25">
        <v>1.1381399999999999</v>
      </c>
      <c r="BK25">
        <v>1.1064499999999999</v>
      </c>
      <c r="BL25">
        <v>820.06200000000001</v>
      </c>
      <c r="BM25">
        <v>818.173</v>
      </c>
      <c r="BN25">
        <v>0.90327800000000003</v>
      </c>
      <c r="BO25">
        <v>799.95799999999997</v>
      </c>
      <c r="BP25">
        <v>22.263200000000001</v>
      </c>
      <c r="BQ25">
        <v>2.3007</v>
      </c>
      <c r="BR25">
        <v>2.2109899999999998</v>
      </c>
      <c r="BS25">
        <v>19.6813</v>
      </c>
      <c r="BT25">
        <v>19.042200000000001</v>
      </c>
      <c r="BU25">
        <v>1799.94</v>
      </c>
      <c r="BV25">
        <v>0.91000300000000001</v>
      </c>
      <c r="BW25">
        <v>3.4003600000000002E-2</v>
      </c>
      <c r="BX25">
        <v>2.2000800000000001E-2</v>
      </c>
      <c r="BY25">
        <v>3.3992399999999999E-2</v>
      </c>
      <c r="BZ25">
        <v>22</v>
      </c>
      <c r="CA25">
        <v>33527.199999999997</v>
      </c>
      <c r="CB25">
        <v>1690286268.5999999</v>
      </c>
      <c r="CC25" t="s">
        <v>332</v>
      </c>
      <c r="CD25">
        <v>1690286261.0999999</v>
      </c>
      <c r="CE25">
        <v>1690286268.5999999</v>
      </c>
      <c r="CF25">
        <v>1</v>
      </c>
      <c r="CG25">
        <v>-0.89900000000000002</v>
      </c>
      <c r="CH25">
        <v>3.4000000000000002E-2</v>
      </c>
      <c r="CI25">
        <v>-1.2370000000000001</v>
      </c>
      <c r="CJ25">
        <v>8.5999999999999993E-2</v>
      </c>
      <c r="CK25">
        <v>799</v>
      </c>
      <c r="CL25">
        <v>16</v>
      </c>
      <c r="CM25">
        <v>0.28999999999999998</v>
      </c>
      <c r="CN25">
        <v>0.09</v>
      </c>
      <c r="CO25">
        <v>6.5878215000000004</v>
      </c>
      <c r="CP25">
        <v>-26.271372382739251</v>
      </c>
      <c r="CQ25">
        <v>2.554280629852121</v>
      </c>
      <c r="CR25">
        <v>-1</v>
      </c>
      <c r="CS25">
        <v>1.1075904249999999</v>
      </c>
      <c r="CT25">
        <v>-0.45290743339587558</v>
      </c>
      <c r="CU25">
        <v>5.3220233910086998E-2</v>
      </c>
      <c r="CV25">
        <v>-1</v>
      </c>
      <c r="CW25">
        <v>0</v>
      </c>
      <c r="CX25">
        <v>0</v>
      </c>
      <c r="CY25" t="s">
        <v>333</v>
      </c>
      <c r="CZ25">
        <v>2.3647999999999998</v>
      </c>
      <c r="DA25">
        <v>2.7136100000000001</v>
      </c>
      <c r="DB25">
        <v>0.147673</v>
      </c>
      <c r="DC25">
        <v>0.14707500000000001</v>
      </c>
      <c r="DD25">
        <v>0.111583</v>
      </c>
      <c r="DE25">
        <v>0.106937</v>
      </c>
      <c r="DF25">
        <v>31118.3</v>
      </c>
      <c r="DG25">
        <v>27445.3</v>
      </c>
      <c r="DH25">
        <v>31164.9</v>
      </c>
      <c r="DI25">
        <v>28035</v>
      </c>
      <c r="DJ25">
        <v>37582.9</v>
      </c>
      <c r="DK25">
        <v>35574.400000000001</v>
      </c>
      <c r="DL25">
        <v>44343.199999999997</v>
      </c>
      <c r="DM25">
        <v>42461.7</v>
      </c>
      <c r="DN25">
        <v>1.47465</v>
      </c>
      <c r="DO25">
        <v>2.11083</v>
      </c>
      <c r="DP25">
        <v>0.121173</v>
      </c>
      <c r="DQ25">
        <v>0.24445700000000001</v>
      </c>
      <c r="DR25">
        <v>25.799299999999999</v>
      </c>
      <c r="DS25">
        <v>25.726900000000001</v>
      </c>
      <c r="DT25">
        <v>69.400000000000006</v>
      </c>
      <c r="DU25">
        <v>24.1</v>
      </c>
      <c r="DV25">
        <v>21.051200000000001</v>
      </c>
      <c r="DW25">
        <v>61.9514</v>
      </c>
      <c r="DX25">
        <v>35.837299999999999</v>
      </c>
      <c r="DY25">
        <v>1</v>
      </c>
      <c r="DZ25">
        <v>-0.13938300000000001</v>
      </c>
      <c r="EA25">
        <v>9.0915400000000002</v>
      </c>
      <c r="EB25">
        <v>19.8841</v>
      </c>
      <c r="EC25">
        <v>5.2426000000000004</v>
      </c>
      <c r="ED25">
        <v>12.039899999999999</v>
      </c>
      <c r="EE25">
        <v>5.0170500000000002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1.8686199999999999</v>
      </c>
      <c r="EL25">
        <v>1.86432</v>
      </c>
      <c r="EM25">
        <v>1.86903</v>
      </c>
      <c r="EN25">
        <v>1.8669800000000001</v>
      </c>
      <c r="EO25">
        <v>1.8631899999999999</v>
      </c>
      <c r="EP25">
        <v>1.8641700000000001</v>
      </c>
      <c r="EQ25">
        <v>1.86998</v>
      </c>
      <c r="ER25">
        <v>1.8692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-1.2390000000000001</v>
      </c>
      <c r="FG25">
        <v>0.19109999999999999</v>
      </c>
      <c r="FH25">
        <v>-0.68620417327404271</v>
      </c>
      <c r="FI25">
        <v>-6.1462078757559423E-4</v>
      </c>
      <c r="FJ25">
        <v>-1.8861989874597051E-7</v>
      </c>
      <c r="FK25">
        <v>1.1980462299894961E-10</v>
      </c>
      <c r="FL25">
        <v>0.1911242781723908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7.7</v>
      </c>
      <c r="FU25">
        <v>7.5</v>
      </c>
      <c r="FV25">
        <v>1.78589</v>
      </c>
      <c r="FW25">
        <v>2.5622600000000002</v>
      </c>
      <c r="FX25">
        <v>1.5490699999999999</v>
      </c>
      <c r="FY25">
        <v>2.34375</v>
      </c>
      <c r="FZ25">
        <v>1.50146</v>
      </c>
      <c r="GA25">
        <v>2.2644000000000002</v>
      </c>
      <c r="GB25">
        <v>29.623000000000001</v>
      </c>
      <c r="GC25">
        <v>23.8949</v>
      </c>
      <c r="GD25">
        <v>19</v>
      </c>
      <c r="GE25">
        <v>278.03199999999998</v>
      </c>
      <c r="GF25">
        <v>634.63699999999994</v>
      </c>
      <c r="GG25">
        <v>23.459099999999999</v>
      </c>
      <c r="GH25">
        <v>25.4176</v>
      </c>
      <c r="GI25">
        <v>30.002400000000002</v>
      </c>
      <c r="GJ25">
        <v>25.400400000000001</v>
      </c>
      <c r="GK25">
        <v>25.332899999999999</v>
      </c>
      <c r="GL25">
        <v>35.711799999999997</v>
      </c>
      <c r="GM25">
        <v>0</v>
      </c>
      <c r="GN25">
        <v>100</v>
      </c>
      <c r="GO25">
        <v>22.437000000000001</v>
      </c>
      <c r="GP25">
        <v>800</v>
      </c>
      <c r="GQ25">
        <v>25.481999999999999</v>
      </c>
      <c r="GR25">
        <v>99.704599999999999</v>
      </c>
      <c r="GS25">
        <v>99.360200000000006</v>
      </c>
    </row>
    <row r="26" spans="1:201" x14ac:dyDescent="0.25">
      <c r="A26">
        <v>10</v>
      </c>
      <c r="B26">
        <v>1690286730.0999999</v>
      </c>
      <c r="C26">
        <v>191.5</v>
      </c>
      <c r="D26" t="s">
        <v>353</v>
      </c>
      <c r="E26" t="s">
        <v>354</v>
      </c>
      <c r="F26" t="s">
        <v>330</v>
      </c>
      <c r="H26">
        <v>1690286730.0999999</v>
      </c>
      <c r="I26">
        <f t="shared" si="0"/>
        <v>5.2235775380581672E-5</v>
      </c>
      <c r="J26">
        <f t="shared" si="1"/>
        <v>5.2235775380581669E-2</v>
      </c>
      <c r="K26">
        <f t="shared" si="2"/>
        <v>0.28280988189271949</v>
      </c>
      <c r="L26">
        <f t="shared" si="3"/>
        <v>796.82399999999996</v>
      </c>
      <c r="M26">
        <f t="shared" si="4"/>
        <v>618.92412345087359</v>
      </c>
      <c r="N26">
        <f t="shared" si="5"/>
        <v>61.528805872656257</v>
      </c>
      <c r="O26">
        <f t="shared" si="6"/>
        <v>79.214280641244002</v>
      </c>
      <c r="P26">
        <f t="shared" si="7"/>
        <v>2.8778101471004106E-3</v>
      </c>
      <c r="Q26">
        <f t="shared" si="8"/>
        <v>2.303221061916978</v>
      </c>
      <c r="R26">
        <f t="shared" si="9"/>
        <v>2.8758140084606592E-3</v>
      </c>
      <c r="S26">
        <f t="shared" si="10"/>
        <v>1.797562980828948E-3</v>
      </c>
      <c r="T26">
        <f t="shared" si="11"/>
        <v>276.10255209810424</v>
      </c>
      <c r="U26">
        <f t="shared" si="12"/>
        <v>28.953610233149664</v>
      </c>
      <c r="V26">
        <f t="shared" si="13"/>
        <v>28.953610233149664</v>
      </c>
      <c r="W26">
        <f t="shared" si="14"/>
        <v>4.0109894853598425</v>
      </c>
      <c r="X26">
        <f t="shared" si="15"/>
        <v>63.439078456572048</v>
      </c>
      <c r="Y26">
        <f t="shared" si="16"/>
        <v>2.2622511534897005</v>
      </c>
      <c r="Z26">
        <f t="shared" si="17"/>
        <v>3.5660214626830533</v>
      </c>
      <c r="AA26">
        <f t="shared" si="18"/>
        <v>1.7487383318701419</v>
      </c>
      <c r="AB26">
        <f t="shared" si="19"/>
        <v>-2.3035976942836518</v>
      </c>
      <c r="AC26">
        <f t="shared" si="20"/>
        <v>-250.35535275618039</v>
      </c>
      <c r="AD26">
        <f t="shared" si="21"/>
        <v>-23.681048239779155</v>
      </c>
      <c r="AE26">
        <f t="shared" si="22"/>
        <v>-0.23744659213895147</v>
      </c>
      <c r="AF26">
        <v>0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52650.552506815409</v>
      </c>
      <c r="AK26">
        <f t="shared" si="26"/>
        <v>1799.91</v>
      </c>
      <c r="AL26">
        <f t="shared" si="27"/>
        <v>1499.0380019521199</v>
      </c>
      <c r="AM26">
        <f t="shared" si="28"/>
        <v>0.83284053199999986</v>
      </c>
      <c r="AN26">
        <f t="shared" si="29"/>
        <v>0.15339797662000001</v>
      </c>
      <c r="AO26">
        <v>29.1</v>
      </c>
      <c r="AP26">
        <v>0.5</v>
      </c>
      <c r="AQ26" t="s">
        <v>331</v>
      </c>
      <c r="AR26">
        <v>2</v>
      </c>
      <c r="AS26">
        <v>1690286730.0999999</v>
      </c>
      <c r="AT26">
        <v>796.82399999999996</v>
      </c>
      <c r="AU26">
        <v>799.97</v>
      </c>
      <c r="AV26">
        <v>22.7562</v>
      </c>
      <c r="AW26">
        <v>22.261199999999999</v>
      </c>
      <c r="AX26">
        <v>798.06</v>
      </c>
      <c r="AY26">
        <v>22.565100000000001</v>
      </c>
      <c r="AZ26">
        <v>300.09500000000003</v>
      </c>
      <c r="BA26">
        <v>99.312600000000003</v>
      </c>
      <c r="BB26">
        <v>9.9918499999999993E-2</v>
      </c>
      <c r="BC26">
        <v>26.9374</v>
      </c>
      <c r="BD26">
        <v>27.432500000000001</v>
      </c>
      <c r="BE26">
        <v>29.379899999999999</v>
      </c>
      <c r="BF26">
        <v>0</v>
      </c>
      <c r="BG26">
        <v>0</v>
      </c>
      <c r="BH26">
        <v>10025</v>
      </c>
      <c r="BI26">
        <v>1118.79</v>
      </c>
      <c r="BJ26">
        <v>1.1339399999999999</v>
      </c>
      <c r="BK26">
        <v>-3.1456300000000001</v>
      </c>
      <c r="BL26">
        <v>815.37900000000002</v>
      </c>
      <c r="BM26">
        <v>818.18299999999999</v>
      </c>
      <c r="BN26">
        <v>0.49498199999999998</v>
      </c>
      <c r="BO26">
        <v>799.97</v>
      </c>
      <c r="BP26">
        <v>22.261199999999999</v>
      </c>
      <c r="BQ26">
        <v>2.25997</v>
      </c>
      <c r="BR26">
        <v>2.21082</v>
      </c>
      <c r="BS26">
        <v>19.393899999999999</v>
      </c>
      <c r="BT26">
        <v>19.040900000000001</v>
      </c>
      <c r="BU26">
        <v>1799.91</v>
      </c>
      <c r="BV26">
        <v>0.909995</v>
      </c>
      <c r="BW26">
        <v>3.4003699999999998E-2</v>
      </c>
      <c r="BX26">
        <v>2.2006600000000001E-2</v>
      </c>
      <c r="BY26">
        <v>3.3995200000000003E-2</v>
      </c>
      <c r="BZ26">
        <v>22</v>
      </c>
      <c r="CA26">
        <v>33526.699999999997</v>
      </c>
      <c r="CB26">
        <v>1690286268.5999999</v>
      </c>
      <c r="CC26" t="s">
        <v>332</v>
      </c>
      <c r="CD26">
        <v>1690286261.0999999</v>
      </c>
      <c r="CE26">
        <v>1690286268.5999999</v>
      </c>
      <c r="CF26">
        <v>1</v>
      </c>
      <c r="CG26">
        <v>-0.89900000000000002</v>
      </c>
      <c r="CH26">
        <v>3.4000000000000002E-2</v>
      </c>
      <c r="CI26">
        <v>-1.2370000000000001</v>
      </c>
      <c r="CJ26">
        <v>8.5999999999999993E-2</v>
      </c>
      <c r="CK26">
        <v>799</v>
      </c>
      <c r="CL26">
        <v>16</v>
      </c>
      <c r="CM26">
        <v>0.28999999999999998</v>
      </c>
      <c r="CN26">
        <v>0.09</v>
      </c>
      <c r="CO26">
        <v>1.91317774725</v>
      </c>
      <c r="CP26">
        <v>-29.503292844090069</v>
      </c>
      <c r="CQ26">
        <v>2.8420639703796078</v>
      </c>
      <c r="CR26">
        <v>-1</v>
      </c>
      <c r="CS26">
        <v>0.91258450000000013</v>
      </c>
      <c r="CT26">
        <v>-1.8686001951219531</v>
      </c>
      <c r="CU26">
        <v>0.18279291868669309</v>
      </c>
      <c r="CV26">
        <v>-1</v>
      </c>
      <c r="CW26">
        <v>0</v>
      </c>
      <c r="CX26">
        <v>0</v>
      </c>
      <c r="CY26" t="s">
        <v>333</v>
      </c>
      <c r="CZ26">
        <v>2.3650500000000001</v>
      </c>
      <c r="DA26">
        <v>2.71373</v>
      </c>
      <c r="DB26">
        <v>0.147144</v>
      </c>
      <c r="DC26">
        <v>0.14707600000000001</v>
      </c>
      <c r="DD26">
        <v>0.110177</v>
      </c>
      <c r="DE26">
        <v>0.106929</v>
      </c>
      <c r="DF26">
        <v>31137.7</v>
      </c>
      <c r="DG26">
        <v>27446</v>
      </c>
      <c r="DH26">
        <v>31165.1</v>
      </c>
      <c r="DI26">
        <v>28035.8</v>
      </c>
      <c r="DJ26">
        <v>37643.199999999997</v>
      </c>
      <c r="DK26">
        <v>35575.800000000003</v>
      </c>
      <c r="DL26">
        <v>44343.4</v>
      </c>
      <c r="DM26">
        <v>42463</v>
      </c>
      <c r="DN26">
        <v>1.47485</v>
      </c>
      <c r="DO26">
        <v>2.1103200000000002</v>
      </c>
      <c r="DP26">
        <v>9.6693600000000005E-2</v>
      </c>
      <c r="DQ26">
        <v>0.22342100000000001</v>
      </c>
      <c r="DR26">
        <v>25.850300000000001</v>
      </c>
      <c r="DS26">
        <v>25.729399999999998</v>
      </c>
      <c r="DT26">
        <v>69.5</v>
      </c>
      <c r="DU26">
        <v>24.1</v>
      </c>
      <c r="DV26">
        <v>21.086200000000002</v>
      </c>
      <c r="DW26">
        <v>62.511400000000002</v>
      </c>
      <c r="DX26">
        <v>36.478400000000001</v>
      </c>
      <c r="DY26">
        <v>1</v>
      </c>
      <c r="DZ26">
        <v>-0.13931399999999999</v>
      </c>
      <c r="EA26">
        <v>8.9718699999999991</v>
      </c>
      <c r="EB26">
        <v>19.901</v>
      </c>
      <c r="EC26">
        <v>5.24125</v>
      </c>
      <c r="ED26">
        <v>12.039899999999999</v>
      </c>
      <c r="EE26">
        <v>5.0171000000000001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1.8687</v>
      </c>
      <c r="EL26">
        <v>1.8643400000000001</v>
      </c>
      <c r="EM26">
        <v>1.8690199999999999</v>
      </c>
      <c r="EN26">
        <v>1.8670199999999999</v>
      </c>
      <c r="EO26">
        <v>1.8631899999999999</v>
      </c>
      <c r="EP26">
        <v>1.8641700000000001</v>
      </c>
      <c r="EQ26">
        <v>1.8699699999999999</v>
      </c>
      <c r="ER26">
        <v>1.8692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-1.236</v>
      </c>
      <c r="FG26">
        <v>0.19109999999999999</v>
      </c>
      <c r="FH26">
        <v>-0.68620417327404271</v>
      </c>
      <c r="FI26">
        <v>-6.1462078757559423E-4</v>
      </c>
      <c r="FJ26">
        <v>-1.8861989874597051E-7</v>
      </c>
      <c r="FK26">
        <v>1.1980462299894961E-10</v>
      </c>
      <c r="FL26">
        <v>0.1911242781723908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7.8</v>
      </c>
      <c r="FU26">
        <v>7.7</v>
      </c>
      <c r="FV26">
        <v>1.78711</v>
      </c>
      <c r="FW26">
        <v>2.5573700000000001</v>
      </c>
      <c r="FX26">
        <v>1.5490699999999999</v>
      </c>
      <c r="FY26">
        <v>2.34375</v>
      </c>
      <c r="FZ26">
        <v>1.50146</v>
      </c>
      <c r="GA26">
        <v>2.3303199999999999</v>
      </c>
      <c r="GB26">
        <v>29.623000000000001</v>
      </c>
      <c r="GC26">
        <v>23.912400000000002</v>
      </c>
      <c r="GD26">
        <v>19</v>
      </c>
      <c r="GE26">
        <v>278.12799999999999</v>
      </c>
      <c r="GF26">
        <v>634.303</v>
      </c>
      <c r="GG26">
        <v>21.651399999999999</v>
      </c>
      <c r="GH26">
        <v>25.430399999999999</v>
      </c>
      <c r="GI26">
        <v>30.0002</v>
      </c>
      <c r="GJ26">
        <v>25.403099999999998</v>
      </c>
      <c r="GK26">
        <v>25.3413</v>
      </c>
      <c r="GL26">
        <v>35.716999999999999</v>
      </c>
      <c r="GM26">
        <v>0</v>
      </c>
      <c r="GN26">
        <v>100</v>
      </c>
      <c r="GO26">
        <v>21.257999999999999</v>
      </c>
      <c r="GP26">
        <v>800</v>
      </c>
      <c r="GQ26">
        <v>25.481999999999999</v>
      </c>
      <c r="GR26">
        <v>99.705200000000005</v>
      </c>
      <c r="GS26">
        <v>99.363100000000003</v>
      </c>
    </row>
    <row r="27" spans="1:201" x14ac:dyDescent="0.25">
      <c r="A27">
        <v>11</v>
      </c>
      <c r="B27">
        <v>1690286740.0999999</v>
      </c>
      <c r="C27">
        <v>201.5</v>
      </c>
      <c r="D27" t="s">
        <v>355</v>
      </c>
      <c r="E27" t="s">
        <v>356</v>
      </c>
      <c r="F27" t="s">
        <v>330</v>
      </c>
      <c r="H27">
        <v>1690286740.0999999</v>
      </c>
      <c r="I27">
        <f t="shared" si="0"/>
        <v>6.7827002860500383E-6</v>
      </c>
      <c r="J27">
        <f t="shared" si="1"/>
        <v>6.7827002860500387E-3</v>
      </c>
      <c r="K27">
        <f t="shared" si="2"/>
        <v>0.643615432305646</v>
      </c>
      <c r="L27">
        <f t="shared" si="3"/>
        <v>793.66200000000003</v>
      </c>
      <c r="M27">
        <f t="shared" si="4"/>
        <v>-1903.9328491867002</v>
      </c>
      <c r="N27">
        <f t="shared" si="5"/>
        <v>-189.27132775356986</v>
      </c>
      <c r="O27">
        <f t="shared" si="6"/>
        <v>78.898507681991987</v>
      </c>
      <c r="P27">
        <f t="shared" si="7"/>
        <v>3.795382728690312E-4</v>
      </c>
      <c r="Q27">
        <f t="shared" si="8"/>
        <v>2.3016128351397644</v>
      </c>
      <c r="R27">
        <f t="shared" si="9"/>
        <v>3.7950350617376035E-4</v>
      </c>
      <c r="S27">
        <f t="shared" si="10"/>
        <v>2.3719281466428102E-4</v>
      </c>
      <c r="T27">
        <f t="shared" si="11"/>
        <v>276.10576831759505</v>
      </c>
      <c r="U27">
        <f t="shared" si="12"/>
        <v>28.650049342794393</v>
      </c>
      <c r="V27">
        <f t="shared" si="13"/>
        <v>28.650049342794393</v>
      </c>
      <c r="W27">
        <f t="shared" si="14"/>
        <v>3.941047075759593</v>
      </c>
      <c r="X27">
        <f t="shared" si="15"/>
        <v>63.420191623823015</v>
      </c>
      <c r="Y27">
        <f t="shared" si="16"/>
        <v>2.2193740579147998</v>
      </c>
      <c r="Z27">
        <f t="shared" si="17"/>
        <v>3.4994754842101723</v>
      </c>
      <c r="AA27">
        <f t="shared" si="18"/>
        <v>1.7216730178447932</v>
      </c>
      <c r="AB27">
        <f t="shared" si="19"/>
        <v>-0.29911708261480668</v>
      </c>
      <c r="AC27">
        <f t="shared" si="20"/>
        <v>-252.24519829291773</v>
      </c>
      <c r="AD27">
        <f t="shared" si="21"/>
        <v>-23.802329798399139</v>
      </c>
      <c r="AE27">
        <f t="shared" si="22"/>
        <v>-0.24087685633662659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52645.832455243246</v>
      </c>
      <c r="AK27">
        <f t="shared" si="26"/>
        <v>1799.94</v>
      </c>
      <c r="AL27">
        <f t="shared" si="27"/>
        <v>1499.0617686086998</v>
      </c>
      <c r="AM27">
        <f t="shared" si="28"/>
        <v>0.83283985499999991</v>
      </c>
      <c r="AN27">
        <f t="shared" si="29"/>
        <v>0.15339720675000001</v>
      </c>
      <c r="AO27">
        <v>29.1</v>
      </c>
      <c r="AP27">
        <v>0.5</v>
      </c>
      <c r="AQ27" t="s">
        <v>331</v>
      </c>
      <c r="AR27">
        <v>2</v>
      </c>
      <c r="AS27">
        <v>1690286740.0999999</v>
      </c>
      <c r="AT27">
        <v>793.66200000000003</v>
      </c>
      <c r="AU27">
        <v>799.95500000000004</v>
      </c>
      <c r="AV27">
        <v>22.325299999999999</v>
      </c>
      <c r="AW27">
        <v>22.260999999999999</v>
      </c>
      <c r="AX27">
        <v>794.89599999999996</v>
      </c>
      <c r="AY27">
        <v>22.1342</v>
      </c>
      <c r="AZ27">
        <v>300.10899999999998</v>
      </c>
      <c r="BA27">
        <v>99.310699999999997</v>
      </c>
      <c r="BB27">
        <v>0.10001599999999999</v>
      </c>
      <c r="BC27">
        <v>26.6172</v>
      </c>
      <c r="BD27">
        <v>27.0686</v>
      </c>
      <c r="BE27">
        <v>28.998200000000001</v>
      </c>
      <c r="BF27">
        <v>0</v>
      </c>
      <c r="BG27">
        <v>0</v>
      </c>
      <c r="BH27">
        <v>10013.1</v>
      </c>
      <c r="BI27">
        <v>1115.7</v>
      </c>
      <c r="BJ27">
        <v>1.1367400000000001</v>
      </c>
      <c r="BK27">
        <v>-6.2932100000000002</v>
      </c>
      <c r="BL27">
        <v>811.78499999999997</v>
      </c>
      <c r="BM27">
        <v>818.16800000000001</v>
      </c>
      <c r="BN27">
        <v>6.4266199999999996E-2</v>
      </c>
      <c r="BO27">
        <v>799.95500000000004</v>
      </c>
      <c r="BP27">
        <v>22.260999999999999</v>
      </c>
      <c r="BQ27">
        <v>2.2171400000000001</v>
      </c>
      <c r="BR27">
        <v>2.2107600000000001</v>
      </c>
      <c r="BS27">
        <v>19.0867</v>
      </c>
      <c r="BT27">
        <v>19.040500000000002</v>
      </c>
      <c r="BU27">
        <v>1799.94</v>
      </c>
      <c r="BV27">
        <v>0.91</v>
      </c>
      <c r="BW27">
        <v>3.4000799999999998E-2</v>
      </c>
      <c r="BX27">
        <v>2.1996000000000002E-2</v>
      </c>
      <c r="BY27">
        <v>3.4003699999999998E-2</v>
      </c>
      <c r="BZ27">
        <v>22</v>
      </c>
      <c r="CA27">
        <v>33527.4</v>
      </c>
      <c r="CB27">
        <v>1690286268.5999999</v>
      </c>
      <c r="CC27" t="s">
        <v>332</v>
      </c>
      <c r="CD27">
        <v>1690286261.0999999</v>
      </c>
      <c r="CE27">
        <v>1690286268.5999999</v>
      </c>
      <c r="CF27">
        <v>1</v>
      </c>
      <c r="CG27">
        <v>-0.89900000000000002</v>
      </c>
      <c r="CH27">
        <v>3.4000000000000002E-2</v>
      </c>
      <c r="CI27">
        <v>-1.2370000000000001</v>
      </c>
      <c r="CJ27">
        <v>8.5999999999999993E-2</v>
      </c>
      <c r="CK27">
        <v>799</v>
      </c>
      <c r="CL27">
        <v>16</v>
      </c>
      <c r="CM27">
        <v>0.28999999999999998</v>
      </c>
      <c r="CN27">
        <v>0.09</v>
      </c>
      <c r="CO27">
        <v>-2.4903392527500001</v>
      </c>
      <c r="CP27">
        <v>-23.283787353658539</v>
      </c>
      <c r="CQ27">
        <v>2.2461206661486508</v>
      </c>
      <c r="CR27">
        <v>-1</v>
      </c>
      <c r="CS27">
        <v>0.54208824999999994</v>
      </c>
      <c r="CT27">
        <v>-2.538461335834902</v>
      </c>
      <c r="CU27">
        <v>0.24425310550244289</v>
      </c>
      <c r="CV27">
        <v>-1</v>
      </c>
      <c r="CW27">
        <v>0</v>
      </c>
      <c r="CX27">
        <v>0</v>
      </c>
      <c r="CY27" t="s">
        <v>333</v>
      </c>
      <c r="CZ27">
        <v>2.3650799999999998</v>
      </c>
      <c r="DA27">
        <v>2.7138200000000001</v>
      </c>
      <c r="DB27">
        <v>0.14674100000000001</v>
      </c>
      <c r="DC27">
        <v>0.14706900000000001</v>
      </c>
      <c r="DD27">
        <v>0.108686</v>
      </c>
      <c r="DE27">
        <v>0.10692500000000001</v>
      </c>
      <c r="DF27">
        <v>31153</v>
      </c>
      <c r="DG27">
        <v>27446.9</v>
      </c>
      <c r="DH27">
        <v>31165.7</v>
      </c>
      <c r="DI27">
        <v>28036.5</v>
      </c>
      <c r="DJ27">
        <v>37707.9</v>
      </c>
      <c r="DK27">
        <v>35576.800000000003</v>
      </c>
      <c r="DL27">
        <v>44344.4</v>
      </c>
      <c r="DM27">
        <v>42464</v>
      </c>
      <c r="DN27">
        <v>1.47557</v>
      </c>
      <c r="DO27">
        <v>2.1100500000000002</v>
      </c>
      <c r="DP27">
        <v>7.3093900000000003E-2</v>
      </c>
      <c r="DQ27">
        <v>0.20182900000000001</v>
      </c>
      <c r="DR27">
        <v>25.872299999999999</v>
      </c>
      <c r="DS27">
        <v>25.699300000000001</v>
      </c>
      <c r="DT27">
        <v>69.5</v>
      </c>
      <c r="DU27">
        <v>24.1</v>
      </c>
      <c r="DV27">
        <v>21.086099999999998</v>
      </c>
      <c r="DW27">
        <v>62.561399999999999</v>
      </c>
      <c r="DX27">
        <v>36.229999999999997</v>
      </c>
      <c r="DY27">
        <v>1</v>
      </c>
      <c r="DZ27">
        <v>-0.14341200000000001</v>
      </c>
      <c r="EA27">
        <v>6.2393299999999998</v>
      </c>
      <c r="EB27">
        <v>20.0532</v>
      </c>
      <c r="EC27">
        <v>5.2411000000000003</v>
      </c>
      <c r="ED27">
        <v>12.039899999999999</v>
      </c>
      <c r="EE27">
        <v>5.0167000000000002</v>
      </c>
      <c r="EF27">
        <v>3.2879499999999999</v>
      </c>
      <c r="EG27">
        <v>9999</v>
      </c>
      <c r="EH27">
        <v>9999</v>
      </c>
      <c r="EI27">
        <v>9999</v>
      </c>
      <c r="EJ27">
        <v>999.9</v>
      </c>
      <c r="EK27">
        <v>1.8687</v>
      </c>
      <c r="EL27">
        <v>1.86433</v>
      </c>
      <c r="EM27">
        <v>1.86904</v>
      </c>
      <c r="EN27">
        <v>1.86703</v>
      </c>
      <c r="EO27">
        <v>1.8632299999999999</v>
      </c>
      <c r="EP27">
        <v>1.8641700000000001</v>
      </c>
      <c r="EQ27">
        <v>1.86998</v>
      </c>
      <c r="ER27">
        <v>1.86921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-1.234</v>
      </c>
      <c r="FG27">
        <v>0.19109999999999999</v>
      </c>
      <c r="FH27">
        <v>-0.68620417327404271</v>
      </c>
      <c r="FI27">
        <v>-6.1462078757559423E-4</v>
      </c>
      <c r="FJ27">
        <v>-1.8861989874597051E-7</v>
      </c>
      <c r="FK27">
        <v>1.1980462299894961E-10</v>
      </c>
      <c r="FL27">
        <v>0.1911242781723908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8</v>
      </c>
      <c r="FU27">
        <v>7.9</v>
      </c>
      <c r="FV27">
        <v>1.78711</v>
      </c>
      <c r="FW27">
        <v>2.5537100000000001</v>
      </c>
      <c r="FX27">
        <v>1.5490699999999999</v>
      </c>
      <c r="FY27">
        <v>2.34375</v>
      </c>
      <c r="FZ27">
        <v>1.50146</v>
      </c>
      <c r="GA27">
        <v>2.3791500000000001</v>
      </c>
      <c r="GB27">
        <v>29.644300000000001</v>
      </c>
      <c r="GC27">
        <v>23.956199999999999</v>
      </c>
      <c r="GD27">
        <v>19</v>
      </c>
      <c r="GE27">
        <v>278.459</v>
      </c>
      <c r="GF27">
        <v>634.17399999999998</v>
      </c>
      <c r="GG27">
        <v>20.61</v>
      </c>
      <c r="GH27">
        <v>25.4465</v>
      </c>
      <c r="GI27">
        <v>29.997599999999998</v>
      </c>
      <c r="GJ27">
        <v>25.409500000000001</v>
      </c>
      <c r="GK27">
        <v>25.350300000000001</v>
      </c>
      <c r="GL27">
        <v>35.718299999999999</v>
      </c>
      <c r="GM27">
        <v>0</v>
      </c>
      <c r="GN27">
        <v>100</v>
      </c>
      <c r="GO27">
        <v>20.816299999999998</v>
      </c>
      <c r="GP27">
        <v>800</v>
      </c>
      <c r="GQ27">
        <v>25.481999999999999</v>
      </c>
      <c r="GR27">
        <v>99.707400000000007</v>
      </c>
      <c r="GS27">
        <v>99.365600000000001</v>
      </c>
    </row>
    <row r="28" spans="1:201" x14ac:dyDescent="0.25">
      <c r="A28">
        <v>12</v>
      </c>
      <c r="B28">
        <v>1690286750.0999999</v>
      </c>
      <c r="C28">
        <v>211.5</v>
      </c>
      <c r="D28" t="s">
        <v>357</v>
      </c>
      <c r="E28" t="s">
        <v>358</v>
      </c>
      <c r="F28" t="s">
        <v>330</v>
      </c>
      <c r="H28">
        <v>1690286750.0999999</v>
      </c>
      <c r="I28">
        <f t="shared" si="0"/>
        <v>-7.0371000936363294E-6</v>
      </c>
      <c r="J28">
        <f t="shared" si="1"/>
        <v>-7.0371000936363297E-3</v>
      </c>
      <c r="K28">
        <f t="shared" si="2"/>
        <v>0.94000871013372955</v>
      </c>
      <c r="L28">
        <f t="shared" si="3"/>
        <v>790.88099999999997</v>
      </c>
      <c r="M28">
        <f t="shared" si="4"/>
        <v>4469.389894108619</v>
      </c>
      <c r="N28">
        <f t="shared" si="5"/>
        <v>444.31901517737583</v>
      </c>
      <c r="O28">
        <f t="shared" si="6"/>
        <v>78.624482394275987</v>
      </c>
      <c r="P28">
        <f t="shared" si="7"/>
        <v>-4.0078135662456219E-4</v>
      </c>
      <c r="Q28">
        <f t="shared" si="8"/>
        <v>2.2944878498279029</v>
      </c>
      <c r="R28">
        <f t="shared" si="9"/>
        <v>-4.0082025238552646E-4</v>
      </c>
      <c r="S28">
        <f t="shared" si="10"/>
        <v>-2.5050916288630768E-4</v>
      </c>
      <c r="T28">
        <f t="shared" si="11"/>
        <v>276.10774849726755</v>
      </c>
      <c r="U28">
        <f t="shared" si="12"/>
        <v>28.461689073374323</v>
      </c>
      <c r="V28">
        <f t="shared" si="13"/>
        <v>28.461689073374323</v>
      </c>
      <c r="W28">
        <f t="shared" si="14"/>
        <v>3.8981844992917138</v>
      </c>
      <c r="X28">
        <f t="shared" si="15"/>
        <v>63.793074879894306</v>
      </c>
      <c r="Y28">
        <f t="shared" si="16"/>
        <v>2.2063897884239996</v>
      </c>
      <c r="Z28">
        <f t="shared" si="17"/>
        <v>3.4586666226358505</v>
      </c>
      <c r="AA28">
        <f t="shared" si="18"/>
        <v>1.6917947108677143</v>
      </c>
      <c r="AB28">
        <f t="shared" si="19"/>
        <v>0.31033611412936213</v>
      </c>
      <c r="AC28">
        <f t="shared" si="20"/>
        <v>-252.78047495131725</v>
      </c>
      <c r="AD28">
        <f t="shared" si="21"/>
        <v>-23.880697825434311</v>
      </c>
      <c r="AE28">
        <f t="shared" si="22"/>
        <v>-0.24308816535463507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52411.149722443151</v>
      </c>
      <c r="AK28">
        <f t="shared" si="26"/>
        <v>1799.95</v>
      </c>
      <c r="AL28">
        <f t="shared" si="27"/>
        <v>1499.0699440115</v>
      </c>
      <c r="AM28">
        <f t="shared" si="28"/>
        <v>0.83283976999999998</v>
      </c>
      <c r="AN28">
        <f t="shared" si="29"/>
        <v>0.15339745465000001</v>
      </c>
      <c r="AO28">
        <v>29.1</v>
      </c>
      <c r="AP28">
        <v>0.5</v>
      </c>
      <c r="AQ28" t="s">
        <v>331</v>
      </c>
      <c r="AR28">
        <v>2</v>
      </c>
      <c r="AS28">
        <v>1690286750.0999999</v>
      </c>
      <c r="AT28">
        <v>790.88099999999997</v>
      </c>
      <c r="AU28">
        <v>799.93899999999996</v>
      </c>
      <c r="AV28">
        <v>22.193999999999999</v>
      </c>
      <c r="AW28">
        <v>22.2607</v>
      </c>
      <c r="AX28">
        <v>792.11300000000006</v>
      </c>
      <c r="AY28">
        <v>22.0029</v>
      </c>
      <c r="AZ28">
        <v>300.202</v>
      </c>
      <c r="BA28">
        <v>99.313599999999994</v>
      </c>
      <c r="BB28">
        <v>0.10019599999999999</v>
      </c>
      <c r="BC28">
        <v>26.418199999999999</v>
      </c>
      <c r="BD28">
        <v>26.811499999999999</v>
      </c>
      <c r="BE28">
        <v>28.745200000000001</v>
      </c>
      <c r="BF28">
        <v>0</v>
      </c>
      <c r="BG28">
        <v>0</v>
      </c>
      <c r="BH28">
        <v>9959.3799999999992</v>
      </c>
      <c r="BI28">
        <v>1112.4100000000001</v>
      </c>
      <c r="BJ28">
        <v>1.1213200000000001</v>
      </c>
      <c r="BK28">
        <v>-9.0575600000000005</v>
      </c>
      <c r="BL28">
        <v>808.83299999999997</v>
      </c>
      <c r="BM28">
        <v>818.15200000000004</v>
      </c>
      <c r="BN28">
        <v>-6.6692399999999999E-2</v>
      </c>
      <c r="BO28">
        <v>799.93899999999996</v>
      </c>
      <c r="BP28">
        <v>22.2607</v>
      </c>
      <c r="BQ28">
        <v>2.20417</v>
      </c>
      <c r="BR28">
        <v>2.2107899999999998</v>
      </c>
      <c r="BS28">
        <v>18.992599999999999</v>
      </c>
      <c r="BT28">
        <v>19.040700000000001</v>
      </c>
      <c r="BU28">
        <v>1799.95</v>
      </c>
      <c r="BV28">
        <v>0.90999799999999997</v>
      </c>
      <c r="BW28">
        <v>3.4002200000000003E-2</v>
      </c>
      <c r="BX28">
        <v>2.2000499999999999E-2</v>
      </c>
      <c r="BY28">
        <v>3.3999300000000003E-2</v>
      </c>
      <c r="BZ28">
        <v>22</v>
      </c>
      <c r="CA28">
        <v>33527.5</v>
      </c>
      <c r="CB28">
        <v>1690286268.5999999</v>
      </c>
      <c r="CC28" t="s">
        <v>332</v>
      </c>
      <c r="CD28">
        <v>1690286261.0999999</v>
      </c>
      <c r="CE28">
        <v>1690286268.5999999</v>
      </c>
      <c r="CF28">
        <v>1</v>
      </c>
      <c r="CG28">
        <v>-0.89900000000000002</v>
      </c>
      <c r="CH28">
        <v>3.4000000000000002E-2</v>
      </c>
      <c r="CI28">
        <v>-1.2370000000000001</v>
      </c>
      <c r="CJ28">
        <v>8.5999999999999993E-2</v>
      </c>
      <c r="CK28">
        <v>799</v>
      </c>
      <c r="CL28">
        <v>16</v>
      </c>
      <c r="CM28">
        <v>0.28999999999999998</v>
      </c>
      <c r="CN28">
        <v>0.09</v>
      </c>
      <c r="CO28">
        <v>-5.945793170731708</v>
      </c>
      <c r="CP28">
        <v>-17.477687665505218</v>
      </c>
      <c r="CQ28">
        <v>1.726131010064005</v>
      </c>
      <c r="CR28">
        <v>-1</v>
      </c>
      <c r="CS28">
        <v>0.14060750707317071</v>
      </c>
      <c r="CT28">
        <v>-2.1102087043902431</v>
      </c>
      <c r="CU28">
        <v>0.21122546494940139</v>
      </c>
      <c r="CV28">
        <v>-1</v>
      </c>
      <c r="CW28">
        <v>0</v>
      </c>
      <c r="CX28">
        <v>0</v>
      </c>
      <c r="CY28" t="s">
        <v>333</v>
      </c>
      <c r="CZ28">
        <v>2.3653499999999998</v>
      </c>
      <c r="DA28">
        <v>2.7139500000000001</v>
      </c>
      <c r="DB28">
        <v>0.146394</v>
      </c>
      <c r="DC28">
        <v>0.147067</v>
      </c>
      <c r="DD28">
        <v>0.10822900000000001</v>
      </c>
      <c r="DE28">
        <v>0.10692400000000001</v>
      </c>
      <c r="DF28">
        <v>31167.3</v>
      </c>
      <c r="DG28">
        <v>27448.5</v>
      </c>
      <c r="DH28">
        <v>31167.4</v>
      </c>
      <c r="DI28">
        <v>28038.1</v>
      </c>
      <c r="DJ28">
        <v>37729.800000000003</v>
      </c>
      <c r="DK28">
        <v>35578.800000000003</v>
      </c>
      <c r="DL28">
        <v>44347.199999999997</v>
      </c>
      <c r="DM28">
        <v>42466.3</v>
      </c>
      <c r="DN28">
        <v>1.48248</v>
      </c>
      <c r="DO28">
        <v>2.1096300000000001</v>
      </c>
      <c r="DP28">
        <v>5.7592999999999998E-2</v>
      </c>
      <c r="DQ28">
        <v>0.18950600000000001</v>
      </c>
      <c r="DR28">
        <v>25.8687</v>
      </c>
      <c r="DS28">
        <v>25.646999999999998</v>
      </c>
      <c r="DT28">
        <v>69.5</v>
      </c>
      <c r="DU28">
        <v>24.1</v>
      </c>
      <c r="DV28">
        <v>21.083400000000001</v>
      </c>
      <c r="DW28">
        <v>62.641399999999997</v>
      </c>
      <c r="DX28">
        <v>35.520800000000001</v>
      </c>
      <c r="DY28">
        <v>1</v>
      </c>
      <c r="DZ28">
        <v>-0.148092</v>
      </c>
      <c r="EA28">
        <v>-6.6666699999999999</v>
      </c>
      <c r="EB28">
        <v>19.996300000000002</v>
      </c>
      <c r="EC28">
        <v>5.2409499999999998</v>
      </c>
      <c r="ED28">
        <v>12.039899999999999</v>
      </c>
      <c r="EE28">
        <v>5.0171000000000001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1.86869</v>
      </c>
      <c r="EL28">
        <v>1.86432</v>
      </c>
      <c r="EM28">
        <v>1.8690500000000001</v>
      </c>
      <c r="EN28">
        <v>1.8670500000000001</v>
      </c>
      <c r="EO28">
        <v>1.86321</v>
      </c>
      <c r="EP28">
        <v>1.8641700000000001</v>
      </c>
      <c r="EQ28">
        <v>1.86999</v>
      </c>
      <c r="ER28">
        <v>1.8692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-1.232</v>
      </c>
      <c r="FG28">
        <v>0.19109999999999999</v>
      </c>
      <c r="FH28">
        <v>-0.68620417327404271</v>
      </c>
      <c r="FI28">
        <v>-6.1462078757559423E-4</v>
      </c>
      <c r="FJ28">
        <v>-1.8861989874597051E-7</v>
      </c>
      <c r="FK28">
        <v>1.1980462299894961E-10</v>
      </c>
      <c r="FL28">
        <v>0.1911242781723908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8.1999999999999993</v>
      </c>
      <c r="FU28">
        <v>8</v>
      </c>
      <c r="FV28">
        <v>1.78711</v>
      </c>
      <c r="FW28">
        <v>2.5549300000000001</v>
      </c>
      <c r="FX28">
        <v>1.5490699999999999</v>
      </c>
      <c r="FY28">
        <v>2.34375</v>
      </c>
      <c r="FZ28">
        <v>1.50146</v>
      </c>
      <c r="GA28">
        <v>2.3938000000000001</v>
      </c>
      <c r="GB28">
        <v>29.665700000000001</v>
      </c>
      <c r="GC28">
        <v>23.921099999999999</v>
      </c>
      <c r="GD28">
        <v>19</v>
      </c>
      <c r="GE28">
        <v>281.41300000000001</v>
      </c>
      <c r="GF28">
        <v>633.91999999999996</v>
      </c>
      <c r="GG28">
        <v>22.154800000000002</v>
      </c>
      <c r="GH28">
        <v>25.465800000000002</v>
      </c>
      <c r="GI28">
        <v>29.999700000000001</v>
      </c>
      <c r="GJ28">
        <v>25.4222</v>
      </c>
      <c r="GK28">
        <v>25.3598</v>
      </c>
      <c r="GL28">
        <v>35.723399999999998</v>
      </c>
      <c r="GM28">
        <v>0</v>
      </c>
      <c r="GN28">
        <v>100</v>
      </c>
      <c r="GO28">
        <v>25.8048</v>
      </c>
      <c r="GP28">
        <v>800</v>
      </c>
      <c r="GQ28">
        <v>25.481999999999999</v>
      </c>
      <c r="GR28">
        <v>99.713300000000004</v>
      </c>
      <c r="GS28">
        <v>99.371099999999998</v>
      </c>
    </row>
    <row r="29" spans="1:201" x14ac:dyDescent="0.25">
      <c r="A29">
        <v>13</v>
      </c>
      <c r="B29">
        <v>1690286760.0999999</v>
      </c>
      <c r="C29">
        <v>221.5</v>
      </c>
      <c r="D29" t="s">
        <v>359</v>
      </c>
      <c r="E29" t="s">
        <v>360</v>
      </c>
      <c r="F29" t="s">
        <v>330</v>
      </c>
      <c r="H29">
        <v>1690286760.0999999</v>
      </c>
      <c r="I29">
        <f t="shared" si="0"/>
        <v>1.1682093203210726E-4</v>
      </c>
      <c r="J29">
        <f t="shared" si="1"/>
        <v>0.11682093203210726</v>
      </c>
      <c r="K29">
        <f t="shared" si="2"/>
        <v>1.1735896824524106</v>
      </c>
      <c r="L29">
        <f t="shared" si="3"/>
        <v>787.78</v>
      </c>
      <c r="M29">
        <f t="shared" si="4"/>
        <v>500.06243244646419</v>
      </c>
      <c r="N29">
        <f t="shared" si="5"/>
        <v>49.712989632137109</v>
      </c>
      <c r="O29">
        <f t="shared" si="6"/>
        <v>78.316019023479996</v>
      </c>
      <c r="P29">
        <f t="shared" si="7"/>
        <v>6.9546254721829671E-3</v>
      </c>
      <c r="Q29">
        <f t="shared" si="8"/>
        <v>2.3054809606029432</v>
      </c>
      <c r="R29">
        <f t="shared" si="9"/>
        <v>6.9429914956484345E-3</v>
      </c>
      <c r="S29">
        <f t="shared" si="10"/>
        <v>4.34041330776401E-3</v>
      </c>
      <c r="T29">
        <f t="shared" si="11"/>
        <v>276.10787010188949</v>
      </c>
      <c r="U29">
        <f t="shared" si="12"/>
        <v>28.657853365729196</v>
      </c>
      <c r="V29">
        <f t="shared" si="13"/>
        <v>28.657853365729196</v>
      </c>
      <c r="W29">
        <f t="shared" si="14"/>
        <v>3.9428317633116969</v>
      </c>
      <c r="X29">
        <f t="shared" si="15"/>
        <v>66.194442581475386</v>
      </c>
      <c r="Y29">
        <f t="shared" si="16"/>
        <v>2.3228377350164</v>
      </c>
      <c r="Z29">
        <f t="shared" si="17"/>
        <v>3.5091129170811231</v>
      </c>
      <c r="AA29">
        <f t="shared" si="18"/>
        <v>1.6199940282952969</v>
      </c>
      <c r="AB29">
        <f t="shared" si="19"/>
        <v>-5.1518031026159301</v>
      </c>
      <c r="AC29">
        <f t="shared" si="20"/>
        <v>-247.83462424116627</v>
      </c>
      <c r="AD29">
        <f t="shared" si="21"/>
        <v>-23.353242105744712</v>
      </c>
      <c r="AE29">
        <f t="shared" si="22"/>
        <v>-0.23179934763740562</v>
      </c>
      <c r="AF29">
        <v>0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52784.323824757455</v>
      </c>
      <c r="AK29">
        <f t="shared" si="26"/>
        <v>1799.95</v>
      </c>
      <c r="AL29">
        <f t="shared" si="27"/>
        <v>1499.0692528307</v>
      </c>
      <c r="AM29">
        <f t="shared" si="28"/>
        <v>0.83283938599999996</v>
      </c>
      <c r="AN29">
        <f t="shared" si="29"/>
        <v>0.15339752221</v>
      </c>
      <c r="AO29">
        <v>29.1</v>
      </c>
      <c r="AP29">
        <v>0.5</v>
      </c>
      <c r="AQ29" t="s">
        <v>331</v>
      </c>
      <c r="AR29">
        <v>2</v>
      </c>
      <c r="AS29">
        <v>1690286760.0999999</v>
      </c>
      <c r="AT29">
        <v>787.78</v>
      </c>
      <c r="AU29">
        <v>800.05</v>
      </c>
      <c r="AV29">
        <v>23.365400000000001</v>
      </c>
      <c r="AW29">
        <v>22.2593</v>
      </c>
      <c r="AX29">
        <v>789.01</v>
      </c>
      <c r="AY29">
        <v>23.174199999999999</v>
      </c>
      <c r="AZ29">
        <v>300.15899999999999</v>
      </c>
      <c r="BA29">
        <v>99.313699999999997</v>
      </c>
      <c r="BB29">
        <v>9.9865999999999996E-2</v>
      </c>
      <c r="BC29">
        <v>26.663900000000002</v>
      </c>
      <c r="BD29">
        <v>27.045999999999999</v>
      </c>
      <c r="BE29">
        <v>28.8063</v>
      </c>
      <c r="BF29">
        <v>0</v>
      </c>
      <c r="BG29">
        <v>0</v>
      </c>
      <c r="BH29">
        <v>10041.9</v>
      </c>
      <c r="BI29">
        <v>1109.99</v>
      </c>
      <c r="BJ29">
        <v>1.1886000000000001</v>
      </c>
      <c r="BK29">
        <v>-12.2697</v>
      </c>
      <c r="BL29">
        <v>806.62699999999995</v>
      </c>
      <c r="BM29">
        <v>818.26400000000001</v>
      </c>
      <c r="BN29">
        <v>1.10612</v>
      </c>
      <c r="BO29">
        <v>800.05</v>
      </c>
      <c r="BP29">
        <v>22.2593</v>
      </c>
      <c r="BQ29">
        <v>2.3205</v>
      </c>
      <c r="BR29">
        <v>2.2106499999999998</v>
      </c>
      <c r="BS29">
        <v>19.819400000000002</v>
      </c>
      <c r="BT29">
        <v>19.0397</v>
      </c>
      <c r="BU29">
        <v>1799.95</v>
      </c>
      <c r="BV29">
        <v>0.909995</v>
      </c>
      <c r="BW29">
        <v>3.4004899999999998E-2</v>
      </c>
      <c r="BX29">
        <v>2.2001300000000001E-2</v>
      </c>
      <c r="BY29">
        <v>3.39987E-2</v>
      </c>
      <c r="BZ29">
        <v>22</v>
      </c>
      <c r="CA29">
        <v>33527.4</v>
      </c>
      <c r="CB29">
        <v>1690286268.5999999</v>
      </c>
      <c r="CC29" t="s">
        <v>332</v>
      </c>
      <c r="CD29">
        <v>1690286261.0999999</v>
      </c>
      <c r="CE29">
        <v>1690286268.5999999</v>
      </c>
      <c r="CF29">
        <v>1</v>
      </c>
      <c r="CG29">
        <v>-0.89900000000000002</v>
      </c>
      <c r="CH29">
        <v>3.4000000000000002E-2</v>
      </c>
      <c r="CI29">
        <v>-1.2370000000000001</v>
      </c>
      <c r="CJ29">
        <v>8.5999999999999993E-2</v>
      </c>
      <c r="CK29">
        <v>799</v>
      </c>
      <c r="CL29">
        <v>16</v>
      </c>
      <c r="CM29">
        <v>0.28999999999999998</v>
      </c>
      <c r="CN29">
        <v>0.09</v>
      </c>
      <c r="CO29">
        <v>-9.0539327500000013</v>
      </c>
      <c r="CP29">
        <v>-17.799580300187611</v>
      </c>
      <c r="CQ29">
        <v>1.7149234947614831</v>
      </c>
      <c r="CR29">
        <v>-1</v>
      </c>
      <c r="CS29">
        <v>0.192823469</v>
      </c>
      <c r="CT29">
        <v>3.021185765403378</v>
      </c>
      <c r="CU29">
        <v>0.35562563032101718</v>
      </c>
      <c r="CV29">
        <v>-1</v>
      </c>
      <c r="CW29">
        <v>0</v>
      </c>
      <c r="CX29">
        <v>0</v>
      </c>
      <c r="CY29" t="s">
        <v>333</v>
      </c>
      <c r="CZ29">
        <v>2.3652000000000002</v>
      </c>
      <c r="DA29">
        <v>2.7136900000000002</v>
      </c>
      <c r="DB29">
        <v>0.14602200000000001</v>
      </c>
      <c r="DC29">
        <v>0.14707600000000001</v>
      </c>
      <c r="DD29">
        <v>0.112248</v>
      </c>
      <c r="DE29">
        <v>0.106915</v>
      </c>
      <c r="DF29">
        <v>31180.2</v>
      </c>
      <c r="DG29">
        <v>27447.3</v>
      </c>
      <c r="DH29">
        <v>31166.9</v>
      </c>
      <c r="DI29">
        <v>28037.3</v>
      </c>
      <c r="DJ29">
        <v>37556.300000000003</v>
      </c>
      <c r="DK29">
        <v>35578.1</v>
      </c>
      <c r="DL29">
        <v>44345.4</v>
      </c>
      <c r="DM29">
        <v>42465.1</v>
      </c>
      <c r="DN29">
        <v>1.4829000000000001</v>
      </c>
      <c r="DO29">
        <v>2.10928</v>
      </c>
      <c r="DP29">
        <v>7.3317400000000005E-2</v>
      </c>
      <c r="DQ29">
        <v>0.19675500000000001</v>
      </c>
      <c r="DR29">
        <v>25.8459</v>
      </c>
      <c r="DS29">
        <v>25.589600000000001</v>
      </c>
      <c r="DT29">
        <v>69.5</v>
      </c>
      <c r="DU29">
        <v>24.1</v>
      </c>
      <c r="DV29">
        <v>21.0855</v>
      </c>
      <c r="DW29">
        <v>62.0914</v>
      </c>
      <c r="DX29">
        <v>35.264400000000002</v>
      </c>
      <c r="DY29">
        <v>1</v>
      </c>
      <c r="DZ29">
        <v>-0.14604400000000001</v>
      </c>
      <c r="EA29">
        <v>-6.6666699999999999</v>
      </c>
      <c r="EB29">
        <v>20.011299999999999</v>
      </c>
      <c r="EC29">
        <v>5.2409499999999998</v>
      </c>
      <c r="ED29">
        <v>12.039899999999999</v>
      </c>
      <c r="EE29">
        <v>5.0168999999999997</v>
      </c>
      <c r="EF29">
        <v>3.2879499999999999</v>
      </c>
      <c r="EG29">
        <v>9999</v>
      </c>
      <c r="EH29">
        <v>9999</v>
      </c>
      <c r="EI29">
        <v>9999</v>
      </c>
      <c r="EJ29">
        <v>999.9</v>
      </c>
      <c r="EK29">
        <v>1.8687100000000001</v>
      </c>
      <c r="EL29">
        <v>1.8643400000000001</v>
      </c>
      <c r="EM29">
        <v>1.8690500000000001</v>
      </c>
      <c r="EN29">
        <v>1.8670599999999999</v>
      </c>
      <c r="EO29">
        <v>1.8632299999999999</v>
      </c>
      <c r="EP29">
        <v>1.8641700000000001</v>
      </c>
      <c r="EQ29">
        <v>1.87</v>
      </c>
      <c r="ER29">
        <v>1.8692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-1.23</v>
      </c>
      <c r="FG29">
        <v>0.19120000000000001</v>
      </c>
      <c r="FH29">
        <v>-0.68620417327404271</v>
      </c>
      <c r="FI29">
        <v>-6.1462078757559423E-4</v>
      </c>
      <c r="FJ29">
        <v>-1.8861989874597051E-7</v>
      </c>
      <c r="FK29">
        <v>1.1980462299894961E-10</v>
      </c>
      <c r="FL29">
        <v>0.1911242781723908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8.3000000000000007</v>
      </c>
      <c r="FU29">
        <v>8.1999999999999993</v>
      </c>
      <c r="FV29">
        <v>1.78711</v>
      </c>
      <c r="FW29">
        <v>2.5512700000000001</v>
      </c>
      <c r="FX29">
        <v>1.5490699999999999</v>
      </c>
      <c r="FY29">
        <v>2.34375</v>
      </c>
      <c r="FZ29">
        <v>1.50146</v>
      </c>
      <c r="GA29">
        <v>2.3730500000000001</v>
      </c>
      <c r="GB29">
        <v>29.708300000000001</v>
      </c>
      <c r="GC29">
        <v>23.921099999999999</v>
      </c>
      <c r="GD29">
        <v>19</v>
      </c>
      <c r="GE29">
        <v>281.74</v>
      </c>
      <c r="GF29">
        <v>633.745</v>
      </c>
      <c r="GG29">
        <v>26.415600000000001</v>
      </c>
      <c r="GH29">
        <v>25.487200000000001</v>
      </c>
      <c r="GI29">
        <v>30.000299999999999</v>
      </c>
      <c r="GJ29">
        <v>25.4558</v>
      </c>
      <c r="GK29">
        <v>25.3703</v>
      </c>
      <c r="GL29">
        <v>35.726700000000001</v>
      </c>
      <c r="GM29">
        <v>0.29485299999999998</v>
      </c>
      <c r="GN29">
        <v>100</v>
      </c>
      <c r="GO29">
        <v>25.9618</v>
      </c>
      <c r="GP29">
        <v>800</v>
      </c>
      <c r="GQ29">
        <v>22.1724</v>
      </c>
      <c r="GR29">
        <v>99.710099999999997</v>
      </c>
      <c r="GS29">
        <v>99.368200000000002</v>
      </c>
    </row>
    <row r="30" spans="1:201" x14ac:dyDescent="0.25">
      <c r="A30">
        <v>14</v>
      </c>
      <c r="B30">
        <v>1690286770.0999999</v>
      </c>
      <c r="C30">
        <v>231.5</v>
      </c>
      <c r="D30" t="s">
        <v>361</v>
      </c>
      <c r="E30" t="s">
        <v>362</v>
      </c>
      <c r="F30" t="s">
        <v>330</v>
      </c>
      <c r="H30">
        <v>1690286770.0999999</v>
      </c>
      <c r="I30">
        <f t="shared" si="0"/>
        <v>1.9199649723964667E-4</v>
      </c>
      <c r="J30">
        <f t="shared" si="1"/>
        <v>0.19199649723964668</v>
      </c>
      <c r="K30">
        <f t="shared" si="2"/>
        <v>1.4269304721845539</v>
      </c>
      <c r="L30">
        <f t="shared" si="3"/>
        <v>784.67100000000005</v>
      </c>
      <c r="M30">
        <f t="shared" si="4"/>
        <v>563.97389044964484</v>
      </c>
      <c r="N30">
        <f t="shared" si="5"/>
        <v>56.067810035046286</v>
      </c>
      <c r="O30">
        <f t="shared" si="6"/>
        <v>78.008548468322999</v>
      </c>
      <c r="P30">
        <f t="shared" si="7"/>
        <v>1.1309922975802971E-2</v>
      </c>
      <c r="Q30">
        <f t="shared" si="8"/>
        <v>2.2974335703195079</v>
      </c>
      <c r="R30">
        <f t="shared" si="9"/>
        <v>1.1279082354156911E-2</v>
      </c>
      <c r="S30">
        <f t="shared" si="10"/>
        <v>7.0521903202482999E-3</v>
      </c>
      <c r="T30">
        <f t="shared" si="11"/>
        <v>276.1092487405636</v>
      </c>
      <c r="U30">
        <f t="shared" si="12"/>
        <v>29.029713078054947</v>
      </c>
      <c r="V30">
        <f t="shared" si="13"/>
        <v>29.029713078054947</v>
      </c>
      <c r="W30">
        <f t="shared" si="14"/>
        <v>4.0286928397647577</v>
      </c>
      <c r="X30">
        <f t="shared" si="15"/>
        <v>66.591193381567464</v>
      </c>
      <c r="Y30">
        <f t="shared" si="16"/>
        <v>2.3910449082629999</v>
      </c>
      <c r="Z30">
        <f t="shared" si="17"/>
        <v>3.5906323146400378</v>
      </c>
      <c r="AA30">
        <f t="shared" si="18"/>
        <v>1.6376479315017578</v>
      </c>
      <c r="AB30">
        <f t="shared" si="19"/>
        <v>-8.4670455282684181</v>
      </c>
      <c r="AC30">
        <f t="shared" si="20"/>
        <v>-244.6483880057111</v>
      </c>
      <c r="AD30">
        <f t="shared" si="21"/>
        <v>-23.221860433358515</v>
      </c>
      <c r="AE30">
        <f t="shared" si="22"/>
        <v>-0.22804522677444083</v>
      </c>
      <c r="AF30">
        <v>0</v>
      </c>
      <c r="AG30">
        <v>0</v>
      </c>
      <c r="AH30">
        <f t="shared" si="23"/>
        <v>1</v>
      </c>
      <c r="AI30">
        <f t="shared" si="24"/>
        <v>0</v>
      </c>
      <c r="AJ30">
        <f t="shared" si="25"/>
        <v>52411.23846493764</v>
      </c>
      <c r="AK30">
        <f t="shared" si="26"/>
        <v>1799.96</v>
      </c>
      <c r="AL30">
        <f t="shared" si="27"/>
        <v>1499.0758352633597</v>
      </c>
      <c r="AM30">
        <f t="shared" si="28"/>
        <v>0.83283841599999986</v>
      </c>
      <c r="AN30">
        <f t="shared" si="29"/>
        <v>0.15339743590999999</v>
      </c>
      <c r="AO30">
        <v>29.1</v>
      </c>
      <c r="AP30">
        <v>0.5</v>
      </c>
      <c r="AQ30" t="s">
        <v>331</v>
      </c>
      <c r="AR30">
        <v>2</v>
      </c>
      <c r="AS30">
        <v>1690286770.0999999</v>
      </c>
      <c r="AT30">
        <v>784.67100000000005</v>
      </c>
      <c r="AU30">
        <v>799.96199999999999</v>
      </c>
      <c r="AV30">
        <v>24.050999999999998</v>
      </c>
      <c r="AW30">
        <v>22.2348</v>
      </c>
      <c r="AX30">
        <v>785.89800000000002</v>
      </c>
      <c r="AY30">
        <v>23.8599</v>
      </c>
      <c r="AZ30">
        <v>300.22699999999998</v>
      </c>
      <c r="BA30">
        <v>99.3155</v>
      </c>
      <c r="BB30">
        <v>0.10011299999999999</v>
      </c>
      <c r="BC30">
        <v>27.054500000000001</v>
      </c>
      <c r="BD30">
        <v>27.485800000000001</v>
      </c>
      <c r="BE30">
        <v>29.153099999999998</v>
      </c>
      <c r="BF30">
        <v>0</v>
      </c>
      <c r="BG30">
        <v>0</v>
      </c>
      <c r="BH30">
        <v>9981.25</v>
      </c>
      <c r="BI30">
        <v>1108.77</v>
      </c>
      <c r="BJ30">
        <v>1.28952</v>
      </c>
      <c r="BK30">
        <v>-15.2913</v>
      </c>
      <c r="BL30">
        <v>804.00800000000004</v>
      </c>
      <c r="BM30">
        <v>818.154</v>
      </c>
      <c r="BN30">
        <v>1.8162100000000001</v>
      </c>
      <c r="BO30">
        <v>799.96199999999999</v>
      </c>
      <c r="BP30">
        <v>22.2348</v>
      </c>
      <c r="BQ30">
        <v>2.3886400000000001</v>
      </c>
      <c r="BR30">
        <v>2.2082600000000001</v>
      </c>
      <c r="BS30">
        <v>20.286899999999999</v>
      </c>
      <c r="BT30">
        <v>19.022400000000001</v>
      </c>
      <c r="BU30">
        <v>1799.96</v>
      </c>
      <c r="BV30">
        <v>0.90998699999999999</v>
      </c>
      <c r="BW30">
        <v>3.4005100000000003E-2</v>
      </c>
      <c r="BX30">
        <v>2.1999299999999999E-2</v>
      </c>
      <c r="BY30">
        <v>3.4008499999999997E-2</v>
      </c>
      <c r="BZ30">
        <v>22</v>
      </c>
      <c r="CA30">
        <v>33527.599999999999</v>
      </c>
      <c r="CB30">
        <v>1690286268.5999999</v>
      </c>
      <c r="CC30" t="s">
        <v>332</v>
      </c>
      <c r="CD30">
        <v>1690286261.0999999</v>
      </c>
      <c r="CE30">
        <v>1690286268.5999999</v>
      </c>
      <c r="CF30">
        <v>1</v>
      </c>
      <c r="CG30">
        <v>-0.89900000000000002</v>
      </c>
      <c r="CH30">
        <v>3.4000000000000002E-2</v>
      </c>
      <c r="CI30">
        <v>-1.2370000000000001</v>
      </c>
      <c r="CJ30">
        <v>8.5999999999999993E-2</v>
      </c>
      <c r="CK30">
        <v>799</v>
      </c>
      <c r="CL30">
        <v>16</v>
      </c>
      <c r="CM30">
        <v>0.28999999999999998</v>
      </c>
      <c r="CN30">
        <v>0.09</v>
      </c>
      <c r="CO30">
        <v>-11.793695749999999</v>
      </c>
      <c r="CP30">
        <v>-18.978558911819889</v>
      </c>
      <c r="CQ30">
        <v>1.8269999066706151</v>
      </c>
      <c r="CR30">
        <v>-1</v>
      </c>
      <c r="CS30">
        <v>0.88159753424999998</v>
      </c>
      <c r="CT30">
        <v>6.4233265230394014</v>
      </c>
      <c r="CU30">
        <v>0.62172041003942902</v>
      </c>
      <c r="CV30">
        <v>-1</v>
      </c>
      <c r="CW30">
        <v>0</v>
      </c>
      <c r="CX30">
        <v>0</v>
      </c>
      <c r="CY30" t="s">
        <v>333</v>
      </c>
      <c r="CZ30">
        <v>2.3654000000000002</v>
      </c>
      <c r="DA30">
        <v>2.7138900000000001</v>
      </c>
      <c r="DB30">
        <v>0.145647</v>
      </c>
      <c r="DC30">
        <v>0.147065</v>
      </c>
      <c r="DD30">
        <v>0.114565</v>
      </c>
      <c r="DE30">
        <v>0.106833</v>
      </c>
      <c r="DF30">
        <v>31193.599999999999</v>
      </c>
      <c r="DG30">
        <v>27447.599999999999</v>
      </c>
      <c r="DH30">
        <v>31166.6</v>
      </c>
      <c r="DI30">
        <v>28037.3</v>
      </c>
      <c r="DJ30">
        <v>37456.199999999997</v>
      </c>
      <c r="DK30">
        <v>35581.699999999997</v>
      </c>
      <c r="DL30">
        <v>44344.4</v>
      </c>
      <c r="DM30">
        <v>42465.4</v>
      </c>
      <c r="DN30">
        <v>1.4811700000000001</v>
      </c>
      <c r="DO30">
        <v>2.1082999999999998</v>
      </c>
      <c r="DP30">
        <v>0.101164</v>
      </c>
      <c r="DQ30">
        <v>0.21995600000000001</v>
      </c>
      <c r="DR30">
        <v>25.830400000000001</v>
      </c>
      <c r="DS30">
        <v>25.558</v>
      </c>
      <c r="DT30">
        <v>69.599999999999994</v>
      </c>
      <c r="DU30">
        <v>24.1</v>
      </c>
      <c r="DV30">
        <v>21.116199999999999</v>
      </c>
      <c r="DW30">
        <v>62.501399999999997</v>
      </c>
      <c r="DX30">
        <v>35.628999999999998</v>
      </c>
      <c r="DY30">
        <v>1</v>
      </c>
      <c r="DZ30">
        <v>-0.154637</v>
      </c>
      <c r="EA30">
        <v>-1.0586500000000001</v>
      </c>
      <c r="EB30">
        <v>20.179099999999998</v>
      </c>
      <c r="EC30">
        <v>5.2408000000000001</v>
      </c>
      <c r="ED30">
        <v>12.039899999999999</v>
      </c>
      <c r="EE30">
        <v>5.0171000000000001</v>
      </c>
      <c r="EF30">
        <v>3.2879499999999999</v>
      </c>
      <c r="EG30">
        <v>9999</v>
      </c>
      <c r="EH30">
        <v>9999</v>
      </c>
      <c r="EI30">
        <v>9999</v>
      </c>
      <c r="EJ30">
        <v>999.9</v>
      </c>
      <c r="EK30">
        <v>1.86873</v>
      </c>
      <c r="EL30">
        <v>1.8643700000000001</v>
      </c>
      <c r="EM30">
        <v>1.8690500000000001</v>
      </c>
      <c r="EN30">
        <v>1.8670500000000001</v>
      </c>
      <c r="EO30">
        <v>1.8632299999999999</v>
      </c>
      <c r="EP30">
        <v>1.8641799999999999</v>
      </c>
      <c r="EQ30">
        <v>1.8700300000000001</v>
      </c>
      <c r="ER30">
        <v>1.86924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-1.2270000000000001</v>
      </c>
      <c r="FG30">
        <v>0.19109999999999999</v>
      </c>
      <c r="FH30">
        <v>-0.68620417327404271</v>
      </c>
      <c r="FI30">
        <v>-6.1462078757559423E-4</v>
      </c>
      <c r="FJ30">
        <v>-1.8861989874597051E-7</v>
      </c>
      <c r="FK30">
        <v>1.1980462299894961E-10</v>
      </c>
      <c r="FL30">
        <v>0.1911242781723908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8.5</v>
      </c>
      <c r="FU30">
        <v>8.4</v>
      </c>
      <c r="FV30">
        <v>1.78711</v>
      </c>
      <c r="FW30">
        <v>2.5634800000000002</v>
      </c>
      <c r="FX30">
        <v>1.5490699999999999</v>
      </c>
      <c r="FY30">
        <v>2.34375</v>
      </c>
      <c r="FZ30">
        <v>1.50146</v>
      </c>
      <c r="GA30">
        <v>2.2607400000000002</v>
      </c>
      <c r="GB30">
        <v>29.708300000000001</v>
      </c>
      <c r="GC30">
        <v>23.982399999999998</v>
      </c>
      <c r="GD30">
        <v>19</v>
      </c>
      <c r="GE30">
        <v>281.09899999999999</v>
      </c>
      <c r="GF30">
        <v>633.02099999999996</v>
      </c>
      <c r="GG30">
        <v>27.866099999999999</v>
      </c>
      <c r="GH30">
        <v>25.506499999999999</v>
      </c>
      <c r="GI30">
        <v>29.9953</v>
      </c>
      <c r="GJ30">
        <v>25.475000000000001</v>
      </c>
      <c r="GK30">
        <v>25.3809</v>
      </c>
      <c r="GL30">
        <v>35.726700000000001</v>
      </c>
      <c r="GM30">
        <v>2.60541</v>
      </c>
      <c r="GN30">
        <v>100</v>
      </c>
      <c r="GO30">
        <v>26.3477</v>
      </c>
      <c r="GP30">
        <v>800</v>
      </c>
      <c r="GQ30">
        <v>21.991299999999999</v>
      </c>
      <c r="GR30">
        <v>99.708399999999997</v>
      </c>
      <c r="GS30">
        <v>99.368799999999993</v>
      </c>
    </row>
    <row r="31" spans="1:201" x14ac:dyDescent="0.25">
      <c r="A31">
        <v>15</v>
      </c>
      <c r="B31">
        <v>1690286780.0999999</v>
      </c>
      <c r="C31">
        <v>241.5</v>
      </c>
      <c r="D31" t="s">
        <v>363</v>
      </c>
      <c r="E31" t="s">
        <v>364</v>
      </c>
      <c r="F31" t="s">
        <v>330</v>
      </c>
      <c r="H31">
        <v>1690286780.0999999</v>
      </c>
      <c r="I31">
        <f t="shared" si="0"/>
        <v>1.9760437400976718E-4</v>
      </c>
      <c r="J31">
        <f t="shared" si="1"/>
        <v>0.19760437400976719</v>
      </c>
      <c r="K31">
        <f t="shared" si="2"/>
        <v>1.7714611788964469</v>
      </c>
      <c r="L31">
        <f t="shared" si="3"/>
        <v>781.26300000000003</v>
      </c>
      <c r="M31">
        <f t="shared" si="4"/>
        <v>515.000166872249</v>
      </c>
      <c r="N31">
        <f t="shared" si="5"/>
        <v>51.198534044537389</v>
      </c>
      <c r="O31">
        <f t="shared" si="6"/>
        <v>77.668946296011015</v>
      </c>
      <c r="P31">
        <f t="shared" si="7"/>
        <v>1.1441458509075235E-2</v>
      </c>
      <c r="Q31">
        <f t="shared" si="8"/>
        <v>2.3035802155621239</v>
      </c>
      <c r="R31">
        <f t="shared" si="9"/>
        <v>1.1409981401898219E-2</v>
      </c>
      <c r="S31">
        <f t="shared" si="10"/>
        <v>7.1340592015931761E-3</v>
      </c>
      <c r="T31">
        <f t="shared" si="11"/>
        <v>276.10886272114197</v>
      </c>
      <c r="U31">
        <f t="shared" si="12"/>
        <v>29.149257498747396</v>
      </c>
      <c r="V31">
        <f t="shared" si="13"/>
        <v>29.149257498747396</v>
      </c>
      <c r="W31">
        <f t="shared" si="14"/>
        <v>4.0566393291892791</v>
      </c>
      <c r="X31">
        <f t="shared" si="15"/>
        <v>66.091000093388033</v>
      </c>
      <c r="Y31">
        <f t="shared" si="16"/>
        <v>2.3907520530351003</v>
      </c>
      <c r="Z31">
        <f t="shared" si="17"/>
        <v>3.6173640127353428</v>
      </c>
      <c r="AA31">
        <f t="shared" si="18"/>
        <v>1.6658872761541788</v>
      </c>
      <c r="AB31">
        <f t="shared" si="19"/>
        <v>-8.714352893830732</v>
      </c>
      <c r="AC31">
        <f t="shared" si="20"/>
        <v>-244.45153142203213</v>
      </c>
      <c r="AD31">
        <f t="shared" si="21"/>
        <v>-23.16963035270841</v>
      </c>
      <c r="AE31">
        <f t="shared" si="22"/>
        <v>-0.22665194742927497</v>
      </c>
      <c r="AF31">
        <v>0</v>
      </c>
      <c r="AG31">
        <v>0</v>
      </c>
      <c r="AH31">
        <f t="shared" si="23"/>
        <v>1</v>
      </c>
      <c r="AI31">
        <f t="shared" si="24"/>
        <v>0</v>
      </c>
      <c r="AJ31">
        <f t="shared" si="25"/>
        <v>52621.477857950587</v>
      </c>
      <c r="AK31">
        <f t="shared" si="26"/>
        <v>1799.96</v>
      </c>
      <c r="AL31">
        <f t="shared" si="27"/>
        <v>1499.0795863799999</v>
      </c>
      <c r="AM31">
        <f t="shared" si="28"/>
        <v>0.83284049999999998</v>
      </c>
      <c r="AN31">
        <f t="shared" si="29"/>
        <v>0.15339722144999998</v>
      </c>
      <c r="AO31">
        <v>29.1</v>
      </c>
      <c r="AP31">
        <v>0.5</v>
      </c>
      <c r="AQ31" t="s">
        <v>331</v>
      </c>
      <c r="AR31">
        <v>2</v>
      </c>
      <c r="AS31">
        <v>1690286780.0999999</v>
      </c>
      <c r="AT31">
        <v>781.26300000000003</v>
      </c>
      <c r="AU31">
        <v>799.93899999999996</v>
      </c>
      <c r="AV31">
        <v>24.048300000000001</v>
      </c>
      <c r="AW31">
        <v>22.178100000000001</v>
      </c>
      <c r="AX31">
        <v>782.48800000000006</v>
      </c>
      <c r="AY31">
        <v>23.857199999999999</v>
      </c>
      <c r="AZ31">
        <v>300.07499999999999</v>
      </c>
      <c r="BA31">
        <v>99.314599999999999</v>
      </c>
      <c r="BB31">
        <v>9.9997000000000003E-2</v>
      </c>
      <c r="BC31">
        <v>27.180900000000001</v>
      </c>
      <c r="BD31">
        <v>27.629799999999999</v>
      </c>
      <c r="BE31">
        <v>29.424199999999999</v>
      </c>
      <c r="BF31">
        <v>0</v>
      </c>
      <c r="BG31">
        <v>0</v>
      </c>
      <c r="BH31">
        <v>10027.5</v>
      </c>
      <c r="BI31">
        <v>1108</v>
      </c>
      <c r="BJ31">
        <v>1.28952</v>
      </c>
      <c r="BK31">
        <v>-18.675599999999999</v>
      </c>
      <c r="BL31">
        <v>800.51400000000001</v>
      </c>
      <c r="BM31">
        <v>818.08199999999999</v>
      </c>
      <c r="BN31">
        <v>1.87022</v>
      </c>
      <c r="BO31">
        <v>799.93899999999996</v>
      </c>
      <c r="BP31">
        <v>22.178100000000001</v>
      </c>
      <c r="BQ31">
        <v>2.38835</v>
      </c>
      <c r="BR31">
        <v>2.20261</v>
      </c>
      <c r="BS31">
        <v>20.285</v>
      </c>
      <c r="BT31">
        <v>18.981300000000001</v>
      </c>
      <c r="BU31">
        <v>1799.96</v>
      </c>
      <c r="BV31">
        <v>0.91000700000000001</v>
      </c>
      <c r="BW31">
        <v>3.3993900000000001E-2</v>
      </c>
      <c r="BX31">
        <v>2.1999500000000002E-2</v>
      </c>
      <c r="BY31">
        <v>3.3999099999999997E-2</v>
      </c>
      <c r="BZ31">
        <v>22.125</v>
      </c>
      <c r="CA31">
        <v>33527.800000000003</v>
      </c>
      <c r="CB31">
        <v>1690286268.5999999</v>
      </c>
      <c r="CC31" t="s">
        <v>332</v>
      </c>
      <c r="CD31">
        <v>1690286261.0999999</v>
      </c>
      <c r="CE31">
        <v>1690286268.5999999</v>
      </c>
      <c r="CF31">
        <v>1</v>
      </c>
      <c r="CG31">
        <v>-0.89900000000000002</v>
      </c>
      <c r="CH31">
        <v>3.4000000000000002E-2</v>
      </c>
      <c r="CI31">
        <v>-1.2370000000000001</v>
      </c>
      <c r="CJ31">
        <v>8.5999999999999993E-2</v>
      </c>
      <c r="CK31">
        <v>799</v>
      </c>
      <c r="CL31">
        <v>16</v>
      </c>
      <c r="CM31">
        <v>0.28999999999999998</v>
      </c>
      <c r="CN31">
        <v>0.09</v>
      </c>
      <c r="CO31">
        <v>-15.05561707317073</v>
      </c>
      <c r="CP31">
        <v>-19.111383972125459</v>
      </c>
      <c r="CQ31">
        <v>1.8856291706538439</v>
      </c>
      <c r="CR31">
        <v>-1</v>
      </c>
      <c r="CS31">
        <v>1.658000512195122</v>
      </c>
      <c r="CT31">
        <v>2.568345783972124</v>
      </c>
      <c r="CU31">
        <v>0.2753142128280483</v>
      </c>
      <c r="CV31">
        <v>-1</v>
      </c>
      <c r="CW31">
        <v>0</v>
      </c>
      <c r="CX31">
        <v>0</v>
      </c>
      <c r="CY31" t="s">
        <v>333</v>
      </c>
      <c r="CZ31">
        <v>2.3648899999999999</v>
      </c>
      <c r="DA31">
        <v>2.7138100000000001</v>
      </c>
      <c r="DB31">
        <v>0.14522099999999999</v>
      </c>
      <c r="DC31">
        <v>0.14705699999999999</v>
      </c>
      <c r="DD31">
        <v>0.114554</v>
      </c>
      <c r="DE31">
        <v>0.106639</v>
      </c>
      <c r="DF31">
        <v>31209.9</v>
      </c>
      <c r="DG31">
        <v>27447.5</v>
      </c>
      <c r="DH31">
        <v>31167.4</v>
      </c>
      <c r="DI31">
        <v>28037</v>
      </c>
      <c r="DJ31">
        <v>37457.599999999999</v>
      </c>
      <c r="DK31">
        <v>35589.300000000003</v>
      </c>
      <c r="DL31">
        <v>44345.5</v>
      </c>
      <c r="DM31">
        <v>42465.2</v>
      </c>
      <c r="DN31">
        <v>1.4775799999999999</v>
      </c>
      <c r="DO31">
        <v>2.1081300000000001</v>
      </c>
      <c r="DP31">
        <v>0.109624</v>
      </c>
      <c r="DQ31">
        <v>0.23644399999999999</v>
      </c>
      <c r="DR31">
        <v>25.836300000000001</v>
      </c>
      <c r="DS31">
        <v>25.560400000000001</v>
      </c>
      <c r="DT31">
        <v>69.599999999999994</v>
      </c>
      <c r="DU31">
        <v>24.1</v>
      </c>
      <c r="DV31">
        <v>21.1112</v>
      </c>
      <c r="DW31">
        <v>62.041400000000003</v>
      </c>
      <c r="DX31">
        <v>36.234000000000002</v>
      </c>
      <c r="DY31">
        <v>1</v>
      </c>
      <c r="DZ31">
        <v>-0.14837900000000001</v>
      </c>
      <c r="EA31">
        <v>3.9196300000000002</v>
      </c>
      <c r="EB31">
        <v>20.1281</v>
      </c>
      <c r="EC31">
        <v>5.2411000000000003</v>
      </c>
      <c r="ED31">
        <v>12.039899999999999</v>
      </c>
      <c r="EE31">
        <v>5.01715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1.8687199999999999</v>
      </c>
      <c r="EL31">
        <v>1.8643400000000001</v>
      </c>
      <c r="EM31">
        <v>1.8690500000000001</v>
      </c>
      <c r="EN31">
        <v>1.86707</v>
      </c>
      <c r="EO31">
        <v>1.86324</v>
      </c>
      <c r="EP31">
        <v>1.8641799999999999</v>
      </c>
      <c r="EQ31">
        <v>1.87</v>
      </c>
      <c r="ER31">
        <v>1.86921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-1.2250000000000001</v>
      </c>
      <c r="FG31">
        <v>0.19109999999999999</v>
      </c>
      <c r="FH31">
        <v>-0.68620417327404271</v>
      </c>
      <c r="FI31">
        <v>-6.1462078757559423E-4</v>
      </c>
      <c r="FJ31">
        <v>-1.8861989874597051E-7</v>
      </c>
      <c r="FK31">
        <v>1.1980462299894961E-10</v>
      </c>
      <c r="FL31">
        <v>0.1911242781723908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8.6999999999999993</v>
      </c>
      <c r="FU31">
        <v>8.5</v>
      </c>
      <c r="FV31">
        <v>1.78711</v>
      </c>
      <c r="FW31">
        <v>2.5561500000000001</v>
      </c>
      <c r="FX31">
        <v>1.5490699999999999</v>
      </c>
      <c r="FY31">
        <v>2.34253</v>
      </c>
      <c r="FZ31">
        <v>1.50146</v>
      </c>
      <c r="GA31">
        <v>2.36938</v>
      </c>
      <c r="GB31">
        <v>29.729700000000001</v>
      </c>
      <c r="GC31">
        <v>23.973700000000001</v>
      </c>
      <c r="GD31">
        <v>19</v>
      </c>
      <c r="GE31">
        <v>279.608</v>
      </c>
      <c r="GF31">
        <v>632.99900000000002</v>
      </c>
      <c r="GG31">
        <v>26.239000000000001</v>
      </c>
      <c r="GH31">
        <v>25.523700000000002</v>
      </c>
      <c r="GI31">
        <v>30.003299999999999</v>
      </c>
      <c r="GJ31">
        <v>25.479800000000001</v>
      </c>
      <c r="GK31">
        <v>25.391500000000001</v>
      </c>
      <c r="GL31">
        <v>35.728999999999999</v>
      </c>
      <c r="GM31">
        <v>3.2101999999999999</v>
      </c>
      <c r="GN31">
        <v>100</v>
      </c>
      <c r="GO31">
        <v>25.192900000000002</v>
      </c>
      <c r="GP31">
        <v>800</v>
      </c>
      <c r="GQ31">
        <v>22.0684</v>
      </c>
      <c r="GR31">
        <v>99.710899999999995</v>
      </c>
      <c r="GS31">
        <v>99.367999999999995</v>
      </c>
    </row>
    <row r="32" spans="1:201" x14ac:dyDescent="0.25">
      <c r="A32">
        <v>16</v>
      </c>
      <c r="B32">
        <v>1690286790.0999999</v>
      </c>
      <c r="C32">
        <v>251.5</v>
      </c>
      <c r="D32" t="s">
        <v>365</v>
      </c>
      <c r="E32" t="s">
        <v>366</v>
      </c>
      <c r="F32" t="s">
        <v>330</v>
      </c>
      <c r="H32">
        <v>1690286790.0999999</v>
      </c>
      <c r="I32">
        <f t="shared" si="0"/>
        <v>1.8155653236248288E-4</v>
      </c>
      <c r="J32">
        <f t="shared" si="1"/>
        <v>0.18155653236248287</v>
      </c>
      <c r="K32">
        <f t="shared" si="2"/>
        <v>2.2320792540400225</v>
      </c>
      <c r="L32">
        <f t="shared" si="3"/>
        <v>776.97</v>
      </c>
      <c r="M32">
        <f t="shared" si="4"/>
        <v>421.80249055143213</v>
      </c>
      <c r="N32">
        <f t="shared" si="5"/>
        <v>41.933167448158954</v>
      </c>
      <c r="O32">
        <f t="shared" si="6"/>
        <v>77.241869932067999</v>
      </c>
      <c r="P32">
        <f t="shared" si="7"/>
        <v>1.0568578100447746E-2</v>
      </c>
      <c r="Q32">
        <f t="shared" si="8"/>
        <v>2.3035761896202027</v>
      </c>
      <c r="R32">
        <f t="shared" si="9"/>
        <v>1.0541714492505646E-2</v>
      </c>
      <c r="S32">
        <f t="shared" si="10"/>
        <v>6.5909794111306194E-3</v>
      </c>
      <c r="T32">
        <f t="shared" si="11"/>
        <v>276.10926839612682</v>
      </c>
      <c r="U32">
        <f t="shared" si="12"/>
        <v>29.036573074066908</v>
      </c>
      <c r="V32">
        <f t="shared" si="13"/>
        <v>29.036573074066908</v>
      </c>
      <c r="W32">
        <f t="shared" si="14"/>
        <v>4.0302919824557222</v>
      </c>
      <c r="X32">
        <f t="shared" si="15"/>
        <v>66.06357312124608</v>
      </c>
      <c r="Y32">
        <f t="shared" si="16"/>
        <v>2.3732561305665598</v>
      </c>
      <c r="Z32">
        <f t="shared" si="17"/>
        <v>3.5923823348321426</v>
      </c>
      <c r="AA32">
        <f t="shared" si="18"/>
        <v>1.6570358518891624</v>
      </c>
      <c r="AB32">
        <f t="shared" si="19"/>
        <v>-8.0066430771854957</v>
      </c>
      <c r="AC32">
        <f t="shared" si="20"/>
        <v>-245.12366665940843</v>
      </c>
      <c r="AD32">
        <f t="shared" si="21"/>
        <v>-23.20668334317854</v>
      </c>
      <c r="AE32">
        <f t="shared" si="22"/>
        <v>-0.22772468364564702</v>
      </c>
      <c r="AF32">
        <v>0</v>
      </c>
      <c r="AG32">
        <v>0</v>
      </c>
      <c r="AH32">
        <f t="shared" si="23"/>
        <v>1</v>
      </c>
      <c r="AI32">
        <f t="shared" si="24"/>
        <v>0</v>
      </c>
      <c r="AJ32">
        <f t="shared" si="25"/>
        <v>52642.02982776882</v>
      </c>
      <c r="AK32">
        <f t="shared" si="26"/>
        <v>1799.96</v>
      </c>
      <c r="AL32">
        <f t="shared" si="27"/>
        <v>1499.07863780108</v>
      </c>
      <c r="AM32">
        <f t="shared" si="28"/>
        <v>0.83283997300000001</v>
      </c>
      <c r="AN32">
        <f t="shared" si="29"/>
        <v>0.15339744683000001</v>
      </c>
      <c r="AO32">
        <v>29.1</v>
      </c>
      <c r="AP32">
        <v>0.5</v>
      </c>
      <c r="AQ32" t="s">
        <v>331</v>
      </c>
      <c r="AR32">
        <v>2</v>
      </c>
      <c r="AS32">
        <v>1690286790.0999999</v>
      </c>
      <c r="AT32">
        <v>776.97</v>
      </c>
      <c r="AU32">
        <v>799.97400000000005</v>
      </c>
      <c r="AV32">
        <v>23.872399999999999</v>
      </c>
      <c r="AW32">
        <v>22.154499999999999</v>
      </c>
      <c r="AX32">
        <v>778.19200000000001</v>
      </c>
      <c r="AY32">
        <v>23.6812</v>
      </c>
      <c r="AZ32">
        <v>300.202</v>
      </c>
      <c r="BA32">
        <v>99.314300000000003</v>
      </c>
      <c r="BB32">
        <v>9.9924399999999997E-2</v>
      </c>
      <c r="BC32">
        <v>27.062799999999999</v>
      </c>
      <c r="BD32">
        <v>27.488600000000002</v>
      </c>
      <c r="BE32">
        <v>29.418199999999999</v>
      </c>
      <c r="BF32">
        <v>0</v>
      </c>
      <c r="BG32">
        <v>0</v>
      </c>
      <c r="BH32">
        <v>10027.5</v>
      </c>
      <c r="BI32">
        <v>1106.98</v>
      </c>
      <c r="BJ32">
        <v>1.28952</v>
      </c>
      <c r="BK32">
        <v>-23.003900000000002</v>
      </c>
      <c r="BL32">
        <v>795.971</v>
      </c>
      <c r="BM32">
        <v>818.09799999999996</v>
      </c>
      <c r="BN32">
        <v>1.71783</v>
      </c>
      <c r="BO32">
        <v>799.97400000000005</v>
      </c>
      <c r="BP32">
        <v>22.154499999999999</v>
      </c>
      <c r="BQ32">
        <v>2.37087</v>
      </c>
      <c r="BR32">
        <v>2.2002600000000001</v>
      </c>
      <c r="BS32">
        <v>20.1662</v>
      </c>
      <c r="BT32">
        <v>18.964200000000002</v>
      </c>
      <c r="BU32">
        <v>1799.96</v>
      </c>
      <c r="BV32">
        <v>0.91</v>
      </c>
      <c r="BW32">
        <v>3.3999399999999999E-2</v>
      </c>
      <c r="BX32">
        <v>2.2001400000000001E-2</v>
      </c>
      <c r="BY32">
        <v>3.3998899999999999E-2</v>
      </c>
      <c r="BZ32">
        <v>23</v>
      </c>
      <c r="CA32">
        <v>33527.699999999997</v>
      </c>
      <c r="CB32">
        <v>1690286268.5999999</v>
      </c>
      <c r="CC32" t="s">
        <v>332</v>
      </c>
      <c r="CD32">
        <v>1690286261.0999999</v>
      </c>
      <c r="CE32">
        <v>1690286268.5999999</v>
      </c>
      <c r="CF32">
        <v>1</v>
      </c>
      <c r="CG32">
        <v>-0.89900000000000002</v>
      </c>
      <c r="CH32">
        <v>3.4000000000000002E-2</v>
      </c>
      <c r="CI32">
        <v>-1.2370000000000001</v>
      </c>
      <c r="CJ32">
        <v>8.5999999999999993E-2</v>
      </c>
      <c r="CK32">
        <v>799</v>
      </c>
      <c r="CL32">
        <v>16</v>
      </c>
      <c r="CM32">
        <v>0.28999999999999998</v>
      </c>
      <c r="CN32">
        <v>0.09</v>
      </c>
      <c r="CO32">
        <v>-18.77965</v>
      </c>
      <c r="CP32">
        <v>-22.721160225140689</v>
      </c>
      <c r="CQ32">
        <v>2.1901529157800832</v>
      </c>
      <c r="CR32">
        <v>-1</v>
      </c>
      <c r="CS32">
        <v>1.8378965</v>
      </c>
      <c r="CT32">
        <v>-0.45750979362101329</v>
      </c>
      <c r="CU32">
        <v>5.6250679620338813E-2</v>
      </c>
      <c r="CV32">
        <v>-1</v>
      </c>
      <c r="CW32">
        <v>0</v>
      </c>
      <c r="CX32">
        <v>0</v>
      </c>
      <c r="CY32" t="s">
        <v>333</v>
      </c>
      <c r="CZ32">
        <v>2.3652899999999999</v>
      </c>
      <c r="DA32">
        <v>2.71374</v>
      </c>
      <c r="DB32">
        <v>0.144681</v>
      </c>
      <c r="DC32">
        <v>0.14705699999999999</v>
      </c>
      <c r="DD32">
        <v>0.11396000000000001</v>
      </c>
      <c r="DE32">
        <v>0.106556</v>
      </c>
      <c r="DF32">
        <v>31227.5</v>
      </c>
      <c r="DG32">
        <v>27445.1</v>
      </c>
      <c r="DH32">
        <v>31165.4</v>
      </c>
      <c r="DI32">
        <v>28034.6</v>
      </c>
      <c r="DJ32">
        <v>37480.699999999997</v>
      </c>
      <c r="DK32">
        <v>35589.699999999997</v>
      </c>
      <c r="DL32">
        <v>44342.7</v>
      </c>
      <c r="DM32">
        <v>42461.8</v>
      </c>
      <c r="DN32">
        <v>1.4769300000000001</v>
      </c>
      <c r="DO32">
        <v>2.1078299999999999</v>
      </c>
      <c r="DP32">
        <v>9.9819199999999997E-2</v>
      </c>
      <c r="DQ32">
        <v>0.23515900000000001</v>
      </c>
      <c r="DR32">
        <v>25.8553</v>
      </c>
      <c r="DS32">
        <v>25.575500000000002</v>
      </c>
      <c r="DT32">
        <v>69.599999999999994</v>
      </c>
      <c r="DU32">
        <v>24.2</v>
      </c>
      <c r="DV32">
        <v>21.2393</v>
      </c>
      <c r="DW32">
        <v>62.061399999999999</v>
      </c>
      <c r="DX32">
        <v>35.528799999999997</v>
      </c>
      <c r="DY32">
        <v>1</v>
      </c>
      <c r="DZ32">
        <v>-0.14272099999999999</v>
      </c>
      <c r="EA32">
        <v>4.7556900000000004</v>
      </c>
      <c r="EB32">
        <v>20.101299999999998</v>
      </c>
      <c r="EC32">
        <v>5.2408000000000001</v>
      </c>
      <c r="ED32">
        <v>12.039899999999999</v>
      </c>
      <c r="EE32">
        <v>5.0172499999999998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1.8687</v>
      </c>
      <c r="EL32">
        <v>1.86435</v>
      </c>
      <c r="EM32">
        <v>1.8690500000000001</v>
      </c>
      <c r="EN32">
        <v>1.8670599999999999</v>
      </c>
      <c r="EO32">
        <v>1.8632299999999999</v>
      </c>
      <c r="EP32">
        <v>1.8641799999999999</v>
      </c>
      <c r="EQ32">
        <v>1.87002</v>
      </c>
      <c r="ER32">
        <v>1.8692200000000001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-1.222</v>
      </c>
      <c r="FG32">
        <v>0.19120000000000001</v>
      </c>
      <c r="FH32">
        <v>-0.68620417327404271</v>
      </c>
      <c r="FI32">
        <v>-6.1462078757559423E-4</v>
      </c>
      <c r="FJ32">
        <v>-1.8861989874597051E-7</v>
      </c>
      <c r="FK32">
        <v>1.1980462299894961E-10</v>
      </c>
      <c r="FL32">
        <v>0.1911242781723908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8.8000000000000007</v>
      </c>
      <c r="FU32">
        <v>8.6999999999999993</v>
      </c>
      <c r="FV32">
        <v>1.78711</v>
      </c>
      <c r="FW32">
        <v>2.5500500000000001</v>
      </c>
      <c r="FX32">
        <v>1.5490699999999999</v>
      </c>
      <c r="FY32">
        <v>2.34375</v>
      </c>
      <c r="FZ32">
        <v>1.50146</v>
      </c>
      <c r="GA32">
        <v>2.3754900000000001</v>
      </c>
      <c r="GB32">
        <v>29.751000000000001</v>
      </c>
      <c r="GC32">
        <v>23.973700000000001</v>
      </c>
      <c r="GD32">
        <v>19</v>
      </c>
      <c r="GE32">
        <v>279.358</v>
      </c>
      <c r="GF32">
        <v>632.86800000000005</v>
      </c>
      <c r="GG32">
        <v>24.637699999999999</v>
      </c>
      <c r="GH32">
        <v>25.5382</v>
      </c>
      <c r="GI32">
        <v>30.002500000000001</v>
      </c>
      <c r="GJ32">
        <v>25.485099999999999</v>
      </c>
      <c r="GK32">
        <v>25.402100000000001</v>
      </c>
      <c r="GL32">
        <v>35.729100000000003</v>
      </c>
      <c r="GM32">
        <v>3.4896500000000001</v>
      </c>
      <c r="GN32">
        <v>100</v>
      </c>
      <c r="GO32">
        <v>24.059699999999999</v>
      </c>
      <c r="GP32">
        <v>800</v>
      </c>
      <c r="GQ32">
        <v>22.132999999999999</v>
      </c>
      <c r="GR32">
        <v>99.704599999999999</v>
      </c>
      <c r="GS32">
        <v>99.359800000000007</v>
      </c>
    </row>
    <row r="33" spans="1:201" x14ac:dyDescent="0.25">
      <c r="A33">
        <v>17</v>
      </c>
      <c r="B33">
        <v>1690286800.0999999</v>
      </c>
      <c r="C33">
        <v>261.5</v>
      </c>
      <c r="D33" t="s">
        <v>367</v>
      </c>
      <c r="E33" t="s">
        <v>368</v>
      </c>
      <c r="F33" t="s">
        <v>330</v>
      </c>
      <c r="H33">
        <v>1690286800.0999999</v>
      </c>
      <c r="I33">
        <f t="shared" si="0"/>
        <v>1.6875330967869567E-4</v>
      </c>
      <c r="J33">
        <f t="shared" si="1"/>
        <v>0.16875330967869567</v>
      </c>
      <c r="K33">
        <f t="shared" si="2"/>
        <v>2.8289191993035829</v>
      </c>
      <c r="L33">
        <f t="shared" si="3"/>
        <v>771.26199999999994</v>
      </c>
      <c r="M33">
        <f t="shared" si="4"/>
        <v>302.09820504984469</v>
      </c>
      <c r="N33">
        <f t="shared" si="5"/>
        <v>30.033971254512391</v>
      </c>
      <c r="O33">
        <f t="shared" si="6"/>
        <v>76.677253788634005</v>
      </c>
      <c r="P33">
        <f t="shared" si="7"/>
        <v>9.9769066697681999E-3</v>
      </c>
      <c r="Q33">
        <f t="shared" si="8"/>
        <v>2.3026273469957865</v>
      </c>
      <c r="R33">
        <f t="shared" si="9"/>
        <v>9.9529532111800219E-3</v>
      </c>
      <c r="S33">
        <f t="shared" si="10"/>
        <v>6.2227430468148898E-3</v>
      </c>
      <c r="T33">
        <f t="shared" si="11"/>
        <v>276.10838574974156</v>
      </c>
      <c r="U33">
        <f t="shared" si="12"/>
        <v>28.871357395281045</v>
      </c>
      <c r="V33">
        <f t="shared" si="13"/>
        <v>28.871357395281045</v>
      </c>
      <c r="W33">
        <f t="shared" si="14"/>
        <v>3.9919318114984153</v>
      </c>
      <c r="X33">
        <f t="shared" si="15"/>
        <v>66.359424834905838</v>
      </c>
      <c r="Y33">
        <f t="shared" si="16"/>
        <v>2.3601413450171997</v>
      </c>
      <c r="Z33">
        <f t="shared" si="17"/>
        <v>3.5566030761854002</v>
      </c>
      <c r="AA33">
        <f t="shared" si="18"/>
        <v>1.6317904664812155</v>
      </c>
      <c r="AB33">
        <f t="shared" si="19"/>
        <v>-7.4420209568304792</v>
      </c>
      <c r="AC33">
        <f t="shared" si="20"/>
        <v>-245.66627798865076</v>
      </c>
      <c r="AD33">
        <f t="shared" si="21"/>
        <v>-23.228752618146885</v>
      </c>
      <c r="AE33">
        <f t="shared" si="22"/>
        <v>-0.2286658138865505</v>
      </c>
      <c r="AF33">
        <v>0</v>
      </c>
      <c r="AG33">
        <v>0</v>
      </c>
      <c r="AH33">
        <f t="shared" si="23"/>
        <v>1</v>
      </c>
      <c r="AI33">
        <f t="shared" si="24"/>
        <v>0</v>
      </c>
      <c r="AJ33">
        <f t="shared" si="25"/>
        <v>52636.085639671772</v>
      </c>
      <c r="AK33">
        <f t="shared" si="26"/>
        <v>1799.96</v>
      </c>
      <c r="AL33">
        <f t="shared" si="27"/>
        <v>1499.0763572517601</v>
      </c>
      <c r="AM33">
        <f t="shared" si="28"/>
        <v>0.83283870599999998</v>
      </c>
      <c r="AN33">
        <f t="shared" si="29"/>
        <v>0.15339695645999998</v>
      </c>
      <c r="AO33">
        <v>29.1</v>
      </c>
      <c r="AP33">
        <v>0.5</v>
      </c>
      <c r="AQ33" t="s">
        <v>331</v>
      </c>
      <c r="AR33">
        <v>2</v>
      </c>
      <c r="AS33">
        <v>1690286800.0999999</v>
      </c>
      <c r="AT33">
        <v>771.26199999999994</v>
      </c>
      <c r="AU33">
        <v>799.93899999999996</v>
      </c>
      <c r="AV33">
        <v>23.739599999999999</v>
      </c>
      <c r="AW33">
        <v>22.143000000000001</v>
      </c>
      <c r="AX33">
        <v>772.48099999999999</v>
      </c>
      <c r="AY33">
        <v>23.548500000000001</v>
      </c>
      <c r="AZ33">
        <v>300.27199999999999</v>
      </c>
      <c r="BA33">
        <v>99.317899999999995</v>
      </c>
      <c r="BB33">
        <v>0.100007</v>
      </c>
      <c r="BC33">
        <v>26.892399999999999</v>
      </c>
      <c r="BD33">
        <v>27.282900000000001</v>
      </c>
      <c r="BE33">
        <v>29.252099999999999</v>
      </c>
      <c r="BF33">
        <v>0</v>
      </c>
      <c r="BG33">
        <v>0</v>
      </c>
      <c r="BH33">
        <v>10020</v>
      </c>
      <c r="BI33">
        <v>1105.42</v>
      </c>
      <c r="BJ33">
        <v>1.28952</v>
      </c>
      <c r="BK33">
        <v>-28.6767</v>
      </c>
      <c r="BL33">
        <v>790.01700000000005</v>
      </c>
      <c r="BM33">
        <v>818.053</v>
      </c>
      <c r="BN33">
        <v>1.5966499999999999</v>
      </c>
      <c r="BO33">
        <v>799.93899999999996</v>
      </c>
      <c r="BP33">
        <v>22.143000000000001</v>
      </c>
      <c r="BQ33">
        <v>2.3577699999999999</v>
      </c>
      <c r="BR33">
        <v>2.1991900000000002</v>
      </c>
      <c r="BS33">
        <v>20.076599999999999</v>
      </c>
      <c r="BT33">
        <v>18.956399999999999</v>
      </c>
      <c r="BU33">
        <v>1799.96</v>
      </c>
      <c r="BV33">
        <v>0.90999799999999997</v>
      </c>
      <c r="BW33">
        <v>3.4006500000000002E-2</v>
      </c>
      <c r="BX33">
        <v>2.19928E-2</v>
      </c>
      <c r="BY33">
        <v>3.40028E-2</v>
      </c>
      <c r="BZ33">
        <v>23</v>
      </c>
      <c r="CA33">
        <v>33527.699999999997</v>
      </c>
      <c r="CB33">
        <v>1690286268.5999999</v>
      </c>
      <c r="CC33" t="s">
        <v>332</v>
      </c>
      <c r="CD33">
        <v>1690286261.0999999</v>
      </c>
      <c r="CE33">
        <v>1690286268.5999999</v>
      </c>
      <c r="CF33">
        <v>1</v>
      </c>
      <c r="CG33">
        <v>-0.89900000000000002</v>
      </c>
      <c r="CH33">
        <v>3.4000000000000002E-2</v>
      </c>
      <c r="CI33">
        <v>-1.2370000000000001</v>
      </c>
      <c r="CJ33">
        <v>8.5999999999999993E-2</v>
      </c>
      <c r="CK33">
        <v>799</v>
      </c>
      <c r="CL33">
        <v>16</v>
      </c>
      <c r="CM33">
        <v>0.28999999999999998</v>
      </c>
      <c r="CN33">
        <v>0.09</v>
      </c>
      <c r="CO33">
        <v>-22.629837500000001</v>
      </c>
      <c r="CP33">
        <v>-28.84534446529079</v>
      </c>
      <c r="CQ33">
        <v>2.7812051076545492</v>
      </c>
      <c r="CR33">
        <v>-1</v>
      </c>
      <c r="CS33">
        <v>1.73957625</v>
      </c>
      <c r="CT33">
        <v>-0.85246255159474404</v>
      </c>
      <c r="CU33">
        <v>8.2134137899155552E-2</v>
      </c>
      <c r="CV33">
        <v>-1</v>
      </c>
      <c r="CW33">
        <v>0</v>
      </c>
      <c r="CX33">
        <v>0</v>
      </c>
      <c r="CY33" t="s">
        <v>333</v>
      </c>
      <c r="CZ33">
        <v>2.3654999999999999</v>
      </c>
      <c r="DA33">
        <v>2.7138200000000001</v>
      </c>
      <c r="DB33">
        <v>0.14396600000000001</v>
      </c>
      <c r="DC33">
        <v>0.14705399999999999</v>
      </c>
      <c r="DD33">
        <v>0.113513</v>
      </c>
      <c r="DE33">
        <v>0.106518</v>
      </c>
      <c r="DF33">
        <v>31252.2</v>
      </c>
      <c r="DG33">
        <v>27445.3</v>
      </c>
      <c r="DH33">
        <v>31164.1</v>
      </c>
      <c r="DI33">
        <v>28034.7</v>
      </c>
      <c r="DJ33">
        <v>37498.300000000003</v>
      </c>
      <c r="DK33">
        <v>35591.5</v>
      </c>
      <c r="DL33">
        <v>44340.9</v>
      </c>
      <c r="DM33">
        <v>42462.2</v>
      </c>
      <c r="DN33">
        <v>1.4770300000000001</v>
      </c>
      <c r="DO33">
        <v>2.1072500000000001</v>
      </c>
      <c r="DP33">
        <v>8.6367100000000002E-2</v>
      </c>
      <c r="DQ33">
        <v>0.224687</v>
      </c>
      <c r="DR33">
        <v>25.869499999999999</v>
      </c>
      <c r="DS33">
        <v>25.58</v>
      </c>
      <c r="DT33">
        <v>69.599999999999994</v>
      </c>
      <c r="DU33">
        <v>24.2</v>
      </c>
      <c r="DV33">
        <v>21.236899999999999</v>
      </c>
      <c r="DW33">
        <v>62.471400000000003</v>
      </c>
      <c r="DX33">
        <v>35.084099999999999</v>
      </c>
      <c r="DY33">
        <v>1</v>
      </c>
      <c r="DZ33">
        <v>-0.14296700000000001</v>
      </c>
      <c r="EA33">
        <v>4.2115600000000004</v>
      </c>
      <c r="EB33">
        <v>20.122699999999998</v>
      </c>
      <c r="EC33">
        <v>5.2408000000000001</v>
      </c>
      <c r="ED33">
        <v>12.039899999999999</v>
      </c>
      <c r="EE33">
        <v>5.0166000000000004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1.8687199999999999</v>
      </c>
      <c r="EL33">
        <v>1.86435</v>
      </c>
      <c r="EM33">
        <v>1.8690500000000001</v>
      </c>
      <c r="EN33">
        <v>1.8670599999999999</v>
      </c>
      <c r="EO33">
        <v>1.86324</v>
      </c>
      <c r="EP33">
        <v>1.86419</v>
      </c>
      <c r="EQ33">
        <v>1.87001</v>
      </c>
      <c r="ER33">
        <v>1.8692299999999999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-1.2190000000000001</v>
      </c>
      <c r="FG33">
        <v>0.19109999999999999</v>
      </c>
      <c r="FH33">
        <v>-0.68620417327404271</v>
      </c>
      <c r="FI33">
        <v>-6.1462078757559423E-4</v>
      </c>
      <c r="FJ33">
        <v>-1.8861989874597051E-7</v>
      </c>
      <c r="FK33">
        <v>1.1980462299894961E-10</v>
      </c>
      <c r="FL33">
        <v>0.1911242781723908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9</v>
      </c>
      <c r="FU33">
        <v>8.9</v>
      </c>
      <c r="FV33">
        <v>1.78711</v>
      </c>
      <c r="FW33">
        <v>2.5500500000000001</v>
      </c>
      <c r="FX33">
        <v>1.5490699999999999</v>
      </c>
      <c r="FY33">
        <v>2.34253</v>
      </c>
      <c r="FZ33">
        <v>1.50024</v>
      </c>
      <c r="GA33">
        <v>2.34985</v>
      </c>
      <c r="GB33">
        <v>29.772400000000001</v>
      </c>
      <c r="GC33">
        <v>23.973700000000001</v>
      </c>
      <c r="GD33">
        <v>19</v>
      </c>
      <c r="GE33">
        <v>279.44600000000003</v>
      </c>
      <c r="GF33">
        <v>632.50300000000004</v>
      </c>
      <c r="GG33">
        <v>23.533000000000001</v>
      </c>
      <c r="GH33">
        <v>25.552700000000002</v>
      </c>
      <c r="GI33">
        <v>30.0002</v>
      </c>
      <c r="GJ33">
        <v>25.495200000000001</v>
      </c>
      <c r="GK33">
        <v>25.4132</v>
      </c>
      <c r="GL33">
        <v>35.732300000000002</v>
      </c>
      <c r="GM33">
        <v>3.4896500000000001</v>
      </c>
      <c r="GN33">
        <v>100</v>
      </c>
      <c r="GO33">
        <v>23.303999999999998</v>
      </c>
      <c r="GP33">
        <v>800</v>
      </c>
      <c r="GQ33">
        <v>22.084700000000002</v>
      </c>
      <c r="GR33">
        <v>99.700500000000005</v>
      </c>
      <c r="GS33">
        <v>99.360500000000002</v>
      </c>
    </row>
    <row r="34" spans="1:201" x14ac:dyDescent="0.25">
      <c r="A34">
        <v>18</v>
      </c>
      <c r="B34">
        <v>1690286810.0999999</v>
      </c>
      <c r="C34">
        <v>271.5</v>
      </c>
      <c r="D34" t="s">
        <v>369</v>
      </c>
      <c r="E34" t="s">
        <v>370</v>
      </c>
      <c r="F34" t="s">
        <v>330</v>
      </c>
      <c r="H34">
        <v>1690286810.0999999</v>
      </c>
      <c r="I34">
        <f t="shared" si="0"/>
        <v>1.710969010559009E-4</v>
      </c>
      <c r="J34">
        <f t="shared" si="1"/>
        <v>0.17109690105590089</v>
      </c>
      <c r="K34">
        <f t="shared" si="2"/>
        <v>3.5538205688664624</v>
      </c>
      <c r="L34">
        <f t="shared" si="3"/>
        <v>764.27499999999998</v>
      </c>
      <c r="M34">
        <f t="shared" si="4"/>
        <v>201.45450821251464</v>
      </c>
      <c r="N34">
        <f t="shared" si="5"/>
        <v>20.027714259380556</v>
      </c>
      <c r="O34">
        <f t="shared" si="6"/>
        <v>75.980832851062502</v>
      </c>
      <c r="P34">
        <f t="shared" si="7"/>
        <v>1.0359879189051947E-2</v>
      </c>
      <c r="Q34">
        <f t="shared" si="8"/>
        <v>2.302184154764761</v>
      </c>
      <c r="R34">
        <f t="shared" si="9"/>
        <v>1.0334049097152995E-2</v>
      </c>
      <c r="S34">
        <f t="shared" si="10"/>
        <v>6.4610960066042522E-3</v>
      </c>
      <c r="T34">
        <f t="shared" si="11"/>
        <v>276.10964183382799</v>
      </c>
      <c r="U34">
        <f t="shared" si="12"/>
        <v>28.690060528809827</v>
      </c>
      <c r="V34">
        <f t="shared" si="13"/>
        <v>28.690060528809827</v>
      </c>
      <c r="W34">
        <f t="shared" si="14"/>
        <v>3.950204618949428</v>
      </c>
      <c r="X34">
        <f t="shared" si="15"/>
        <v>66.964926454089081</v>
      </c>
      <c r="Y34">
        <f t="shared" si="16"/>
        <v>2.3564273133390001</v>
      </c>
      <c r="Z34">
        <f t="shared" si="17"/>
        <v>3.518897784431315</v>
      </c>
      <c r="AA34">
        <f t="shared" si="18"/>
        <v>1.5937773056104279</v>
      </c>
      <c r="AB34">
        <f t="shared" si="19"/>
        <v>-7.5453733365652296</v>
      </c>
      <c r="AC34">
        <f t="shared" si="20"/>
        <v>-245.60697139228685</v>
      </c>
      <c r="AD34">
        <f t="shared" si="21"/>
        <v>-23.185664874516981</v>
      </c>
      <c r="AE34">
        <f t="shared" si="22"/>
        <v>-0.22836776954108018</v>
      </c>
      <c r="AF34">
        <v>0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52651.067817470328</v>
      </c>
      <c r="AK34">
        <f t="shared" si="26"/>
        <v>1799.96</v>
      </c>
      <c r="AL34">
        <f t="shared" si="27"/>
        <v>1499.0819713270002</v>
      </c>
      <c r="AM34">
        <f t="shared" si="28"/>
        <v>0.83284182500000015</v>
      </c>
      <c r="AN34">
        <f t="shared" si="29"/>
        <v>0.15339765429999999</v>
      </c>
      <c r="AO34">
        <v>29.1</v>
      </c>
      <c r="AP34">
        <v>0.5</v>
      </c>
      <c r="AQ34" t="s">
        <v>331</v>
      </c>
      <c r="AR34">
        <v>2</v>
      </c>
      <c r="AS34">
        <v>1690286810.0999999</v>
      </c>
      <c r="AT34">
        <v>764.27499999999998</v>
      </c>
      <c r="AU34">
        <v>800</v>
      </c>
      <c r="AV34">
        <v>23.7028</v>
      </c>
      <c r="AW34">
        <v>22.083200000000001</v>
      </c>
      <c r="AX34">
        <v>765.48800000000006</v>
      </c>
      <c r="AY34">
        <v>23.511600000000001</v>
      </c>
      <c r="AZ34">
        <v>300.13</v>
      </c>
      <c r="BA34">
        <v>99.315600000000003</v>
      </c>
      <c r="BB34">
        <v>9.9967500000000001E-2</v>
      </c>
      <c r="BC34">
        <v>26.711200000000002</v>
      </c>
      <c r="BD34">
        <v>27.104500000000002</v>
      </c>
      <c r="BE34">
        <v>29.0627</v>
      </c>
      <c r="BF34">
        <v>0</v>
      </c>
      <c r="BG34">
        <v>0</v>
      </c>
      <c r="BH34">
        <v>10016.9</v>
      </c>
      <c r="BI34">
        <v>1103.75</v>
      </c>
      <c r="BJ34">
        <v>1.28952</v>
      </c>
      <c r="BK34">
        <v>-35.725499999999997</v>
      </c>
      <c r="BL34">
        <v>782.83</v>
      </c>
      <c r="BM34">
        <v>818.06600000000003</v>
      </c>
      <c r="BN34">
        <v>1.6195900000000001</v>
      </c>
      <c r="BO34">
        <v>800</v>
      </c>
      <c r="BP34">
        <v>22.083200000000001</v>
      </c>
      <c r="BQ34">
        <v>2.35405</v>
      </c>
      <c r="BR34">
        <v>2.1932</v>
      </c>
      <c r="BS34">
        <v>20.051100000000002</v>
      </c>
      <c r="BT34">
        <v>18.912700000000001</v>
      </c>
      <c r="BU34">
        <v>1799.96</v>
      </c>
      <c r="BV34">
        <v>0.91001100000000001</v>
      </c>
      <c r="BW34">
        <v>3.3993500000000003E-2</v>
      </c>
      <c r="BX34">
        <v>2.2005500000000001E-2</v>
      </c>
      <c r="BY34">
        <v>3.3989800000000001E-2</v>
      </c>
      <c r="BZ34">
        <v>23</v>
      </c>
      <c r="CA34">
        <v>33527.599999999999</v>
      </c>
      <c r="CB34">
        <v>1690286268.5999999</v>
      </c>
      <c r="CC34" t="s">
        <v>332</v>
      </c>
      <c r="CD34">
        <v>1690286261.0999999</v>
      </c>
      <c r="CE34">
        <v>1690286268.5999999</v>
      </c>
      <c r="CF34">
        <v>1</v>
      </c>
      <c r="CG34">
        <v>-0.89900000000000002</v>
      </c>
      <c r="CH34">
        <v>3.4000000000000002E-2</v>
      </c>
      <c r="CI34">
        <v>-1.2370000000000001</v>
      </c>
      <c r="CJ34">
        <v>8.5999999999999993E-2</v>
      </c>
      <c r="CK34">
        <v>799</v>
      </c>
      <c r="CL34">
        <v>16</v>
      </c>
      <c r="CM34">
        <v>0.28999999999999998</v>
      </c>
      <c r="CN34">
        <v>0.09</v>
      </c>
      <c r="CO34">
        <v>-28.306521951219519</v>
      </c>
      <c r="CP34">
        <v>-37.561358885017462</v>
      </c>
      <c r="CQ34">
        <v>3.7103518940018372</v>
      </c>
      <c r="CR34">
        <v>-1</v>
      </c>
      <c r="CS34">
        <v>1.626513414634146</v>
      </c>
      <c r="CT34">
        <v>-0.45445149825783782</v>
      </c>
      <c r="CU34">
        <v>4.9110733693868078E-2</v>
      </c>
      <c r="CV34">
        <v>-1</v>
      </c>
      <c r="CW34">
        <v>0</v>
      </c>
      <c r="CX34">
        <v>0</v>
      </c>
      <c r="CY34" t="s">
        <v>333</v>
      </c>
      <c r="CZ34">
        <v>2.3650099999999998</v>
      </c>
      <c r="DA34">
        <v>2.7137699999999998</v>
      </c>
      <c r="DB34">
        <v>0.14308100000000001</v>
      </c>
      <c r="DC34">
        <v>0.14705299999999999</v>
      </c>
      <c r="DD34">
        <v>0.113383</v>
      </c>
      <c r="DE34">
        <v>0.106311</v>
      </c>
      <c r="DF34">
        <v>31284.5</v>
      </c>
      <c r="DG34">
        <v>27445.4</v>
      </c>
      <c r="DH34">
        <v>31164.1</v>
      </c>
      <c r="DI34">
        <v>28034.9</v>
      </c>
      <c r="DJ34">
        <v>37504.1</v>
      </c>
      <c r="DK34">
        <v>35599.9</v>
      </c>
      <c r="DL34">
        <v>44341.3</v>
      </c>
      <c r="DM34">
        <v>42462.3</v>
      </c>
      <c r="DN34">
        <v>1.47763</v>
      </c>
      <c r="DO34">
        <v>2.1066699999999998</v>
      </c>
      <c r="DP34">
        <v>7.51391E-2</v>
      </c>
      <c r="DQ34">
        <v>0.213779</v>
      </c>
      <c r="DR34">
        <v>25.874600000000001</v>
      </c>
      <c r="DS34">
        <v>25.568300000000001</v>
      </c>
      <c r="DT34">
        <v>69.599999999999994</v>
      </c>
      <c r="DU34">
        <v>24.2</v>
      </c>
      <c r="DV34">
        <v>21.243500000000001</v>
      </c>
      <c r="DW34">
        <v>62.1614</v>
      </c>
      <c r="DX34">
        <v>36.081699999999998</v>
      </c>
      <c r="DY34">
        <v>1</v>
      </c>
      <c r="DZ34">
        <v>-0.14499000000000001</v>
      </c>
      <c r="EA34">
        <v>3.2876400000000001</v>
      </c>
      <c r="EB34">
        <v>20.1511</v>
      </c>
      <c r="EC34">
        <v>5.2411000000000003</v>
      </c>
      <c r="ED34">
        <v>12.039899999999999</v>
      </c>
      <c r="EE34">
        <v>5.0169499999999996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1.8687100000000001</v>
      </c>
      <c r="EL34">
        <v>1.86436</v>
      </c>
      <c r="EM34">
        <v>1.8690500000000001</v>
      </c>
      <c r="EN34">
        <v>1.86707</v>
      </c>
      <c r="EO34">
        <v>1.8632500000000001</v>
      </c>
      <c r="EP34">
        <v>1.8642000000000001</v>
      </c>
      <c r="EQ34">
        <v>1.87002</v>
      </c>
      <c r="ER34">
        <v>1.8692299999999999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-1.2130000000000001</v>
      </c>
      <c r="FG34">
        <v>0.19120000000000001</v>
      </c>
      <c r="FH34">
        <v>-0.68620417327404271</v>
      </c>
      <c r="FI34">
        <v>-6.1462078757559423E-4</v>
      </c>
      <c r="FJ34">
        <v>-1.8861989874597051E-7</v>
      </c>
      <c r="FK34">
        <v>1.1980462299894961E-10</v>
      </c>
      <c r="FL34">
        <v>0.1911242781723908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9.1999999999999993</v>
      </c>
      <c r="FU34">
        <v>9</v>
      </c>
      <c r="FV34">
        <v>1.78711</v>
      </c>
      <c r="FW34">
        <v>2.5573700000000001</v>
      </c>
      <c r="FX34">
        <v>1.5490699999999999</v>
      </c>
      <c r="FY34">
        <v>2.34253</v>
      </c>
      <c r="FZ34">
        <v>1.50146</v>
      </c>
      <c r="GA34">
        <v>2.3010299999999999</v>
      </c>
      <c r="GB34">
        <v>29.772400000000001</v>
      </c>
      <c r="GC34">
        <v>23.973700000000001</v>
      </c>
      <c r="GD34">
        <v>19</v>
      </c>
      <c r="GE34">
        <v>279.75099999999998</v>
      </c>
      <c r="GF34">
        <v>632.13699999999994</v>
      </c>
      <c r="GG34">
        <v>22.950700000000001</v>
      </c>
      <c r="GH34">
        <v>25.5672</v>
      </c>
      <c r="GI34">
        <v>29.999500000000001</v>
      </c>
      <c r="GJ34">
        <v>25.5075</v>
      </c>
      <c r="GK34">
        <v>25.424299999999999</v>
      </c>
      <c r="GL34">
        <v>35.731200000000001</v>
      </c>
      <c r="GM34">
        <v>5.9175899999999997</v>
      </c>
      <c r="GN34">
        <v>100</v>
      </c>
      <c r="GO34">
        <v>22.919499999999999</v>
      </c>
      <c r="GP34">
        <v>800</v>
      </c>
      <c r="GQ34">
        <v>21.7742</v>
      </c>
      <c r="GR34">
        <v>99.700999999999993</v>
      </c>
      <c r="GS34">
        <v>99.361000000000004</v>
      </c>
    </row>
    <row r="35" spans="1:201" x14ac:dyDescent="0.25">
      <c r="A35">
        <v>19</v>
      </c>
      <c r="B35">
        <v>1690286820.0999999</v>
      </c>
      <c r="C35">
        <v>281.5</v>
      </c>
      <c r="D35" t="s">
        <v>371</v>
      </c>
      <c r="E35" t="s">
        <v>372</v>
      </c>
      <c r="F35" t="s">
        <v>330</v>
      </c>
      <c r="H35">
        <v>1690286820.0999999</v>
      </c>
      <c r="I35">
        <f t="shared" si="0"/>
        <v>1.9821040944467062E-4</v>
      </c>
      <c r="J35">
        <f t="shared" si="1"/>
        <v>0.19821040944467061</v>
      </c>
      <c r="K35">
        <f t="shared" si="2"/>
        <v>4.3678993098772967</v>
      </c>
      <c r="L35">
        <f t="shared" si="3"/>
        <v>756.29899999999998</v>
      </c>
      <c r="M35">
        <f t="shared" si="4"/>
        <v>175.45934743819743</v>
      </c>
      <c r="N35">
        <f t="shared" si="5"/>
        <v>17.443816350854629</v>
      </c>
      <c r="O35">
        <f t="shared" si="6"/>
        <v>75.189729444205994</v>
      </c>
      <c r="P35">
        <f t="shared" si="7"/>
        <v>1.231772482502144E-2</v>
      </c>
      <c r="Q35">
        <f t="shared" si="8"/>
        <v>2.2924552738066808</v>
      </c>
      <c r="R35">
        <f t="shared" si="9"/>
        <v>1.2281073475238706E-2</v>
      </c>
      <c r="S35">
        <f t="shared" si="10"/>
        <v>7.6789547545177703E-3</v>
      </c>
      <c r="T35">
        <f t="shared" si="11"/>
        <v>276.10745076753801</v>
      </c>
      <c r="U35">
        <f t="shared" si="12"/>
        <v>28.543923762043832</v>
      </c>
      <c r="V35">
        <f t="shared" si="13"/>
        <v>28.543923762043832</v>
      </c>
      <c r="W35">
        <f t="shared" si="14"/>
        <v>3.916847254296556</v>
      </c>
      <c r="X35">
        <f t="shared" si="15"/>
        <v>67.727436432881987</v>
      </c>
      <c r="Y35">
        <f t="shared" si="16"/>
        <v>2.362966881392</v>
      </c>
      <c r="Z35">
        <f t="shared" si="17"/>
        <v>3.4889359554214114</v>
      </c>
      <c r="AA35">
        <f t="shared" si="18"/>
        <v>1.5538803729045561</v>
      </c>
      <c r="AB35">
        <f t="shared" si="19"/>
        <v>-8.7410790565099745</v>
      </c>
      <c r="AC35">
        <f t="shared" si="20"/>
        <v>-244.45327645735188</v>
      </c>
      <c r="AD35">
        <f t="shared" si="21"/>
        <v>-23.141025862836809</v>
      </c>
      <c r="AE35">
        <f t="shared" si="22"/>
        <v>-0.22793060916063723</v>
      </c>
      <c r="AF35">
        <v>0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52308.605255161696</v>
      </c>
      <c r="AK35">
        <f t="shared" si="26"/>
        <v>1799.95</v>
      </c>
      <c r="AL35">
        <f t="shared" si="27"/>
        <v>1499.0681062625499</v>
      </c>
      <c r="AM35">
        <f t="shared" si="28"/>
        <v>0.83283874899999999</v>
      </c>
      <c r="AN35">
        <f t="shared" si="29"/>
        <v>0.15339728924000001</v>
      </c>
      <c r="AO35">
        <v>29.1</v>
      </c>
      <c r="AP35">
        <v>0.5</v>
      </c>
      <c r="AQ35" t="s">
        <v>331</v>
      </c>
      <c r="AR35">
        <v>2</v>
      </c>
      <c r="AS35">
        <v>1690286820.0999999</v>
      </c>
      <c r="AT35">
        <v>756.29899999999998</v>
      </c>
      <c r="AU35">
        <v>800.07399999999996</v>
      </c>
      <c r="AV35">
        <v>23.768000000000001</v>
      </c>
      <c r="AW35">
        <v>21.8931</v>
      </c>
      <c r="AX35">
        <v>757.50699999999995</v>
      </c>
      <c r="AY35">
        <v>23.576799999999999</v>
      </c>
      <c r="AZ35">
        <v>300.327</v>
      </c>
      <c r="BA35">
        <v>99.317899999999995</v>
      </c>
      <c r="BB35">
        <v>0.100094</v>
      </c>
      <c r="BC35">
        <v>26.565999999999999</v>
      </c>
      <c r="BD35">
        <v>26.988499999999998</v>
      </c>
      <c r="BE35">
        <v>28.889500000000002</v>
      </c>
      <c r="BF35">
        <v>0</v>
      </c>
      <c r="BG35">
        <v>0</v>
      </c>
      <c r="BH35">
        <v>9943.75</v>
      </c>
      <c r="BI35">
        <v>1102.1500000000001</v>
      </c>
      <c r="BJ35">
        <v>1.28952</v>
      </c>
      <c r="BK35">
        <v>-43.7742</v>
      </c>
      <c r="BL35">
        <v>774.71299999999997</v>
      </c>
      <c r="BM35">
        <v>817.98199999999997</v>
      </c>
      <c r="BN35">
        <v>1.8749</v>
      </c>
      <c r="BO35">
        <v>800.07399999999996</v>
      </c>
      <c r="BP35">
        <v>21.8931</v>
      </c>
      <c r="BQ35">
        <v>2.3605800000000001</v>
      </c>
      <c r="BR35">
        <v>2.1743700000000001</v>
      </c>
      <c r="BS35">
        <v>20.0959</v>
      </c>
      <c r="BT35">
        <v>18.774699999999999</v>
      </c>
      <c r="BU35">
        <v>1799.95</v>
      </c>
      <c r="BV35">
        <v>0.90999099999999999</v>
      </c>
      <c r="BW35">
        <v>3.4001799999999999E-2</v>
      </c>
      <c r="BX35">
        <v>2.1997699999999999E-2</v>
      </c>
      <c r="BY35">
        <v>3.4009400000000002E-2</v>
      </c>
      <c r="BZ35">
        <v>23</v>
      </c>
      <c r="CA35">
        <v>33527.5</v>
      </c>
      <c r="CB35">
        <v>1690286268.5999999</v>
      </c>
      <c r="CC35" t="s">
        <v>332</v>
      </c>
      <c r="CD35">
        <v>1690286261.0999999</v>
      </c>
      <c r="CE35">
        <v>1690286268.5999999</v>
      </c>
      <c r="CF35">
        <v>1</v>
      </c>
      <c r="CG35">
        <v>-0.89900000000000002</v>
      </c>
      <c r="CH35">
        <v>3.4000000000000002E-2</v>
      </c>
      <c r="CI35">
        <v>-1.2370000000000001</v>
      </c>
      <c r="CJ35">
        <v>8.5999999999999993E-2</v>
      </c>
      <c r="CK35">
        <v>799</v>
      </c>
      <c r="CL35">
        <v>16</v>
      </c>
      <c r="CM35">
        <v>0.28999999999999998</v>
      </c>
      <c r="CN35">
        <v>0.09</v>
      </c>
      <c r="CO35">
        <v>-35.709822500000001</v>
      </c>
      <c r="CP35">
        <v>-45.140392120074956</v>
      </c>
      <c r="CQ35">
        <v>4.3447059113642839</v>
      </c>
      <c r="CR35">
        <v>-1</v>
      </c>
      <c r="CS35">
        <v>1.65239275</v>
      </c>
      <c r="CT35">
        <v>0.78942765478423504</v>
      </c>
      <c r="CU35">
        <v>8.3293873453799128E-2</v>
      </c>
      <c r="CV35">
        <v>-1</v>
      </c>
      <c r="CW35">
        <v>0</v>
      </c>
      <c r="CX35">
        <v>0</v>
      </c>
      <c r="CY35" t="s">
        <v>333</v>
      </c>
      <c r="CZ35">
        <v>2.3656600000000001</v>
      </c>
      <c r="DA35">
        <v>2.7138399999999998</v>
      </c>
      <c r="DB35">
        <v>0.14207500000000001</v>
      </c>
      <c r="DC35">
        <v>0.14705799999999999</v>
      </c>
      <c r="DD35">
        <v>0.11360199999999999</v>
      </c>
      <c r="DE35">
        <v>0.105668</v>
      </c>
      <c r="DF35">
        <v>31321.599999999999</v>
      </c>
      <c r="DG35">
        <v>27445.1</v>
      </c>
      <c r="DH35">
        <v>31164.5</v>
      </c>
      <c r="DI35">
        <v>28034.799999999999</v>
      </c>
      <c r="DJ35">
        <v>37495.1</v>
      </c>
      <c r="DK35">
        <v>35625.699999999997</v>
      </c>
      <c r="DL35">
        <v>44341.8</v>
      </c>
      <c r="DM35">
        <v>42462.400000000001</v>
      </c>
      <c r="DN35">
        <v>1.47898</v>
      </c>
      <c r="DO35">
        <v>2.10602</v>
      </c>
      <c r="DP35">
        <v>6.8545300000000003E-2</v>
      </c>
      <c r="DQ35">
        <v>0.20475699999999999</v>
      </c>
      <c r="DR35">
        <v>25.866499999999998</v>
      </c>
      <c r="DS35">
        <v>25.542000000000002</v>
      </c>
      <c r="DT35">
        <v>69.7</v>
      </c>
      <c r="DU35">
        <v>24.2</v>
      </c>
      <c r="DV35">
        <v>21.272400000000001</v>
      </c>
      <c r="DW35">
        <v>62.481400000000001</v>
      </c>
      <c r="DX35">
        <v>35.941499999999998</v>
      </c>
      <c r="DY35">
        <v>1</v>
      </c>
      <c r="DZ35">
        <v>-0.14690800000000001</v>
      </c>
      <c r="EA35">
        <v>2.38815</v>
      </c>
      <c r="EB35">
        <v>20.170999999999999</v>
      </c>
      <c r="EC35">
        <v>5.2411000000000003</v>
      </c>
      <c r="ED35">
        <v>12.039899999999999</v>
      </c>
      <c r="EE35">
        <v>5.0170500000000002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1.8687100000000001</v>
      </c>
      <c r="EL35">
        <v>1.8643700000000001</v>
      </c>
      <c r="EM35">
        <v>1.8690500000000001</v>
      </c>
      <c r="EN35">
        <v>1.8670599999999999</v>
      </c>
      <c r="EO35">
        <v>1.86324</v>
      </c>
      <c r="EP35">
        <v>1.8641799999999999</v>
      </c>
      <c r="EQ35">
        <v>1.8700399999999999</v>
      </c>
      <c r="ER35">
        <v>1.86924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-1.208</v>
      </c>
      <c r="FG35">
        <v>0.19120000000000001</v>
      </c>
      <c r="FH35">
        <v>-0.68620417327404271</v>
      </c>
      <c r="FI35">
        <v>-6.1462078757559423E-4</v>
      </c>
      <c r="FJ35">
        <v>-1.8861989874597051E-7</v>
      </c>
      <c r="FK35">
        <v>1.1980462299894961E-10</v>
      </c>
      <c r="FL35">
        <v>0.1911242781723908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9.3000000000000007</v>
      </c>
      <c r="FU35">
        <v>9.1999999999999993</v>
      </c>
      <c r="FV35">
        <v>1.78711</v>
      </c>
      <c r="FW35">
        <v>2.5524900000000001</v>
      </c>
      <c r="FX35">
        <v>1.5490699999999999</v>
      </c>
      <c r="FY35">
        <v>2.34253</v>
      </c>
      <c r="FZ35">
        <v>1.50146</v>
      </c>
      <c r="GA35">
        <v>2.3706100000000001</v>
      </c>
      <c r="GB35">
        <v>29.793700000000001</v>
      </c>
      <c r="GC35">
        <v>23.982399999999998</v>
      </c>
      <c r="GD35">
        <v>19</v>
      </c>
      <c r="GE35">
        <v>280.38</v>
      </c>
      <c r="GF35">
        <v>631.68600000000004</v>
      </c>
      <c r="GG35">
        <v>22.755099999999999</v>
      </c>
      <c r="GH35">
        <v>25.5822</v>
      </c>
      <c r="GI35">
        <v>29.999400000000001</v>
      </c>
      <c r="GJ35">
        <v>25.5214</v>
      </c>
      <c r="GK35">
        <v>25.433900000000001</v>
      </c>
      <c r="GL35">
        <v>35.728200000000001</v>
      </c>
      <c r="GM35">
        <v>9.0857299999999999</v>
      </c>
      <c r="GN35">
        <v>100</v>
      </c>
      <c r="GO35">
        <v>24.755199999999999</v>
      </c>
      <c r="GP35">
        <v>800</v>
      </c>
      <c r="GQ35">
        <v>21.4604</v>
      </c>
      <c r="GR35">
        <v>99.702200000000005</v>
      </c>
      <c r="GS35">
        <v>99.361000000000004</v>
      </c>
    </row>
    <row r="36" spans="1:201" x14ac:dyDescent="0.25">
      <c r="A36">
        <v>20</v>
      </c>
      <c r="B36">
        <v>1690286830.0999999</v>
      </c>
      <c r="C36">
        <v>291.5</v>
      </c>
      <c r="D36" t="s">
        <v>373</v>
      </c>
      <c r="E36" t="s">
        <v>374</v>
      </c>
      <c r="F36" t="s">
        <v>330</v>
      </c>
      <c r="H36">
        <v>1690286830.0999999</v>
      </c>
      <c r="I36">
        <f t="shared" si="0"/>
        <v>2.8171971058186542E-4</v>
      </c>
      <c r="J36">
        <f t="shared" si="1"/>
        <v>0.2817197105818654</v>
      </c>
      <c r="K36">
        <f t="shared" si="2"/>
        <v>5.2200286874438264</v>
      </c>
      <c r="L36">
        <f t="shared" si="3"/>
        <v>747.61199999999997</v>
      </c>
      <c r="M36">
        <f t="shared" si="4"/>
        <v>269.55822317736107</v>
      </c>
      <c r="N36">
        <f t="shared" si="5"/>
        <v>26.798392983416861</v>
      </c>
      <c r="O36">
        <f t="shared" si="6"/>
        <v>74.324574256953596</v>
      </c>
      <c r="P36">
        <f t="shared" si="7"/>
        <v>1.8017193196933793E-2</v>
      </c>
      <c r="Q36">
        <f t="shared" si="8"/>
        <v>2.3051812478815901</v>
      </c>
      <c r="R36">
        <f t="shared" si="9"/>
        <v>1.7939324078012776E-2</v>
      </c>
      <c r="S36">
        <f t="shared" si="10"/>
        <v>1.1219045634434256E-2</v>
      </c>
      <c r="T36">
        <f t="shared" si="11"/>
        <v>276.11200117078766</v>
      </c>
      <c r="U36">
        <f t="shared" si="12"/>
        <v>28.540107042186637</v>
      </c>
      <c r="V36">
        <f t="shared" si="13"/>
        <v>28.540107042186637</v>
      </c>
      <c r="W36">
        <f t="shared" si="14"/>
        <v>3.9159793472923221</v>
      </c>
      <c r="X36">
        <f t="shared" si="15"/>
        <v>68.779215740182437</v>
      </c>
      <c r="Y36">
        <f t="shared" si="16"/>
        <v>2.4043753021679999</v>
      </c>
      <c r="Z36">
        <f t="shared" si="17"/>
        <v>3.4957876100981875</v>
      </c>
      <c r="AA36">
        <f t="shared" si="18"/>
        <v>1.5116040451243222</v>
      </c>
      <c r="AB36">
        <f t="shared" si="19"/>
        <v>-12.423839236660266</v>
      </c>
      <c r="AC36">
        <f t="shared" si="20"/>
        <v>-241.19754371193162</v>
      </c>
      <c r="AD36">
        <f t="shared" si="21"/>
        <v>-22.710105210529058</v>
      </c>
      <c r="AE36">
        <f t="shared" si="22"/>
        <v>-0.21948698833327285</v>
      </c>
      <c r="AF36">
        <v>0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52784.38693859434</v>
      </c>
      <c r="AK36">
        <f t="shared" si="26"/>
        <v>1799.98</v>
      </c>
      <c r="AL36">
        <f t="shared" si="27"/>
        <v>1499.09587779406</v>
      </c>
      <c r="AM36">
        <f t="shared" si="28"/>
        <v>0.83284029700000006</v>
      </c>
      <c r="AN36">
        <f t="shared" si="29"/>
        <v>0.15339726062000003</v>
      </c>
      <c r="AO36">
        <v>29.1</v>
      </c>
      <c r="AP36">
        <v>0.5</v>
      </c>
      <c r="AQ36" t="s">
        <v>331</v>
      </c>
      <c r="AR36">
        <v>2</v>
      </c>
      <c r="AS36">
        <v>1690286830.0999999</v>
      </c>
      <c r="AT36">
        <v>747.61199999999997</v>
      </c>
      <c r="AU36">
        <v>800.24400000000003</v>
      </c>
      <c r="AV36">
        <v>24.184999999999999</v>
      </c>
      <c r="AW36">
        <v>21.520700000000001</v>
      </c>
      <c r="AX36">
        <v>748.81399999999996</v>
      </c>
      <c r="AY36">
        <v>23.9939</v>
      </c>
      <c r="AZ36">
        <v>300.25799999999998</v>
      </c>
      <c r="BA36">
        <v>99.316100000000006</v>
      </c>
      <c r="BB36">
        <v>9.9872799999999998E-2</v>
      </c>
      <c r="BC36">
        <v>26.599299999999999</v>
      </c>
      <c r="BD36">
        <v>26.982700000000001</v>
      </c>
      <c r="BE36">
        <v>28.844799999999999</v>
      </c>
      <c r="BF36">
        <v>0</v>
      </c>
      <c r="BG36">
        <v>0</v>
      </c>
      <c r="BH36">
        <v>10039.4</v>
      </c>
      <c r="BI36">
        <v>1100.6099999999999</v>
      </c>
      <c r="BJ36">
        <v>1.28952</v>
      </c>
      <c r="BK36">
        <v>-52.631799999999998</v>
      </c>
      <c r="BL36">
        <v>766.14099999999996</v>
      </c>
      <c r="BM36">
        <v>817.84500000000003</v>
      </c>
      <c r="BN36">
        <v>2.6642399999999999</v>
      </c>
      <c r="BO36">
        <v>800.24400000000003</v>
      </c>
      <c r="BP36">
        <v>21.520700000000001</v>
      </c>
      <c r="BQ36">
        <v>2.4019599999999999</v>
      </c>
      <c r="BR36">
        <v>2.1373600000000001</v>
      </c>
      <c r="BS36">
        <v>20.376999999999999</v>
      </c>
      <c r="BT36">
        <v>18.500399999999999</v>
      </c>
      <c r="BU36">
        <v>1799.98</v>
      </c>
      <c r="BV36">
        <v>0.91000400000000004</v>
      </c>
      <c r="BW36">
        <v>3.4001799999999999E-2</v>
      </c>
      <c r="BX36">
        <v>2.1997099999999999E-2</v>
      </c>
      <c r="BY36">
        <v>3.3997600000000003E-2</v>
      </c>
      <c r="BZ36">
        <v>23</v>
      </c>
      <c r="CA36">
        <v>33528</v>
      </c>
      <c r="CB36">
        <v>1690286268.5999999</v>
      </c>
      <c r="CC36" t="s">
        <v>332</v>
      </c>
      <c r="CD36">
        <v>1690286261.0999999</v>
      </c>
      <c r="CE36">
        <v>1690286268.5999999</v>
      </c>
      <c r="CF36">
        <v>1</v>
      </c>
      <c r="CG36">
        <v>-0.89900000000000002</v>
      </c>
      <c r="CH36">
        <v>3.4000000000000002E-2</v>
      </c>
      <c r="CI36">
        <v>-1.2370000000000001</v>
      </c>
      <c r="CJ36">
        <v>8.5999999999999993E-2</v>
      </c>
      <c r="CK36">
        <v>799</v>
      </c>
      <c r="CL36">
        <v>16</v>
      </c>
      <c r="CM36">
        <v>0.28999999999999998</v>
      </c>
      <c r="CN36">
        <v>0.09</v>
      </c>
      <c r="CO36">
        <v>-42.827494999999999</v>
      </c>
      <c r="CP36">
        <v>-49.859374108817981</v>
      </c>
      <c r="CQ36">
        <v>4.797711528320038</v>
      </c>
      <c r="CR36">
        <v>-1</v>
      </c>
      <c r="CS36">
        <v>1.8885544999999999</v>
      </c>
      <c r="CT36">
        <v>2.3750053283302028</v>
      </c>
      <c r="CU36">
        <v>0.23793128614108319</v>
      </c>
      <c r="CV36">
        <v>-1</v>
      </c>
      <c r="CW36">
        <v>0</v>
      </c>
      <c r="CX36">
        <v>0</v>
      </c>
      <c r="CY36" t="s">
        <v>333</v>
      </c>
      <c r="CZ36">
        <v>2.3653900000000001</v>
      </c>
      <c r="DA36">
        <v>2.7136999999999998</v>
      </c>
      <c r="DB36">
        <v>0.14097199999999999</v>
      </c>
      <c r="DC36">
        <v>0.147066</v>
      </c>
      <c r="DD36">
        <v>0.114999</v>
      </c>
      <c r="DE36">
        <v>0.104398</v>
      </c>
      <c r="DF36">
        <v>31360.9</v>
      </c>
      <c r="DG36">
        <v>27444.2</v>
      </c>
      <c r="DH36">
        <v>31163.7</v>
      </c>
      <c r="DI36">
        <v>28034.2</v>
      </c>
      <c r="DJ36">
        <v>37434</v>
      </c>
      <c r="DK36">
        <v>35675.699999999997</v>
      </c>
      <c r="DL36">
        <v>44340.4</v>
      </c>
      <c r="DM36">
        <v>42461.599999999999</v>
      </c>
      <c r="DN36">
        <v>1.4809000000000001</v>
      </c>
      <c r="DO36">
        <v>2.1050300000000002</v>
      </c>
      <c r="DP36">
        <v>6.9312799999999994E-2</v>
      </c>
      <c r="DQ36">
        <v>0.20395199999999999</v>
      </c>
      <c r="DR36">
        <v>25.848099999999999</v>
      </c>
      <c r="DS36">
        <v>25.510300000000001</v>
      </c>
      <c r="DT36">
        <v>69.7</v>
      </c>
      <c r="DU36">
        <v>24.2</v>
      </c>
      <c r="DV36">
        <v>21.274100000000001</v>
      </c>
      <c r="DW36">
        <v>61.991399999999999</v>
      </c>
      <c r="DX36">
        <v>35.164299999999997</v>
      </c>
      <c r="DY36">
        <v>1</v>
      </c>
      <c r="DZ36">
        <v>-0.14704999999999999</v>
      </c>
      <c r="EA36">
        <v>-1.3142499999999999</v>
      </c>
      <c r="EB36">
        <v>20.180800000000001</v>
      </c>
      <c r="EC36">
        <v>5.2409499999999998</v>
      </c>
      <c r="ED36">
        <v>12.039899999999999</v>
      </c>
      <c r="EE36">
        <v>5.0167999999999999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1.86873</v>
      </c>
      <c r="EL36">
        <v>1.8643700000000001</v>
      </c>
      <c r="EM36">
        <v>1.8690500000000001</v>
      </c>
      <c r="EN36">
        <v>1.86707</v>
      </c>
      <c r="EO36">
        <v>1.8632500000000001</v>
      </c>
      <c r="EP36">
        <v>1.86419</v>
      </c>
      <c r="EQ36">
        <v>1.8700399999999999</v>
      </c>
      <c r="ER36">
        <v>1.86921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-1.202</v>
      </c>
      <c r="FG36">
        <v>0.19109999999999999</v>
      </c>
      <c r="FH36">
        <v>-0.68620417327404271</v>
      </c>
      <c r="FI36">
        <v>-6.1462078757559423E-4</v>
      </c>
      <c r="FJ36">
        <v>-1.8861989874597051E-7</v>
      </c>
      <c r="FK36">
        <v>1.1980462299894961E-10</v>
      </c>
      <c r="FL36">
        <v>0.1911242781723908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9.5</v>
      </c>
      <c r="FU36">
        <v>9.4</v>
      </c>
      <c r="FV36">
        <v>1.78589</v>
      </c>
      <c r="FW36">
        <v>2.5500500000000001</v>
      </c>
      <c r="FX36">
        <v>1.5490699999999999</v>
      </c>
      <c r="FY36">
        <v>2.34253</v>
      </c>
      <c r="FZ36">
        <v>1.50146</v>
      </c>
      <c r="GA36">
        <v>2.36206</v>
      </c>
      <c r="GB36">
        <v>29.815100000000001</v>
      </c>
      <c r="GC36">
        <v>23.991199999999999</v>
      </c>
      <c r="GD36">
        <v>19</v>
      </c>
      <c r="GE36">
        <v>281.274</v>
      </c>
      <c r="GF36">
        <v>630.93799999999999</v>
      </c>
      <c r="GG36">
        <v>24.883299999999998</v>
      </c>
      <c r="GH36">
        <v>25.596299999999999</v>
      </c>
      <c r="GI36">
        <v>29.998000000000001</v>
      </c>
      <c r="GJ36">
        <v>25.540099999999999</v>
      </c>
      <c r="GK36">
        <v>25.444099999999999</v>
      </c>
      <c r="GL36">
        <v>35.712200000000003</v>
      </c>
      <c r="GM36">
        <v>13.601599999999999</v>
      </c>
      <c r="GN36">
        <v>100</v>
      </c>
      <c r="GO36">
        <v>24.791</v>
      </c>
      <c r="GP36">
        <v>800</v>
      </c>
      <c r="GQ36">
        <v>20.805700000000002</v>
      </c>
      <c r="GR36">
        <v>99.699200000000005</v>
      </c>
      <c r="GS36">
        <v>99.358999999999995</v>
      </c>
    </row>
    <row r="37" spans="1:201" x14ac:dyDescent="0.25">
      <c r="A37">
        <v>21</v>
      </c>
      <c r="B37">
        <v>1690286840.0999999</v>
      </c>
      <c r="C37">
        <v>301.5</v>
      </c>
      <c r="D37" t="s">
        <v>375</v>
      </c>
      <c r="E37" t="s">
        <v>376</v>
      </c>
      <c r="F37" t="s">
        <v>330</v>
      </c>
      <c r="H37">
        <v>1690286840.0999999</v>
      </c>
      <c r="I37">
        <f t="shared" si="0"/>
        <v>4.0185287483277329E-4</v>
      </c>
      <c r="J37">
        <f t="shared" si="1"/>
        <v>0.40185287483277332</v>
      </c>
      <c r="K37">
        <f t="shared" si="2"/>
        <v>6.0478847050113504</v>
      </c>
      <c r="L37">
        <f t="shared" si="3"/>
        <v>738.62900000000002</v>
      </c>
      <c r="M37">
        <f t="shared" si="4"/>
        <v>354.53444866910081</v>
      </c>
      <c r="N37">
        <f t="shared" si="5"/>
        <v>35.247429862270749</v>
      </c>
      <c r="O37">
        <f t="shared" si="6"/>
        <v>73.433693028905992</v>
      </c>
      <c r="P37">
        <f t="shared" si="7"/>
        <v>2.6250037422576849E-2</v>
      </c>
      <c r="Q37">
        <f t="shared" si="8"/>
        <v>2.2988127305527462</v>
      </c>
      <c r="R37">
        <f t="shared" si="9"/>
        <v>2.6084643562182458E-2</v>
      </c>
      <c r="S37">
        <f t="shared" si="10"/>
        <v>1.6317675219679792E-2</v>
      </c>
      <c r="T37">
        <f t="shared" si="11"/>
        <v>276.11118445022703</v>
      </c>
      <c r="U37">
        <f t="shared" si="12"/>
        <v>28.604164918573364</v>
      </c>
      <c r="V37">
        <f t="shared" si="13"/>
        <v>28.604164918573364</v>
      </c>
      <c r="W37">
        <f t="shared" si="14"/>
        <v>3.9305680937945557</v>
      </c>
      <c r="X37">
        <f t="shared" si="15"/>
        <v>69.624855957897964</v>
      </c>
      <c r="Y37">
        <f t="shared" si="16"/>
        <v>2.4480813964445995</v>
      </c>
      <c r="Z37">
        <f t="shared" si="17"/>
        <v>3.5161026371457784</v>
      </c>
      <c r="AA37">
        <f t="shared" si="18"/>
        <v>1.4824866973499562</v>
      </c>
      <c r="AB37">
        <f t="shared" si="19"/>
        <v>-17.721711780125304</v>
      </c>
      <c r="AC37">
        <f t="shared" si="20"/>
        <v>-236.27504524649234</v>
      </c>
      <c r="AD37">
        <f t="shared" si="21"/>
        <v>-22.32633826299228</v>
      </c>
      <c r="AE37">
        <f t="shared" si="22"/>
        <v>-0.21191083938290944</v>
      </c>
      <c r="AF37">
        <v>0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52525.8737372748</v>
      </c>
      <c r="AK37">
        <f t="shared" si="26"/>
        <v>1799.97</v>
      </c>
      <c r="AL37">
        <f t="shared" si="27"/>
        <v>1499.0892737623499</v>
      </c>
      <c r="AM37">
        <f t="shared" si="28"/>
        <v>0.83284125499999995</v>
      </c>
      <c r="AN37">
        <f t="shared" si="29"/>
        <v>0.15339765910000003</v>
      </c>
      <c r="AO37">
        <v>29.1</v>
      </c>
      <c r="AP37">
        <v>0.5</v>
      </c>
      <c r="AQ37" t="s">
        <v>331</v>
      </c>
      <c r="AR37">
        <v>2</v>
      </c>
      <c r="AS37">
        <v>1690286840.0999999</v>
      </c>
      <c r="AT37">
        <v>738.62900000000002</v>
      </c>
      <c r="AU37">
        <v>800.15499999999997</v>
      </c>
      <c r="AV37">
        <v>24.623899999999999</v>
      </c>
      <c r="AW37">
        <v>20.823</v>
      </c>
      <c r="AX37">
        <v>739.82500000000005</v>
      </c>
      <c r="AY37">
        <v>24.4328</v>
      </c>
      <c r="AZ37">
        <v>300.08600000000001</v>
      </c>
      <c r="BA37">
        <v>99.318899999999999</v>
      </c>
      <c r="BB37">
        <v>0.10001400000000001</v>
      </c>
      <c r="BC37">
        <v>26.697700000000001</v>
      </c>
      <c r="BD37">
        <v>27.094899999999999</v>
      </c>
      <c r="BE37">
        <v>28.9207</v>
      </c>
      <c r="BF37">
        <v>0</v>
      </c>
      <c r="BG37">
        <v>0</v>
      </c>
      <c r="BH37">
        <v>9991.25</v>
      </c>
      <c r="BI37">
        <v>1099.69</v>
      </c>
      <c r="BJ37">
        <v>1.28952</v>
      </c>
      <c r="BK37">
        <v>-61.526200000000003</v>
      </c>
      <c r="BL37">
        <v>757.27599999999995</v>
      </c>
      <c r="BM37">
        <v>817.17100000000005</v>
      </c>
      <c r="BN37">
        <v>3.8009300000000001</v>
      </c>
      <c r="BO37">
        <v>800.15499999999997</v>
      </c>
      <c r="BP37">
        <v>20.823</v>
      </c>
      <c r="BQ37">
        <v>2.4456199999999999</v>
      </c>
      <c r="BR37">
        <v>2.0681099999999999</v>
      </c>
      <c r="BS37">
        <v>20.669</v>
      </c>
      <c r="BT37">
        <v>17.9757</v>
      </c>
      <c r="BU37">
        <v>1799.97</v>
      </c>
      <c r="BV37">
        <v>0.91000800000000004</v>
      </c>
      <c r="BW37">
        <v>3.4000099999999998E-2</v>
      </c>
      <c r="BX37">
        <v>2.20045E-2</v>
      </c>
      <c r="BY37">
        <v>3.3987400000000001E-2</v>
      </c>
      <c r="BZ37">
        <v>23</v>
      </c>
      <c r="CA37">
        <v>33527.800000000003</v>
      </c>
      <c r="CB37">
        <v>1690286268.5999999</v>
      </c>
      <c r="CC37" t="s">
        <v>332</v>
      </c>
      <c r="CD37">
        <v>1690286261.0999999</v>
      </c>
      <c r="CE37">
        <v>1690286268.5999999</v>
      </c>
      <c r="CF37">
        <v>1</v>
      </c>
      <c r="CG37">
        <v>-0.89900000000000002</v>
      </c>
      <c r="CH37">
        <v>3.4000000000000002E-2</v>
      </c>
      <c r="CI37">
        <v>-1.2370000000000001</v>
      </c>
      <c r="CJ37">
        <v>8.5999999999999993E-2</v>
      </c>
      <c r="CK37">
        <v>799</v>
      </c>
      <c r="CL37">
        <v>16</v>
      </c>
      <c r="CM37">
        <v>0.28999999999999998</v>
      </c>
      <c r="CN37">
        <v>0.09</v>
      </c>
      <c r="CO37">
        <v>-51.71036097560976</v>
      </c>
      <c r="CP37">
        <v>-53.703169337978963</v>
      </c>
      <c r="CQ37">
        <v>5.2957092919013933</v>
      </c>
      <c r="CR37">
        <v>-1</v>
      </c>
      <c r="CS37">
        <v>2.6386582926829272</v>
      </c>
      <c r="CT37">
        <v>6.1838136585365886</v>
      </c>
      <c r="CU37">
        <v>0.61722642921102888</v>
      </c>
      <c r="CV37">
        <v>-1</v>
      </c>
      <c r="CW37">
        <v>0</v>
      </c>
      <c r="CX37">
        <v>0</v>
      </c>
      <c r="CY37" t="s">
        <v>333</v>
      </c>
      <c r="CZ37">
        <v>2.36483</v>
      </c>
      <c r="DA37">
        <v>2.7138</v>
      </c>
      <c r="DB37">
        <v>0.13983200000000001</v>
      </c>
      <c r="DC37">
        <v>0.14704200000000001</v>
      </c>
      <c r="DD37">
        <v>0.116464</v>
      </c>
      <c r="DE37">
        <v>0.102002</v>
      </c>
      <c r="DF37">
        <v>31402.5</v>
      </c>
      <c r="DG37">
        <v>27445</v>
      </c>
      <c r="DH37">
        <v>31163.599999999999</v>
      </c>
      <c r="DI37">
        <v>28034.3</v>
      </c>
      <c r="DJ37">
        <v>37370.800000000003</v>
      </c>
      <c r="DK37">
        <v>35771.599999999999</v>
      </c>
      <c r="DL37">
        <v>44339.9</v>
      </c>
      <c r="DM37">
        <v>42461.9</v>
      </c>
      <c r="DN37">
        <v>1.4799199999999999</v>
      </c>
      <c r="DO37">
        <v>2.1038299999999999</v>
      </c>
      <c r="DP37">
        <v>7.7180600000000002E-2</v>
      </c>
      <c r="DQ37">
        <v>0.20999499999999999</v>
      </c>
      <c r="DR37">
        <v>25.831600000000002</v>
      </c>
      <c r="DS37">
        <v>25.4876</v>
      </c>
      <c r="DT37">
        <v>69.7</v>
      </c>
      <c r="DU37">
        <v>24.2</v>
      </c>
      <c r="DV37">
        <v>21.273700000000002</v>
      </c>
      <c r="DW37">
        <v>62.641399999999997</v>
      </c>
      <c r="DX37">
        <v>36.438299999999998</v>
      </c>
      <c r="DY37">
        <v>1</v>
      </c>
      <c r="DZ37">
        <v>-0.149062</v>
      </c>
      <c r="EA37">
        <v>0.211974</v>
      </c>
      <c r="EB37">
        <v>20.191299999999998</v>
      </c>
      <c r="EC37">
        <v>5.2404999999999999</v>
      </c>
      <c r="ED37">
        <v>12.039899999999999</v>
      </c>
      <c r="EE37">
        <v>5.0164999999999997</v>
      </c>
      <c r="EF37">
        <v>3.2879499999999999</v>
      </c>
      <c r="EG37">
        <v>9999</v>
      </c>
      <c r="EH37">
        <v>9999</v>
      </c>
      <c r="EI37">
        <v>9999</v>
      </c>
      <c r="EJ37">
        <v>999.9</v>
      </c>
      <c r="EK37">
        <v>1.86873</v>
      </c>
      <c r="EL37">
        <v>1.8643799999999999</v>
      </c>
      <c r="EM37">
        <v>1.8690500000000001</v>
      </c>
      <c r="EN37">
        <v>1.86707</v>
      </c>
      <c r="EO37">
        <v>1.8632500000000001</v>
      </c>
      <c r="EP37">
        <v>1.8642000000000001</v>
      </c>
      <c r="EQ37">
        <v>1.8700399999999999</v>
      </c>
      <c r="ER37">
        <v>1.86921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-1.196</v>
      </c>
      <c r="FG37">
        <v>0.19109999999999999</v>
      </c>
      <c r="FH37">
        <v>-0.68620417327404271</v>
      </c>
      <c r="FI37">
        <v>-6.1462078757559423E-4</v>
      </c>
      <c r="FJ37">
        <v>-1.8861989874597051E-7</v>
      </c>
      <c r="FK37">
        <v>1.1980462299894961E-10</v>
      </c>
      <c r="FL37">
        <v>0.1911242781723908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9.6999999999999993</v>
      </c>
      <c r="FU37">
        <v>9.5</v>
      </c>
      <c r="FV37">
        <v>1.78589</v>
      </c>
      <c r="FW37">
        <v>2.5598100000000001</v>
      </c>
      <c r="FX37">
        <v>1.5490699999999999</v>
      </c>
      <c r="FY37">
        <v>2.34253</v>
      </c>
      <c r="FZ37">
        <v>1.50146</v>
      </c>
      <c r="GA37">
        <v>2.3046899999999999</v>
      </c>
      <c r="GB37">
        <v>29.836400000000001</v>
      </c>
      <c r="GC37">
        <v>23.982399999999998</v>
      </c>
      <c r="GD37">
        <v>19</v>
      </c>
      <c r="GE37">
        <v>280.94400000000002</v>
      </c>
      <c r="GF37">
        <v>629.99699999999996</v>
      </c>
      <c r="GG37">
        <v>24.991499999999998</v>
      </c>
      <c r="GH37">
        <v>25.610299999999999</v>
      </c>
      <c r="GI37">
        <v>29.999600000000001</v>
      </c>
      <c r="GJ37">
        <v>25.558299999999999</v>
      </c>
      <c r="GK37">
        <v>25.452999999999999</v>
      </c>
      <c r="GL37">
        <v>35.698099999999997</v>
      </c>
      <c r="GM37">
        <v>17.483899999999998</v>
      </c>
      <c r="GN37">
        <v>100</v>
      </c>
      <c r="GO37">
        <v>24.783000000000001</v>
      </c>
      <c r="GP37">
        <v>800</v>
      </c>
      <c r="GQ37">
        <v>20.375599999999999</v>
      </c>
      <c r="GR37">
        <v>99.698599999999999</v>
      </c>
      <c r="GS37">
        <v>99.3596</v>
      </c>
    </row>
    <row r="38" spans="1:201" x14ac:dyDescent="0.25">
      <c r="A38">
        <v>22</v>
      </c>
      <c r="B38">
        <v>1690286850.0999999</v>
      </c>
      <c r="C38">
        <v>311.5</v>
      </c>
      <c r="D38" t="s">
        <v>377</v>
      </c>
      <c r="E38" t="s">
        <v>378</v>
      </c>
      <c r="F38" t="s">
        <v>330</v>
      </c>
      <c r="H38">
        <v>1690286850.0999999</v>
      </c>
      <c r="I38">
        <f t="shared" si="0"/>
        <v>4.5761784957980105E-4</v>
      </c>
      <c r="J38">
        <f t="shared" si="1"/>
        <v>0.45761784957980106</v>
      </c>
      <c r="K38">
        <f t="shared" si="2"/>
        <v>6.9323972103634484</v>
      </c>
      <c r="L38">
        <f t="shared" si="3"/>
        <v>729.72299999999996</v>
      </c>
      <c r="M38">
        <f t="shared" si="4"/>
        <v>344.59961560852724</v>
      </c>
      <c r="N38">
        <f t="shared" si="5"/>
        <v>34.259607381442351</v>
      </c>
      <c r="O38">
        <f t="shared" si="6"/>
        <v>72.548030655985514</v>
      </c>
      <c r="P38">
        <f t="shared" si="7"/>
        <v>3.0006774181476899E-2</v>
      </c>
      <c r="Q38">
        <f t="shared" si="8"/>
        <v>2.3023055615838195</v>
      </c>
      <c r="R38">
        <f t="shared" si="9"/>
        <v>2.9791187728250526E-2</v>
      </c>
      <c r="S38">
        <f t="shared" si="10"/>
        <v>1.8638732686306461E-2</v>
      </c>
      <c r="T38">
        <f t="shared" si="11"/>
        <v>276.11194488541298</v>
      </c>
      <c r="U38">
        <f t="shared" si="12"/>
        <v>28.607766345245643</v>
      </c>
      <c r="V38">
        <f t="shared" si="13"/>
        <v>28.607766345245643</v>
      </c>
      <c r="W38">
        <f t="shared" si="14"/>
        <v>3.9313896998008873</v>
      </c>
      <c r="X38">
        <f t="shared" si="15"/>
        <v>69.672373446779304</v>
      </c>
      <c r="Y38">
        <f t="shared" si="16"/>
        <v>2.4532729735437004</v>
      </c>
      <c r="Z38">
        <f t="shared" si="17"/>
        <v>3.5211560223618394</v>
      </c>
      <c r="AA38">
        <f t="shared" si="18"/>
        <v>1.4781167262571868</v>
      </c>
      <c r="AB38">
        <f t="shared" si="19"/>
        <v>-20.180947166469227</v>
      </c>
      <c r="AC38">
        <f t="shared" si="20"/>
        <v>-234.05248470329812</v>
      </c>
      <c r="AD38">
        <f t="shared" si="21"/>
        <v>-22.085849499536991</v>
      </c>
      <c r="AE38">
        <f t="shared" si="22"/>
        <v>-0.20733648389136761</v>
      </c>
      <c r="AF38">
        <v>0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52653.819934461215</v>
      </c>
      <c r="AK38">
        <f t="shared" si="26"/>
        <v>1799.98</v>
      </c>
      <c r="AL38">
        <f t="shared" si="27"/>
        <v>1499.0941462132998</v>
      </c>
      <c r="AM38">
        <f t="shared" si="28"/>
        <v>0.83283933499999996</v>
      </c>
      <c r="AN38">
        <f t="shared" si="29"/>
        <v>0.15339722935</v>
      </c>
      <c r="AO38">
        <v>29.1</v>
      </c>
      <c r="AP38">
        <v>0.5</v>
      </c>
      <c r="AQ38" t="s">
        <v>331</v>
      </c>
      <c r="AR38">
        <v>2</v>
      </c>
      <c r="AS38">
        <v>1690286850.0999999</v>
      </c>
      <c r="AT38">
        <v>729.72299999999996</v>
      </c>
      <c r="AU38">
        <v>800.15499999999997</v>
      </c>
      <c r="AV38">
        <v>24.676200000000001</v>
      </c>
      <c r="AW38">
        <v>20.350000000000001</v>
      </c>
      <c r="AX38">
        <v>730.91200000000003</v>
      </c>
      <c r="AY38">
        <v>24.485099999999999</v>
      </c>
      <c r="AZ38">
        <v>300.21899999999999</v>
      </c>
      <c r="BA38">
        <v>99.318700000000007</v>
      </c>
      <c r="BB38">
        <v>9.9888500000000005E-2</v>
      </c>
      <c r="BC38">
        <v>26.722100000000001</v>
      </c>
      <c r="BD38">
        <v>27.129000000000001</v>
      </c>
      <c r="BE38">
        <v>28.970199999999998</v>
      </c>
      <c r="BF38">
        <v>0</v>
      </c>
      <c r="BG38">
        <v>0</v>
      </c>
      <c r="BH38">
        <v>10017.5</v>
      </c>
      <c r="BI38">
        <v>1098.72</v>
      </c>
      <c r="BJ38">
        <v>1.28952</v>
      </c>
      <c r="BK38">
        <v>-70.432699999999997</v>
      </c>
      <c r="BL38">
        <v>748.18499999999995</v>
      </c>
      <c r="BM38">
        <v>816.77700000000004</v>
      </c>
      <c r="BN38">
        <v>4.3262299999999998</v>
      </c>
      <c r="BO38">
        <v>800.15499999999997</v>
      </c>
      <c r="BP38">
        <v>20.350000000000001</v>
      </c>
      <c r="BQ38">
        <v>2.4508100000000002</v>
      </c>
      <c r="BR38">
        <v>2.0211299999999999</v>
      </c>
      <c r="BS38">
        <v>20.703499999999998</v>
      </c>
      <c r="BT38">
        <v>17.610900000000001</v>
      </c>
      <c r="BU38">
        <v>1799.98</v>
      </c>
      <c r="BV38">
        <v>0.90999600000000003</v>
      </c>
      <c r="BW38">
        <v>3.3996800000000001E-2</v>
      </c>
      <c r="BX38">
        <v>2.1998E-2</v>
      </c>
      <c r="BY38">
        <v>3.4008900000000002E-2</v>
      </c>
      <c r="BZ38">
        <v>23</v>
      </c>
      <c r="CA38">
        <v>33528</v>
      </c>
      <c r="CB38">
        <v>1690286268.5999999</v>
      </c>
      <c r="CC38" t="s">
        <v>332</v>
      </c>
      <c r="CD38">
        <v>1690286261.0999999</v>
      </c>
      <c r="CE38">
        <v>1690286268.5999999</v>
      </c>
      <c r="CF38">
        <v>1</v>
      </c>
      <c r="CG38">
        <v>-0.89900000000000002</v>
      </c>
      <c r="CH38">
        <v>3.4000000000000002E-2</v>
      </c>
      <c r="CI38">
        <v>-1.2370000000000001</v>
      </c>
      <c r="CJ38">
        <v>8.5999999999999993E-2</v>
      </c>
      <c r="CK38">
        <v>799</v>
      </c>
      <c r="CL38">
        <v>16</v>
      </c>
      <c r="CM38">
        <v>0.28999999999999998</v>
      </c>
      <c r="CN38">
        <v>0.09</v>
      </c>
      <c r="CO38">
        <v>-60.436880000000002</v>
      </c>
      <c r="CP38">
        <v>-53.353814634146119</v>
      </c>
      <c r="CQ38">
        <v>5.1324615944593281</v>
      </c>
      <c r="CR38">
        <v>-1</v>
      </c>
      <c r="CS38">
        <v>3.5799574999999999</v>
      </c>
      <c r="CT38">
        <v>5.2779264540337634</v>
      </c>
      <c r="CU38">
        <v>0.51718421977932583</v>
      </c>
      <c r="CV38">
        <v>-1</v>
      </c>
      <c r="CW38">
        <v>0</v>
      </c>
      <c r="CX38">
        <v>0</v>
      </c>
      <c r="CY38" t="s">
        <v>333</v>
      </c>
      <c r="CZ38">
        <v>2.36524</v>
      </c>
      <c r="DA38">
        <v>2.7136999999999998</v>
      </c>
      <c r="DB38">
        <v>0.138686</v>
      </c>
      <c r="DC38">
        <v>0.14702899999999999</v>
      </c>
      <c r="DD38">
        <v>0.116636</v>
      </c>
      <c r="DE38">
        <v>0.100356</v>
      </c>
      <c r="DF38">
        <v>31443.200000000001</v>
      </c>
      <c r="DG38">
        <v>27444.6</v>
      </c>
      <c r="DH38">
        <v>31162.7</v>
      </c>
      <c r="DI38">
        <v>28033.5</v>
      </c>
      <c r="DJ38">
        <v>37362.5</v>
      </c>
      <c r="DK38">
        <v>35836.400000000001</v>
      </c>
      <c r="DL38">
        <v>44338.9</v>
      </c>
      <c r="DM38">
        <v>42460.9</v>
      </c>
      <c r="DN38">
        <v>1.4794499999999999</v>
      </c>
      <c r="DO38">
        <v>2.1032000000000002</v>
      </c>
      <c r="DP38">
        <v>8.0000600000000005E-2</v>
      </c>
      <c r="DQ38">
        <v>0.21385399999999999</v>
      </c>
      <c r="DR38">
        <v>25.819600000000001</v>
      </c>
      <c r="DS38">
        <v>25.4741</v>
      </c>
      <c r="DT38">
        <v>69.7</v>
      </c>
      <c r="DU38">
        <v>24.2</v>
      </c>
      <c r="DV38">
        <v>21.273700000000002</v>
      </c>
      <c r="DW38">
        <v>62.0914</v>
      </c>
      <c r="DX38">
        <v>35.588900000000002</v>
      </c>
      <c r="DY38">
        <v>1</v>
      </c>
      <c r="DZ38">
        <v>-0.14615600000000001</v>
      </c>
      <c r="EA38">
        <v>1.1285400000000001</v>
      </c>
      <c r="EB38">
        <v>20.186399999999999</v>
      </c>
      <c r="EC38">
        <v>5.2413999999999996</v>
      </c>
      <c r="ED38">
        <v>12.039899999999999</v>
      </c>
      <c r="EE38">
        <v>5.01675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1.8687400000000001</v>
      </c>
      <c r="EL38">
        <v>1.86436</v>
      </c>
      <c r="EM38">
        <v>1.8690500000000001</v>
      </c>
      <c r="EN38">
        <v>1.86707</v>
      </c>
      <c r="EO38">
        <v>1.8632500000000001</v>
      </c>
      <c r="EP38">
        <v>1.86419</v>
      </c>
      <c r="EQ38">
        <v>1.8700300000000001</v>
      </c>
      <c r="ER38">
        <v>1.8692299999999999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-1.1890000000000001</v>
      </c>
      <c r="FG38">
        <v>0.19109999999999999</v>
      </c>
      <c r="FH38">
        <v>-0.68620417327404271</v>
      </c>
      <c r="FI38">
        <v>-6.1462078757559423E-4</v>
      </c>
      <c r="FJ38">
        <v>-1.8861989874597051E-7</v>
      </c>
      <c r="FK38">
        <v>1.1980462299894961E-10</v>
      </c>
      <c r="FL38">
        <v>0.1911242781723908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9.8000000000000007</v>
      </c>
      <c r="FU38">
        <v>9.6999999999999993</v>
      </c>
      <c r="FV38">
        <v>1.78467</v>
      </c>
      <c r="FW38">
        <v>2.5488300000000002</v>
      </c>
      <c r="FX38">
        <v>1.5490699999999999</v>
      </c>
      <c r="FY38">
        <v>2.34253</v>
      </c>
      <c r="FZ38">
        <v>1.50146</v>
      </c>
      <c r="GA38">
        <v>2.3962400000000001</v>
      </c>
      <c r="GB38">
        <v>29.857800000000001</v>
      </c>
      <c r="GC38">
        <v>23.991199999999999</v>
      </c>
      <c r="GD38">
        <v>19</v>
      </c>
      <c r="GE38">
        <v>280.77499999999998</v>
      </c>
      <c r="GF38">
        <v>629.58199999999999</v>
      </c>
      <c r="GG38">
        <v>24.749600000000001</v>
      </c>
      <c r="GH38">
        <v>25.621600000000001</v>
      </c>
      <c r="GI38">
        <v>30.001100000000001</v>
      </c>
      <c r="GJ38">
        <v>25.565300000000001</v>
      </c>
      <c r="GK38">
        <v>25.4635</v>
      </c>
      <c r="GL38">
        <v>35.685600000000001</v>
      </c>
      <c r="GM38">
        <v>19.4544</v>
      </c>
      <c r="GN38">
        <v>100</v>
      </c>
      <c r="GO38">
        <v>24.561800000000002</v>
      </c>
      <c r="GP38">
        <v>800</v>
      </c>
      <c r="GQ38">
        <v>20.062200000000001</v>
      </c>
      <c r="GR38">
        <v>99.695899999999995</v>
      </c>
      <c r="GS38">
        <v>99.356999999999999</v>
      </c>
    </row>
    <row r="39" spans="1:201" x14ac:dyDescent="0.25">
      <c r="A39">
        <v>23</v>
      </c>
      <c r="B39">
        <v>1690286860.0999999</v>
      </c>
      <c r="C39">
        <v>321.5</v>
      </c>
      <c r="D39" t="s">
        <v>379</v>
      </c>
      <c r="E39" t="s">
        <v>380</v>
      </c>
      <c r="F39" t="s">
        <v>330</v>
      </c>
      <c r="H39">
        <v>1690286860.0999999</v>
      </c>
      <c r="I39">
        <f t="shared" si="0"/>
        <v>4.8706301675584788E-4</v>
      </c>
      <c r="J39">
        <f t="shared" si="1"/>
        <v>0.4870630167558479</v>
      </c>
      <c r="K39">
        <f t="shared" si="2"/>
        <v>7.8194076244490898</v>
      </c>
      <c r="L39">
        <f t="shared" si="3"/>
        <v>720.87199999999996</v>
      </c>
      <c r="M39">
        <f t="shared" si="4"/>
        <v>314.17371378061233</v>
      </c>
      <c r="N39">
        <f t="shared" si="5"/>
        <v>31.234856903063466</v>
      </c>
      <c r="O39">
        <f t="shared" si="6"/>
        <v>71.668420296767209</v>
      </c>
      <c r="P39">
        <f t="shared" si="7"/>
        <v>3.1964363040827969E-2</v>
      </c>
      <c r="Q39">
        <f t="shared" si="8"/>
        <v>2.2956464156855105</v>
      </c>
      <c r="R39">
        <f t="shared" si="9"/>
        <v>3.1719150368682156E-2</v>
      </c>
      <c r="S39">
        <f t="shared" si="10"/>
        <v>1.9846343448843909E-2</v>
      </c>
      <c r="T39">
        <f t="shared" si="11"/>
        <v>276.10963714201586</v>
      </c>
      <c r="U39">
        <f t="shared" si="12"/>
        <v>28.579495802074891</v>
      </c>
      <c r="V39">
        <f t="shared" si="13"/>
        <v>28.579495802074891</v>
      </c>
      <c r="W39">
        <f t="shared" si="14"/>
        <v>3.9249442673804045</v>
      </c>
      <c r="X39">
        <f t="shared" si="15"/>
        <v>69.598059835779324</v>
      </c>
      <c r="Y39">
        <f t="shared" si="16"/>
        <v>2.4472400550625402</v>
      </c>
      <c r="Z39">
        <f t="shared" si="17"/>
        <v>3.5162475230443859</v>
      </c>
      <c r="AA39">
        <f t="shared" si="18"/>
        <v>1.4777042123178643</v>
      </c>
      <c r="AB39">
        <f t="shared" si="19"/>
        <v>-21.47947903893289</v>
      </c>
      <c r="AC39">
        <f t="shared" si="20"/>
        <v>-232.8098520085592</v>
      </c>
      <c r="AD39">
        <f t="shared" si="21"/>
        <v>-22.02660404148877</v>
      </c>
      <c r="AE39">
        <f t="shared" si="22"/>
        <v>-0.2062979469650088</v>
      </c>
      <c r="AF39">
        <v>0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52406.034096435316</v>
      </c>
      <c r="AK39">
        <f t="shared" si="26"/>
        <v>1799.97</v>
      </c>
      <c r="AL39">
        <f t="shared" si="27"/>
        <v>1499.0868834021901</v>
      </c>
      <c r="AM39">
        <f t="shared" si="28"/>
        <v>0.83283992699999998</v>
      </c>
      <c r="AN39">
        <f t="shared" si="29"/>
        <v>0.15339679946999998</v>
      </c>
      <c r="AO39">
        <v>29.1</v>
      </c>
      <c r="AP39">
        <v>0.5</v>
      </c>
      <c r="AQ39" t="s">
        <v>331</v>
      </c>
      <c r="AR39">
        <v>2</v>
      </c>
      <c r="AS39">
        <v>1690286860.0999999</v>
      </c>
      <c r="AT39">
        <v>720.87199999999996</v>
      </c>
      <c r="AU39">
        <v>800.06899999999996</v>
      </c>
      <c r="AV39">
        <v>24.615400000000001</v>
      </c>
      <c r="AW39">
        <v>20.0105</v>
      </c>
      <c r="AX39">
        <v>722.05600000000004</v>
      </c>
      <c r="AY39">
        <v>24.424299999999999</v>
      </c>
      <c r="AZ39">
        <v>300.21600000000001</v>
      </c>
      <c r="BA39">
        <v>99.319100000000006</v>
      </c>
      <c r="BB39">
        <v>9.9965100000000001E-2</v>
      </c>
      <c r="BC39">
        <v>26.698399999999999</v>
      </c>
      <c r="BD39">
        <v>27.107600000000001</v>
      </c>
      <c r="BE39">
        <v>28.932700000000001</v>
      </c>
      <c r="BF39">
        <v>0</v>
      </c>
      <c r="BG39">
        <v>0</v>
      </c>
      <c r="BH39">
        <v>9967.5</v>
      </c>
      <c r="BI39">
        <v>1097.71</v>
      </c>
      <c r="BJ39">
        <v>1.28952</v>
      </c>
      <c r="BK39">
        <v>-79.1965</v>
      </c>
      <c r="BL39">
        <v>739.06500000000005</v>
      </c>
      <c r="BM39">
        <v>816.40599999999995</v>
      </c>
      <c r="BN39">
        <v>4.60494</v>
      </c>
      <c r="BO39">
        <v>800.06899999999996</v>
      </c>
      <c r="BP39">
        <v>20.0105</v>
      </c>
      <c r="BQ39">
        <v>2.4447800000000002</v>
      </c>
      <c r="BR39">
        <v>1.98743</v>
      </c>
      <c r="BS39">
        <v>20.663499999999999</v>
      </c>
      <c r="BT39">
        <v>17.3445</v>
      </c>
      <c r="BU39">
        <v>1799.97</v>
      </c>
      <c r="BV39">
        <v>0.91000899999999996</v>
      </c>
      <c r="BW39">
        <v>3.4000500000000003E-2</v>
      </c>
      <c r="BX39">
        <v>2.19916E-2</v>
      </c>
      <c r="BY39">
        <v>3.3999099999999997E-2</v>
      </c>
      <c r="BZ39">
        <v>23</v>
      </c>
      <c r="CA39">
        <v>33528</v>
      </c>
      <c r="CB39">
        <v>1690286268.5999999</v>
      </c>
      <c r="CC39" t="s">
        <v>332</v>
      </c>
      <c r="CD39">
        <v>1690286261.0999999</v>
      </c>
      <c r="CE39">
        <v>1690286268.5999999</v>
      </c>
      <c r="CF39">
        <v>1</v>
      </c>
      <c r="CG39">
        <v>-0.89900000000000002</v>
      </c>
      <c r="CH39">
        <v>3.4000000000000002E-2</v>
      </c>
      <c r="CI39">
        <v>-1.2370000000000001</v>
      </c>
      <c r="CJ39">
        <v>8.5999999999999993E-2</v>
      </c>
      <c r="CK39">
        <v>799</v>
      </c>
      <c r="CL39">
        <v>16</v>
      </c>
      <c r="CM39">
        <v>0.28999999999999998</v>
      </c>
      <c r="CN39">
        <v>0.09</v>
      </c>
      <c r="CO39">
        <v>-69.3075075</v>
      </c>
      <c r="CP39">
        <v>-53.166298311444642</v>
      </c>
      <c r="CQ39">
        <v>5.1143948070806724</v>
      </c>
      <c r="CR39">
        <v>-1</v>
      </c>
      <c r="CS39">
        <v>4.2312357499999997</v>
      </c>
      <c r="CT39">
        <v>2.5515736210131159</v>
      </c>
      <c r="CU39">
        <v>0.24845424217436399</v>
      </c>
      <c r="CV39">
        <v>-1</v>
      </c>
      <c r="CW39">
        <v>0</v>
      </c>
      <c r="CX39">
        <v>0</v>
      </c>
      <c r="CY39" t="s">
        <v>333</v>
      </c>
      <c r="CZ39">
        <v>2.3652099999999998</v>
      </c>
      <c r="DA39">
        <v>2.71373</v>
      </c>
      <c r="DB39">
        <v>0.13754</v>
      </c>
      <c r="DC39">
        <v>0.147008</v>
      </c>
      <c r="DD39">
        <v>0.11643299999999999</v>
      </c>
      <c r="DE39">
        <v>9.9165299999999998E-2</v>
      </c>
      <c r="DF39">
        <v>31483.9</v>
      </c>
      <c r="DG39">
        <v>27444</v>
      </c>
      <c r="DH39">
        <v>31161.5</v>
      </c>
      <c r="DI39">
        <v>28032.3</v>
      </c>
      <c r="DJ39">
        <v>37369.9</v>
      </c>
      <c r="DK39">
        <v>35882.6</v>
      </c>
      <c r="DL39">
        <v>44337.5</v>
      </c>
      <c r="DM39">
        <v>42459.3</v>
      </c>
      <c r="DN39">
        <v>1.4792000000000001</v>
      </c>
      <c r="DO39">
        <v>2.1019999999999999</v>
      </c>
      <c r="DP39">
        <v>7.91848E-2</v>
      </c>
      <c r="DQ39">
        <v>0.212174</v>
      </c>
      <c r="DR39">
        <v>25.811499999999999</v>
      </c>
      <c r="DS39">
        <v>25.463899999999999</v>
      </c>
      <c r="DT39">
        <v>69.7</v>
      </c>
      <c r="DU39">
        <v>24.2</v>
      </c>
      <c r="DV39">
        <v>21.272300000000001</v>
      </c>
      <c r="DW39">
        <v>62.7714</v>
      </c>
      <c r="DX39">
        <v>35.665100000000002</v>
      </c>
      <c r="DY39">
        <v>1</v>
      </c>
      <c r="DZ39">
        <v>-0.14405999999999999</v>
      </c>
      <c r="EA39">
        <v>1.4208000000000001</v>
      </c>
      <c r="EB39">
        <v>20.183299999999999</v>
      </c>
      <c r="EC39">
        <v>5.2408000000000001</v>
      </c>
      <c r="ED39">
        <v>12.039899999999999</v>
      </c>
      <c r="EE39">
        <v>5.01715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1.86873</v>
      </c>
      <c r="EL39">
        <v>1.8643700000000001</v>
      </c>
      <c r="EM39">
        <v>1.8690500000000001</v>
      </c>
      <c r="EN39">
        <v>1.86707</v>
      </c>
      <c r="EO39">
        <v>1.86324</v>
      </c>
      <c r="EP39">
        <v>1.8641799999999999</v>
      </c>
      <c r="EQ39">
        <v>1.87002</v>
      </c>
      <c r="ER39">
        <v>1.8692299999999999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-1.1839999999999999</v>
      </c>
      <c r="FG39">
        <v>0.19109999999999999</v>
      </c>
      <c r="FH39">
        <v>-0.68620417327404271</v>
      </c>
      <c r="FI39">
        <v>-6.1462078757559423E-4</v>
      </c>
      <c r="FJ39">
        <v>-1.8861989874597051E-7</v>
      </c>
      <c r="FK39">
        <v>1.1980462299894961E-10</v>
      </c>
      <c r="FL39">
        <v>0.1911242781723908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10</v>
      </c>
      <c r="FU39">
        <v>9.9</v>
      </c>
      <c r="FV39">
        <v>1.78467</v>
      </c>
      <c r="FW39">
        <v>2.5573700000000001</v>
      </c>
      <c r="FX39">
        <v>1.5490699999999999</v>
      </c>
      <c r="FY39">
        <v>2.34253</v>
      </c>
      <c r="FZ39">
        <v>1.50146</v>
      </c>
      <c r="GA39">
        <v>2.2522000000000002</v>
      </c>
      <c r="GB39">
        <v>29.857800000000001</v>
      </c>
      <c r="GC39">
        <v>23.982399999999998</v>
      </c>
      <c r="GD39">
        <v>19</v>
      </c>
      <c r="GE39">
        <v>280.70100000000002</v>
      </c>
      <c r="GF39">
        <v>628.678</v>
      </c>
      <c r="GG39">
        <v>24.433</v>
      </c>
      <c r="GH39">
        <v>25.632400000000001</v>
      </c>
      <c r="GI39">
        <v>30.001100000000001</v>
      </c>
      <c r="GJ39">
        <v>25.572199999999999</v>
      </c>
      <c r="GK39">
        <v>25.475200000000001</v>
      </c>
      <c r="GL39">
        <v>35.677500000000002</v>
      </c>
      <c r="GM39">
        <v>20.5745</v>
      </c>
      <c r="GN39">
        <v>100</v>
      </c>
      <c r="GO39">
        <v>24.2852</v>
      </c>
      <c r="GP39">
        <v>800</v>
      </c>
      <c r="GQ39">
        <v>19.8127</v>
      </c>
      <c r="GR39">
        <v>99.692599999999999</v>
      </c>
      <c r="GS39">
        <v>99.352999999999994</v>
      </c>
    </row>
    <row r="40" spans="1:201" x14ac:dyDescent="0.25">
      <c r="A40">
        <v>24</v>
      </c>
      <c r="B40">
        <v>1690286870.0999999</v>
      </c>
      <c r="C40">
        <v>331.5</v>
      </c>
      <c r="D40" t="s">
        <v>381</v>
      </c>
      <c r="E40" t="s">
        <v>382</v>
      </c>
      <c r="F40" t="s">
        <v>330</v>
      </c>
      <c r="H40">
        <v>1690286870.0999999</v>
      </c>
      <c r="I40">
        <f t="shared" si="0"/>
        <v>5.0597380911044038E-4</v>
      </c>
      <c r="J40">
        <f t="shared" si="1"/>
        <v>0.50597380911044043</v>
      </c>
      <c r="K40">
        <f t="shared" si="2"/>
        <v>8.7028693409921498</v>
      </c>
      <c r="L40">
        <f t="shared" si="3"/>
        <v>712.20100000000002</v>
      </c>
      <c r="M40">
        <f t="shared" si="4"/>
        <v>280.9054418232426</v>
      </c>
      <c r="N40">
        <f t="shared" si="5"/>
        <v>27.928134487552526</v>
      </c>
      <c r="O40">
        <f t="shared" si="6"/>
        <v>70.808330308835011</v>
      </c>
      <c r="P40">
        <f t="shared" si="7"/>
        <v>3.3447481519738094E-2</v>
      </c>
      <c r="Q40">
        <f t="shared" si="8"/>
        <v>2.2972685380521716</v>
      </c>
      <c r="R40">
        <f t="shared" si="9"/>
        <v>3.3179276592567267E-2</v>
      </c>
      <c r="S40">
        <f t="shared" si="10"/>
        <v>2.076096564373428E-2</v>
      </c>
      <c r="T40">
        <f t="shared" si="11"/>
        <v>276.11126190293612</v>
      </c>
      <c r="U40">
        <f t="shared" si="12"/>
        <v>28.510535383488964</v>
      </c>
      <c r="V40">
        <f t="shared" si="13"/>
        <v>28.510535383488964</v>
      </c>
      <c r="W40">
        <f t="shared" si="14"/>
        <v>3.9092605514859082</v>
      </c>
      <c r="X40">
        <f t="shared" si="15"/>
        <v>69.688426219576087</v>
      </c>
      <c r="Y40">
        <f t="shared" si="16"/>
        <v>2.4415318286455006</v>
      </c>
      <c r="Z40">
        <f t="shared" si="17"/>
        <v>3.5034968661118269</v>
      </c>
      <c r="AA40">
        <f t="shared" si="18"/>
        <v>1.4677287228404077</v>
      </c>
      <c r="AB40">
        <f t="shared" si="19"/>
        <v>-22.31344498177042</v>
      </c>
      <c r="AC40">
        <f t="shared" si="20"/>
        <v>-232.07515201648445</v>
      </c>
      <c r="AD40">
        <f t="shared" si="21"/>
        <v>-21.92728603343674</v>
      </c>
      <c r="AE40">
        <f t="shared" si="22"/>
        <v>-0.2046211287554911</v>
      </c>
      <c r="AF40">
        <v>0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52478.211247328705</v>
      </c>
      <c r="AK40">
        <f t="shared" si="26"/>
        <v>1799.97</v>
      </c>
      <c r="AL40">
        <f t="shared" si="27"/>
        <v>1499.08977415401</v>
      </c>
      <c r="AM40">
        <f t="shared" si="28"/>
        <v>0.83284153299999997</v>
      </c>
      <c r="AN40">
        <f t="shared" si="29"/>
        <v>0.15339770213000001</v>
      </c>
      <c r="AO40">
        <v>29.1</v>
      </c>
      <c r="AP40">
        <v>0.5</v>
      </c>
      <c r="AQ40" t="s">
        <v>331</v>
      </c>
      <c r="AR40">
        <v>2</v>
      </c>
      <c r="AS40">
        <v>1690286870.0999999</v>
      </c>
      <c r="AT40">
        <v>712.20100000000002</v>
      </c>
      <c r="AU40">
        <v>800.06799999999998</v>
      </c>
      <c r="AV40">
        <v>24.557300000000001</v>
      </c>
      <c r="AW40">
        <v>19.772400000000001</v>
      </c>
      <c r="AX40">
        <v>713.37800000000004</v>
      </c>
      <c r="AY40">
        <v>24.366199999999999</v>
      </c>
      <c r="AZ40">
        <v>300.15800000000002</v>
      </c>
      <c r="BA40">
        <v>99.321799999999996</v>
      </c>
      <c r="BB40">
        <v>0.100035</v>
      </c>
      <c r="BC40">
        <v>26.636700000000001</v>
      </c>
      <c r="BD40">
        <v>27.038900000000002</v>
      </c>
      <c r="BE40">
        <v>28.924199999999999</v>
      </c>
      <c r="BF40">
        <v>0</v>
      </c>
      <c r="BG40">
        <v>0</v>
      </c>
      <c r="BH40">
        <v>9979.3799999999992</v>
      </c>
      <c r="BI40">
        <v>1096.71</v>
      </c>
      <c r="BJ40">
        <v>1.28952</v>
      </c>
      <c r="BK40">
        <v>-87.866799999999998</v>
      </c>
      <c r="BL40">
        <v>730.13099999999997</v>
      </c>
      <c r="BM40">
        <v>816.20600000000002</v>
      </c>
      <c r="BN40">
        <v>4.7848600000000001</v>
      </c>
      <c r="BO40">
        <v>800.06799999999998</v>
      </c>
      <c r="BP40">
        <v>19.772400000000001</v>
      </c>
      <c r="BQ40">
        <v>2.4390700000000001</v>
      </c>
      <c r="BR40">
        <v>1.96383</v>
      </c>
      <c r="BS40">
        <v>20.625599999999999</v>
      </c>
      <c r="BT40">
        <v>17.1557</v>
      </c>
      <c r="BU40">
        <v>1799.97</v>
      </c>
      <c r="BV40">
        <v>0.91000899999999996</v>
      </c>
      <c r="BW40">
        <v>3.3994900000000002E-2</v>
      </c>
      <c r="BX40">
        <v>2.2006399999999999E-2</v>
      </c>
      <c r="BY40">
        <v>3.39893E-2</v>
      </c>
      <c r="BZ40">
        <v>23</v>
      </c>
      <c r="CA40">
        <v>33527.800000000003</v>
      </c>
      <c r="CB40">
        <v>1690286268.5999999</v>
      </c>
      <c r="CC40" t="s">
        <v>332</v>
      </c>
      <c r="CD40">
        <v>1690286261.0999999</v>
      </c>
      <c r="CE40">
        <v>1690286268.5999999</v>
      </c>
      <c r="CF40">
        <v>1</v>
      </c>
      <c r="CG40">
        <v>-0.89900000000000002</v>
      </c>
      <c r="CH40">
        <v>3.4000000000000002E-2</v>
      </c>
      <c r="CI40">
        <v>-1.2370000000000001</v>
      </c>
      <c r="CJ40">
        <v>8.5999999999999993E-2</v>
      </c>
      <c r="CK40">
        <v>799</v>
      </c>
      <c r="CL40">
        <v>16</v>
      </c>
      <c r="CM40">
        <v>0.28999999999999998</v>
      </c>
      <c r="CN40">
        <v>0.09</v>
      </c>
      <c r="CO40">
        <v>-78.319690243902429</v>
      </c>
      <c r="CP40">
        <v>-52.429241811846722</v>
      </c>
      <c r="CQ40">
        <v>5.1696782081203638</v>
      </c>
      <c r="CR40">
        <v>-1</v>
      </c>
      <c r="CS40">
        <v>4.5645817073170729</v>
      </c>
      <c r="CT40">
        <v>1.38519679442509</v>
      </c>
      <c r="CU40">
        <v>0.137828997319008</v>
      </c>
      <c r="CV40">
        <v>-1</v>
      </c>
      <c r="CW40">
        <v>0</v>
      </c>
      <c r="CX40">
        <v>0</v>
      </c>
      <c r="CY40" t="s">
        <v>333</v>
      </c>
      <c r="CZ40">
        <v>2.3649900000000001</v>
      </c>
      <c r="DA40">
        <v>2.7138100000000001</v>
      </c>
      <c r="DB40">
        <v>0.13641300000000001</v>
      </c>
      <c r="DC40">
        <v>0.147004</v>
      </c>
      <c r="DD40">
        <v>0.11624</v>
      </c>
      <c r="DE40">
        <v>9.8326800000000006E-2</v>
      </c>
      <c r="DF40">
        <v>31524.9</v>
      </c>
      <c r="DG40">
        <v>27444.1</v>
      </c>
      <c r="DH40">
        <v>31161.4</v>
      </c>
      <c r="DI40">
        <v>28032.3</v>
      </c>
      <c r="DJ40">
        <v>37377.699999999997</v>
      </c>
      <c r="DK40">
        <v>35916.1</v>
      </c>
      <c r="DL40">
        <v>44337</v>
      </c>
      <c r="DM40">
        <v>42459.3</v>
      </c>
      <c r="DN40">
        <v>1.4794499999999999</v>
      </c>
      <c r="DO40">
        <v>2.1012</v>
      </c>
      <c r="DP40">
        <v>7.5455800000000003E-2</v>
      </c>
      <c r="DQ40">
        <v>0.21247199999999999</v>
      </c>
      <c r="DR40">
        <v>25.803799999999999</v>
      </c>
      <c r="DS40">
        <v>25.450500000000002</v>
      </c>
      <c r="DT40">
        <v>69.7</v>
      </c>
      <c r="DU40">
        <v>24.2</v>
      </c>
      <c r="DV40">
        <v>21.271599999999999</v>
      </c>
      <c r="DW40">
        <v>62.5214</v>
      </c>
      <c r="DX40">
        <v>36.009599999999999</v>
      </c>
      <c r="DY40">
        <v>1</v>
      </c>
      <c r="DZ40">
        <v>-0.143732</v>
      </c>
      <c r="EA40">
        <v>1.34172</v>
      </c>
      <c r="EB40">
        <v>20.184000000000001</v>
      </c>
      <c r="EC40">
        <v>5.2409499999999998</v>
      </c>
      <c r="ED40">
        <v>12.039899999999999</v>
      </c>
      <c r="EE40">
        <v>5.0171999999999999</v>
      </c>
      <c r="EF40">
        <v>3.2879700000000001</v>
      </c>
      <c r="EG40">
        <v>9999</v>
      </c>
      <c r="EH40">
        <v>9999</v>
      </c>
      <c r="EI40">
        <v>9999</v>
      </c>
      <c r="EJ40">
        <v>999.9</v>
      </c>
      <c r="EK40">
        <v>1.8687199999999999</v>
      </c>
      <c r="EL40">
        <v>1.86436</v>
      </c>
      <c r="EM40">
        <v>1.8690500000000001</v>
      </c>
      <c r="EN40">
        <v>1.86707</v>
      </c>
      <c r="EO40">
        <v>1.86324</v>
      </c>
      <c r="EP40">
        <v>1.86419</v>
      </c>
      <c r="EQ40">
        <v>1.87002</v>
      </c>
      <c r="ER40">
        <v>1.8692200000000001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-1.177</v>
      </c>
      <c r="FG40">
        <v>0.19109999999999999</v>
      </c>
      <c r="FH40">
        <v>-0.68620417327404271</v>
      </c>
      <c r="FI40">
        <v>-6.1462078757559423E-4</v>
      </c>
      <c r="FJ40">
        <v>-1.8861989874597051E-7</v>
      </c>
      <c r="FK40">
        <v>1.1980462299894961E-10</v>
      </c>
      <c r="FL40">
        <v>0.1911242781723908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10.199999999999999</v>
      </c>
      <c r="FU40">
        <v>10</v>
      </c>
      <c r="FV40">
        <v>1.78467</v>
      </c>
      <c r="FW40">
        <v>2.5573700000000001</v>
      </c>
      <c r="FX40">
        <v>1.5490699999999999</v>
      </c>
      <c r="FY40">
        <v>2.34253</v>
      </c>
      <c r="FZ40">
        <v>1.50146</v>
      </c>
      <c r="GA40">
        <v>2.3938000000000001</v>
      </c>
      <c r="GB40">
        <v>29.879200000000001</v>
      </c>
      <c r="GC40">
        <v>23.991199999999999</v>
      </c>
      <c r="GD40">
        <v>19</v>
      </c>
      <c r="GE40">
        <v>280.84399999999999</v>
      </c>
      <c r="GF40">
        <v>628.11099999999999</v>
      </c>
      <c r="GG40">
        <v>24.163900000000002</v>
      </c>
      <c r="GH40">
        <v>25.641500000000001</v>
      </c>
      <c r="GI40">
        <v>30.000299999999999</v>
      </c>
      <c r="GJ40">
        <v>25.5808</v>
      </c>
      <c r="GK40">
        <v>25.485800000000001</v>
      </c>
      <c r="GL40">
        <v>35.6721</v>
      </c>
      <c r="GM40">
        <v>21.715399999999999</v>
      </c>
      <c r="GN40">
        <v>100</v>
      </c>
      <c r="GO40">
        <v>24.118500000000001</v>
      </c>
      <c r="GP40">
        <v>800</v>
      </c>
      <c r="GQ40">
        <v>19.5671</v>
      </c>
      <c r="GR40">
        <v>99.691900000000004</v>
      </c>
      <c r="GS40">
        <v>99.352999999999994</v>
      </c>
    </row>
    <row r="41" spans="1:201" x14ac:dyDescent="0.25">
      <c r="A41">
        <v>25</v>
      </c>
      <c r="B41">
        <v>1690286880.0999999</v>
      </c>
      <c r="C41">
        <v>341.5</v>
      </c>
      <c r="D41" t="s">
        <v>383</v>
      </c>
      <c r="E41" t="s">
        <v>384</v>
      </c>
      <c r="F41" t="s">
        <v>330</v>
      </c>
      <c r="H41">
        <v>1690286880.0999999</v>
      </c>
      <c r="I41">
        <f t="shared" si="0"/>
        <v>5.3270964789006367E-4</v>
      </c>
      <c r="J41">
        <f t="shared" si="1"/>
        <v>0.5327096478900637</v>
      </c>
      <c r="K41">
        <f t="shared" si="2"/>
        <v>9.5581076420670836</v>
      </c>
      <c r="L41">
        <f t="shared" si="3"/>
        <v>703.88400000000001</v>
      </c>
      <c r="M41">
        <f t="shared" si="4"/>
        <v>258.85870616845483</v>
      </c>
      <c r="N41">
        <f t="shared" si="5"/>
        <v>25.735612301512894</v>
      </c>
      <c r="O41">
        <f t="shared" si="6"/>
        <v>69.979820255493593</v>
      </c>
      <c r="P41">
        <f t="shared" si="7"/>
        <v>3.5545447510717976E-2</v>
      </c>
      <c r="Q41">
        <f t="shared" si="8"/>
        <v>2.3003211048636967</v>
      </c>
      <c r="R41">
        <f t="shared" si="9"/>
        <v>3.5243103869714992E-2</v>
      </c>
      <c r="S41">
        <f t="shared" si="10"/>
        <v>2.2053889839771731E-2</v>
      </c>
      <c r="T41">
        <f t="shared" si="11"/>
        <v>276.1109280265008</v>
      </c>
      <c r="U41">
        <f t="shared" si="12"/>
        <v>28.447447519519883</v>
      </c>
      <c r="V41">
        <f t="shared" si="13"/>
        <v>28.447447519519883</v>
      </c>
      <c r="W41">
        <f t="shared" si="14"/>
        <v>3.8949603408918043</v>
      </c>
      <c r="X41">
        <f t="shared" si="15"/>
        <v>69.861564206976041</v>
      </c>
      <c r="Y41">
        <f t="shared" si="16"/>
        <v>2.4400834831828195</v>
      </c>
      <c r="Z41">
        <f t="shared" si="17"/>
        <v>3.4927409812263619</v>
      </c>
      <c r="AA41">
        <f t="shared" si="18"/>
        <v>1.4548768577089848</v>
      </c>
      <c r="AB41">
        <f t="shared" si="19"/>
        <v>-23.492495471951809</v>
      </c>
      <c r="AC41">
        <f t="shared" si="20"/>
        <v>-231.03327158618987</v>
      </c>
      <c r="AD41">
        <f t="shared" si="21"/>
        <v>-21.787335906702651</v>
      </c>
      <c r="AE41">
        <f t="shared" si="22"/>
        <v>-0.20217493834351785</v>
      </c>
      <c r="AF41">
        <v>0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52602.842326107348</v>
      </c>
      <c r="AK41">
        <f t="shared" si="26"/>
        <v>1799.97</v>
      </c>
      <c r="AL41">
        <f t="shared" si="27"/>
        <v>1499.08495203438</v>
      </c>
      <c r="AM41">
        <f t="shared" si="28"/>
        <v>0.83283885399999991</v>
      </c>
      <c r="AN41">
        <f t="shared" si="29"/>
        <v>0.15339751664000001</v>
      </c>
      <c r="AO41">
        <v>29.1</v>
      </c>
      <c r="AP41">
        <v>0.5</v>
      </c>
      <c r="AQ41" t="s">
        <v>331</v>
      </c>
      <c r="AR41">
        <v>2</v>
      </c>
      <c r="AS41">
        <v>1690286880.0999999</v>
      </c>
      <c r="AT41">
        <v>703.88400000000001</v>
      </c>
      <c r="AU41">
        <v>800.16099999999994</v>
      </c>
      <c r="AV41">
        <v>24.543299999999999</v>
      </c>
      <c r="AW41">
        <v>19.506699999999999</v>
      </c>
      <c r="AX41">
        <v>705.05499999999995</v>
      </c>
      <c r="AY41">
        <v>24.3522</v>
      </c>
      <c r="AZ41">
        <v>300.23</v>
      </c>
      <c r="BA41">
        <v>99.319599999999994</v>
      </c>
      <c r="BB41">
        <v>9.9935399999999994E-2</v>
      </c>
      <c r="BC41">
        <v>26.584499999999998</v>
      </c>
      <c r="BD41">
        <v>27.006399999999999</v>
      </c>
      <c r="BE41">
        <v>28.878299999999999</v>
      </c>
      <c r="BF41">
        <v>0</v>
      </c>
      <c r="BG41">
        <v>0</v>
      </c>
      <c r="BH41">
        <v>10002.5</v>
      </c>
      <c r="BI41">
        <v>1095.76</v>
      </c>
      <c r="BJ41">
        <v>1.28952</v>
      </c>
      <c r="BK41">
        <v>-96.277100000000004</v>
      </c>
      <c r="BL41">
        <v>721.59400000000005</v>
      </c>
      <c r="BM41">
        <v>816.08</v>
      </c>
      <c r="BN41">
        <v>5.0366099999999996</v>
      </c>
      <c r="BO41">
        <v>800.16099999999994</v>
      </c>
      <c r="BP41">
        <v>19.506699999999999</v>
      </c>
      <c r="BQ41">
        <v>2.43763</v>
      </c>
      <c r="BR41">
        <v>1.9373899999999999</v>
      </c>
      <c r="BS41">
        <v>20.6159</v>
      </c>
      <c r="BT41">
        <v>16.941800000000001</v>
      </c>
      <c r="BU41">
        <v>1799.97</v>
      </c>
      <c r="BV41">
        <v>0.90998699999999999</v>
      </c>
      <c r="BW41">
        <v>3.4001499999999997E-2</v>
      </c>
      <c r="BX41">
        <v>2.2000200000000001E-2</v>
      </c>
      <c r="BY41">
        <v>3.4011399999999997E-2</v>
      </c>
      <c r="BZ41">
        <v>23.291699999999999</v>
      </c>
      <c r="CA41">
        <v>33527.800000000003</v>
      </c>
      <c r="CB41">
        <v>1690286268.5999999</v>
      </c>
      <c r="CC41" t="s">
        <v>332</v>
      </c>
      <c r="CD41">
        <v>1690286261.0999999</v>
      </c>
      <c r="CE41">
        <v>1690286268.5999999</v>
      </c>
      <c r="CF41">
        <v>1</v>
      </c>
      <c r="CG41">
        <v>-0.89900000000000002</v>
      </c>
      <c r="CH41">
        <v>3.4000000000000002E-2</v>
      </c>
      <c r="CI41">
        <v>-1.2370000000000001</v>
      </c>
      <c r="CJ41">
        <v>8.5999999999999993E-2</v>
      </c>
      <c r="CK41">
        <v>799</v>
      </c>
      <c r="CL41">
        <v>16</v>
      </c>
      <c r="CM41">
        <v>0.28999999999999998</v>
      </c>
      <c r="CN41">
        <v>0.09</v>
      </c>
      <c r="CO41">
        <v>-86.989139024390241</v>
      </c>
      <c r="CP41">
        <v>-51.632621602787609</v>
      </c>
      <c r="CQ41">
        <v>5.0912183740373607</v>
      </c>
      <c r="CR41">
        <v>-1</v>
      </c>
      <c r="CS41">
        <v>4.7797514634146347</v>
      </c>
      <c r="CT41">
        <v>1.2144930313588771</v>
      </c>
      <c r="CU41">
        <v>0.12015762051817649</v>
      </c>
      <c r="CV41">
        <v>-1</v>
      </c>
      <c r="CW41">
        <v>0</v>
      </c>
      <c r="CX41">
        <v>0</v>
      </c>
      <c r="CY41" t="s">
        <v>333</v>
      </c>
      <c r="CZ41">
        <v>2.3651900000000001</v>
      </c>
      <c r="DA41">
        <v>2.71373</v>
      </c>
      <c r="DB41">
        <v>0.13531899999999999</v>
      </c>
      <c r="DC41">
        <v>0.14700299999999999</v>
      </c>
      <c r="DD41">
        <v>0.116188</v>
      </c>
      <c r="DE41">
        <v>9.7381400000000007E-2</v>
      </c>
      <c r="DF41">
        <v>31564.3</v>
      </c>
      <c r="DG41">
        <v>27444.1</v>
      </c>
      <c r="DH41">
        <v>31161</v>
      </c>
      <c r="DI41">
        <v>28032.3</v>
      </c>
      <c r="DJ41">
        <v>37379.300000000003</v>
      </c>
      <c r="DK41">
        <v>35953.9</v>
      </c>
      <c r="DL41">
        <v>44336.4</v>
      </c>
      <c r="DM41">
        <v>42459.3</v>
      </c>
      <c r="DN41">
        <v>1.4795499999999999</v>
      </c>
      <c r="DO41">
        <v>2.1006499999999999</v>
      </c>
      <c r="DP41">
        <v>7.4095999999999995E-2</v>
      </c>
      <c r="DQ41">
        <v>0.21063499999999999</v>
      </c>
      <c r="DR41">
        <v>25.793500000000002</v>
      </c>
      <c r="DS41">
        <v>25.4344</v>
      </c>
      <c r="DT41">
        <v>69.7</v>
      </c>
      <c r="DU41">
        <v>24.3</v>
      </c>
      <c r="DV41">
        <v>21.396599999999999</v>
      </c>
      <c r="DW41">
        <v>62.391399999999997</v>
      </c>
      <c r="DX41">
        <v>35.348599999999998</v>
      </c>
      <c r="DY41">
        <v>1</v>
      </c>
      <c r="DZ41">
        <v>-0.14312800000000001</v>
      </c>
      <c r="EA41">
        <v>0.96833899999999995</v>
      </c>
      <c r="EB41">
        <v>20.1877</v>
      </c>
      <c r="EC41">
        <v>5.2413999999999996</v>
      </c>
      <c r="ED41">
        <v>12.039899999999999</v>
      </c>
      <c r="EE41">
        <v>5.0170500000000002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1.8687400000000001</v>
      </c>
      <c r="EL41">
        <v>1.8644000000000001</v>
      </c>
      <c r="EM41">
        <v>1.8690500000000001</v>
      </c>
      <c r="EN41">
        <v>1.86707</v>
      </c>
      <c r="EO41">
        <v>1.8632500000000001</v>
      </c>
      <c r="EP41">
        <v>1.86419</v>
      </c>
      <c r="EQ41">
        <v>1.8700699999999999</v>
      </c>
      <c r="ER41">
        <v>1.86924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-1.171</v>
      </c>
      <c r="FG41">
        <v>0.19109999999999999</v>
      </c>
      <c r="FH41">
        <v>-0.68620417327404271</v>
      </c>
      <c r="FI41">
        <v>-6.1462078757559423E-4</v>
      </c>
      <c r="FJ41">
        <v>-1.8861989874597051E-7</v>
      </c>
      <c r="FK41">
        <v>1.1980462299894961E-10</v>
      </c>
      <c r="FL41">
        <v>0.1911242781723908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10.3</v>
      </c>
      <c r="FU41">
        <v>10.199999999999999</v>
      </c>
      <c r="FV41">
        <v>1.78345</v>
      </c>
      <c r="FW41">
        <v>2.5524900000000001</v>
      </c>
      <c r="FX41">
        <v>1.5490699999999999</v>
      </c>
      <c r="FY41">
        <v>2.34253</v>
      </c>
      <c r="FZ41">
        <v>1.50146</v>
      </c>
      <c r="GA41">
        <v>2.34619</v>
      </c>
      <c r="GB41">
        <v>29.900600000000001</v>
      </c>
      <c r="GC41">
        <v>23.982399999999998</v>
      </c>
      <c r="GD41">
        <v>19</v>
      </c>
      <c r="GE41">
        <v>280.93099999999998</v>
      </c>
      <c r="GF41">
        <v>627.76300000000003</v>
      </c>
      <c r="GG41">
        <v>24.056999999999999</v>
      </c>
      <c r="GH41">
        <v>25.649100000000001</v>
      </c>
      <c r="GI41">
        <v>30.000499999999999</v>
      </c>
      <c r="GJ41">
        <v>25.590900000000001</v>
      </c>
      <c r="GK41">
        <v>25.496400000000001</v>
      </c>
      <c r="GL41">
        <v>35.657400000000003</v>
      </c>
      <c r="GM41">
        <v>22.631499999999999</v>
      </c>
      <c r="GN41">
        <v>100</v>
      </c>
      <c r="GO41">
        <v>24.077500000000001</v>
      </c>
      <c r="GP41">
        <v>800</v>
      </c>
      <c r="GQ41">
        <v>19.298200000000001</v>
      </c>
      <c r="GR41">
        <v>99.6905</v>
      </c>
      <c r="GS41">
        <v>99.353099999999998</v>
      </c>
    </row>
    <row r="42" spans="1:201" x14ac:dyDescent="0.25">
      <c r="A42">
        <v>26</v>
      </c>
      <c r="B42">
        <v>1690286890.0999999</v>
      </c>
      <c r="C42">
        <v>351.5</v>
      </c>
      <c r="D42" t="s">
        <v>385</v>
      </c>
      <c r="E42" t="s">
        <v>386</v>
      </c>
      <c r="F42" t="s">
        <v>330</v>
      </c>
      <c r="H42">
        <v>1690286890.0999999</v>
      </c>
      <c r="I42">
        <f t="shared" si="0"/>
        <v>5.7102842048838143E-4</v>
      </c>
      <c r="J42">
        <f t="shared" si="1"/>
        <v>0.57102842048838143</v>
      </c>
      <c r="K42">
        <f t="shared" si="2"/>
        <v>10.352702864869052</v>
      </c>
      <c r="L42">
        <f t="shared" si="3"/>
        <v>695.93</v>
      </c>
      <c r="M42">
        <f t="shared" si="4"/>
        <v>250.33738509189538</v>
      </c>
      <c r="N42">
        <f t="shared" si="5"/>
        <v>24.88867325161387</v>
      </c>
      <c r="O42">
        <f t="shared" si="6"/>
        <v>69.189723179529992</v>
      </c>
      <c r="P42">
        <f t="shared" si="7"/>
        <v>3.8446996326506555E-2</v>
      </c>
      <c r="Q42">
        <f t="shared" si="8"/>
        <v>2.2995005723131934</v>
      </c>
      <c r="R42">
        <f t="shared" si="9"/>
        <v>3.809341781118572E-2</v>
      </c>
      <c r="S42">
        <f t="shared" si="10"/>
        <v>2.3839882651991835E-2</v>
      </c>
      <c r="T42">
        <f t="shared" si="11"/>
        <v>276.1099585086597</v>
      </c>
      <c r="U42">
        <f t="shared" si="12"/>
        <v>28.407327130269003</v>
      </c>
      <c r="V42">
        <f t="shared" si="13"/>
        <v>28.407327130269003</v>
      </c>
      <c r="W42">
        <f t="shared" si="14"/>
        <v>3.8858899520490886</v>
      </c>
      <c r="X42">
        <f t="shared" si="15"/>
        <v>70.061533278463671</v>
      </c>
      <c r="Y42">
        <f t="shared" si="16"/>
        <v>2.4429908681682995</v>
      </c>
      <c r="Z42">
        <f t="shared" si="17"/>
        <v>3.4869217869647371</v>
      </c>
      <c r="AA42">
        <f t="shared" si="18"/>
        <v>1.4428990838807891</v>
      </c>
      <c r="AB42">
        <f t="shared" si="19"/>
        <v>-25.182353343537621</v>
      </c>
      <c r="AC42">
        <f t="shared" si="20"/>
        <v>-229.48547958101273</v>
      </c>
      <c r="AD42">
        <f t="shared" si="21"/>
        <v>-21.64170018633866</v>
      </c>
      <c r="AE42">
        <f t="shared" si="22"/>
        <v>-0.19957460222929058</v>
      </c>
      <c r="AF42">
        <v>0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52576.759299486868</v>
      </c>
      <c r="AK42">
        <f t="shared" si="26"/>
        <v>1799.97</v>
      </c>
      <c r="AL42">
        <f t="shared" si="27"/>
        <v>1499.0880965819701</v>
      </c>
      <c r="AM42">
        <f t="shared" si="28"/>
        <v>0.83284060100000001</v>
      </c>
      <c r="AN42">
        <f t="shared" si="29"/>
        <v>0.15339697800999999</v>
      </c>
      <c r="AO42">
        <v>29.1</v>
      </c>
      <c r="AP42">
        <v>0.5</v>
      </c>
      <c r="AQ42" t="s">
        <v>331</v>
      </c>
      <c r="AR42">
        <v>2</v>
      </c>
      <c r="AS42">
        <v>1690286890.0999999</v>
      </c>
      <c r="AT42">
        <v>695.93</v>
      </c>
      <c r="AU42">
        <v>800.16600000000005</v>
      </c>
      <c r="AV42">
        <v>24.572299999999998</v>
      </c>
      <c r="AW42">
        <v>19.171500000000002</v>
      </c>
      <c r="AX42">
        <v>697.09500000000003</v>
      </c>
      <c r="AY42">
        <v>24.3812</v>
      </c>
      <c r="AZ42">
        <v>300.11500000000001</v>
      </c>
      <c r="BA42">
        <v>99.320499999999996</v>
      </c>
      <c r="BB42">
        <v>0.100021</v>
      </c>
      <c r="BC42">
        <v>26.5562</v>
      </c>
      <c r="BD42">
        <v>26.960999999999999</v>
      </c>
      <c r="BE42">
        <v>28.822700000000001</v>
      </c>
      <c r="BF42">
        <v>0</v>
      </c>
      <c r="BG42">
        <v>0</v>
      </c>
      <c r="BH42">
        <v>9996.25</v>
      </c>
      <c r="BI42">
        <v>1094.68</v>
      </c>
      <c r="BJ42">
        <v>1.28952</v>
      </c>
      <c r="BK42">
        <v>-104.23699999999999</v>
      </c>
      <c r="BL42">
        <v>713.46100000000001</v>
      </c>
      <c r="BM42">
        <v>815.80600000000004</v>
      </c>
      <c r="BN42">
        <v>5.4007800000000001</v>
      </c>
      <c r="BO42">
        <v>800.16600000000005</v>
      </c>
      <c r="BP42">
        <v>19.171500000000002</v>
      </c>
      <c r="BQ42">
        <v>2.4405299999999999</v>
      </c>
      <c r="BR42">
        <v>1.9041300000000001</v>
      </c>
      <c r="BS42">
        <v>20.635300000000001</v>
      </c>
      <c r="BT42">
        <v>16.668900000000001</v>
      </c>
      <c r="BU42">
        <v>1799.97</v>
      </c>
      <c r="BV42">
        <v>0.91000899999999996</v>
      </c>
      <c r="BW42">
        <v>3.3993200000000001E-2</v>
      </c>
      <c r="BX42">
        <v>2.1994799999999998E-2</v>
      </c>
      <c r="BY42">
        <v>3.4003100000000001E-2</v>
      </c>
      <c r="BZ42">
        <v>24</v>
      </c>
      <c r="CA42">
        <v>33528</v>
      </c>
      <c r="CB42">
        <v>1690286268.5999999</v>
      </c>
      <c r="CC42" t="s">
        <v>332</v>
      </c>
      <c r="CD42">
        <v>1690286261.0999999</v>
      </c>
      <c r="CE42">
        <v>1690286268.5999999</v>
      </c>
      <c r="CF42">
        <v>1</v>
      </c>
      <c r="CG42">
        <v>-0.89900000000000002</v>
      </c>
      <c r="CH42">
        <v>3.4000000000000002E-2</v>
      </c>
      <c r="CI42">
        <v>-1.2370000000000001</v>
      </c>
      <c r="CJ42">
        <v>8.5999999999999993E-2</v>
      </c>
      <c r="CK42">
        <v>799</v>
      </c>
      <c r="CL42">
        <v>16</v>
      </c>
      <c r="CM42">
        <v>0.28999999999999998</v>
      </c>
      <c r="CN42">
        <v>0.09</v>
      </c>
      <c r="CO42">
        <v>-96.005802500000001</v>
      </c>
      <c r="CP42">
        <v>-49.115571106941651</v>
      </c>
      <c r="CQ42">
        <v>4.7252289944767494</v>
      </c>
      <c r="CR42">
        <v>-1</v>
      </c>
      <c r="CS42">
        <v>5.0396150000000004</v>
      </c>
      <c r="CT42">
        <v>1.7280328705440851</v>
      </c>
      <c r="CU42">
        <v>0.16742604900373181</v>
      </c>
      <c r="CV42">
        <v>-1</v>
      </c>
      <c r="CW42">
        <v>0</v>
      </c>
      <c r="CX42">
        <v>0</v>
      </c>
      <c r="CY42" t="s">
        <v>333</v>
      </c>
      <c r="CZ42">
        <v>2.3647999999999998</v>
      </c>
      <c r="DA42">
        <v>2.7138100000000001</v>
      </c>
      <c r="DB42">
        <v>0.134271</v>
      </c>
      <c r="DC42">
        <v>0.14699499999999999</v>
      </c>
      <c r="DD42">
        <v>0.116283</v>
      </c>
      <c r="DE42">
        <v>9.6186199999999999E-2</v>
      </c>
      <c r="DF42">
        <v>31601.9</v>
      </c>
      <c r="DG42">
        <v>27444</v>
      </c>
      <c r="DH42">
        <v>31160.400000000001</v>
      </c>
      <c r="DI42">
        <v>28032</v>
      </c>
      <c r="DJ42">
        <v>37374.400000000001</v>
      </c>
      <c r="DK42">
        <v>36001.300000000003</v>
      </c>
      <c r="DL42">
        <v>44335.5</v>
      </c>
      <c r="DM42">
        <v>42459</v>
      </c>
      <c r="DN42">
        <v>1.48048</v>
      </c>
      <c r="DO42">
        <v>2.0996000000000001</v>
      </c>
      <c r="DP42">
        <v>7.2013599999999997E-2</v>
      </c>
      <c r="DQ42">
        <v>0.208206</v>
      </c>
      <c r="DR42">
        <v>25.7821</v>
      </c>
      <c r="DS42">
        <v>25.418399999999998</v>
      </c>
      <c r="DT42">
        <v>69.7</v>
      </c>
      <c r="DU42">
        <v>24.3</v>
      </c>
      <c r="DV42">
        <v>21.399699999999999</v>
      </c>
      <c r="DW42">
        <v>62.5914</v>
      </c>
      <c r="DX42">
        <v>36.506399999999999</v>
      </c>
      <c r="DY42">
        <v>1</v>
      </c>
      <c r="DZ42">
        <v>-0.143206</v>
      </c>
      <c r="EA42">
        <v>-0.62429500000000004</v>
      </c>
      <c r="EB42">
        <v>20.188700000000001</v>
      </c>
      <c r="EC42">
        <v>5.2406499999999996</v>
      </c>
      <c r="ED42">
        <v>12.039899999999999</v>
      </c>
      <c r="EE42">
        <v>5.0167999999999999</v>
      </c>
      <c r="EF42">
        <v>3.2879499999999999</v>
      </c>
      <c r="EG42">
        <v>9999</v>
      </c>
      <c r="EH42">
        <v>9999</v>
      </c>
      <c r="EI42">
        <v>9999</v>
      </c>
      <c r="EJ42">
        <v>999.9</v>
      </c>
      <c r="EK42">
        <v>1.86873</v>
      </c>
      <c r="EL42">
        <v>1.86436</v>
      </c>
      <c r="EM42">
        <v>1.8690500000000001</v>
      </c>
      <c r="EN42">
        <v>1.86707</v>
      </c>
      <c r="EO42">
        <v>1.8632500000000001</v>
      </c>
      <c r="EP42">
        <v>1.86419</v>
      </c>
      <c r="EQ42">
        <v>1.8700300000000001</v>
      </c>
      <c r="ER42">
        <v>1.8692299999999999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-1.165</v>
      </c>
      <c r="FG42">
        <v>0.19109999999999999</v>
      </c>
      <c r="FH42">
        <v>-0.68620417327404271</v>
      </c>
      <c r="FI42">
        <v>-6.1462078757559423E-4</v>
      </c>
      <c r="FJ42">
        <v>-1.8861989874597051E-7</v>
      </c>
      <c r="FK42">
        <v>1.1980462299894961E-10</v>
      </c>
      <c r="FL42">
        <v>0.1911242781723908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10.5</v>
      </c>
      <c r="FU42">
        <v>10.4</v>
      </c>
      <c r="FV42">
        <v>1.78345</v>
      </c>
      <c r="FW42">
        <v>2.5598100000000001</v>
      </c>
      <c r="FX42">
        <v>1.5490699999999999</v>
      </c>
      <c r="FY42">
        <v>2.34253</v>
      </c>
      <c r="FZ42">
        <v>1.50146</v>
      </c>
      <c r="GA42">
        <v>2.36206</v>
      </c>
      <c r="GB42">
        <v>29.922000000000001</v>
      </c>
      <c r="GC42">
        <v>23.982399999999998</v>
      </c>
      <c r="GD42">
        <v>19</v>
      </c>
      <c r="GE42">
        <v>281.36700000000002</v>
      </c>
      <c r="GF42">
        <v>626.96500000000003</v>
      </c>
      <c r="GG42">
        <v>24.296199999999999</v>
      </c>
      <c r="GH42">
        <v>25.656600000000001</v>
      </c>
      <c r="GI42">
        <v>30</v>
      </c>
      <c r="GJ42">
        <v>25.601099999999999</v>
      </c>
      <c r="GK42">
        <v>25.506</v>
      </c>
      <c r="GL42">
        <v>35.645000000000003</v>
      </c>
      <c r="GM42">
        <v>24.582100000000001</v>
      </c>
      <c r="GN42">
        <v>100</v>
      </c>
      <c r="GO42">
        <v>24.483699999999999</v>
      </c>
      <c r="GP42">
        <v>800</v>
      </c>
      <c r="GQ42">
        <v>18.883600000000001</v>
      </c>
      <c r="GR42">
        <v>99.688500000000005</v>
      </c>
      <c r="GS42">
        <v>99.3523</v>
      </c>
    </row>
    <row r="43" spans="1:201" x14ac:dyDescent="0.25">
      <c r="A43">
        <v>27</v>
      </c>
      <c r="B43">
        <v>1690286900.0999999</v>
      </c>
      <c r="C43">
        <v>361.5</v>
      </c>
      <c r="D43" t="s">
        <v>387</v>
      </c>
      <c r="E43" t="s">
        <v>388</v>
      </c>
      <c r="F43" t="s">
        <v>330</v>
      </c>
      <c r="H43">
        <v>1690286900.0999999</v>
      </c>
      <c r="I43">
        <f t="shared" si="0"/>
        <v>6.214135477278813E-4</v>
      </c>
      <c r="J43">
        <f t="shared" si="1"/>
        <v>0.62141354772788127</v>
      </c>
      <c r="K43">
        <f t="shared" si="2"/>
        <v>11.113608527705244</v>
      </c>
      <c r="L43">
        <f t="shared" si="3"/>
        <v>688.39800000000002</v>
      </c>
      <c r="M43">
        <f t="shared" si="4"/>
        <v>251.96236172842842</v>
      </c>
      <c r="N43">
        <f t="shared" si="5"/>
        <v>25.050175859410128</v>
      </c>
      <c r="O43">
        <f t="shared" si="6"/>
        <v>68.44074187498201</v>
      </c>
      <c r="P43">
        <f t="shared" si="7"/>
        <v>4.2178909551896827E-2</v>
      </c>
      <c r="Q43">
        <f t="shared" si="8"/>
        <v>2.2994978900791607</v>
      </c>
      <c r="R43">
        <f t="shared" si="9"/>
        <v>4.1753767400345726E-2</v>
      </c>
      <c r="S43">
        <f t="shared" si="10"/>
        <v>2.6133944760189758E-2</v>
      </c>
      <c r="T43">
        <f t="shared" si="11"/>
        <v>276.11290836070759</v>
      </c>
      <c r="U43">
        <f t="shared" si="12"/>
        <v>28.408131961699112</v>
      </c>
      <c r="V43">
        <f t="shared" si="13"/>
        <v>28.408131961699112</v>
      </c>
      <c r="W43">
        <f t="shared" si="14"/>
        <v>3.8860717265093201</v>
      </c>
      <c r="X43">
        <f t="shared" si="15"/>
        <v>70.294332014584825</v>
      </c>
      <c r="Y43">
        <f t="shared" si="16"/>
        <v>2.4535938058109998</v>
      </c>
      <c r="Z43">
        <f t="shared" si="17"/>
        <v>3.4904575312016943</v>
      </c>
      <c r="AA43">
        <f t="shared" si="18"/>
        <v>1.4324779206983203</v>
      </c>
      <c r="AB43">
        <f t="shared" si="19"/>
        <v>-27.404337454799567</v>
      </c>
      <c r="AC43">
        <f t="shared" si="20"/>
        <v>-227.4526941583658</v>
      </c>
      <c r="AD43">
        <f t="shared" si="21"/>
        <v>-21.451947119774527</v>
      </c>
      <c r="AE43">
        <f t="shared" si="22"/>
        <v>-0.19607037223229895</v>
      </c>
      <c r="AF43">
        <v>0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52573.634739191853</v>
      </c>
      <c r="AK43">
        <f t="shared" si="26"/>
        <v>1799.98</v>
      </c>
      <c r="AL43">
        <f t="shared" si="27"/>
        <v>1499.0957157958599</v>
      </c>
      <c r="AM43">
        <f t="shared" si="28"/>
        <v>0.83284020699999994</v>
      </c>
      <c r="AN43">
        <f t="shared" si="29"/>
        <v>0.15339776461999999</v>
      </c>
      <c r="AO43">
        <v>29.1</v>
      </c>
      <c r="AP43">
        <v>0.5</v>
      </c>
      <c r="AQ43" t="s">
        <v>331</v>
      </c>
      <c r="AR43">
        <v>2</v>
      </c>
      <c r="AS43">
        <v>1690286900.0999999</v>
      </c>
      <c r="AT43">
        <v>688.39800000000002</v>
      </c>
      <c r="AU43">
        <v>800.23800000000006</v>
      </c>
      <c r="AV43">
        <v>24.678999999999998</v>
      </c>
      <c r="AW43">
        <v>18.805900000000001</v>
      </c>
      <c r="AX43">
        <v>689.55799999999999</v>
      </c>
      <c r="AY43">
        <v>24.4879</v>
      </c>
      <c r="AZ43">
        <v>300.29899999999998</v>
      </c>
      <c r="BA43">
        <v>99.320300000000003</v>
      </c>
      <c r="BB43">
        <v>0.100009</v>
      </c>
      <c r="BC43">
        <v>26.573399999999999</v>
      </c>
      <c r="BD43">
        <v>26.941500000000001</v>
      </c>
      <c r="BE43">
        <v>28.776900000000001</v>
      </c>
      <c r="BF43">
        <v>0</v>
      </c>
      <c r="BG43">
        <v>0</v>
      </c>
      <c r="BH43">
        <v>9996.25</v>
      </c>
      <c r="BI43">
        <v>1093.94</v>
      </c>
      <c r="BJ43">
        <v>1.28952</v>
      </c>
      <c r="BK43">
        <v>-111.84099999999999</v>
      </c>
      <c r="BL43">
        <v>705.81600000000003</v>
      </c>
      <c r="BM43">
        <v>815.57600000000002</v>
      </c>
      <c r="BN43">
        <v>5.8730700000000002</v>
      </c>
      <c r="BO43">
        <v>800.23800000000006</v>
      </c>
      <c r="BP43">
        <v>18.805900000000001</v>
      </c>
      <c r="BQ43">
        <v>2.45112</v>
      </c>
      <c r="BR43">
        <v>1.86781</v>
      </c>
      <c r="BS43">
        <v>20.705500000000001</v>
      </c>
      <c r="BT43">
        <v>16.366099999999999</v>
      </c>
      <c r="BU43">
        <v>1799.98</v>
      </c>
      <c r="BV43">
        <v>0.90999699999999994</v>
      </c>
      <c r="BW43">
        <v>3.4004800000000002E-2</v>
      </c>
      <c r="BX43">
        <v>2.2004099999999999E-2</v>
      </c>
      <c r="BY43">
        <v>3.3994400000000001E-2</v>
      </c>
      <c r="BZ43">
        <v>24</v>
      </c>
      <c r="CA43">
        <v>33528</v>
      </c>
      <c r="CB43">
        <v>1690286268.5999999</v>
      </c>
      <c r="CC43" t="s">
        <v>332</v>
      </c>
      <c r="CD43">
        <v>1690286261.0999999</v>
      </c>
      <c r="CE43">
        <v>1690286268.5999999</v>
      </c>
      <c r="CF43">
        <v>1</v>
      </c>
      <c r="CG43">
        <v>-0.89900000000000002</v>
      </c>
      <c r="CH43">
        <v>3.4000000000000002E-2</v>
      </c>
      <c r="CI43">
        <v>-1.2370000000000001</v>
      </c>
      <c r="CJ43">
        <v>8.5999999999999993E-2</v>
      </c>
      <c r="CK43">
        <v>799</v>
      </c>
      <c r="CL43">
        <v>16</v>
      </c>
      <c r="CM43">
        <v>0.28999999999999998</v>
      </c>
      <c r="CN43">
        <v>0.09</v>
      </c>
      <c r="CO43">
        <v>-103.21092</v>
      </c>
      <c r="CP43">
        <v>-47.174318949343203</v>
      </c>
      <c r="CQ43">
        <v>4.5383901925793024</v>
      </c>
      <c r="CR43">
        <v>-1</v>
      </c>
      <c r="CS43">
        <v>5.35959875</v>
      </c>
      <c r="CT43">
        <v>2.505981500938069</v>
      </c>
      <c r="CU43">
        <v>0.24221816016958239</v>
      </c>
      <c r="CV43">
        <v>-1</v>
      </c>
      <c r="CW43">
        <v>0</v>
      </c>
      <c r="CX43">
        <v>0</v>
      </c>
      <c r="CY43" t="s">
        <v>333</v>
      </c>
      <c r="CZ43">
        <v>2.3653900000000001</v>
      </c>
      <c r="DA43">
        <v>2.7138</v>
      </c>
      <c r="DB43">
        <v>0.133273</v>
      </c>
      <c r="DC43">
        <v>0.14699300000000001</v>
      </c>
      <c r="DD43">
        <v>0.116635</v>
      </c>
      <c r="DE43">
        <v>9.4871999999999998E-2</v>
      </c>
      <c r="DF43">
        <v>31638.2</v>
      </c>
      <c r="DG43">
        <v>27443.4</v>
      </c>
      <c r="DH43">
        <v>31160.3</v>
      </c>
      <c r="DI43">
        <v>28031.4</v>
      </c>
      <c r="DJ43">
        <v>37359</v>
      </c>
      <c r="DK43">
        <v>36053.1</v>
      </c>
      <c r="DL43">
        <v>44335.199999999997</v>
      </c>
      <c r="DM43">
        <v>42458.2</v>
      </c>
      <c r="DN43">
        <v>1.4805999999999999</v>
      </c>
      <c r="DO43">
        <v>2.0992299999999999</v>
      </c>
      <c r="DP43">
        <v>7.1618699999999993E-2</v>
      </c>
      <c r="DQ43">
        <v>0.20646999999999999</v>
      </c>
      <c r="DR43">
        <v>25.769100000000002</v>
      </c>
      <c r="DS43">
        <v>25.400700000000001</v>
      </c>
      <c r="DT43">
        <v>69.7</v>
      </c>
      <c r="DU43">
        <v>24.3</v>
      </c>
      <c r="DV43">
        <v>21.400700000000001</v>
      </c>
      <c r="DW43">
        <v>61.891399999999997</v>
      </c>
      <c r="DX43">
        <v>35.244399999999999</v>
      </c>
      <c r="DY43">
        <v>1</v>
      </c>
      <c r="DZ43">
        <v>-0.143176</v>
      </c>
      <c r="EA43">
        <v>0.20574100000000001</v>
      </c>
      <c r="EB43">
        <v>20.1922</v>
      </c>
      <c r="EC43">
        <v>5.24125</v>
      </c>
      <c r="ED43">
        <v>12.039899999999999</v>
      </c>
      <c r="EE43">
        <v>5.0172999999999996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1.86873</v>
      </c>
      <c r="EL43">
        <v>1.86439</v>
      </c>
      <c r="EM43">
        <v>1.8690500000000001</v>
      </c>
      <c r="EN43">
        <v>1.86707</v>
      </c>
      <c r="EO43">
        <v>1.8632299999999999</v>
      </c>
      <c r="EP43">
        <v>1.8642099999999999</v>
      </c>
      <c r="EQ43">
        <v>1.8700600000000001</v>
      </c>
      <c r="ER43">
        <v>1.8692500000000001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-1.1599999999999999</v>
      </c>
      <c r="FG43">
        <v>0.19109999999999999</v>
      </c>
      <c r="FH43">
        <v>-0.68620417327404271</v>
      </c>
      <c r="FI43">
        <v>-6.1462078757559423E-4</v>
      </c>
      <c r="FJ43">
        <v>-1.8861989874597051E-7</v>
      </c>
      <c r="FK43">
        <v>1.1980462299894961E-10</v>
      </c>
      <c r="FL43">
        <v>0.1911242781723908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10.7</v>
      </c>
      <c r="FU43">
        <v>10.5</v>
      </c>
      <c r="FV43">
        <v>1.78223</v>
      </c>
      <c r="FW43">
        <v>2.5537100000000001</v>
      </c>
      <c r="FX43">
        <v>1.5490699999999999</v>
      </c>
      <c r="FY43">
        <v>2.34253</v>
      </c>
      <c r="FZ43">
        <v>1.50146</v>
      </c>
      <c r="GA43">
        <v>2.3925800000000002</v>
      </c>
      <c r="GB43">
        <v>29.922000000000001</v>
      </c>
      <c r="GC43">
        <v>23.982399999999998</v>
      </c>
      <c r="GD43">
        <v>19</v>
      </c>
      <c r="GE43">
        <v>281.46699999999998</v>
      </c>
      <c r="GF43">
        <v>626.75699999999995</v>
      </c>
      <c r="GG43">
        <v>24.540099999999999</v>
      </c>
      <c r="GH43">
        <v>25.662500000000001</v>
      </c>
      <c r="GI43">
        <v>30.000399999999999</v>
      </c>
      <c r="GJ43">
        <v>25.611799999999999</v>
      </c>
      <c r="GK43">
        <v>25.515599999999999</v>
      </c>
      <c r="GL43">
        <v>35.627000000000002</v>
      </c>
      <c r="GM43">
        <v>26.7761</v>
      </c>
      <c r="GN43">
        <v>100</v>
      </c>
      <c r="GO43">
        <v>24.525099999999998</v>
      </c>
      <c r="GP43">
        <v>800</v>
      </c>
      <c r="GQ43">
        <v>18.491399999999999</v>
      </c>
      <c r="GR43">
        <v>99.688100000000006</v>
      </c>
      <c r="GS43">
        <v>99.350200000000001</v>
      </c>
    </row>
    <row r="44" spans="1:201" x14ac:dyDescent="0.25">
      <c r="A44">
        <v>28</v>
      </c>
      <c r="B44">
        <v>1690286910.0999999</v>
      </c>
      <c r="C44">
        <v>371.5</v>
      </c>
      <c r="D44" t="s">
        <v>389</v>
      </c>
      <c r="E44" t="s">
        <v>390</v>
      </c>
      <c r="F44" t="s">
        <v>330</v>
      </c>
      <c r="H44">
        <v>1690286910.0999999</v>
      </c>
      <c r="I44">
        <f t="shared" si="0"/>
        <v>6.6510625525454032E-4</v>
      </c>
      <c r="J44">
        <f t="shared" si="1"/>
        <v>0.66510625525454037</v>
      </c>
      <c r="K44">
        <f t="shared" si="2"/>
        <v>11.811453957211661</v>
      </c>
      <c r="L44">
        <f t="shared" si="3"/>
        <v>681.28399999999999</v>
      </c>
      <c r="M44">
        <f t="shared" si="4"/>
        <v>250.10538820884332</v>
      </c>
      <c r="N44">
        <f t="shared" si="5"/>
        <v>24.86633030499161</v>
      </c>
      <c r="O44">
        <f t="shared" si="6"/>
        <v>67.73557777715601</v>
      </c>
      <c r="P44">
        <f t="shared" si="7"/>
        <v>4.5400816918377732E-2</v>
      </c>
      <c r="Q44">
        <f t="shared" si="8"/>
        <v>2.3001989249781269</v>
      </c>
      <c r="R44">
        <f t="shared" si="9"/>
        <v>4.4908800727685501E-2</v>
      </c>
      <c r="S44">
        <f t="shared" si="10"/>
        <v>2.8111761761435226E-2</v>
      </c>
      <c r="T44">
        <f t="shared" si="11"/>
        <v>276.11284892536804</v>
      </c>
      <c r="U44">
        <f t="shared" si="12"/>
        <v>28.390414330592119</v>
      </c>
      <c r="V44">
        <f t="shared" si="13"/>
        <v>28.390414330592119</v>
      </c>
      <c r="W44">
        <f t="shared" si="14"/>
        <v>3.8820718423544691</v>
      </c>
      <c r="X44">
        <f t="shared" si="15"/>
        <v>70.391000105519694</v>
      </c>
      <c r="Y44">
        <f t="shared" si="16"/>
        <v>2.4565337048902003</v>
      </c>
      <c r="Z44">
        <f t="shared" si="17"/>
        <v>3.4898406063384964</v>
      </c>
      <c r="AA44">
        <f t="shared" si="18"/>
        <v>1.4255381374642688</v>
      </c>
      <c r="AB44">
        <f t="shared" si="19"/>
        <v>-29.331185856725227</v>
      </c>
      <c r="AC44">
        <f t="shared" si="20"/>
        <v>-225.69692759974282</v>
      </c>
      <c r="AD44">
        <f t="shared" si="21"/>
        <v>-21.277662661604303</v>
      </c>
      <c r="AE44">
        <f t="shared" si="22"/>
        <v>-0.19292719270430325</v>
      </c>
      <c r="AF44">
        <v>0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52600.77340174956</v>
      </c>
      <c r="AK44">
        <f t="shared" si="26"/>
        <v>1799.98</v>
      </c>
      <c r="AL44">
        <f t="shared" si="27"/>
        <v>1499.0988891605998</v>
      </c>
      <c r="AM44">
        <f t="shared" si="28"/>
        <v>0.83284196999999993</v>
      </c>
      <c r="AN44">
        <f t="shared" si="29"/>
        <v>0.15339773160000003</v>
      </c>
      <c r="AO44">
        <v>29.1</v>
      </c>
      <c r="AP44">
        <v>0.5</v>
      </c>
      <c r="AQ44" t="s">
        <v>331</v>
      </c>
      <c r="AR44">
        <v>2</v>
      </c>
      <c r="AS44">
        <v>1690286910.0999999</v>
      </c>
      <c r="AT44">
        <v>681.28399999999999</v>
      </c>
      <c r="AU44">
        <v>800.23099999999999</v>
      </c>
      <c r="AV44">
        <v>24.707799999999999</v>
      </c>
      <c r="AW44">
        <v>18.416699999999999</v>
      </c>
      <c r="AX44">
        <v>682.44</v>
      </c>
      <c r="AY44">
        <v>24.5167</v>
      </c>
      <c r="AZ44">
        <v>300.04899999999998</v>
      </c>
      <c r="BA44">
        <v>99.323400000000007</v>
      </c>
      <c r="BB44">
        <v>0.100009</v>
      </c>
      <c r="BC44">
        <v>26.570399999999999</v>
      </c>
      <c r="BD44">
        <v>26.972100000000001</v>
      </c>
      <c r="BE44">
        <v>28.8</v>
      </c>
      <c r="BF44">
        <v>0</v>
      </c>
      <c r="BG44">
        <v>0</v>
      </c>
      <c r="BH44">
        <v>10001.200000000001</v>
      </c>
      <c r="BI44">
        <v>1093.1400000000001</v>
      </c>
      <c r="BJ44">
        <v>1.28952</v>
      </c>
      <c r="BK44">
        <v>-118.946</v>
      </c>
      <c r="BL44">
        <v>698.54399999999998</v>
      </c>
      <c r="BM44">
        <v>815.245</v>
      </c>
      <c r="BN44">
        <v>6.29108</v>
      </c>
      <c r="BO44">
        <v>800.23099999999999</v>
      </c>
      <c r="BP44">
        <v>18.416699999999999</v>
      </c>
      <c r="BQ44">
        <v>2.4540600000000001</v>
      </c>
      <c r="BR44">
        <v>1.82921</v>
      </c>
      <c r="BS44">
        <v>20.725000000000001</v>
      </c>
      <c r="BT44">
        <v>16.038699999999999</v>
      </c>
      <c r="BU44">
        <v>1799.98</v>
      </c>
      <c r="BV44">
        <v>0.91000999999999999</v>
      </c>
      <c r="BW44">
        <v>3.3996600000000002E-2</v>
      </c>
      <c r="BX44">
        <v>2.2005E-2</v>
      </c>
      <c r="BY44">
        <v>3.39888E-2</v>
      </c>
      <c r="BZ44">
        <v>24</v>
      </c>
      <c r="CA44">
        <v>33527.9</v>
      </c>
      <c r="CB44">
        <v>1690286268.5999999</v>
      </c>
      <c r="CC44" t="s">
        <v>332</v>
      </c>
      <c r="CD44">
        <v>1690286261.0999999</v>
      </c>
      <c r="CE44">
        <v>1690286268.5999999</v>
      </c>
      <c r="CF44">
        <v>1</v>
      </c>
      <c r="CG44">
        <v>-0.89900000000000002</v>
      </c>
      <c r="CH44">
        <v>3.4000000000000002E-2</v>
      </c>
      <c r="CI44">
        <v>-1.2370000000000001</v>
      </c>
      <c r="CJ44">
        <v>8.5999999999999993E-2</v>
      </c>
      <c r="CK44">
        <v>799</v>
      </c>
      <c r="CL44">
        <v>16</v>
      </c>
      <c r="CM44">
        <v>0.28999999999999998</v>
      </c>
      <c r="CN44">
        <v>0.09</v>
      </c>
      <c r="CO44">
        <v>-111.5742</v>
      </c>
      <c r="CP44">
        <v>-44.154078799249383</v>
      </c>
      <c r="CQ44">
        <v>4.2479976706679103</v>
      </c>
      <c r="CR44">
        <v>-1</v>
      </c>
      <c r="CS44">
        <v>5.8479767499999999</v>
      </c>
      <c r="CT44">
        <v>2.7225337711069302</v>
      </c>
      <c r="CU44">
        <v>0.26201034233773579</v>
      </c>
      <c r="CV44">
        <v>-1</v>
      </c>
      <c r="CW44">
        <v>0</v>
      </c>
      <c r="CX44">
        <v>0</v>
      </c>
      <c r="CY44" t="s">
        <v>333</v>
      </c>
      <c r="CZ44">
        <v>2.36456</v>
      </c>
      <c r="DA44">
        <v>2.7138</v>
      </c>
      <c r="DB44">
        <v>0.132329</v>
      </c>
      <c r="DC44">
        <v>0.14698600000000001</v>
      </c>
      <c r="DD44">
        <v>0.116732</v>
      </c>
      <c r="DE44">
        <v>9.3465199999999998E-2</v>
      </c>
      <c r="DF44">
        <v>31672.1</v>
      </c>
      <c r="DG44">
        <v>27442.9</v>
      </c>
      <c r="DH44">
        <v>31159.8</v>
      </c>
      <c r="DI44">
        <v>28030.7</v>
      </c>
      <c r="DJ44">
        <v>37354.300000000003</v>
      </c>
      <c r="DK44">
        <v>36108.6</v>
      </c>
      <c r="DL44">
        <v>44334.6</v>
      </c>
      <c r="DM44">
        <v>42457.5</v>
      </c>
      <c r="DN44">
        <v>1.4801800000000001</v>
      </c>
      <c r="DO44">
        <v>2.0983999999999998</v>
      </c>
      <c r="DP44">
        <v>7.4315800000000001E-2</v>
      </c>
      <c r="DQ44">
        <v>0.20881</v>
      </c>
      <c r="DR44">
        <v>25.755500000000001</v>
      </c>
      <c r="DS44">
        <v>25.3856</v>
      </c>
      <c r="DT44">
        <v>69.599999999999994</v>
      </c>
      <c r="DU44">
        <v>24.3</v>
      </c>
      <c r="DV44">
        <v>21.368099999999998</v>
      </c>
      <c r="DW44">
        <v>62.691400000000002</v>
      </c>
      <c r="DX44">
        <v>36.534500000000001</v>
      </c>
      <c r="DY44">
        <v>1</v>
      </c>
      <c r="DZ44">
        <v>-0.142068</v>
      </c>
      <c r="EA44">
        <v>0.24160400000000001</v>
      </c>
      <c r="EB44">
        <v>20.191600000000001</v>
      </c>
      <c r="EC44">
        <v>5.2416999999999998</v>
      </c>
      <c r="ED44">
        <v>12.039899999999999</v>
      </c>
      <c r="EE44">
        <v>5.0170500000000002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1.86873</v>
      </c>
      <c r="EL44">
        <v>1.8643799999999999</v>
      </c>
      <c r="EM44">
        <v>1.8690500000000001</v>
      </c>
      <c r="EN44">
        <v>1.86707</v>
      </c>
      <c r="EO44">
        <v>1.86324</v>
      </c>
      <c r="EP44">
        <v>1.86419</v>
      </c>
      <c r="EQ44">
        <v>1.8700699999999999</v>
      </c>
      <c r="ER44">
        <v>1.8692299999999999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-1.1559999999999999</v>
      </c>
      <c r="FG44">
        <v>0.19109999999999999</v>
      </c>
      <c r="FH44">
        <v>-0.68620417327404271</v>
      </c>
      <c r="FI44">
        <v>-6.1462078757559423E-4</v>
      </c>
      <c r="FJ44">
        <v>-1.8861989874597051E-7</v>
      </c>
      <c r="FK44">
        <v>1.1980462299894961E-10</v>
      </c>
      <c r="FL44">
        <v>0.1911242781723908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10.8</v>
      </c>
      <c r="FU44">
        <v>10.7</v>
      </c>
      <c r="FV44">
        <v>1.78101</v>
      </c>
      <c r="FW44">
        <v>2.5610400000000002</v>
      </c>
      <c r="FX44">
        <v>1.5490699999999999</v>
      </c>
      <c r="FY44">
        <v>2.34253</v>
      </c>
      <c r="FZ44">
        <v>1.50146</v>
      </c>
      <c r="GA44">
        <v>2.2997999999999998</v>
      </c>
      <c r="GB44">
        <v>29.943300000000001</v>
      </c>
      <c r="GC44">
        <v>23.982399999999998</v>
      </c>
      <c r="GD44">
        <v>19</v>
      </c>
      <c r="GE44">
        <v>281.32400000000001</v>
      </c>
      <c r="GF44">
        <v>626.14499999999998</v>
      </c>
      <c r="GG44">
        <v>24.572500000000002</v>
      </c>
      <c r="GH44">
        <v>25.667899999999999</v>
      </c>
      <c r="GI44">
        <v>30.000399999999999</v>
      </c>
      <c r="GJ44">
        <v>25.619900000000001</v>
      </c>
      <c r="GK44">
        <v>25.5242</v>
      </c>
      <c r="GL44">
        <v>35.608899999999998</v>
      </c>
      <c r="GM44">
        <v>28.4129</v>
      </c>
      <c r="GN44">
        <v>100</v>
      </c>
      <c r="GO44">
        <v>24.5946</v>
      </c>
      <c r="GP44">
        <v>800</v>
      </c>
      <c r="GQ44">
        <v>18.1526</v>
      </c>
      <c r="GR44">
        <v>99.686499999999995</v>
      </c>
      <c r="GS44">
        <v>99.348200000000006</v>
      </c>
    </row>
    <row r="45" spans="1:201" x14ac:dyDescent="0.25">
      <c r="A45">
        <v>29</v>
      </c>
      <c r="B45">
        <v>1690286920.0999999</v>
      </c>
      <c r="C45">
        <v>381.5</v>
      </c>
      <c r="D45" t="s">
        <v>391</v>
      </c>
      <c r="E45" t="s">
        <v>392</v>
      </c>
      <c r="F45" t="s">
        <v>330</v>
      </c>
      <c r="H45">
        <v>1690286920.0999999</v>
      </c>
      <c r="I45">
        <f t="shared" si="0"/>
        <v>7.007702734586898E-4</v>
      </c>
      <c r="J45">
        <f t="shared" si="1"/>
        <v>0.70077027345868981</v>
      </c>
      <c r="K45">
        <f t="shared" si="2"/>
        <v>12.498817745821775</v>
      </c>
      <c r="L45">
        <f t="shared" si="3"/>
        <v>674.55700000000002</v>
      </c>
      <c r="M45">
        <f t="shared" si="4"/>
        <v>242.49289329227497</v>
      </c>
      <c r="N45">
        <f t="shared" si="5"/>
        <v>24.109098028295744</v>
      </c>
      <c r="O45">
        <f t="shared" si="6"/>
        <v>67.065721464552198</v>
      </c>
      <c r="P45">
        <f t="shared" si="7"/>
        <v>4.7944421115142882E-2</v>
      </c>
      <c r="Q45">
        <f t="shared" si="8"/>
        <v>2.3045153245682126</v>
      </c>
      <c r="R45">
        <f t="shared" si="9"/>
        <v>4.7397103154137525E-2</v>
      </c>
      <c r="S45">
        <f t="shared" si="10"/>
        <v>2.9671843134016579E-2</v>
      </c>
      <c r="T45">
        <f t="shared" si="11"/>
        <v>276.11246041768482</v>
      </c>
      <c r="U45">
        <f t="shared" si="12"/>
        <v>28.371320689106643</v>
      </c>
      <c r="V45">
        <f t="shared" si="13"/>
        <v>28.371320689106643</v>
      </c>
      <c r="W45">
        <f t="shared" si="14"/>
        <v>3.8777653346101033</v>
      </c>
      <c r="X45">
        <f t="shared" si="15"/>
        <v>70.354307192075098</v>
      </c>
      <c r="Y45">
        <f t="shared" si="16"/>
        <v>2.45461671981194</v>
      </c>
      <c r="Z45">
        <f t="shared" si="17"/>
        <v>3.4889359554214114</v>
      </c>
      <c r="AA45">
        <f t="shared" si="18"/>
        <v>1.4231486147981633</v>
      </c>
      <c r="AB45">
        <f t="shared" si="19"/>
        <v>-30.903969059528219</v>
      </c>
      <c r="AC45">
        <f t="shared" si="20"/>
        <v>-224.29490221648564</v>
      </c>
      <c r="AD45">
        <f t="shared" si="21"/>
        <v>-21.103402000084365</v>
      </c>
      <c r="AE45">
        <f t="shared" si="22"/>
        <v>-0.18981285841340423</v>
      </c>
      <c r="AF45">
        <v>0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52765.118364382375</v>
      </c>
      <c r="AK45">
        <f t="shared" si="26"/>
        <v>1799.98</v>
      </c>
      <c r="AL45">
        <f t="shared" si="27"/>
        <v>1499.0925100314801</v>
      </c>
      <c r="AM45">
        <f t="shared" si="28"/>
        <v>0.83283842600000002</v>
      </c>
      <c r="AN45">
        <f t="shared" si="29"/>
        <v>0.15339751576000002</v>
      </c>
      <c r="AO45">
        <v>29.1</v>
      </c>
      <c r="AP45">
        <v>0.5</v>
      </c>
      <c r="AQ45" t="s">
        <v>331</v>
      </c>
      <c r="AR45">
        <v>2</v>
      </c>
      <c r="AS45">
        <v>1690286920.0999999</v>
      </c>
      <c r="AT45">
        <v>674.55700000000002</v>
      </c>
      <c r="AU45">
        <v>800.26599999999996</v>
      </c>
      <c r="AV45">
        <v>24.6889</v>
      </c>
      <c r="AW45">
        <v>18.065300000000001</v>
      </c>
      <c r="AX45">
        <v>675.70699999999999</v>
      </c>
      <c r="AY45">
        <v>24.497699999999998</v>
      </c>
      <c r="AZ45">
        <v>300.274</v>
      </c>
      <c r="BA45">
        <v>99.321899999999999</v>
      </c>
      <c r="BB45">
        <v>9.9974599999999997E-2</v>
      </c>
      <c r="BC45">
        <v>26.565999999999999</v>
      </c>
      <c r="BD45">
        <v>26.939399999999999</v>
      </c>
      <c r="BE45">
        <v>28.759499999999999</v>
      </c>
      <c r="BF45">
        <v>0</v>
      </c>
      <c r="BG45">
        <v>0</v>
      </c>
      <c r="BH45">
        <v>10033.799999999999</v>
      </c>
      <c r="BI45">
        <v>1092.47</v>
      </c>
      <c r="BJ45">
        <v>1.28952</v>
      </c>
      <c r="BK45">
        <v>-125.71</v>
      </c>
      <c r="BL45">
        <v>691.63199999999995</v>
      </c>
      <c r="BM45">
        <v>814.98900000000003</v>
      </c>
      <c r="BN45">
        <v>6.6235499999999998</v>
      </c>
      <c r="BO45">
        <v>800.26599999999996</v>
      </c>
      <c r="BP45">
        <v>18.065300000000001</v>
      </c>
      <c r="BQ45">
        <v>2.4521500000000001</v>
      </c>
      <c r="BR45">
        <v>1.7942800000000001</v>
      </c>
      <c r="BS45">
        <v>20.712299999999999</v>
      </c>
      <c r="BT45">
        <v>15.7371</v>
      </c>
      <c r="BU45">
        <v>1799.98</v>
      </c>
      <c r="BV45">
        <v>0.90998500000000004</v>
      </c>
      <c r="BW45">
        <v>3.4005500000000001E-2</v>
      </c>
      <c r="BX45">
        <v>2.19998E-2</v>
      </c>
      <c r="BY45">
        <v>3.40098E-2</v>
      </c>
      <c r="BZ45">
        <v>24</v>
      </c>
      <c r="CA45">
        <v>33528</v>
      </c>
      <c r="CB45">
        <v>1690286268.5999999</v>
      </c>
      <c r="CC45" t="s">
        <v>332</v>
      </c>
      <c r="CD45">
        <v>1690286261.0999999</v>
      </c>
      <c r="CE45">
        <v>1690286268.5999999</v>
      </c>
      <c r="CF45">
        <v>1</v>
      </c>
      <c r="CG45">
        <v>-0.89900000000000002</v>
      </c>
      <c r="CH45">
        <v>3.4000000000000002E-2</v>
      </c>
      <c r="CI45">
        <v>-1.2370000000000001</v>
      </c>
      <c r="CJ45">
        <v>8.5999999999999993E-2</v>
      </c>
      <c r="CK45">
        <v>799</v>
      </c>
      <c r="CL45">
        <v>16</v>
      </c>
      <c r="CM45">
        <v>0.28999999999999998</v>
      </c>
      <c r="CN45">
        <v>0.09</v>
      </c>
      <c r="CO45">
        <v>-118.73977499999999</v>
      </c>
      <c r="CP45">
        <v>-41.875846153846091</v>
      </c>
      <c r="CQ45">
        <v>4.0291005478115087</v>
      </c>
      <c r="CR45">
        <v>-1</v>
      </c>
      <c r="CS45">
        <v>6.267728</v>
      </c>
      <c r="CT45">
        <v>2.2945675046904142</v>
      </c>
      <c r="CU45">
        <v>0.2211257809166538</v>
      </c>
      <c r="CV45">
        <v>-1</v>
      </c>
      <c r="CW45">
        <v>0</v>
      </c>
      <c r="CX45">
        <v>0</v>
      </c>
      <c r="CY45" t="s">
        <v>333</v>
      </c>
      <c r="CZ45">
        <v>2.3653</v>
      </c>
      <c r="DA45">
        <v>2.7138</v>
      </c>
      <c r="DB45">
        <v>0.13142499999999999</v>
      </c>
      <c r="DC45">
        <v>0.146978</v>
      </c>
      <c r="DD45">
        <v>0.116665</v>
      </c>
      <c r="DE45">
        <v>9.2180600000000001E-2</v>
      </c>
      <c r="DF45">
        <v>31704.799999999999</v>
      </c>
      <c r="DG45">
        <v>27443.3</v>
      </c>
      <c r="DH45">
        <v>31159.5</v>
      </c>
      <c r="DI45">
        <v>28030.799999999999</v>
      </c>
      <c r="DJ45">
        <v>37356.5</v>
      </c>
      <c r="DK45">
        <v>36160.1</v>
      </c>
      <c r="DL45">
        <v>44334</v>
      </c>
      <c r="DM45">
        <v>42457.7</v>
      </c>
      <c r="DN45">
        <v>1.4807300000000001</v>
      </c>
      <c r="DO45">
        <v>2.0976300000000001</v>
      </c>
      <c r="DP45">
        <v>7.2982199999999997E-2</v>
      </c>
      <c r="DQ45">
        <v>0.20713400000000001</v>
      </c>
      <c r="DR45">
        <v>25.744599999999998</v>
      </c>
      <c r="DS45">
        <v>25.372399999999999</v>
      </c>
      <c r="DT45">
        <v>69.599999999999994</v>
      </c>
      <c r="DU45">
        <v>24.3</v>
      </c>
      <c r="DV45">
        <v>21.369199999999999</v>
      </c>
      <c r="DW45">
        <v>62.0214</v>
      </c>
      <c r="DX45">
        <v>35.637</v>
      </c>
      <c r="DY45">
        <v>1</v>
      </c>
      <c r="DZ45">
        <v>-0.14178399999999999</v>
      </c>
      <c r="EA45">
        <v>0.205234</v>
      </c>
      <c r="EB45">
        <v>20.191600000000001</v>
      </c>
      <c r="EC45">
        <v>5.2415500000000002</v>
      </c>
      <c r="ED45">
        <v>12.039899999999999</v>
      </c>
      <c r="EE45">
        <v>5.0170500000000002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1.8687400000000001</v>
      </c>
      <c r="EL45">
        <v>1.8644099999999999</v>
      </c>
      <c r="EM45">
        <v>1.8690500000000001</v>
      </c>
      <c r="EN45">
        <v>1.86707</v>
      </c>
      <c r="EO45">
        <v>1.86324</v>
      </c>
      <c r="EP45">
        <v>1.86419</v>
      </c>
      <c r="EQ45">
        <v>1.87002</v>
      </c>
      <c r="ER45">
        <v>1.86927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-1.1499999999999999</v>
      </c>
      <c r="FG45">
        <v>0.19120000000000001</v>
      </c>
      <c r="FH45">
        <v>-0.68620417327404271</v>
      </c>
      <c r="FI45">
        <v>-6.1462078757559423E-4</v>
      </c>
      <c r="FJ45">
        <v>-1.8861989874597051E-7</v>
      </c>
      <c r="FK45">
        <v>1.1980462299894961E-10</v>
      </c>
      <c r="FL45">
        <v>0.1911242781723908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11</v>
      </c>
      <c r="FU45">
        <v>10.9</v>
      </c>
      <c r="FV45">
        <v>1.77979</v>
      </c>
      <c r="FW45">
        <v>2.5524900000000001</v>
      </c>
      <c r="FX45">
        <v>1.5490699999999999</v>
      </c>
      <c r="FY45">
        <v>2.34253</v>
      </c>
      <c r="FZ45">
        <v>1.50146</v>
      </c>
      <c r="GA45">
        <v>2.3999000000000001</v>
      </c>
      <c r="GB45">
        <v>29.943300000000001</v>
      </c>
      <c r="GC45">
        <v>23.982399999999998</v>
      </c>
      <c r="GD45">
        <v>19</v>
      </c>
      <c r="GE45">
        <v>281.589</v>
      </c>
      <c r="GF45">
        <v>625.58199999999999</v>
      </c>
      <c r="GG45">
        <v>24.619</v>
      </c>
      <c r="GH45">
        <v>25.672799999999999</v>
      </c>
      <c r="GI45">
        <v>30.0001</v>
      </c>
      <c r="GJ45">
        <v>25.627400000000002</v>
      </c>
      <c r="GK45">
        <v>25.533200000000001</v>
      </c>
      <c r="GL45">
        <v>35.586300000000001</v>
      </c>
      <c r="GM45">
        <v>29.308700000000002</v>
      </c>
      <c r="GN45">
        <v>100</v>
      </c>
      <c r="GO45">
        <v>24.6585</v>
      </c>
      <c r="GP45">
        <v>800</v>
      </c>
      <c r="GQ45">
        <v>17.841799999999999</v>
      </c>
      <c r="GR45">
        <v>99.685400000000001</v>
      </c>
      <c r="GS45">
        <v>99.348799999999997</v>
      </c>
    </row>
    <row r="46" spans="1:201" x14ac:dyDescent="0.25">
      <c r="A46">
        <v>30</v>
      </c>
      <c r="B46">
        <v>1690286930.0999999</v>
      </c>
      <c r="C46">
        <v>391.5</v>
      </c>
      <c r="D46" t="s">
        <v>393</v>
      </c>
      <c r="E46" t="s">
        <v>394</v>
      </c>
      <c r="F46" t="s">
        <v>330</v>
      </c>
      <c r="H46">
        <v>1690286930.0999999</v>
      </c>
      <c r="I46">
        <f t="shared" si="0"/>
        <v>7.3112853417542118E-4</v>
      </c>
      <c r="J46">
        <f t="shared" si="1"/>
        <v>0.73112853417542123</v>
      </c>
      <c r="K46">
        <f t="shared" si="2"/>
        <v>13.154098890730184</v>
      </c>
      <c r="L46">
        <f t="shared" si="3"/>
        <v>668.06500000000005</v>
      </c>
      <c r="M46">
        <f t="shared" si="4"/>
        <v>232.71066904302216</v>
      </c>
      <c r="N46">
        <f t="shared" si="5"/>
        <v>23.137166581598873</v>
      </c>
      <c r="O46">
        <f t="shared" si="6"/>
        <v>66.422099407390007</v>
      </c>
      <c r="P46">
        <f t="shared" si="7"/>
        <v>5.0066330910467409E-2</v>
      </c>
      <c r="Q46">
        <f t="shared" si="8"/>
        <v>2.3003881678554672</v>
      </c>
      <c r="R46">
        <f t="shared" si="9"/>
        <v>4.9468763476558542E-2</v>
      </c>
      <c r="S46">
        <f t="shared" si="10"/>
        <v>3.097107190447769E-2</v>
      </c>
      <c r="T46">
        <f t="shared" si="11"/>
        <v>276.11159327731986</v>
      </c>
      <c r="U46">
        <f t="shared" si="12"/>
        <v>28.358512684700596</v>
      </c>
      <c r="V46">
        <f t="shared" si="13"/>
        <v>28.358512684700596</v>
      </c>
      <c r="W46">
        <f t="shared" si="14"/>
        <v>3.8748788672915135</v>
      </c>
      <c r="X46">
        <f t="shared" si="15"/>
        <v>70.308866237808019</v>
      </c>
      <c r="Y46">
        <f t="shared" si="16"/>
        <v>2.4521786550021996</v>
      </c>
      <c r="Z46">
        <f t="shared" si="17"/>
        <v>3.4877232221440098</v>
      </c>
      <c r="AA46">
        <f t="shared" si="18"/>
        <v>1.422700212289314</v>
      </c>
      <c r="AB46">
        <f t="shared" si="19"/>
        <v>-32.242768357136072</v>
      </c>
      <c r="AC46">
        <f t="shared" si="20"/>
        <v>-223.03649192459676</v>
      </c>
      <c r="AD46">
        <f t="shared" si="21"/>
        <v>-21.020685709518382</v>
      </c>
      <c r="AE46">
        <f t="shared" si="22"/>
        <v>-0.18835271393135145</v>
      </c>
      <c r="AF46">
        <v>0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52609.775349235868</v>
      </c>
      <c r="AK46">
        <f t="shared" si="26"/>
        <v>1799.98</v>
      </c>
      <c r="AL46">
        <f t="shared" si="27"/>
        <v>1499.0944450099801</v>
      </c>
      <c r="AM46">
        <f t="shared" si="28"/>
        <v>0.83283950100000004</v>
      </c>
      <c r="AN46">
        <f t="shared" si="29"/>
        <v>0.15339703401000002</v>
      </c>
      <c r="AO46">
        <v>29.1</v>
      </c>
      <c r="AP46">
        <v>0.5</v>
      </c>
      <c r="AQ46" t="s">
        <v>331</v>
      </c>
      <c r="AR46">
        <v>2</v>
      </c>
      <c r="AS46">
        <v>1690286930.0999999</v>
      </c>
      <c r="AT46">
        <v>668.06500000000005</v>
      </c>
      <c r="AU46">
        <v>800.26499999999999</v>
      </c>
      <c r="AV46">
        <v>24.663699999999999</v>
      </c>
      <c r="AW46">
        <v>17.753599999999999</v>
      </c>
      <c r="AX46">
        <v>669.21100000000001</v>
      </c>
      <c r="AY46">
        <v>24.4726</v>
      </c>
      <c r="AZ46">
        <v>300.30099999999999</v>
      </c>
      <c r="BA46">
        <v>99.324600000000004</v>
      </c>
      <c r="BB46">
        <v>0.100006</v>
      </c>
      <c r="BC46">
        <v>26.560099999999998</v>
      </c>
      <c r="BD46">
        <v>26.934899999999999</v>
      </c>
      <c r="BE46">
        <v>28.7743</v>
      </c>
      <c r="BF46">
        <v>0</v>
      </c>
      <c r="BG46">
        <v>0</v>
      </c>
      <c r="BH46">
        <v>10002.5</v>
      </c>
      <c r="BI46">
        <v>1091.78</v>
      </c>
      <c r="BJ46">
        <v>1.28952</v>
      </c>
      <c r="BK46">
        <v>-132.20099999999999</v>
      </c>
      <c r="BL46">
        <v>684.95799999999997</v>
      </c>
      <c r="BM46">
        <v>814.73</v>
      </c>
      <c r="BN46">
        <v>6.9101600000000003</v>
      </c>
      <c r="BO46">
        <v>800.26499999999999</v>
      </c>
      <c r="BP46">
        <v>17.753599999999999</v>
      </c>
      <c r="BQ46">
        <v>2.4497200000000001</v>
      </c>
      <c r="BR46">
        <v>1.7633700000000001</v>
      </c>
      <c r="BS46">
        <v>20.696200000000001</v>
      </c>
      <c r="BT46">
        <v>15.4658</v>
      </c>
      <c r="BU46">
        <v>1799.98</v>
      </c>
      <c r="BV46">
        <v>0.91000199999999998</v>
      </c>
      <c r="BW46">
        <v>3.4001099999999999E-2</v>
      </c>
      <c r="BX46">
        <v>2.1994799999999998E-2</v>
      </c>
      <c r="BY46">
        <v>3.40021E-2</v>
      </c>
      <c r="BZ46">
        <v>24</v>
      </c>
      <c r="CA46">
        <v>33528</v>
      </c>
      <c r="CB46">
        <v>1690286268.5999999</v>
      </c>
      <c r="CC46" t="s">
        <v>332</v>
      </c>
      <c r="CD46">
        <v>1690286261.0999999</v>
      </c>
      <c r="CE46">
        <v>1690286268.5999999</v>
      </c>
      <c r="CF46">
        <v>1</v>
      </c>
      <c r="CG46">
        <v>-0.89900000000000002</v>
      </c>
      <c r="CH46">
        <v>3.4000000000000002E-2</v>
      </c>
      <c r="CI46">
        <v>-1.2370000000000001</v>
      </c>
      <c r="CJ46">
        <v>8.5999999999999993E-2</v>
      </c>
      <c r="CK46">
        <v>799</v>
      </c>
      <c r="CL46">
        <v>16</v>
      </c>
      <c r="CM46">
        <v>0.28999999999999998</v>
      </c>
      <c r="CN46">
        <v>0.09</v>
      </c>
      <c r="CO46">
        <v>-124.85735</v>
      </c>
      <c r="CP46">
        <v>-39.717208255159584</v>
      </c>
      <c r="CQ46">
        <v>3.821034896137431</v>
      </c>
      <c r="CR46">
        <v>-1</v>
      </c>
      <c r="CS46">
        <v>6.5807064999999998</v>
      </c>
      <c r="CT46">
        <v>1.8759392870543721</v>
      </c>
      <c r="CU46">
        <v>0.18076351911475391</v>
      </c>
      <c r="CV46">
        <v>-1</v>
      </c>
      <c r="CW46">
        <v>0</v>
      </c>
      <c r="CX46">
        <v>0</v>
      </c>
      <c r="CY46" t="s">
        <v>333</v>
      </c>
      <c r="CZ46">
        <v>2.3654000000000002</v>
      </c>
      <c r="DA46">
        <v>2.7138</v>
      </c>
      <c r="DB46">
        <v>0.130554</v>
      </c>
      <c r="DC46">
        <v>0.14697299999999999</v>
      </c>
      <c r="DD46">
        <v>0.11658300000000001</v>
      </c>
      <c r="DE46">
        <v>9.1036199999999998E-2</v>
      </c>
      <c r="DF46">
        <v>31736.400000000001</v>
      </c>
      <c r="DG46">
        <v>27442.9</v>
      </c>
      <c r="DH46">
        <v>31159.3</v>
      </c>
      <c r="DI46">
        <v>28030.3</v>
      </c>
      <c r="DJ46">
        <v>37359.599999999999</v>
      </c>
      <c r="DK46">
        <v>36205.199999999997</v>
      </c>
      <c r="DL46">
        <v>44333.599999999999</v>
      </c>
      <c r="DM46">
        <v>42457</v>
      </c>
      <c r="DN46">
        <v>1.4806699999999999</v>
      </c>
      <c r="DO46">
        <v>2.0969699999999998</v>
      </c>
      <c r="DP46">
        <v>7.331E-2</v>
      </c>
      <c r="DQ46">
        <v>0.208702</v>
      </c>
      <c r="DR46">
        <v>25.7347</v>
      </c>
      <c r="DS46">
        <v>25.361499999999999</v>
      </c>
      <c r="DT46">
        <v>69.599999999999994</v>
      </c>
      <c r="DU46">
        <v>24.3</v>
      </c>
      <c r="DV46">
        <v>21.367899999999999</v>
      </c>
      <c r="DW46">
        <v>62.221400000000003</v>
      </c>
      <c r="DX46">
        <v>35.877400000000002</v>
      </c>
      <c r="DY46">
        <v>1</v>
      </c>
      <c r="DZ46">
        <v>-0.14199899999999999</v>
      </c>
      <c r="EA46">
        <v>7.65768E-2</v>
      </c>
      <c r="EB46">
        <v>20.192</v>
      </c>
      <c r="EC46">
        <v>5.2416999999999998</v>
      </c>
      <c r="ED46">
        <v>12.039899999999999</v>
      </c>
      <c r="EE46">
        <v>5.0171000000000001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1.86873</v>
      </c>
      <c r="EL46">
        <v>1.86436</v>
      </c>
      <c r="EM46">
        <v>1.8690500000000001</v>
      </c>
      <c r="EN46">
        <v>1.86707</v>
      </c>
      <c r="EO46">
        <v>1.8632500000000001</v>
      </c>
      <c r="EP46">
        <v>1.8642099999999999</v>
      </c>
      <c r="EQ46">
        <v>1.8700300000000001</v>
      </c>
      <c r="ER46">
        <v>1.8692500000000001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-1.1459999999999999</v>
      </c>
      <c r="FG46">
        <v>0.19109999999999999</v>
      </c>
      <c r="FH46">
        <v>-0.68620417327404271</v>
      </c>
      <c r="FI46">
        <v>-6.1462078757559423E-4</v>
      </c>
      <c r="FJ46">
        <v>-1.8861989874597051E-7</v>
      </c>
      <c r="FK46">
        <v>1.1980462299894961E-10</v>
      </c>
      <c r="FL46">
        <v>0.1911242781723908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11.2</v>
      </c>
      <c r="FU46">
        <v>11</v>
      </c>
      <c r="FV46">
        <v>1.7785599999999999</v>
      </c>
      <c r="FW46">
        <v>2.5622600000000002</v>
      </c>
      <c r="FX46">
        <v>1.5490699999999999</v>
      </c>
      <c r="FY46">
        <v>2.34253</v>
      </c>
      <c r="FZ46">
        <v>1.50146</v>
      </c>
      <c r="GA46">
        <v>2.2522000000000002</v>
      </c>
      <c r="GB46">
        <v>29.964700000000001</v>
      </c>
      <c r="GC46">
        <v>23.982399999999998</v>
      </c>
      <c r="GD46">
        <v>19</v>
      </c>
      <c r="GE46">
        <v>281.59899999999999</v>
      </c>
      <c r="GF46">
        <v>625.12599999999998</v>
      </c>
      <c r="GG46">
        <v>24.6873</v>
      </c>
      <c r="GH46">
        <v>25.676100000000002</v>
      </c>
      <c r="GI46">
        <v>30</v>
      </c>
      <c r="GJ46">
        <v>25.634399999999999</v>
      </c>
      <c r="GK46">
        <v>25.542200000000001</v>
      </c>
      <c r="GL46">
        <v>35.563699999999997</v>
      </c>
      <c r="GM46">
        <v>30.480399999999999</v>
      </c>
      <c r="GN46">
        <v>100</v>
      </c>
      <c r="GO46">
        <v>24.7471</v>
      </c>
      <c r="GP46">
        <v>800</v>
      </c>
      <c r="GQ46">
        <v>17.537299999999998</v>
      </c>
      <c r="GR46">
        <v>99.684600000000003</v>
      </c>
      <c r="GS46">
        <v>99.346999999999994</v>
      </c>
    </row>
    <row r="47" spans="1:201" x14ac:dyDescent="0.25">
      <c r="A47">
        <v>31</v>
      </c>
      <c r="B47">
        <v>1690286940.0999999</v>
      </c>
      <c r="C47">
        <v>401.5</v>
      </c>
      <c r="D47" t="s">
        <v>395</v>
      </c>
      <c r="E47" t="s">
        <v>396</v>
      </c>
      <c r="F47" t="s">
        <v>330</v>
      </c>
      <c r="H47">
        <v>1690286940.0999999</v>
      </c>
      <c r="I47">
        <f t="shared" si="0"/>
        <v>7.6318476412278998E-4</v>
      </c>
      <c r="J47">
        <f t="shared" si="1"/>
        <v>0.76318476412279002</v>
      </c>
      <c r="K47">
        <f t="shared" si="2"/>
        <v>13.77009374508601</v>
      </c>
      <c r="L47">
        <f t="shared" si="3"/>
        <v>661.89800000000002</v>
      </c>
      <c r="M47">
        <f t="shared" si="4"/>
        <v>225.01752563586697</v>
      </c>
      <c r="N47">
        <f t="shared" si="5"/>
        <v>22.371934327609225</v>
      </c>
      <c r="O47">
        <f t="shared" si="6"/>
        <v>65.807934496350001</v>
      </c>
      <c r="P47">
        <f t="shared" si="7"/>
        <v>5.2228069096190106E-2</v>
      </c>
      <c r="Q47">
        <f t="shared" si="8"/>
        <v>2.2987010714905285</v>
      </c>
      <c r="R47">
        <f t="shared" si="9"/>
        <v>5.1577675369081789E-2</v>
      </c>
      <c r="S47">
        <f t="shared" si="10"/>
        <v>3.2293807531076323E-2</v>
      </c>
      <c r="T47">
        <f t="shared" si="11"/>
        <v>276.11219177066977</v>
      </c>
      <c r="U47">
        <f t="shared" si="12"/>
        <v>28.357978673610916</v>
      </c>
      <c r="V47">
        <f t="shared" si="13"/>
        <v>28.357978673610916</v>
      </c>
      <c r="W47">
        <f t="shared" si="14"/>
        <v>3.874758560950823</v>
      </c>
      <c r="X47">
        <f t="shared" si="15"/>
        <v>70.222174365567696</v>
      </c>
      <c r="Y47">
        <f t="shared" si="16"/>
        <v>2.4504109333724999</v>
      </c>
      <c r="Z47">
        <f t="shared" si="17"/>
        <v>3.4895116186747122</v>
      </c>
      <c r="AA47">
        <f t="shared" si="18"/>
        <v>1.4243476275783231</v>
      </c>
      <c r="AB47">
        <f t="shared" si="19"/>
        <v>-33.656448097815037</v>
      </c>
      <c r="AC47">
        <f t="shared" si="20"/>
        <v>-221.72856919213808</v>
      </c>
      <c r="AD47">
        <f t="shared" si="21"/>
        <v>-20.913604933118254</v>
      </c>
      <c r="AE47">
        <f t="shared" si="22"/>
        <v>-0.18643045240159495</v>
      </c>
      <c r="AF47">
        <v>0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52544.336738837432</v>
      </c>
      <c r="AK47">
        <f t="shared" si="26"/>
        <v>1799.98</v>
      </c>
      <c r="AL47">
        <f t="shared" si="27"/>
        <v>1499.0976129747803</v>
      </c>
      <c r="AM47">
        <f t="shared" si="28"/>
        <v>0.83284126100000011</v>
      </c>
      <c r="AN47">
        <f t="shared" si="29"/>
        <v>0.15339736650999999</v>
      </c>
      <c r="AO47">
        <v>29.1</v>
      </c>
      <c r="AP47">
        <v>0.5</v>
      </c>
      <c r="AQ47" t="s">
        <v>331</v>
      </c>
      <c r="AR47">
        <v>2</v>
      </c>
      <c r="AS47">
        <v>1690286940.0999999</v>
      </c>
      <c r="AT47">
        <v>661.89800000000002</v>
      </c>
      <c r="AU47">
        <v>800.27700000000004</v>
      </c>
      <c r="AV47">
        <v>24.6463</v>
      </c>
      <c r="AW47">
        <v>17.430599999999998</v>
      </c>
      <c r="AX47">
        <v>663.03899999999999</v>
      </c>
      <c r="AY47">
        <v>24.455200000000001</v>
      </c>
      <c r="AZ47">
        <v>300.197</v>
      </c>
      <c r="BA47">
        <v>99.322999999999993</v>
      </c>
      <c r="BB47">
        <v>0.100075</v>
      </c>
      <c r="BC47">
        <v>26.5688</v>
      </c>
      <c r="BD47">
        <v>26.964500000000001</v>
      </c>
      <c r="BE47">
        <v>28.749500000000001</v>
      </c>
      <c r="BF47">
        <v>0</v>
      </c>
      <c r="BG47">
        <v>0</v>
      </c>
      <c r="BH47">
        <v>9990</v>
      </c>
      <c r="BI47">
        <v>1091.1300000000001</v>
      </c>
      <c r="BJ47">
        <v>1.28952</v>
      </c>
      <c r="BK47">
        <v>-138.37899999999999</v>
      </c>
      <c r="BL47">
        <v>678.62300000000005</v>
      </c>
      <c r="BM47">
        <v>814.47400000000005</v>
      </c>
      <c r="BN47">
        <v>7.2157</v>
      </c>
      <c r="BO47">
        <v>800.27700000000004</v>
      </c>
      <c r="BP47">
        <v>17.430599999999998</v>
      </c>
      <c r="BQ47">
        <v>2.44794</v>
      </c>
      <c r="BR47">
        <v>1.73126</v>
      </c>
      <c r="BS47">
        <v>20.6845</v>
      </c>
      <c r="BT47">
        <v>15.179600000000001</v>
      </c>
      <c r="BU47">
        <v>1799.98</v>
      </c>
      <c r="BV47">
        <v>0.91001100000000001</v>
      </c>
      <c r="BW47">
        <v>3.39929E-2</v>
      </c>
      <c r="BX47">
        <v>2.2001799999999998E-2</v>
      </c>
      <c r="BY47">
        <v>3.3993900000000001E-2</v>
      </c>
      <c r="BZ47">
        <v>24</v>
      </c>
      <c r="CA47">
        <v>33528.1</v>
      </c>
      <c r="CB47">
        <v>1690286268.5999999</v>
      </c>
      <c r="CC47" t="s">
        <v>332</v>
      </c>
      <c r="CD47">
        <v>1690286261.0999999</v>
      </c>
      <c r="CE47">
        <v>1690286268.5999999</v>
      </c>
      <c r="CF47">
        <v>1</v>
      </c>
      <c r="CG47">
        <v>-0.89900000000000002</v>
      </c>
      <c r="CH47">
        <v>3.4000000000000002E-2</v>
      </c>
      <c r="CI47">
        <v>-1.2370000000000001</v>
      </c>
      <c r="CJ47">
        <v>8.5999999999999993E-2</v>
      </c>
      <c r="CK47">
        <v>799</v>
      </c>
      <c r="CL47">
        <v>16</v>
      </c>
      <c r="CM47">
        <v>0.28999999999999998</v>
      </c>
      <c r="CN47">
        <v>0.09</v>
      </c>
      <c r="CO47">
        <v>-131.5191463414634</v>
      </c>
      <c r="CP47">
        <v>-38.415428571428663</v>
      </c>
      <c r="CQ47">
        <v>3.7880752662119361</v>
      </c>
      <c r="CR47">
        <v>-1</v>
      </c>
      <c r="CS47">
        <v>6.8873931707317064</v>
      </c>
      <c r="CT47">
        <v>1.747457142857153</v>
      </c>
      <c r="CU47">
        <v>0.17238869596010209</v>
      </c>
      <c r="CV47">
        <v>-1</v>
      </c>
      <c r="CW47">
        <v>0</v>
      </c>
      <c r="CX47">
        <v>0</v>
      </c>
      <c r="CY47" t="s">
        <v>333</v>
      </c>
      <c r="CZ47">
        <v>2.3650500000000001</v>
      </c>
      <c r="DA47">
        <v>2.7138599999999999</v>
      </c>
      <c r="DB47">
        <v>0.129718</v>
      </c>
      <c r="DC47">
        <v>0.14696300000000001</v>
      </c>
      <c r="DD47">
        <v>0.116521</v>
      </c>
      <c r="DE47">
        <v>8.9838399999999999E-2</v>
      </c>
      <c r="DF47">
        <v>31766</v>
      </c>
      <c r="DG47">
        <v>27443.599999999999</v>
      </c>
      <c r="DH47">
        <v>31158.5</v>
      </c>
      <c r="DI47">
        <v>28030.7</v>
      </c>
      <c r="DJ47">
        <v>37361.199999999997</v>
      </c>
      <c r="DK47">
        <v>36253.599999999999</v>
      </c>
      <c r="DL47">
        <v>44332.5</v>
      </c>
      <c r="DM47">
        <v>42457.7</v>
      </c>
      <c r="DN47">
        <v>1.4811000000000001</v>
      </c>
      <c r="DO47">
        <v>2.0964499999999999</v>
      </c>
      <c r="DP47">
        <v>7.5645699999999996E-2</v>
      </c>
      <c r="DQ47">
        <v>0.20766599999999999</v>
      </c>
      <c r="DR47">
        <v>25.726099999999999</v>
      </c>
      <c r="DS47">
        <v>25.3536</v>
      </c>
      <c r="DT47">
        <v>69.599999999999994</v>
      </c>
      <c r="DU47">
        <v>24.3</v>
      </c>
      <c r="DV47">
        <v>21.367699999999999</v>
      </c>
      <c r="DW47">
        <v>62.2714</v>
      </c>
      <c r="DX47">
        <v>36.3902</v>
      </c>
      <c r="DY47">
        <v>1</v>
      </c>
      <c r="DZ47">
        <v>-0.14149400000000001</v>
      </c>
      <c r="EA47">
        <v>-3.5830599999999997E-2</v>
      </c>
      <c r="EB47">
        <v>20.1919</v>
      </c>
      <c r="EC47">
        <v>5.2418500000000003</v>
      </c>
      <c r="ED47">
        <v>12.039899999999999</v>
      </c>
      <c r="EE47">
        <v>5.01715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1.8687400000000001</v>
      </c>
      <c r="EL47">
        <v>1.8644000000000001</v>
      </c>
      <c r="EM47">
        <v>1.8690500000000001</v>
      </c>
      <c r="EN47">
        <v>1.86707</v>
      </c>
      <c r="EO47">
        <v>1.8632500000000001</v>
      </c>
      <c r="EP47">
        <v>1.8642099999999999</v>
      </c>
      <c r="EQ47">
        <v>1.87002</v>
      </c>
      <c r="ER47">
        <v>1.8692299999999999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-1.141</v>
      </c>
      <c r="FG47">
        <v>0.19109999999999999</v>
      </c>
      <c r="FH47">
        <v>-0.68620417327404271</v>
      </c>
      <c r="FI47">
        <v>-6.1462078757559423E-4</v>
      </c>
      <c r="FJ47">
        <v>-1.8861989874597051E-7</v>
      </c>
      <c r="FK47">
        <v>1.1980462299894961E-10</v>
      </c>
      <c r="FL47">
        <v>0.1911242781723908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11.3</v>
      </c>
      <c r="FU47">
        <v>11.2</v>
      </c>
      <c r="FV47">
        <v>1.7773399999999999</v>
      </c>
      <c r="FW47">
        <v>2.5573700000000001</v>
      </c>
      <c r="FX47">
        <v>1.5490699999999999</v>
      </c>
      <c r="FY47">
        <v>2.34253</v>
      </c>
      <c r="FZ47">
        <v>1.50146</v>
      </c>
      <c r="GA47">
        <v>2.3706100000000001</v>
      </c>
      <c r="GB47">
        <v>29.964700000000001</v>
      </c>
      <c r="GC47">
        <v>23.982399999999998</v>
      </c>
      <c r="GD47">
        <v>19</v>
      </c>
      <c r="GE47">
        <v>281.80799999999999</v>
      </c>
      <c r="GF47">
        <v>624.77</v>
      </c>
      <c r="GG47">
        <v>24.782299999999999</v>
      </c>
      <c r="GH47">
        <v>25.679300000000001</v>
      </c>
      <c r="GI47">
        <v>30.000299999999999</v>
      </c>
      <c r="GJ47">
        <v>25.640799999999999</v>
      </c>
      <c r="GK47">
        <v>25.5503</v>
      </c>
      <c r="GL47">
        <v>35.539299999999997</v>
      </c>
      <c r="GM47">
        <v>31.6372</v>
      </c>
      <c r="GN47">
        <v>100</v>
      </c>
      <c r="GO47">
        <v>24.818100000000001</v>
      </c>
      <c r="GP47">
        <v>800</v>
      </c>
      <c r="GQ47">
        <v>17.230799999999999</v>
      </c>
      <c r="GR47">
        <v>99.682000000000002</v>
      </c>
      <c r="GS47">
        <v>99.348600000000005</v>
      </c>
    </row>
    <row r="48" spans="1:201" x14ac:dyDescent="0.25">
      <c r="A48">
        <v>32</v>
      </c>
      <c r="B48">
        <v>1690286950.0999999</v>
      </c>
      <c r="C48">
        <v>411.5</v>
      </c>
      <c r="D48" t="s">
        <v>397</v>
      </c>
      <c r="E48" t="s">
        <v>398</v>
      </c>
      <c r="F48" t="s">
        <v>330</v>
      </c>
      <c r="H48">
        <v>1690286950.0999999</v>
      </c>
      <c r="I48">
        <f t="shared" si="0"/>
        <v>7.9070983988184019E-4</v>
      </c>
      <c r="J48">
        <f t="shared" si="1"/>
        <v>0.79070983988184018</v>
      </c>
      <c r="K48">
        <f t="shared" si="2"/>
        <v>14.377619648786823</v>
      </c>
      <c r="L48">
        <f t="shared" si="3"/>
        <v>655.88099999999997</v>
      </c>
      <c r="M48">
        <f t="shared" si="4"/>
        <v>216.42090621601724</v>
      </c>
      <c r="N48">
        <f t="shared" si="5"/>
        <v>21.517463084526707</v>
      </c>
      <c r="O48">
        <f t="shared" si="6"/>
        <v>65.210406203806798</v>
      </c>
      <c r="P48">
        <f t="shared" si="7"/>
        <v>5.4202052856784894E-2</v>
      </c>
      <c r="Q48">
        <f t="shared" si="8"/>
        <v>2.3015410964470688</v>
      </c>
      <c r="R48">
        <f t="shared" si="9"/>
        <v>5.3502773513186268E-2</v>
      </c>
      <c r="S48">
        <f t="shared" si="10"/>
        <v>3.3501309236783697E-2</v>
      </c>
      <c r="T48">
        <f t="shared" si="11"/>
        <v>276.11313962213796</v>
      </c>
      <c r="U48">
        <f t="shared" si="12"/>
        <v>28.342326125598724</v>
      </c>
      <c r="V48">
        <f t="shared" si="13"/>
        <v>28.342326125598724</v>
      </c>
      <c r="W48">
        <f t="shared" si="14"/>
        <v>3.8712336753167151</v>
      </c>
      <c r="X48">
        <f t="shared" si="15"/>
        <v>70.188513316599369</v>
      </c>
      <c r="Y48">
        <f t="shared" si="16"/>
        <v>2.4485581343927203</v>
      </c>
      <c r="Z48">
        <f t="shared" si="17"/>
        <v>3.4885453740101426</v>
      </c>
      <c r="AA48">
        <f t="shared" si="18"/>
        <v>1.4226755409239948</v>
      </c>
      <c r="AB48">
        <f t="shared" si="19"/>
        <v>-34.870303938789149</v>
      </c>
      <c r="AC48">
        <f t="shared" si="20"/>
        <v>-220.64351324482877</v>
      </c>
      <c r="AD48">
        <f t="shared" si="21"/>
        <v>-20.783467139192119</v>
      </c>
      <c r="AE48">
        <f t="shared" si="22"/>
        <v>-0.18414470067207844</v>
      </c>
      <c r="AF48">
        <v>0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52652.74067653621</v>
      </c>
      <c r="AK48">
        <f t="shared" si="26"/>
        <v>1799.98</v>
      </c>
      <c r="AL48">
        <f t="shared" si="27"/>
        <v>1499.0960901916999</v>
      </c>
      <c r="AM48">
        <f t="shared" si="28"/>
        <v>0.83284041499999995</v>
      </c>
      <c r="AN48">
        <f t="shared" si="29"/>
        <v>0.15339789309999999</v>
      </c>
      <c r="AO48">
        <v>29.1</v>
      </c>
      <c r="AP48">
        <v>0.5</v>
      </c>
      <c r="AQ48" t="s">
        <v>331</v>
      </c>
      <c r="AR48">
        <v>2</v>
      </c>
      <c r="AS48">
        <v>1690286950.0999999</v>
      </c>
      <c r="AT48">
        <v>655.88099999999997</v>
      </c>
      <c r="AU48">
        <v>800.22</v>
      </c>
      <c r="AV48">
        <v>24.627400000000002</v>
      </c>
      <c r="AW48">
        <v>17.154399999999999</v>
      </c>
      <c r="AX48">
        <v>657.01800000000003</v>
      </c>
      <c r="AY48">
        <v>24.436299999999999</v>
      </c>
      <c r="AZ48">
        <v>300.32100000000003</v>
      </c>
      <c r="BA48">
        <v>99.324200000000005</v>
      </c>
      <c r="BB48">
        <v>9.9942799999999998E-2</v>
      </c>
      <c r="BC48">
        <v>26.5641</v>
      </c>
      <c r="BD48">
        <v>26.9526</v>
      </c>
      <c r="BE48">
        <v>28.741800000000001</v>
      </c>
      <c r="BF48">
        <v>0</v>
      </c>
      <c r="BG48">
        <v>0</v>
      </c>
      <c r="BH48">
        <v>10011.200000000001</v>
      </c>
      <c r="BI48">
        <v>1090.69</v>
      </c>
      <c r="BJ48">
        <v>1.28952</v>
      </c>
      <c r="BK48">
        <v>-144.339</v>
      </c>
      <c r="BL48">
        <v>672.44100000000003</v>
      </c>
      <c r="BM48">
        <v>814.18600000000004</v>
      </c>
      <c r="BN48">
        <v>7.4729299999999999</v>
      </c>
      <c r="BO48">
        <v>800.22</v>
      </c>
      <c r="BP48">
        <v>17.154399999999999</v>
      </c>
      <c r="BQ48">
        <v>2.4460899999999999</v>
      </c>
      <c r="BR48">
        <v>1.7038500000000001</v>
      </c>
      <c r="BS48">
        <v>20.6722</v>
      </c>
      <c r="BT48">
        <v>14.9316</v>
      </c>
      <c r="BU48">
        <v>1799.98</v>
      </c>
      <c r="BV48">
        <v>0.909999</v>
      </c>
      <c r="BW48">
        <v>3.4007000000000003E-2</v>
      </c>
      <c r="BX48">
        <v>2.2006499999999998E-2</v>
      </c>
      <c r="BY48">
        <v>3.39876E-2</v>
      </c>
      <c r="BZ48">
        <v>24</v>
      </c>
      <c r="CA48">
        <v>33527.800000000003</v>
      </c>
      <c r="CB48">
        <v>1690286268.5999999</v>
      </c>
      <c r="CC48" t="s">
        <v>332</v>
      </c>
      <c r="CD48">
        <v>1690286261.0999999</v>
      </c>
      <c r="CE48">
        <v>1690286268.5999999</v>
      </c>
      <c r="CF48">
        <v>1</v>
      </c>
      <c r="CG48">
        <v>-0.89900000000000002</v>
      </c>
      <c r="CH48">
        <v>3.4000000000000002E-2</v>
      </c>
      <c r="CI48">
        <v>-1.2370000000000001</v>
      </c>
      <c r="CJ48">
        <v>8.5999999999999993E-2</v>
      </c>
      <c r="CK48">
        <v>799</v>
      </c>
      <c r="CL48">
        <v>16</v>
      </c>
      <c r="CM48">
        <v>0.28999999999999998</v>
      </c>
      <c r="CN48">
        <v>0.09</v>
      </c>
      <c r="CO48">
        <v>-137.593175</v>
      </c>
      <c r="CP48">
        <v>-36.446442776735147</v>
      </c>
      <c r="CQ48">
        <v>3.506546148901367</v>
      </c>
      <c r="CR48">
        <v>-1</v>
      </c>
      <c r="CS48">
        <v>7.1648552499999996</v>
      </c>
      <c r="CT48">
        <v>1.688980525328339</v>
      </c>
      <c r="CU48">
        <v>0.1626941769085099</v>
      </c>
      <c r="CV48">
        <v>-1</v>
      </c>
      <c r="CW48">
        <v>0</v>
      </c>
      <c r="CX48">
        <v>0</v>
      </c>
      <c r="CY48" t="s">
        <v>333</v>
      </c>
      <c r="CZ48">
        <v>2.3654899999999999</v>
      </c>
      <c r="DA48">
        <v>2.7137500000000001</v>
      </c>
      <c r="DB48">
        <v>0.12890099999999999</v>
      </c>
      <c r="DC48">
        <v>0.146949</v>
      </c>
      <c r="DD48">
        <v>0.11645800000000001</v>
      </c>
      <c r="DE48">
        <v>8.8809299999999994E-2</v>
      </c>
      <c r="DF48">
        <v>31795.9</v>
      </c>
      <c r="DG48">
        <v>27443.599999999999</v>
      </c>
      <c r="DH48">
        <v>31158.6</v>
      </c>
      <c r="DI48">
        <v>28030.3</v>
      </c>
      <c r="DJ48">
        <v>37364</v>
      </c>
      <c r="DK48">
        <v>36294.300000000003</v>
      </c>
      <c r="DL48">
        <v>44332.7</v>
      </c>
      <c r="DM48">
        <v>42457.3</v>
      </c>
      <c r="DN48">
        <v>1.4807999999999999</v>
      </c>
      <c r="DO48">
        <v>2.0956700000000001</v>
      </c>
      <c r="DP48">
        <v>7.5414800000000004E-2</v>
      </c>
      <c r="DQ48">
        <v>0.20771500000000001</v>
      </c>
      <c r="DR48">
        <v>25.718</v>
      </c>
      <c r="DS48">
        <v>25.344999999999999</v>
      </c>
      <c r="DT48">
        <v>69.599999999999994</v>
      </c>
      <c r="DU48">
        <v>24.3</v>
      </c>
      <c r="DV48">
        <v>21.367999999999999</v>
      </c>
      <c r="DW48">
        <v>62.261400000000002</v>
      </c>
      <c r="DX48">
        <v>35.316499999999998</v>
      </c>
      <c r="DY48">
        <v>1</v>
      </c>
      <c r="DZ48">
        <v>-0.140539</v>
      </c>
      <c r="EA48">
        <v>-3.2725999999999998E-2</v>
      </c>
      <c r="EB48">
        <v>20.1919</v>
      </c>
      <c r="EC48">
        <v>5.242</v>
      </c>
      <c r="ED48">
        <v>12.039899999999999</v>
      </c>
      <c r="EE48">
        <v>5.01715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1.86873</v>
      </c>
      <c r="EL48">
        <v>1.86439</v>
      </c>
      <c r="EM48">
        <v>1.8690500000000001</v>
      </c>
      <c r="EN48">
        <v>1.86707</v>
      </c>
      <c r="EO48">
        <v>1.86324</v>
      </c>
      <c r="EP48">
        <v>1.8642399999999999</v>
      </c>
      <c r="EQ48">
        <v>1.87001</v>
      </c>
      <c r="ER48">
        <v>1.8692599999999999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-1.137</v>
      </c>
      <c r="FG48">
        <v>0.19109999999999999</v>
      </c>
      <c r="FH48">
        <v>-0.68620417327404271</v>
      </c>
      <c r="FI48">
        <v>-6.1462078757559423E-4</v>
      </c>
      <c r="FJ48">
        <v>-1.8861989874597051E-7</v>
      </c>
      <c r="FK48">
        <v>1.1980462299894961E-10</v>
      </c>
      <c r="FL48">
        <v>0.1911242781723908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11.5</v>
      </c>
      <c r="FU48">
        <v>11.4</v>
      </c>
      <c r="FV48">
        <v>1.7761199999999999</v>
      </c>
      <c r="FW48">
        <v>2.5585900000000001</v>
      </c>
      <c r="FX48">
        <v>1.5490699999999999</v>
      </c>
      <c r="FY48">
        <v>2.34253</v>
      </c>
      <c r="FZ48">
        <v>1.50146</v>
      </c>
      <c r="GA48">
        <v>2.36694</v>
      </c>
      <c r="GB48">
        <v>29.9861</v>
      </c>
      <c r="GC48">
        <v>23.982399999999998</v>
      </c>
      <c r="GD48">
        <v>19</v>
      </c>
      <c r="GE48">
        <v>281.70999999999998</v>
      </c>
      <c r="GF48">
        <v>624.20100000000002</v>
      </c>
      <c r="GG48">
        <v>24.847799999999999</v>
      </c>
      <c r="GH48">
        <v>25.6814</v>
      </c>
      <c r="GI48">
        <v>30.000399999999999</v>
      </c>
      <c r="GJ48">
        <v>25.647300000000001</v>
      </c>
      <c r="GK48">
        <v>25.558800000000002</v>
      </c>
      <c r="GL48">
        <v>35.520800000000001</v>
      </c>
      <c r="GM48">
        <v>32.756900000000002</v>
      </c>
      <c r="GN48">
        <v>100</v>
      </c>
      <c r="GO48">
        <v>24.872900000000001</v>
      </c>
      <c r="GP48">
        <v>800</v>
      </c>
      <c r="GQ48">
        <v>16.928799999999999</v>
      </c>
      <c r="GR48">
        <v>99.682400000000001</v>
      </c>
      <c r="GS48">
        <v>99.347399999999993</v>
      </c>
    </row>
    <row r="49" spans="1:201" x14ac:dyDescent="0.25">
      <c r="A49">
        <v>33</v>
      </c>
      <c r="B49">
        <v>1690286960.0999999</v>
      </c>
      <c r="C49">
        <v>421.5</v>
      </c>
      <c r="D49" t="s">
        <v>399</v>
      </c>
      <c r="E49" t="s">
        <v>400</v>
      </c>
      <c r="F49" t="s">
        <v>330</v>
      </c>
      <c r="H49">
        <v>1690286960.0999999</v>
      </c>
      <c r="I49">
        <f t="shared" si="0"/>
        <v>8.1820099638356739E-4</v>
      </c>
      <c r="J49">
        <f t="shared" si="1"/>
        <v>0.81820099638356736</v>
      </c>
      <c r="K49">
        <f t="shared" si="2"/>
        <v>14.945900089669635</v>
      </c>
      <c r="L49">
        <f t="shared" si="3"/>
        <v>650.13099999999997</v>
      </c>
      <c r="M49">
        <f t="shared" si="4"/>
        <v>208.27019705922947</v>
      </c>
      <c r="N49">
        <f t="shared" si="5"/>
        <v>20.707536968301845</v>
      </c>
      <c r="O49">
        <f t="shared" si="6"/>
        <v>64.640125696479004</v>
      </c>
      <c r="P49">
        <f t="shared" si="7"/>
        <v>5.6033199842646472E-2</v>
      </c>
      <c r="Q49">
        <f t="shared" si="8"/>
        <v>2.2985786642921542</v>
      </c>
      <c r="R49">
        <f t="shared" si="9"/>
        <v>5.5285276144768386E-2</v>
      </c>
      <c r="S49">
        <f t="shared" si="10"/>
        <v>3.4619663806398991E-2</v>
      </c>
      <c r="T49">
        <f t="shared" si="11"/>
        <v>276.11248975735884</v>
      </c>
      <c r="U49">
        <f t="shared" si="12"/>
        <v>28.34146113859126</v>
      </c>
      <c r="V49">
        <f t="shared" si="13"/>
        <v>28.34146113859126</v>
      </c>
      <c r="W49">
        <f t="shared" si="14"/>
        <v>3.8710389655936166</v>
      </c>
      <c r="X49">
        <f t="shared" si="15"/>
        <v>70.099418652212648</v>
      </c>
      <c r="Y49">
        <f t="shared" si="16"/>
        <v>2.4463147345286997</v>
      </c>
      <c r="Z49">
        <f t="shared" si="17"/>
        <v>3.4897789190887725</v>
      </c>
      <c r="AA49">
        <f t="shared" si="18"/>
        <v>1.4247242310649169</v>
      </c>
      <c r="AB49">
        <f t="shared" si="19"/>
        <v>-36.082663940515324</v>
      </c>
      <c r="AC49">
        <f t="shared" si="20"/>
        <v>-219.50879573884177</v>
      </c>
      <c r="AD49">
        <f t="shared" si="21"/>
        <v>-20.703760228268447</v>
      </c>
      <c r="AE49">
        <f t="shared" si="22"/>
        <v>-0.18273015026667849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52539.546718906138</v>
      </c>
      <c r="AK49">
        <f t="shared" si="26"/>
        <v>1799.98</v>
      </c>
      <c r="AL49">
        <f t="shared" si="27"/>
        <v>1499.0928160280801</v>
      </c>
      <c r="AM49">
        <f t="shared" si="28"/>
        <v>0.83283859599999999</v>
      </c>
      <c r="AN49">
        <f t="shared" si="29"/>
        <v>0.15339753206000001</v>
      </c>
      <c r="AO49">
        <v>29.1</v>
      </c>
      <c r="AP49">
        <v>0.5</v>
      </c>
      <c r="AQ49" t="s">
        <v>331</v>
      </c>
      <c r="AR49">
        <v>2</v>
      </c>
      <c r="AS49">
        <v>1690286960.0999999</v>
      </c>
      <c r="AT49">
        <v>650.13099999999997</v>
      </c>
      <c r="AU49">
        <v>800.21799999999996</v>
      </c>
      <c r="AV49">
        <v>24.604299999999999</v>
      </c>
      <c r="AW49">
        <v>16.865500000000001</v>
      </c>
      <c r="AX49">
        <v>651.26499999999999</v>
      </c>
      <c r="AY49">
        <v>24.4132</v>
      </c>
      <c r="AZ49">
        <v>300.096</v>
      </c>
      <c r="BA49">
        <v>99.326300000000003</v>
      </c>
      <c r="BB49">
        <v>0.100009</v>
      </c>
      <c r="BC49">
        <v>26.5701</v>
      </c>
      <c r="BD49">
        <v>26.967300000000002</v>
      </c>
      <c r="BE49">
        <v>28.733899999999998</v>
      </c>
      <c r="BF49">
        <v>0</v>
      </c>
      <c r="BG49">
        <v>0</v>
      </c>
      <c r="BH49">
        <v>9988.75</v>
      </c>
      <c r="BI49">
        <v>1090.25</v>
      </c>
      <c r="BJ49">
        <v>1.28952</v>
      </c>
      <c r="BK49">
        <v>-150.08600000000001</v>
      </c>
      <c r="BL49">
        <v>666.53099999999995</v>
      </c>
      <c r="BM49">
        <v>813.94500000000005</v>
      </c>
      <c r="BN49">
        <v>7.7388000000000003</v>
      </c>
      <c r="BO49">
        <v>800.21799999999996</v>
      </c>
      <c r="BP49">
        <v>16.865500000000001</v>
      </c>
      <c r="BQ49">
        <v>2.4438599999999999</v>
      </c>
      <c r="BR49">
        <v>1.67519</v>
      </c>
      <c r="BS49">
        <v>20.657299999999999</v>
      </c>
      <c r="BT49">
        <v>14.6684</v>
      </c>
      <c r="BU49">
        <v>1799.98</v>
      </c>
      <c r="BV49">
        <v>0.90998599999999996</v>
      </c>
      <c r="BW49">
        <v>3.3999700000000001E-2</v>
      </c>
      <c r="BX49">
        <v>2.2001799999999998E-2</v>
      </c>
      <c r="BY49">
        <v>3.4012000000000001E-2</v>
      </c>
      <c r="BZ49">
        <v>24</v>
      </c>
      <c r="CA49">
        <v>33528</v>
      </c>
      <c r="CB49">
        <v>1690286268.5999999</v>
      </c>
      <c r="CC49" t="s">
        <v>332</v>
      </c>
      <c r="CD49">
        <v>1690286261.0999999</v>
      </c>
      <c r="CE49">
        <v>1690286268.5999999</v>
      </c>
      <c r="CF49">
        <v>1</v>
      </c>
      <c r="CG49">
        <v>-0.89900000000000002</v>
      </c>
      <c r="CH49">
        <v>3.4000000000000002E-2</v>
      </c>
      <c r="CI49">
        <v>-1.2370000000000001</v>
      </c>
      <c r="CJ49">
        <v>8.5999999999999993E-2</v>
      </c>
      <c r="CK49">
        <v>799</v>
      </c>
      <c r="CL49">
        <v>16</v>
      </c>
      <c r="CM49">
        <v>0.28999999999999998</v>
      </c>
      <c r="CN49">
        <v>0.09</v>
      </c>
      <c r="CO49">
        <v>-143.69060975609759</v>
      </c>
      <c r="CP49">
        <v>-35.040919860627348</v>
      </c>
      <c r="CQ49">
        <v>3.45536967686632</v>
      </c>
      <c r="CR49">
        <v>-1</v>
      </c>
      <c r="CS49">
        <v>7.4461782926829274</v>
      </c>
      <c r="CT49">
        <v>1.597593867595823</v>
      </c>
      <c r="CU49">
        <v>0.1575939672130984</v>
      </c>
      <c r="CV49">
        <v>-1</v>
      </c>
      <c r="CW49">
        <v>0</v>
      </c>
      <c r="CX49">
        <v>0</v>
      </c>
      <c r="CY49" t="s">
        <v>333</v>
      </c>
      <c r="CZ49">
        <v>2.3647499999999999</v>
      </c>
      <c r="DA49">
        <v>2.7137899999999999</v>
      </c>
      <c r="DB49">
        <v>0.12811900000000001</v>
      </c>
      <c r="DC49">
        <v>0.14694399999999999</v>
      </c>
      <c r="DD49">
        <v>0.116382</v>
      </c>
      <c r="DE49">
        <v>8.7726700000000005E-2</v>
      </c>
      <c r="DF49">
        <v>31824.6</v>
      </c>
      <c r="DG49">
        <v>27444.1</v>
      </c>
      <c r="DH49">
        <v>31158.7</v>
      </c>
      <c r="DI49">
        <v>28030.6</v>
      </c>
      <c r="DJ49">
        <v>37367.5</v>
      </c>
      <c r="DK49">
        <v>36337.9</v>
      </c>
      <c r="DL49">
        <v>44333.1</v>
      </c>
      <c r="DM49">
        <v>42457.7</v>
      </c>
      <c r="DN49">
        <v>1.4811700000000001</v>
      </c>
      <c r="DO49">
        <v>2.0951200000000001</v>
      </c>
      <c r="DP49">
        <v>7.6878799999999997E-2</v>
      </c>
      <c r="DQ49">
        <v>0.20788200000000001</v>
      </c>
      <c r="DR49">
        <v>25.7087</v>
      </c>
      <c r="DS49">
        <v>25.334399999999999</v>
      </c>
      <c r="DT49">
        <v>69.599999999999994</v>
      </c>
      <c r="DU49">
        <v>24.3</v>
      </c>
      <c r="DV49">
        <v>21.369599999999998</v>
      </c>
      <c r="DW49">
        <v>62.671399999999998</v>
      </c>
      <c r="DX49">
        <v>36.598599999999998</v>
      </c>
      <c r="DY49">
        <v>1</v>
      </c>
      <c r="DZ49">
        <v>-0.14057700000000001</v>
      </c>
      <c r="EA49">
        <v>-8.4577899999999998E-2</v>
      </c>
      <c r="EB49">
        <v>20.191800000000001</v>
      </c>
      <c r="EC49">
        <v>5.242</v>
      </c>
      <c r="ED49">
        <v>12.039899999999999</v>
      </c>
      <c r="EE49">
        <v>5.0170500000000002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1.8687400000000001</v>
      </c>
      <c r="EL49">
        <v>1.8643799999999999</v>
      </c>
      <c r="EM49">
        <v>1.8690500000000001</v>
      </c>
      <c r="EN49">
        <v>1.86707</v>
      </c>
      <c r="EO49">
        <v>1.8632500000000001</v>
      </c>
      <c r="EP49">
        <v>1.8642000000000001</v>
      </c>
      <c r="EQ49">
        <v>1.8700300000000001</v>
      </c>
      <c r="ER49">
        <v>1.86924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-1.1339999999999999</v>
      </c>
      <c r="FG49">
        <v>0.19109999999999999</v>
      </c>
      <c r="FH49">
        <v>-0.68620417327404271</v>
      </c>
      <c r="FI49">
        <v>-6.1462078757559423E-4</v>
      </c>
      <c r="FJ49">
        <v>-1.8861989874597051E-7</v>
      </c>
      <c r="FK49">
        <v>1.1980462299894961E-10</v>
      </c>
      <c r="FL49">
        <v>0.1911242781723908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11.7</v>
      </c>
      <c r="FU49">
        <v>11.5</v>
      </c>
      <c r="FV49">
        <v>1.7761199999999999</v>
      </c>
      <c r="FW49">
        <v>2.5622600000000002</v>
      </c>
      <c r="FX49">
        <v>1.5490699999999999</v>
      </c>
      <c r="FY49">
        <v>2.34253</v>
      </c>
      <c r="FZ49">
        <v>1.50146</v>
      </c>
      <c r="GA49">
        <v>2.3071299999999999</v>
      </c>
      <c r="GB49">
        <v>30.0076</v>
      </c>
      <c r="GC49">
        <v>23.982399999999998</v>
      </c>
      <c r="GD49">
        <v>19</v>
      </c>
      <c r="GE49">
        <v>281.89400000000001</v>
      </c>
      <c r="GF49">
        <v>623.81299999999999</v>
      </c>
      <c r="GG49">
        <v>24.9009</v>
      </c>
      <c r="GH49">
        <v>25.681899999999999</v>
      </c>
      <c r="GI49">
        <v>30.0002</v>
      </c>
      <c r="GJ49">
        <v>25.653199999999998</v>
      </c>
      <c r="GK49">
        <v>25.566199999999998</v>
      </c>
      <c r="GL49">
        <v>35.507100000000001</v>
      </c>
      <c r="GM49">
        <v>33.943899999999999</v>
      </c>
      <c r="GN49">
        <v>99.626300000000001</v>
      </c>
      <c r="GO49">
        <v>24.923200000000001</v>
      </c>
      <c r="GP49">
        <v>800</v>
      </c>
      <c r="GQ49">
        <v>16.6357</v>
      </c>
      <c r="GR49">
        <v>99.683099999999996</v>
      </c>
      <c r="GS49">
        <v>99.348399999999998</v>
      </c>
    </row>
    <row r="50" spans="1:201" x14ac:dyDescent="0.25">
      <c r="A50">
        <v>34</v>
      </c>
      <c r="B50">
        <v>1690286970.0999999</v>
      </c>
      <c r="C50">
        <v>431.5</v>
      </c>
      <c r="D50" t="s">
        <v>401</v>
      </c>
      <c r="E50" t="s">
        <v>402</v>
      </c>
      <c r="F50" t="s">
        <v>330</v>
      </c>
      <c r="H50">
        <v>1690286970.0999999</v>
      </c>
      <c r="I50">
        <f t="shared" si="0"/>
        <v>8.4655942154289302E-4</v>
      </c>
      <c r="J50">
        <f t="shared" si="1"/>
        <v>0.84655942154289299</v>
      </c>
      <c r="K50">
        <f t="shared" si="2"/>
        <v>15.508986886910956</v>
      </c>
      <c r="L50">
        <f t="shared" si="3"/>
        <v>644.51800000000003</v>
      </c>
      <c r="M50">
        <f t="shared" si="4"/>
        <v>201.93965386752143</v>
      </c>
      <c r="N50">
        <f t="shared" si="5"/>
        <v>20.078117655819693</v>
      </c>
      <c r="O50">
        <f t="shared" si="6"/>
        <v>64.082056136350005</v>
      </c>
      <c r="P50">
        <f t="shared" si="7"/>
        <v>5.8050404106011762E-2</v>
      </c>
      <c r="Q50">
        <f t="shared" si="8"/>
        <v>2.3023277103449811</v>
      </c>
      <c r="R50">
        <f t="shared" si="9"/>
        <v>5.7249363167254194E-2</v>
      </c>
      <c r="S50">
        <f t="shared" si="10"/>
        <v>3.5851901423732707E-2</v>
      </c>
      <c r="T50">
        <f t="shared" si="11"/>
        <v>276.11187281421377</v>
      </c>
      <c r="U50">
        <f t="shared" si="12"/>
        <v>28.325708833961389</v>
      </c>
      <c r="V50">
        <f t="shared" si="13"/>
        <v>28.325708833961389</v>
      </c>
      <c r="W50">
        <f t="shared" si="14"/>
        <v>3.8674945949226012</v>
      </c>
      <c r="X50">
        <f t="shared" si="15"/>
        <v>70.046861979854498</v>
      </c>
      <c r="Y50">
        <f t="shared" si="16"/>
        <v>2.4439189537650003</v>
      </c>
      <c r="Z50">
        <f t="shared" si="17"/>
        <v>3.4889770714751962</v>
      </c>
      <c r="AA50">
        <f t="shared" si="18"/>
        <v>1.4235756411576008</v>
      </c>
      <c r="AB50">
        <f t="shared" si="19"/>
        <v>-37.333270490041585</v>
      </c>
      <c r="AC50">
        <f t="shared" si="20"/>
        <v>-218.39567602824692</v>
      </c>
      <c r="AD50">
        <f t="shared" si="21"/>
        <v>-20.563209870255982</v>
      </c>
      <c r="AE50">
        <f t="shared" si="22"/>
        <v>-0.18028357433072983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52682.227917128126</v>
      </c>
      <c r="AK50">
        <f t="shared" si="26"/>
        <v>1799.98</v>
      </c>
      <c r="AL50">
        <f t="shared" si="27"/>
        <v>1499.0964879872799</v>
      </c>
      <c r="AM50">
        <f t="shared" si="28"/>
        <v>0.83284063600000002</v>
      </c>
      <c r="AN50">
        <f t="shared" si="29"/>
        <v>0.15339718930999999</v>
      </c>
      <c r="AO50">
        <v>29.1</v>
      </c>
      <c r="AP50">
        <v>0.5</v>
      </c>
      <c r="AQ50" t="s">
        <v>331</v>
      </c>
      <c r="AR50">
        <v>2</v>
      </c>
      <c r="AS50">
        <v>1690286970.0999999</v>
      </c>
      <c r="AT50">
        <v>644.51800000000003</v>
      </c>
      <c r="AU50">
        <v>800.14499999999998</v>
      </c>
      <c r="AV50">
        <v>24.580200000000001</v>
      </c>
      <c r="AW50">
        <v>16.575700000000001</v>
      </c>
      <c r="AX50">
        <v>645.64800000000002</v>
      </c>
      <c r="AY50">
        <v>24.389099999999999</v>
      </c>
      <c r="AZ50">
        <v>300.19799999999998</v>
      </c>
      <c r="BA50">
        <v>99.326300000000003</v>
      </c>
      <c r="BB50">
        <v>0.100025</v>
      </c>
      <c r="BC50">
        <v>26.566199999999998</v>
      </c>
      <c r="BD50">
        <v>26.976800000000001</v>
      </c>
      <c r="BE50">
        <v>28.722300000000001</v>
      </c>
      <c r="BF50">
        <v>0</v>
      </c>
      <c r="BG50">
        <v>0</v>
      </c>
      <c r="BH50">
        <v>10016.9</v>
      </c>
      <c r="BI50">
        <v>1089.71</v>
      </c>
      <c r="BJ50">
        <v>1.28952</v>
      </c>
      <c r="BK50">
        <v>-155.62700000000001</v>
      </c>
      <c r="BL50">
        <v>660.76</v>
      </c>
      <c r="BM50">
        <v>813.63199999999995</v>
      </c>
      <c r="BN50">
        <v>8.0044599999999999</v>
      </c>
      <c r="BO50">
        <v>800.14499999999998</v>
      </c>
      <c r="BP50">
        <v>16.575700000000001</v>
      </c>
      <c r="BQ50">
        <v>2.4414600000000002</v>
      </c>
      <c r="BR50">
        <v>1.6464099999999999</v>
      </c>
      <c r="BS50">
        <v>20.641400000000001</v>
      </c>
      <c r="BT50">
        <v>14.4001</v>
      </c>
      <c r="BU50">
        <v>1799.98</v>
      </c>
      <c r="BV50">
        <v>0.91000499999999995</v>
      </c>
      <c r="BW50">
        <v>3.3992799999999997E-2</v>
      </c>
      <c r="BX50">
        <v>2.1997300000000001E-2</v>
      </c>
      <c r="BY50">
        <v>3.4005100000000003E-2</v>
      </c>
      <c r="BZ50">
        <v>24</v>
      </c>
      <c r="CA50">
        <v>33528</v>
      </c>
      <c r="CB50">
        <v>1690286268.5999999</v>
      </c>
      <c r="CC50" t="s">
        <v>332</v>
      </c>
      <c r="CD50">
        <v>1690286261.0999999</v>
      </c>
      <c r="CE50">
        <v>1690286268.5999999</v>
      </c>
      <c r="CF50">
        <v>1</v>
      </c>
      <c r="CG50">
        <v>-0.89900000000000002</v>
      </c>
      <c r="CH50">
        <v>3.4000000000000002E-2</v>
      </c>
      <c r="CI50">
        <v>-1.2370000000000001</v>
      </c>
      <c r="CJ50">
        <v>8.5999999999999993E-2</v>
      </c>
      <c r="CK50">
        <v>799</v>
      </c>
      <c r="CL50">
        <v>16</v>
      </c>
      <c r="CM50">
        <v>0.28999999999999998</v>
      </c>
      <c r="CN50">
        <v>0.09</v>
      </c>
      <c r="CO50">
        <v>-149.4385853658537</v>
      </c>
      <c r="CP50">
        <v>-33.912961672473998</v>
      </c>
      <c r="CQ50">
        <v>3.3442592382273171</v>
      </c>
      <c r="CR50">
        <v>-1</v>
      </c>
      <c r="CS50">
        <v>7.7119529268292677</v>
      </c>
      <c r="CT50">
        <v>1.5838923344947859</v>
      </c>
      <c r="CU50">
        <v>0.15618314534223801</v>
      </c>
      <c r="CV50">
        <v>-1</v>
      </c>
      <c r="CW50">
        <v>0</v>
      </c>
      <c r="CX50">
        <v>0</v>
      </c>
      <c r="CY50" t="s">
        <v>333</v>
      </c>
      <c r="CZ50">
        <v>2.3651</v>
      </c>
      <c r="DA50">
        <v>2.7138300000000002</v>
      </c>
      <c r="DB50">
        <v>0.12734899999999999</v>
      </c>
      <c r="DC50">
        <v>0.146926</v>
      </c>
      <c r="DD50">
        <v>0.1163</v>
      </c>
      <c r="DE50">
        <v>8.6631700000000006E-2</v>
      </c>
      <c r="DF50">
        <v>31852.9</v>
      </c>
      <c r="DG50">
        <v>27444.400000000001</v>
      </c>
      <c r="DH50">
        <v>31159</v>
      </c>
      <c r="DI50">
        <v>28030.400000000001</v>
      </c>
      <c r="DJ50">
        <v>37371.1</v>
      </c>
      <c r="DK50">
        <v>36381.599999999999</v>
      </c>
      <c r="DL50">
        <v>44333.2</v>
      </c>
      <c r="DM50">
        <v>42457.7</v>
      </c>
      <c r="DN50">
        <v>1.48102</v>
      </c>
      <c r="DO50">
        <v>2.0947</v>
      </c>
      <c r="DP50">
        <v>7.8048599999999996E-2</v>
      </c>
      <c r="DQ50">
        <v>0.20782300000000001</v>
      </c>
      <c r="DR50">
        <v>25.699000000000002</v>
      </c>
      <c r="DS50">
        <v>25.323699999999999</v>
      </c>
      <c r="DT50">
        <v>69.599999999999994</v>
      </c>
      <c r="DU50">
        <v>24.3</v>
      </c>
      <c r="DV50">
        <v>21.370799999999999</v>
      </c>
      <c r="DW50">
        <v>61.761400000000002</v>
      </c>
      <c r="DX50">
        <v>35.637</v>
      </c>
      <c r="DY50">
        <v>1</v>
      </c>
      <c r="DZ50">
        <v>-0.14005799999999999</v>
      </c>
      <c r="EA50">
        <v>-0.130133</v>
      </c>
      <c r="EB50">
        <v>20.191700000000001</v>
      </c>
      <c r="EC50">
        <v>5.2421499999999996</v>
      </c>
      <c r="ED50">
        <v>12.039899999999999</v>
      </c>
      <c r="EE50">
        <v>5.0167000000000002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1.86873</v>
      </c>
      <c r="EL50">
        <v>1.8643799999999999</v>
      </c>
      <c r="EM50">
        <v>1.8690500000000001</v>
      </c>
      <c r="EN50">
        <v>1.86707</v>
      </c>
      <c r="EO50">
        <v>1.8632500000000001</v>
      </c>
      <c r="EP50">
        <v>1.8642099999999999</v>
      </c>
      <c r="EQ50">
        <v>1.8700600000000001</v>
      </c>
      <c r="ER50">
        <v>1.86924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-1.1299999999999999</v>
      </c>
      <c r="FG50">
        <v>0.19109999999999999</v>
      </c>
      <c r="FH50">
        <v>-0.68620417327404271</v>
      </c>
      <c r="FI50">
        <v>-6.1462078757559423E-4</v>
      </c>
      <c r="FJ50">
        <v>-1.8861989874597051E-7</v>
      </c>
      <c r="FK50">
        <v>1.1980462299894961E-10</v>
      </c>
      <c r="FL50">
        <v>0.1911242781723908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11.8</v>
      </c>
      <c r="FU50">
        <v>11.7</v>
      </c>
      <c r="FV50">
        <v>1.7748999999999999</v>
      </c>
      <c r="FW50">
        <v>2.5512700000000001</v>
      </c>
      <c r="FX50">
        <v>1.5490699999999999</v>
      </c>
      <c r="FY50">
        <v>2.34253</v>
      </c>
      <c r="FZ50">
        <v>1.50146</v>
      </c>
      <c r="GA50">
        <v>2.3877000000000002</v>
      </c>
      <c r="GB50">
        <v>30.0076</v>
      </c>
      <c r="GC50">
        <v>23.982399999999998</v>
      </c>
      <c r="GD50">
        <v>19</v>
      </c>
      <c r="GE50">
        <v>281.85700000000003</v>
      </c>
      <c r="GF50">
        <v>623.53700000000003</v>
      </c>
      <c r="GG50">
        <v>24.950299999999999</v>
      </c>
      <c r="GH50">
        <v>25.684100000000001</v>
      </c>
      <c r="GI50">
        <v>30.000399999999999</v>
      </c>
      <c r="GJ50">
        <v>25.659099999999999</v>
      </c>
      <c r="GK50">
        <v>25.573699999999999</v>
      </c>
      <c r="GL50">
        <v>35.496299999999998</v>
      </c>
      <c r="GM50">
        <v>35.402999999999999</v>
      </c>
      <c r="GN50">
        <v>99.626300000000001</v>
      </c>
      <c r="GO50">
        <v>24.977799999999998</v>
      </c>
      <c r="GP50">
        <v>800</v>
      </c>
      <c r="GQ50">
        <v>16.343800000000002</v>
      </c>
      <c r="GR50">
        <v>99.683599999999998</v>
      </c>
      <c r="GS50">
        <v>99.348200000000006</v>
      </c>
    </row>
    <row r="51" spans="1:201" x14ac:dyDescent="0.25">
      <c r="A51">
        <v>35</v>
      </c>
      <c r="B51">
        <v>1690286980.0999999</v>
      </c>
      <c r="C51">
        <v>441.5</v>
      </c>
      <c r="D51" t="s">
        <v>403</v>
      </c>
      <c r="E51" t="s">
        <v>404</v>
      </c>
      <c r="F51" t="s">
        <v>330</v>
      </c>
      <c r="H51">
        <v>1690286980.0999999</v>
      </c>
      <c r="I51">
        <f t="shared" si="0"/>
        <v>8.7674747449273296E-4</v>
      </c>
      <c r="J51">
        <f t="shared" si="1"/>
        <v>0.87674747449273294</v>
      </c>
      <c r="K51">
        <f t="shared" si="2"/>
        <v>16.040990196991068</v>
      </c>
      <c r="L51">
        <f t="shared" si="3"/>
        <v>639.04300000000001</v>
      </c>
      <c r="M51">
        <f t="shared" si="4"/>
        <v>197.61716218031725</v>
      </c>
      <c r="N51">
        <f t="shared" si="5"/>
        <v>19.648370602304123</v>
      </c>
      <c r="O51">
        <f t="shared" si="6"/>
        <v>63.537769474451196</v>
      </c>
      <c r="P51">
        <f t="shared" si="7"/>
        <v>6.0211694013665558E-2</v>
      </c>
      <c r="Q51">
        <f t="shared" si="8"/>
        <v>2.3001605809539507</v>
      </c>
      <c r="R51">
        <f t="shared" si="9"/>
        <v>5.9349573382459074E-2</v>
      </c>
      <c r="S51">
        <f t="shared" si="10"/>
        <v>3.716991311639891E-2</v>
      </c>
      <c r="T51">
        <f t="shared" si="11"/>
        <v>276.11130879048079</v>
      </c>
      <c r="U51">
        <f t="shared" si="12"/>
        <v>28.311710859055793</v>
      </c>
      <c r="V51">
        <f t="shared" si="13"/>
        <v>28.311710859055793</v>
      </c>
      <c r="W51">
        <f t="shared" si="14"/>
        <v>3.8643473356345091</v>
      </c>
      <c r="X51">
        <f t="shared" si="15"/>
        <v>70.019445095894923</v>
      </c>
      <c r="Y51">
        <f t="shared" si="16"/>
        <v>2.4421420079123202</v>
      </c>
      <c r="Z51">
        <f t="shared" si="17"/>
        <v>3.4878054297169765</v>
      </c>
      <c r="AA51">
        <f t="shared" si="18"/>
        <v>1.4222053277221889</v>
      </c>
      <c r="AB51">
        <f t="shared" si="19"/>
        <v>-38.664563625129524</v>
      </c>
      <c r="AC51">
        <f t="shared" si="20"/>
        <v>-217.16110427023588</v>
      </c>
      <c r="AD51">
        <f t="shared" si="21"/>
        <v>-20.464217940262628</v>
      </c>
      <c r="AE51">
        <f t="shared" si="22"/>
        <v>-0.17857704514725015</v>
      </c>
      <c r="AF51">
        <v>0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52601.126743346416</v>
      </c>
      <c r="AK51">
        <f t="shared" si="26"/>
        <v>1799.98</v>
      </c>
      <c r="AL51">
        <f t="shared" si="27"/>
        <v>1499.09346402088</v>
      </c>
      <c r="AM51">
        <f t="shared" si="28"/>
        <v>0.83283895600000002</v>
      </c>
      <c r="AN51">
        <f t="shared" si="29"/>
        <v>0.15339687595999998</v>
      </c>
      <c r="AO51">
        <v>29.1</v>
      </c>
      <c r="AP51">
        <v>0.5</v>
      </c>
      <c r="AQ51" t="s">
        <v>331</v>
      </c>
      <c r="AR51">
        <v>2</v>
      </c>
      <c r="AS51">
        <v>1690286980.0999999</v>
      </c>
      <c r="AT51">
        <v>639.04300000000001</v>
      </c>
      <c r="AU51">
        <v>800.01199999999994</v>
      </c>
      <c r="AV51">
        <v>24.5623</v>
      </c>
      <c r="AW51">
        <v>16.27</v>
      </c>
      <c r="AX51">
        <v>640.16800000000001</v>
      </c>
      <c r="AY51">
        <v>24.371200000000002</v>
      </c>
      <c r="AZ51">
        <v>300.11799999999999</v>
      </c>
      <c r="BA51">
        <v>99.326499999999996</v>
      </c>
      <c r="BB51">
        <v>9.9938399999999997E-2</v>
      </c>
      <c r="BC51">
        <v>26.560500000000001</v>
      </c>
      <c r="BD51">
        <v>26.950600000000001</v>
      </c>
      <c r="BE51">
        <v>28.765999999999998</v>
      </c>
      <c r="BF51">
        <v>0</v>
      </c>
      <c r="BG51">
        <v>0</v>
      </c>
      <c r="BH51">
        <v>10000.6</v>
      </c>
      <c r="BI51">
        <v>1089.3399999999999</v>
      </c>
      <c r="BJ51">
        <v>1.28952</v>
      </c>
      <c r="BK51">
        <v>-160.97</v>
      </c>
      <c r="BL51">
        <v>655.13400000000001</v>
      </c>
      <c r="BM51">
        <v>813.24400000000003</v>
      </c>
      <c r="BN51">
        <v>8.2922999999999991</v>
      </c>
      <c r="BO51">
        <v>800.01199999999994</v>
      </c>
      <c r="BP51">
        <v>16.27</v>
      </c>
      <c r="BQ51">
        <v>2.4396900000000001</v>
      </c>
      <c r="BR51">
        <v>1.61605</v>
      </c>
      <c r="BS51">
        <v>20.6297</v>
      </c>
      <c r="BT51">
        <v>14.1127</v>
      </c>
      <c r="BU51">
        <v>1799.98</v>
      </c>
      <c r="BV51">
        <v>0.91000300000000001</v>
      </c>
      <c r="BW51">
        <v>3.4006000000000002E-2</v>
      </c>
      <c r="BX51">
        <v>2.19928E-2</v>
      </c>
      <c r="BY51">
        <v>3.3998E-2</v>
      </c>
      <c r="BZ51">
        <v>24</v>
      </c>
      <c r="CA51">
        <v>33528</v>
      </c>
      <c r="CB51">
        <v>1690286268.5999999</v>
      </c>
      <c r="CC51" t="s">
        <v>332</v>
      </c>
      <c r="CD51">
        <v>1690286261.0999999</v>
      </c>
      <c r="CE51">
        <v>1690286268.5999999</v>
      </c>
      <c r="CF51">
        <v>1</v>
      </c>
      <c r="CG51">
        <v>-0.89900000000000002</v>
      </c>
      <c r="CH51">
        <v>3.4000000000000002E-2</v>
      </c>
      <c r="CI51">
        <v>-1.2370000000000001</v>
      </c>
      <c r="CJ51">
        <v>8.5999999999999993E-2</v>
      </c>
      <c r="CK51">
        <v>799</v>
      </c>
      <c r="CL51">
        <v>16</v>
      </c>
      <c r="CM51">
        <v>0.28999999999999998</v>
      </c>
      <c r="CN51">
        <v>0.09</v>
      </c>
      <c r="CO51">
        <v>-155.44390000000001</v>
      </c>
      <c r="CP51">
        <v>-33.113696060037149</v>
      </c>
      <c r="CQ51">
        <v>3.1856981008877781</v>
      </c>
      <c r="CR51">
        <v>-1</v>
      </c>
      <c r="CS51">
        <v>8.002009000000001</v>
      </c>
      <c r="CT51">
        <v>1.655624240150104</v>
      </c>
      <c r="CU51">
        <v>0.1593155171005009</v>
      </c>
      <c r="CV51">
        <v>-1</v>
      </c>
      <c r="CW51">
        <v>0</v>
      </c>
      <c r="CX51">
        <v>0</v>
      </c>
      <c r="CY51" t="s">
        <v>333</v>
      </c>
      <c r="CZ51">
        <v>2.3648400000000001</v>
      </c>
      <c r="DA51">
        <v>2.71373</v>
      </c>
      <c r="DB51">
        <v>0.12659500000000001</v>
      </c>
      <c r="DC51">
        <v>0.146902</v>
      </c>
      <c r="DD51">
        <v>0.116239</v>
      </c>
      <c r="DE51">
        <v>8.5469000000000003E-2</v>
      </c>
      <c r="DF51">
        <v>31880.5</v>
      </c>
      <c r="DG51">
        <v>27445.1</v>
      </c>
      <c r="DH51">
        <v>31159</v>
      </c>
      <c r="DI51">
        <v>28030.3</v>
      </c>
      <c r="DJ51">
        <v>37373.699999999997</v>
      </c>
      <c r="DK51">
        <v>36427.9</v>
      </c>
      <c r="DL51">
        <v>44333.4</v>
      </c>
      <c r="DM51">
        <v>42457.599999999999</v>
      </c>
      <c r="DN51">
        <v>1.4809699999999999</v>
      </c>
      <c r="DO51">
        <v>2.0941999999999998</v>
      </c>
      <c r="DP51">
        <v>7.7012899999999995E-2</v>
      </c>
      <c r="DQ51">
        <v>0.211149</v>
      </c>
      <c r="DR51">
        <v>25.689800000000002</v>
      </c>
      <c r="DS51">
        <v>25.312999999999999</v>
      </c>
      <c r="DT51">
        <v>69.599999999999994</v>
      </c>
      <c r="DU51">
        <v>24.4</v>
      </c>
      <c r="DV51">
        <v>21.499500000000001</v>
      </c>
      <c r="DW51">
        <v>62.051400000000001</v>
      </c>
      <c r="DX51">
        <v>36.041699999999999</v>
      </c>
      <c r="DY51">
        <v>1</v>
      </c>
      <c r="DZ51">
        <v>-0.13961899999999999</v>
      </c>
      <c r="EA51">
        <v>-0.144289</v>
      </c>
      <c r="EB51">
        <v>20.191700000000001</v>
      </c>
      <c r="EC51">
        <v>5.2423000000000002</v>
      </c>
      <c r="ED51">
        <v>12.039899999999999</v>
      </c>
      <c r="EE51">
        <v>5.0163500000000001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1.8687400000000001</v>
      </c>
      <c r="EL51">
        <v>1.86439</v>
      </c>
      <c r="EM51">
        <v>1.8690500000000001</v>
      </c>
      <c r="EN51">
        <v>1.86707</v>
      </c>
      <c r="EO51">
        <v>1.8632500000000001</v>
      </c>
      <c r="EP51">
        <v>1.86422</v>
      </c>
      <c r="EQ51">
        <v>1.87008</v>
      </c>
      <c r="ER51">
        <v>1.8692500000000001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-1.125</v>
      </c>
      <c r="FG51">
        <v>0.19109999999999999</v>
      </c>
      <c r="FH51">
        <v>-0.68620417327404271</v>
      </c>
      <c r="FI51">
        <v>-6.1462078757559423E-4</v>
      </c>
      <c r="FJ51">
        <v>-1.8861989874597051E-7</v>
      </c>
      <c r="FK51">
        <v>1.1980462299894961E-10</v>
      </c>
      <c r="FL51">
        <v>0.1911242781723908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12</v>
      </c>
      <c r="FU51">
        <v>11.9</v>
      </c>
      <c r="FV51">
        <v>1.7748999999999999</v>
      </c>
      <c r="FW51">
        <v>2.5598100000000001</v>
      </c>
      <c r="FX51">
        <v>1.5490699999999999</v>
      </c>
      <c r="FY51">
        <v>2.34253</v>
      </c>
      <c r="FZ51">
        <v>1.50146</v>
      </c>
      <c r="GA51">
        <v>2.2448700000000001</v>
      </c>
      <c r="GB51">
        <v>30.029</v>
      </c>
      <c r="GC51">
        <v>23.982399999999998</v>
      </c>
      <c r="GD51">
        <v>19</v>
      </c>
      <c r="GE51">
        <v>281.858</v>
      </c>
      <c r="GF51">
        <v>623.18200000000002</v>
      </c>
      <c r="GG51">
        <v>24.999199999999998</v>
      </c>
      <c r="GH51">
        <v>25.684100000000001</v>
      </c>
      <c r="GI51">
        <v>30.000399999999999</v>
      </c>
      <c r="GJ51">
        <v>25.664000000000001</v>
      </c>
      <c r="GK51">
        <v>25.580100000000002</v>
      </c>
      <c r="GL51">
        <v>35.49</v>
      </c>
      <c r="GM51">
        <v>36.553199999999997</v>
      </c>
      <c r="GN51">
        <v>99.254800000000003</v>
      </c>
      <c r="GO51">
        <v>25.028500000000001</v>
      </c>
      <c r="GP51">
        <v>800</v>
      </c>
      <c r="GQ51">
        <v>16.051100000000002</v>
      </c>
      <c r="GR51">
        <v>99.683899999999994</v>
      </c>
      <c r="GS51">
        <v>99.347700000000003</v>
      </c>
    </row>
    <row r="52" spans="1:201" x14ac:dyDescent="0.25">
      <c r="A52">
        <v>36</v>
      </c>
      <c r="B52">
        <v>1690286990.0999999</v>
      </c>
      <c r="C52">
        <v>451.5</v>
      </c>
      <c r="D52" t="s">
        <v>405</v>
      </c>
      <c r="E52" t="s">
        <v>406</v>
      </c>
      <c r="F52" t="s">
        <v>330</v>
      </c>
      <c r="H52">
        <v>1690286990.0999999</v>
      </c>
      <c r="I52">
        <f t="shared" si="0"/>
        <v>9.0674579402631403E-4</v>
      </c>
      <c r="J52">
        <f t="shared" si="1"/>
        <v>0.90674579402631406</v>
      </c>
      <c r="K52">
        <f t="shared" si="2"/>
        <v>16.583470165378372</v>
      </c>
      <c r="L52">
        <f t="shared" si="3"/>
        <v>633.64700000000005</v>
      </c>
      <c r="M52">
        <f t="shared" si="4"/>
        <v>192.17003508043703</v>
      </c>
      <c r="N52">
        <f t="shared" si="5"/>
        <v>19.107003957905398</v>
      </c>
      <c r="O52">
        <f t="shared" si="6"/>
        <v>63.001995768212204</v>
      </c>
      <c r="P52">
        <f t="shared" si="7"/>
        <v>6.2247981350258913E-2</v>
      </c>
      <c r="Q52">
        <f t="shared" si="8"/>
        <v>2.3033425726547274</v>
      </c>
      <c r="R52">
        <f t="shared" si="9"/>
        <v>6.132829577141434E-2</v>
      </c>
      <c r="S52">
        <f t="shared" si="10"/>
        <v>3.841168299701736E-2</v>
      </c>
      <c r="T52">
        <f t="shared" si="11"/>
        <v>276.11335270377043</v>
      </c>
      <c r="U52">
        <f t="shared" si="12"/>
        <v>28.309254496437386</v>
      </c>
      <c r="V52">
        <f t="shared" si="13"/>
        <v>28.309254496437386</v>
      </c>
      <c r="W52">
        <f t="shared" si="14"/>
        <v>3.8637952855071371</v>
      </c>
      <c r="X52">
        <f t="shared" si="15"/>
        <v>69.928934419217185</v>
      </c>
      <c r="Y52">
        <f t="shared" si="16"/>
        <v>2.4403508327743997</v>
      </c>
      <c r="Z52">
        <f t="shared" si="17"/>
        <v>3.4897583568837658</v>
      </c>
      <c r="AA52">
        <f t="shared" si="18"/>
        <v>1.4234444527327375</v>
      </c>
      <c r="AB52">
        <f t="shared" si="19"/>
        <v>-39.987489516560451</v>
      </c>
      <c r="AC52">
        <f t="shared" si="20"/>
        <v>-215.97680531605451</v>
      </c>
      <c r="AD52">
        <f t="shared" si="21"/>
        <v>-20.32521124525989</v>
      </c>
      <c r="AE52">
        <f t="shared" si="22"/>
        <v>-0.17615337410441612</v>
      </c>
      <c r="AF52">
        <v>0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52720.061783355064</v>
      </c>
      <c r="AK52">
        <f t="shared" si="26"/>
        <v>1799.98</v>
      </c>
      <c r="AL52">
        <f t="shared" si="27"/>
        <v>1499.09717557964</v>
      </c>
      <c r="AM52">
        <f t="shared" si="28"/>
        <v>0.83284101799999999</v>
      </c>
      <c r="AN52">
        <f t="shared" si="29"/>
        <v>0.15339801148000001</v>
      </c>
      <c r="AO52">
        <v>29.1</v>
      </c>
      <c r="AP52">
        <v>0.5</v>
      </c>
      <c r="AQ52" t="s">
        <v>331</v>
      </c>
      <c r="AR52">
        <v>2</v>
      </c>
      <c r="AS52">
        <v>1690286990.0999999</v>
      </c>
      <c r="AT52">
        <v>633.64700000000005</v>
      </c>
      <c r="AU52">
        <v>800.005</v>
      </c>
      <c r="AV52">
        <v>24.544</v>
      </c>
      <c r="AW52">
        <v>15.968299999999999</v>
      </c>
      <c r="AX52">
        <v>634.76900000000001</v>
      </c>
      <c r="AY52">
        <v>24.352900000000002</v>
      </c>
      <c r="AZ52">
        <v>300.13499999999999</v>
      </c>
      <c r="BA52">
        <v>99.327600000000004</v>
      </c>
      <c r="BB52">
        <v>9.9992600000000001E-2</v>
      </c>
      <c r="BC52">
        <v>26.57</v>
      </c>
      <c r="BD52">
        <v>26.9617</v>
      </c>
      <c r="BE52">
        <v>28.762</v>
      </c>
      <c r="BF52">
        <v>0</v>
      </c>
      <c r="BG52">
        <v>0</v>
      </c>
      <c r="BH52">
        <v>10024.4</v>
      </c>
      <c r="BI52">
        <v>1088.8800000000001</v>
      </c>
      <c r="BJ52">
        <v>1.28952</v>
      </c>
      <c r="BK52">
        <v>-166.357</v>
      </c>
      <c r="BL52">
        <v>649.59100000000001</v>
      </c>
      <c r="BM52">
        <v>812.98699999999997</v>
      </c>
      <c r="BN52">
        <v>8.5756700000000006</v>
      </c>
      <c r="BO52">
        <v>800.005</v>
      </c>
      <c r="BP52">
        <v>15.968299999999999</v>
      </c>
      <c r="BQ52">
        <v>2.4378899999999999</v>
      </c>
      <c r="BR52">
        <v>1.58609</v>
      </c>
      <c r="BS52">
        <v>20.617699999999999</v>
      </c>
      <c r="BT52">
        <v>13.824400000000001</v>
      </c>
      <c r="BU52">
        <v>1799.98</v>
      </c>
      <c r="BV52">
        <v>0.91</v>
      </c>
      <c r="BW52">
        <v>3.39992E-2</v>
      </c>
      <c r="BX52">
        <v>2.2009399999999998E-2</v>
      </c>
      <c r="BY52">
        <v>3.3991199999999999E-2</v>
      </c>
      <c r="BZ52">
        <v>24</v>
      </c>
      <c r="CA52">
        <v>33528</v>
      </c>
      <c r="CB52">
        <v>1690286268.5999999</v>
      </c>
      <c r="CC52" t="s">
        <v>332</v>
      </c>
      <c r="CD52">
        <v>1690286261.0999999</v>
      </c>
      <c r="CE52">
        <v>1690286268.5999999</v>
      </c>
      <c r="CF52">
        <v>1</v>
      </c>
      <c r="CG52">
        <v>-0.89900000000000002</v>
      </c>
      <c r="CH52">
        <v>3.4000000000000002E-2</v>
      </c>
      <c r="CI52">
        <v>-1.2370000000000001</v>
      </c>
      <c r="CJ52">
        <v>8.5999999999999993E-2</v>
      </c>
      <c r="CK52">
        <v>799</v>
      </c>
      <c r="CL52">
        <v>16</v>
      </c>
      <c r="CM52">
        <v>0.28999999999999998</v>
      </c>
      <c r="CN52">
        <v>0.09</v>
      </c>
      <c r="CO52">
        <v>-160.35627500000001</v>
      </c>
      <c r="CP52">
        <v>-32.322990619136931</v>
      </c>
      <c r="CQ52">
        <v>3.109523854125416</v>
      </c>
      <c r="CR52">
        <v>-1</v>
      </c>
      <c r="CS52">
        <v>8.2519257499999998</v>
      </c>
      <c r="CT52">
        <v>1.686775947467162</v>
      </c>
      <c r="CU52">
        <v>0.16227535157699541</v>
      </c>
      <c r="CV52">
        <v>-1</v>
      </c>
      <c r="CW52">
        <v>0</v>
      </c>
      <c r="CX52">
        <v>0</v>
      </c>
      <c r="CY52" t="s">
        <v>333</v>
      </c>
      <c r="CZ52">
        <v>2.3648600000000002</v>
      </c>
      <c r="DA52">
        <v>2.7138</v>
      </c>
      <c r="DB52">
        <v>0.12584999999999999</v>
      </c>
      <c r="DC52">
        <v>0.146894</v>
      </c>
      <c r="DD52">
        <v>0.116178</v>
      </c>
      <c r="DE52">
        <v>8.43135E-2</v>
      </c>
      <c r="DF52">
        <v>31907.5</v>
      </c>
      <c r="DG52">
        <v>27445.9</v>
      </c>
      <c r="DH52">
        <v>31158.799999999999</v>
      </c>
      <c r="DI52">
        <v>28030.9</v>
      </c>
      <c r="DJ52">
        <v>37376.199999999997</v>
      </c>
      <c r="DK52">
        <v>36474.9</v>
      </c>
      <c r="DL52">
        <v>44333.3</v>
      </c>
      <c r="DM52">
        <v>42458.6</v>
      </c>
      <c r="DN52">
        <v>1.4811700000000001</v>
      </c>
      <c r="DO52">
        <v>2.0935800000000002</v>
      </c>
      <c r="DP52">
        <v>7.8123100000000001E-2</v>
      </c>
      <c r="DQ52">
        <v>0.21133199999999999</v>
      </c>
      <c r="DR52">
        <v>25.682700000000001</v>
      </c>
      <c r="DS52">
        <v>25.306000000000001</v>
      </c>
      <c r="DT52">
        <v>69.599999999999994</v>
      </c>
      <c r="DU52">
        <v>24.4</v>
      </c>
      <c r="DV52">
        <v>21.4937</v>
      </c>
      <c r="DW52">
        <v>62.311399999999999</v>
      </c>
      <c r="DX52">
        <v>36.185899999999997</v>
      </c>
      <c r="DY52">
        <v>1</v>
      </c>
      <c r="DZ52">
        <v>-0.13916200000000001</v>
      </c>
      <c r="EA52">
        <v>-0.20869299999999999</v>
      </c>
      <c r="EB52">
        <v>20.1919</v>
      </c>
      <c r="EC52">
        <v>5.2418500000000003</v>
      </c>
      <c r="ED52">
        <v>12.039899999999999</v>
      </c>
      <c r="EE52">
        <v>5.0168499999999998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1.8687400000000001</v>
      </c>
      <c r="EL52">
        <v>1.8643799999999999</v>
      </c>
      <c r="EM52">
        <v>1.8690500000000001</v>
      </c>
      <c r="EN52">
        <v>1.86707</v>
      </c>
      <c r="EO52">
        <v>1.86324</v>
      </c>
      <c r="EP52">
        <v>1.8642000000000001</v>
      </c>
      <c r="EQ52">
        <v>1.87005</v>
      </c>
      <c r="ER52">
        <v>1.86924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-1.1220000000000001</v>
      </c>
      <c r="FG52">
        <v>0.19109999999999999</v>
      </c>
      <c r="FH52">
        <v>-0.68620417327404271</v>
      </c>
      <c r="FI52">
        <v>-6.1462078757559423E-4</v>
      </c>
      <c r="FJ52">
        <v>-1.8861989874597051E-7</v>
      </c>
      <c r="FK52">
        <v>1.1980462299894961E-10</v>
      </c>
      <c r="FL52">
        <v>0.1911242781723908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12.2</v>
      </c>
      <c r="FU52">
        <v>12</v>
      </c>
      <c r="FV52">
        <v>1.7748999999999999</v>
      </c>
      <c r="FW52">
        <v>2.5622600000000002</v>
      </c>
      <c r="FX52">
        <v>1.5490699999999999</v>
      </c>
      <c r="FY52">
        <v>2.34253</v>
      </c>
      <c r="FZ52">
        <v>1.50146</v>
      </c>
      <c r="GA52">
        <v>2.36694</v>
      </c>
      <c r="GB52">
        <v>30.029</v>
      </c>
      <c r="GC52">
        <v>23.982399999999998</v>
      </c>
      <c r="GD52">
        <v>19</v>
      </c>
      <c r="GE52">
        <v>281.96600000000001</v>
      </c>
      <c r="GF52">
        <v>622.73</v>
      </c>
      <c r="GG52">
        <v>25.050899999999999</v>
      </c>
      <c r="GH52">
        <v>25.684100000000001</v>
      </c>
      <c r="GI52">
        <v>30.000399999999999</v>
      </c>
      <c r="GJ52">
        <v>25.6693</v>
      </c>
      <c r="GK52">
        <v>25.587499999999999</v>
      </c>
      <c r="GL52">
        <v>35.487000000000002</v>
      </c>
      <c r="GM52">
        <v>37.723500000000001</v>
      </c>
      <c r="GN52">
        <v>99.254800000000003</v>
      </c>
      <c r="GO52">
        <v>25.079899999999999</v>
      </c>
      <c r="GP52">
        <v>800</v>
      </c>
      <c r="GQ52">
        <v>15.763</v>
      </c>
      <c r="GR52">
        <v>99.683499999999995</v>
      </c>
      <c r="GS52">
        <v>99.35</v>
      </c>
    </row>
    <row r="53" spans="1:201" x14ac:dyDescent="0.25">
      <c r="A53">
        <v>37</v>
      </c>
      <c r="B53">
        <v>1690287000.0999999</v>
      </c>
      <c r="C53">
        <v>461.5</v>
      </c>
      <c r="D53" t="s">
        <v>407</v>
      </c>
      <c r="E53" t="s">
        <v>408</v>
      </c>
      <c r="F53" t="s">
        <v>330</v>
      </c>
      <c r="H53">
        <v>1690287000.0999999</v>
      </c>
      <c r="I53">
        <f t="shared" si="0"/>
        <v>9.3585080587409771E-4</v>
      </c>
      <c r="J53">
        <f t="shared" si="1"/>
        <v>0.93585080587409775</v>
      </c>
      <c r="K53">
        <f t="shared" si="2"/>
        <v>17.127652562009956</v>
      </c>
      <c r="L53">
        <f t="shared" si="3"/>
        <v>628.33399999999995</v>
      </c>
      <c r="M53">
        <f t="shared" si="4"/>
        <v>186.7062880703576</v>
      </c>
      <c r="N53">
        <f t="shared" si="5"/>
        <v>18.563353721924326</v>
      </c>
      <c r="O53">
        <f t="shared" si="6"/>
        <v>62.47238064695599</v>
      </c>
      <c r="P53">
        <f t="shared" si="7"/>
        <v>6.4276153289465218E-2</v>
      </c>
      <c r="Q53">
        <f t="shared" si="8"/>
        <v>2.3021426887913217</v>
      </c>
      <c r="R53">
        <f t="shared" si="9"/>
        <v>6.3295567049943352E-2</v>
      </c>
      <c r="S53">
        <f t="shared" si="10"/>
        <v>3.9646584995111554E-2</v>
      </c>
      <c r="T53">
        <f t="shared" si="11"/>
        <v>276.11268804315557</v>
      </c>
      <c r="U53">
        <f t="shared" si="12"/>
        <v>28.302117760981368</v>
      </c>
      <c r="V53">
        <f t="shared" si="13"/>
        <v>28.302117760981368</v>
      </c>
      <c r="W53">
        <f t="shared" si="14"/>
        <v>3.8621917449583538</v>
      </c>
      <c r="X53">
        <f t="shared" si="15"/>
        <v>69.876224990697395</v>
      </c>
      <c r="Y53">
        <f t="shared" si="16"/>
        <v>2.4387269302387997</v>
      </c>
      <c r="Z53">
        <f t="shared" si="17"/>
        <v>3.4900668010664093</v>
      </c>
      <c r="AA53">
        <f t="shared" si="18"/>
        <v>1.4234648147195541</v>
      </c>
      <c r="AB53">
        <f t="shared" si="19"/>
        <v>-41.271020539047711</v>
      </c>
      <c r="AC53">
        <f t="shared" si="20"/>
        <v>-214.79236402467862</v>
      </c>
      <c r="AD53">
        <f t="shared" si="21"/>
        <v>-20.223710117761275</v>
      </c>
      <c r="AE53">
        <f t="shared" si="22"/>
        <v>-0.17440663833204439</v>
      </c>
      <c r="AF53">
        <v>0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52674.263666657811</v>
      </c>
      <c r="AK53">
        <f t="shared" si="26"/>
        <v>1799.98</v>
      </c>
      <c r="AL53">
        <f t="shared" si="27"/>
        <v>1499.0970657808598</v>
      </c>
      <c r="AM53">
        <f t="shared" si="28"/>
        <v>0.83284095699999994</v>
      </c>
      <c r="AN53">
        <f t="shared" si="29"/>
        <v>0.15339764221999999</v>
      </c>
      <c r="AO53">
        <v>29.1</v>
      </c>
      <c r="AP53">
        <v>0.5</v>
      </c>
      <c r="AQ53" t="s">
        <v>331</v>
      </c>
      <c r="AR53">
        <v>2</v>
      </c>
      <c r="AS53">
        <v>1690287000.0999999</v>
      </c>
      <c r="AT53">
        <v>628.33399999999995</v>
      </c>
      <c r="AU53">
        <v>800.02099999999996</v>
      </c>
      <c r="AV53">
        <v>24.528199999999998</v>
      </c>
      <c r="AW53">
        <v>15.681100000000001</v>
      </c>
      <c r="AX53">
        <v>629.452</v>
      </c>
      <c r="AY53">
        <v>24.3371</v>
      </c>
      <c r="AZ53">
        <v>300.27100000000002</v>
      </c>
      <c r="BA53">
        <v>99.325400000000002</v>
      </c>
      <c r="BB53">
        <v>0.100034</v>
      </c>
      <c r="BC53">
        <v>26.5715</v>
      </c>
      <c r="BD53">
        <v>26.9328</v>
      </c>
      <c r="BE53">
        <v>28.747699999999998</v>
      </c>
      <c r="BF53">
        <v>0</v>
      </c>
      <c r="BG53">
        <v>0</v>
      </c>
      <c r="BH53">
        <v>10015.6</v>
      </c>
      <c r="BI53">
        <v>1088.48</v>
      </c>
      <c r="BJ53">
        <v>1.28952</v>
      </c>
      <c r="BK53">
        <v>-171.68700000000001</v>
      </c>
      <c r="BL53">
        <v>644.13300000000004</v>
      </c>
      <c r="BM53">
        <v>812.76599999999996</v>
      </c>
      <c r="BN53">
        <v>8.8471499999999992</v>
      </c>
      <c r="BO53">
        <v>800.02099999999996</v>
      </c>
      <c r="BP53">
        <v>15.681100000000001</v>
      </c>
      <c r="BQ53">
        <v>2.4362699999999999</v>
      </c>
      <c r="BR53">
        <v>1.5575300000000001</v>
      </c>
      <c r="BS53">
        <v>20.6069</v>
      </c>
      <c r="BT53">
        <v>13.5449</v>
      </c>
      <c r="BU53">
        <v>1799.98</v>
      </c>
      <c r="BV53">
        <v>0.91000300000000001</v>
      </c>
      <c r="BW53">
        <v>3.3992500000000002E-2</v>
      </c>
      <c r="BX53">
        <v>2.20051E-2</v>
      </c>
      <c r="BY53">
        <v>3.3999000000000001E-2</v>
      </c>
      <c r="BZ53">
        <v>24</v>
      </c>
      <c r="CA53">
        <v>33528.1</v>
      </c>
      <c r="CB53">
        <v>1690286268.5999999</v>
      </c>
      <c r="CC53" t="s">
        <v>332</v>
      </c>
      <c r="CD53">
        <v>1690286261.0999999</v>
      </c>
      <c r="CE53">
        <v>1690286268.5999999</v>
      </c>
      <c r="CF53">
        <v>1</v>
      </c>
      <c r="CG53">
        <v>-0.89900000000000002</v>
      </c>
      <c r="CH53">
        <v>3.4000000000000002E-2</v>
      </c>
      <c r="CI53">
        <v>-1.2370000000000001</v>
      </c>
      <c r="CJ53">
        <v>8.5999999999999993E-2</v>
      </c>
      <c r="CK53">
        <v>799</v>
      </c>
      <c r="CL53">
        <v>16</v>
      </c>
      <c r="CM53">
        <v>0.28999999999999998</v>
      </c>
      <c r="CN53">
        <v>0.09</v>
      </c>
      <c r="CO53">
        <v>-165.83053658536579</v>
      </c>
      <c r="CP53">
        <v>-31.93762369338004</v>
      </c>
      <c r="CQ53">
        <v>3.1494125282426499</v>
      </c>
      <c r="CR53">
        <v>-1</v>
      </c>
      <c r="CS53">
        <v>8.5417043902439023</v>
      </c>
      <c r="CT53">
        <v>1.69299156794424</v>
      </c>
      <c r="CU53">
        <v>0.1669883617537869</v>
      </c>
      <c r="CV53">
        <v>-1</v>
      </c>
      <c r="CW53">
        <v>0</v>
      </c>
      <c r="CX53">
        <v>0</v>
      </c>
      <c r="CY53" t="s">
        <v>333</v>
      </c>
      <c r="CZ53">
        <v>2.3653</v>
      </c>
      <c r="DA53">
        <v>2.7138399999999998</v>
      </c>
      <c r="DB53">
        <v>0.12511</v>
      </c>
      <c r="DC53">
        <v>0.14688499999999999</v>
      </c>
      <c r="DD53">
        <v>0.116121</v>
      </c>
      <c r="DE53">
        <v>8.3203100000000002E-2</v>
      </c>
      <c r="DF53">
        <v>31934.9</v>
      </c>
      <c r="DG53">
        <v>27446.400000000001</v>
      </c>
      <c r="DH53">
        <v>31159.200000000001</v>
      </c>
      <c r="DI53">
        <v>28031.1</v>
      </c>
      <c r="DJ53">
        <v>37378.9</v>
      </c>
      <c r="DK53">
        <v>36519.4</v>
      </c>
      <c r="DL53">
        <v>44333.8</v>
      </c>
      <c r="DM53">
        <v>42458.8</v>
      </c>
      <c r="DN53">
        <v>1.4815799999999999</v>
      </c>
      <c r="DO53">
        <v>2.0929000000000002</v>
      </c>
      <c r="DP53">
        <v>7.6815499999999995E-2</v>
      </c>
      <c r="DQ53">
        <v>0.21084800000000001</v>
      </c>
      <c r="DR53">
        <v>25.6752</v>
      </c>
      <c r="DS53">
        <v>25.299600000000002</v>
      </c>
      <c r="DT53">
        <v>69.599999999999994</v>
      </c>
      <c r="DU53">
        <v>24.4</v>
      </c>
      <c r="DV53">
        <v>21.499099999999999</v>
      </c>
      <c r="DW53">
        <v>62.391399999999997</v>
      </c>
      <c r="DX53">
        <v>35.781199999999998</v>
      </c>
      <c r="DY53">
        <v>1</v>
      </c>
      <c r="DZ53">
        <v>-0.139317</v>
      </c>
      <c r="EA53">
        <v>-0.28549000000000002</v>
      </c>
      <c r="EB53">
        <v>20.191400000000002</v>
      </c>
      <c r="EC53">
        <v>5.2421499999999996</v>
      </c>
      <c r="ED53">
        <v>12.039899999999999</v>
      </c>
      <c r="EE53">
        <v>5.01675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1.8687400000000001</v>
      </c>
      <c r="EL53">
        <v>1.86439</v>
      </c>
      <c r="EM53">
        <v>1.8690500000000001</v>
      </c>
      <c r="EN53">
        <v>1.86707</v>
      </c>
      <c r="EO53">
        <v>1.8632500000000001</v>
      </c>
      <c r="EP53">
        <v>1.8642000000000001</v>
      </c>
      <c r="EQ53">
        <v>1.8700699999999999</v>
      </c>
      <c r="ER53">
        <v>1.86927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-1.1180000000000001</v>
      </c>
      <c r="FG53">
        <v>0.19109999999999999</v>
      </c>
      <c r="FH53">
        <v>-0.68620417327404271</v>
      </c>
      <c r="FI53">
        <v>-6.1462078757559423E-4</v>
      </c>
      <c r="FJ53">
        <v>-1.8861989874597051E-7</v>
      </c>
      <c r="FK53">
        <v>1.1980462299894961E-10</v>
      </c>
      <c r="FL53">
        <v>0.1911242781723908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12.3</v>
      </c>
      <c r="FU53">
        <v>12.2</v>
      </c>
      <c r="FV53">
        <v>1.7748999999999999</v>
      </c>
      <c r="FW53">
        <v>2.5598100000000001</v>
      </c>
      <c r="FX53">
        <v>1.5490699999999999</v>
      </c>
      <c r="FY53">
        <v>2.34253</v>
      </c>
      <c r="FZ53">
        <v>1.50146</v>
      </c>
      <c r="GA53">
        <v>2.2851599999999999</v>
      </c>
      <c r="GB53">
        <v>30.0504</v>
      </c>
      <c r="GC53">
        <v>23.991199999999999</v>
      </c>
      <c r="GD53">
        <v>19</v>
      </c>
      <c r="GE53">
        <v>282.15699999999998</v>
      </c>
      <c r="GF53">
        <v>622.22299999999996</v>
      </c>
      <c r="GG53">
        <v>25.110800000000001</v>
      </c>
      <c r="GH53">
        <v>25.684100000000001</v>
      </c>
      <c r="GI53">
        <v>30.0001</v>
      </c>
      <c r="GJ53">
        <v>25.674199999999999</v>
      </c>
      <c r="GK53">
        <v>25.593900000000001</v>
      </c>
      <c r="GL53">
        <v>35.488399999999999</v>
      </c>
      <c r="GM53">
        <v>38.605600000000003</v>
      </c>
      <c r="GN53">
        <v>98.877899999999997</v>
      </c>
      <c r="GO53">
        <v>25.1647</v>
      </c>
      <c r="GP53">
        <v>800</v>
      </c>
      <c r="GQ53">
        <v>15.476100000000001</v>
      </c>
      <c r="GR53">
        <v>99.684700000000007</v>
      </c>
      <c r="GS53">
        <v>99.3506</v>
      </c>
    </row>
    <row r="54" spans="1:201" x14ac:dyDescent="0.25">
      <c r="A54">
        <v>38</v>
      </c>
      <c r="B54">
        <v>1690287010.0999999</v>
      </c>
      <c r="C54">
        <v>471.5</v>
      </c>
      <c r="D54" t="s">
        <v>409</v>
      </c>
      <c r="E54" t="s">
        <v>410</v>
      </c>
      <c r="F54" t="s">
        <v>330</v>
      </c>
      <c r="H54">
        <v>1690287010.0999999</v>
      </c>
      <c r="I54">
        <f t="shared" si="0"/>
        <v>9.653002745080814E-4</v>
      </c>
      <c r="J54">
        <f t="shared" si="1"/>
        <v>0.96530027450808142</v>
      </c>
      <c r="K54">
        <f t="shared" si="2"/>
        <v>17.638748313435919</v>
      </c>
      <c r="L54">
        <f t="shared" si="3"/>
        <v>623.05200000000002</v>
      </c>
      <c r="M54">
        <f t="shared" si="4"/>
        <v>182.3302651038706</v>
      </c>
      <c r="N54">
        <f t="shared" si="5"/>
        <v>18.128666318879823</v>
      </c>
      <c r="O54">
        <f t="shared" si="6"/>
        <v>61.948584349812009</v>
      </c>
      <c r="P54">
        <f t="shared" si="7"/>
        <v>6.6343565213073816E-2</v>
      </c>
      <c r="Q54">
        <f t="shared" si="8"/>
        <v>2.3014269882042986</v>
      </c>
      <c r="R54">
        <f t="shared" si="9"/>
        <v>6.529911755161838E-2</v>
      </c>
      <c r="S54">
        <f t="shared" si="10"/>
        <v>4.0904418245855376E-2</v>
      </c>
      <c r="T54">
        <f t="shared" si="11"/>
        <v>276.11267574929218</v>
      </c>
      <c r="U54">
        <f t="shared" si="12"/>
        <v>28.29543298045985</v>
      </c>
      <c r="V54">
        <f t="shared" si="13"/>
        <v>28.29543298045985</v>
      </c>
      <c r="W54">
        <f t="shared" si="14"/>
        <v>3.8606902799371348</v>
      </c>
      <c r="X54">
        <f t="shared" si="15"/>
        <v>69.829149209332869</v>
      </c>
      <c r="Y54">
        <f t="shared" si="16"/>
        <v>2.4374286029126</v>
      </c>
      <c r="Z54">
        <f t="shared" si="17"/>
        <v>3.4905603612693459</v>
      </c>
      <c r="AA54">
        <f t="shared" si="18"/>
        <v>1.4232616770245348</v>
      </c>
      <c r="AB54">
        <f t="shared" si="19"/>
        <v>-42.569742105806391</v>
      </c>
      <c r="AC54">
        <f t="shared" si="20"/>
        <v>-213.59839850827703</v>
      </c>
      <c r="AD54">
        <f t="shared" si="21"/>
        <v>-20.117114778129721</v>
      </c>
      <c r="AE54">
        <f t="shared" si="22"/>
        <v>-0.17257964292096517</v>
      </c>
      <c r="AF54">
        <v>0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52646.768838987671</v>
      </c>
      <c r="AK54">
        <f t="shared" si="26"/>
        <v>1799.98</v>
      </c>
      <c r="AL54">
        <f t="shared" si="27"/>
        <v>1499.09220943482</v>
      </c>
      <c r="AM54">
        <f t="shared" si="28"/>
        <v>0.83283825899999997</v>
      </c>
      <c r="AN54">
        <f t="shared" si="29"/>
        <v>0.15339763538999998</v>
      </c>
      <c r="AO54">
        <v>29.1</v>
      </c>
      <c r="AP54">
        <v>0.5</v>
      </c>
      <c r="AQ54" t="s">
        <v>331</v>
      </c>
      <c r="AR54">
        <v>2</v>
      </c>
      <c r="AS54">
        <v>1690287010.0999999</v>
      </c>
      <c r="AT54">
        <v>623.05200000000002</v>
      </c>
      <c r="AU54">
        <v>799.86800000000005</v>
      </c>
      <c r="AV54">
        <v>24.514600000000002</v>
      </c>
      <c r="AW54">
        <v>15.3866</v>
      </c>
      <c r="AX54">
        <v>624.16600000000005</v>
      </c>
      <c r="AY54">
        <v>24.323499999999999</v>
      </c>
      <c r="AZ54">
        <v>300.19299999999998</v>
      </c>
      <c r="BA54">
        <v>99.327600000000004</v>
      </c>
      <c r="BB54">
        <v>0.10003099999999999</v>
      </c>
      <c r="BC54">
        <v>26.573899999999998</v>
      </c>
      <c r="BD54">
        <v>26.945900000000002</v>
      </c>
      <c r="BE54">
        <v>28.7425</v>
      </c>
      <c r="BF54">
        <v>0</v>
      </c>
      <c r="BG54">
        <v>0</v>
      </c>
      <c r="BH54">
        <v>10010</v>
      </c>
      <c r="BI54">
        <v>1088.1400000000001</v>
      </c>
      <c r="BJ54">
        <v>1.28952</v>
      </c>
      <c r="BK54">
        <v>-176.816</v>
      </c>
      <c r="BL54">
        <v>638.71</v>
      </c>
      <c r="BM54">
        <v>812.36699999999996</v>
      </c>
      <c r="BN54">
        <v>9.1279599999999999</v>
      </c>
      <c r="BO54">
        <v>799.86800000000005</v>
      </c>
      <c r="BP54">
        <v>15.3866</v>
      </c>
      <c r="BQ54">
        <v>2.4349699999999999</v>
      </c>
      <c r="BR54">
        <v>1.5283199999999999</v>
      </c>
      <c r="BS54">
        <v>20.598299999999998</v>
      </c>
      <c r="BT54">
        <v>13.2544</v>
      </c>
      <c r="BU54">
        <v>1799.98</v>
      </c>
      <c r="BV54">
        <v>0.90998199999999996</v>
      </c>
      <c r="BW54">
        <v>3.4006799999999997E-2</v>
      </c>
      <c r="BX54">
        <v>2.2001199999999999E-2</v>
      </c>
      <c r="BY54">
        <v>3.4010100000000001E-2</v>
      </c>
      <c r="BZ54">
        <v>24</v>
      </c>
      <c r="CA54">
        <v>33527.9</v>
      </c>
      <c r="CB54">
        <v>1690286268.5999999</v>
      </c>
      <c r="CC54" t="s">
        <v>332</v>
      </c>
      <c r="CD54">
        <v>1690286261.0999999</v>
      </c>
      <c r="CE54">
        <v>1690286268.5999999</v>
      </c>
      <c r="CF54">
        <v>1</v>
      </c>
      <c r="CG54">
        <v>-0.89900000000000002</v>
      </c>
      <c r="CH54">
        <v>3.4000000000000002E-2</v>
      </c>
      <c r="CI54">
        <v>-1.2370000000000001</v>
      </c>
      <c r="CJ54">
        <v>8.5999999999999993E-2</v>
      </c>
      <c r="CK54">
        <v>799</v>
      </c>
      <c r="CL54">
        <v>16</v>
      </c>
      <c r="CM54">
        <v>0.28999999999999998</v>
      </c>
      <c r="CN54">
        <v>0.09</v>
      </c>
      <c r="CO54">
        <v>-171.49352500000001</v>
      </c>
      <c r="CP54">
        <v>-31.29321951219482</v>
      </c>
      <c r="CQ54">
        <v>3.0104273781931692</v>
      </c>
      <c r="CR54">
        <v>-1</v>
      </c>
      <c r="CS54">
        <v>8.8437937499999997</v>
      </c>
      <c r="CT54">
        <v>1.6685300938086061</v>
      </c>
      <c r="CU54">
        <v>0.16057513496316139</v>
      </c>
      <c r="CV54">
        <v>-1</v>
      </c>
      <c r="CW54">
        <v>0</v>
      </c>
      <c r="CX54">
        <v>0</v>
      </c>
      <c r="CY54" t="s">
        <v>333</v>
      </c>
      <c r="CZ54">
        <v>2.36504</v>
      </c>
      <c r="DA54">
        <v>2.7138300000000002</v>
      </c>
      <c r="DB54">
        <v>0.124377</v>
      </c>
      <c r="DC54">
        <v>0.14686199999999999</v>
      </c>
      <c r="DD54">
        <v>0.116077</v>
      </c>
      <c r="DE54">
        <v>8.2060400000000006E-2</v>
      </c>
      <c r="DF54">
        <v>31961.8</v>
      </c>
      <c r="DG54">
        <v>27447.5</v>
      </c>
      <c r="DH54">
        <v>31159.4</v>
      </c>
      <c r="DI54">
        <v>28031.4</v>
      </c>
      <c r="DJ54">
        <v>37381</v>
      </c>
      <c r="DK54">
        <v>36565.699999999997</v>
      </c>
      <c r="DL54">
        <v>44334.1</v>
      </c>
      <c r="DM54">
        <v>42459.5</v>
      </c>
      <c r="DN54">
        <v>1.48197</v>
      </c>
      <c r="DO54">
        <v>2.0921500000000002</v>
      </c>
      <c r="DP54">
        <v>7.8082100000000002E-2</v>
      </c>
      <c r="DQ54">
        <v>0.210948</v>
      </c>
      <c r="DR54">
        <v>25.6675</v>
      </c>
      <c r="DS54">
        <v>25.2927</v>
      </c>
      <c r="DT54">
        <v>69.599999999999994</v>
      </c>
      <c r="DU54">
        <v>24.4</v>
      </c>
      <c r="DV54">
        <v>21.497199999999999</v>
      </c>
      <c r="DW54">
        <v>61.961399999999998</v>
      </c>
      <c r="DX54">
        <v>36.298099999999998</v>
      </c>
      <c r="DY54">
        <v>1</v>
      </c>
      <c r="DZ54">
        <v>-0.139464</v>
      </c>
      <c r="EA54">
        <v>-0.37125799999999998</v>
      </c>
      <c r="EB54">
        <v>20.191299999999998</v>
      </c>
      <c r="EC54">
        <v>5.2426000000000004</v>
      </c>
      <c r="ED54">
        <v>12.039899999999999</v>
      </c>
      <c r="EE54">
        <v>5.0168499999999998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1.8687400000000001</v>
      </c>
      <c r="EL54">
        <v>1.8644000000000001</v>
      </c>
      <c r="EM54">
        <v>1.8690500000000001</v>
      </c>
      <c r="EN54">
        <v>1.8670800000000001</v>
      </c>
      <c r="EO54">
        <v>1.86324</v>
      </c>
      <c r="EP54">
        <v>1.8642099999999999</v>
      </c>
      <c r="EQ54">
        <v>1.87008</v>
      </c>
      <c r="ER54">
        <v>1.8692599999999999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-1.1140000000000001</v>
      </c>
      <c r="FG54">
        <v>0.19109999999999999</v>
      </c>
      <c r="FH54">
        <v>-0.68620417327404271</v>
      </c>
      <c r="FI54">
        <v>-6.1462078757559423E-4</v>
      </c>
      <c r="FJ54">
        <v>-1.8861989874597051E-7</v>
      </c>
      <c r="FK54">
        <v>1.1980462299894961E-10</v>
      </c>
      <c r="FL54">
        <v>0.1911242781723908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12.5</v>
      </c>
      <c r="FU54">
        <v>12.4</v>
      </c>
      <c r="FV54">
        <v>1.7748999999999999</v>
      </c>
      <c r="FW54">
        <v>2.5585900000000001</v>
      </c>
      <c r="FX54">
        <v>1.5490699999999999</v>
      </c>
      <c r="FY54">
        <v>2.34253</v>
      </c>
      <c r="FZ54">
        <v>1.50146</v>
      </c>
      <c r="GA54">
        <v>2.36328</v>
      </c>
      <c r="GB54">
        <v>30.0504</v>
      </c>
      <c r="GC54">
        <v>23.991199999999999</v>
      </c>
      <c r="GD54">
        <v>19</v>
      </c>
      <c r="GE54">
        <v>282.346</v>
      </c>
      <c r="GF54">
        <v>621.65099999999995</v>
      </c>
      <c r="GG54">
        <v>25.197700000000001</v>
      </c>
      <c r="GH54">
        <v>25.684100000000001</v>
      </c>
      <c r="GI54">
        <v>30</v>
      </c>
      <c r="GJ54">
        <v>25.6785</v>
      </c>
      <c r="GK54">
        <v>25.600300000000001</v>
      </c>
      <c r="GL54">
        <v>35.494599999999998</v>
      </c>
      <c r="GM54">
        <v>39.771500000000003</v>
      </c>
      <c r="GN54">
        <v>98.496700000000004</v>
      </c>
      <c r="GO54">
        <v>25.238900000000001</v>
      </c>
      <c r="GP54">
        <v>800</v>
      </c>
      <c r="GQ54">
        <v>15.1883</v>
      </c>
      <c r="GR54">
        <v>99.685400000000001</v>
      </c>
      <c r="GS54">
        <v>99.352199999999996</v>
      </c>
    </row>
    <row r="55" spans="1:201" x14ac:dyDescent="0.25">
      <c r="A55">
        <v>39</v>
      </c>
      <c r="B55">
        <v>1690287020.0999999</v>
      </c>
      <c r="C55">
        <v>481.5</v>
      </c>
      <c r="D55" t="s">
        <v>411</v>
      </c>
      <c r="E55" t="s">
        <v>412</v>
      </c>
      <c r="F55" t="s">
        <v>330</v>
      </c>
      <c r="H55">
        <v>1690287020.0999999</v>
      </c>
      <c r="I55">
        <f t="shared" si="0"/>
        <v>9.9548632333921528E-4</v>
      </c>
      <c r="J55">
        <f t="shared" si="1"/>
        <v>0.99548632333921527</v>
      </c>
      <c r="K55">
        <f t="shared" si="2"/>
        <v>18.172557134965007</v>
      </c>
      <c r="L55">
        <f t="shared" si="3"/>
        <v>617.851</v>
      </c>
      <c r="M55">
        <f t="shared" si="4"/>
        <v>176.75942453422795</v>
      </c>
      <c r="N55">
        <f t="shared" si="5"/>
        <v>17.574637738514888</v>
      </c>
      <c r="O55">
        <f t="shared" si="6"/>
        <v>61.430995999177995</v>
      </c>
      <c r="P55">
        <f t="shared" si="7"/>
        <v>6.8304940762549698E-2</v>
      </c>
      <c r="Q55">
        <f t="shared" si="8"/>
        <v>2.296751028234282</v>
      </c>
      <c r="R55">
        <f t="shared" si="9"/>
        <v>6.7196166155585976E-2</v>
      </c>
      <c r="S55">
        <f t="shared" si="10"/>
        <v>4.2095723592909917E-2</v>
      </c>
      <c r="T55">
        <f t="shared" si="11"/>
        <v>276.11202133056361</v>
      </c>
      <c r="U55">
        <f t="shared" si="12"/>
        <v>28.306076645845142</v>
      </c>
      <c r="V55">
        <f t="shared" si="13"/>
        <v>28.306076645845142</v>
      </c>
      <c r="W55">
        <f t="shared" si="14"/>
        <v>3.8630811881311358</v>
      </c>
      <c r="X55">
        <f t="shared" si="15"/>
        <v>69.739272647830418</v>
      </c>
      <c r="Y55">
        <f t="shared" si="16"/>
        <v>2.4367738113995996</v>
      </c>
      <c r="Z55">
        <f t="shared" si="17"/>
        <v>3.4941199110361061</v>
      </c>
      <c r="AA55">
        <f t="shared" si="18"/>
        <v>1.4263073767315362</v>
      </c>
      <c r="AB55">
        <f t="shared" si="19"/>
        <v>-43.900946859259392</v>
      </c>
      <c r="AC55">
        <f t="shared" si="20"/>
        <v>-212.3402130469801</v>
      </c>
      <c r="AD55">
        <f t="shared" si="21"/>
        <v>-20.042126290443061</v>
      </c>
      <c r="AE55">
        <f t="shared" si="22"/>
        <v>-0.17126486611891778</v>
      </c>
      <c r="AF55">
        <v>0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52466.714667266599</v>
      </c>
      <c r="AK55">
        <f t="shared" si="26"/>
        <v>1799.98</v>
      </c>
      <c r="AL55">
        <f t="shared" si="27"/>
        <v>1499.0950498032601</v>
      </c>
      <c r="AM55">
        <f t="shared" si="28"/>
        <v>0.83283983699999997</v>
      </c>
      <c r="AN55">
        <f t="shared" si="29"/>
        <v>0.15339727182000001</v>
      </c>
      <c r="AO55">
        <v>29.1</v>
      </c>
      <c r="AP55">
        <v>0.5</v>
      </c>
      <c r="AQ55" t="s">
        <v>331</v>
      </c>
      <c r="AR55">
        <v>2</v>
      </c>
      <c r="AS55">
        <v>1690287020.0999999</v>
      </c>
      <c r="AT55">
        <v>617.851</v>
      </c>
      <c r="AU55">
        <v>799.904</v>
      </c>
      <c r="AV55">
        <v>24.508199999999999</v>
      </c>
      <c r="AW55">
        <v>15.0983</v>
      </c>
      <c r="AX55">
        <v>618.96100000000001</v>
      </c>
      <c r="AY55">
        <v>24.3171</v>
      </c>
      <c r="AZ55">
        <v>300.30799999999999</v>
      </c>
      <c r="BA55">
        <v>99.326800000000006</v>
      </c>
      <c r="BB55">
        <v>0.100078</v>
      </c>
      <c r="BC55">
        <v>26.591200000000001</v>
      </c>
      <c r="BD55">
        <v>26.955200000000001</v>
      </c>
      <c r="BE55">
        <v>28.7652</v>
      </c>
      <c r="BF55">
        <v>0</v>
      </c>
      <c r="BG55">
        <v>0</v>
      </c>
      <c r="BH55">
        <v>9975</v>
      </c>
      <c r="BI55">
        <v>1087.92</v>
      </c>
      <c r="BJ55">
        <v>1.28952</v>
      </c>
      <c r="BK55">
        <v>-182.053</v>
      </c>
      <c r="BL55">
        <v>633.37400000000002</v>
      </c>
      <c r="BM55">
        <v>812.16700000000003</v>
      </c>
      <c r="BN55">
        <v>9.4099199999999996</v>
      </c>
      <c r="BO55">
        <v>799.904</v>
      </c>
      <c r="BP55">
        <v>15.0983</v>
      </c>
      <c r="BQ55">
        <v>2.43432</v>
      </c>
      <c r="BR55">
        <v>1.49966</v>
      </c>
      <c r="BS55">
        <v>20.593900000000001</v>
      </c>
      <c r="BT55">
        <v>12.964700000000001</v>
      </c>
      <c r="BU55">
        <v>1799.98</v>
      </c>
      <c r="BV55">
        <v>0.909999</v>
      </c>
      <c r="BW55">
        <v>3.4000500000000003E-2</v>
      </c>
      <c r="BX55">
        <v>2.1997099999999999E-2</v>
      </c>
      <c r="BY55">
        <v>3.4003800000000001E-2</v>
      </c>
      <c r="BZ55">
        <v>24</v>
      </c>
      <c r="CA55">
        <v>33528</v>
      </c>
      <c r="CB55">
        <v>1690286268.5999999</v>
      </c>
      <c r="CC55" t="s">
        <v>332</v>
      </c>
      <c r="CD55">
        <v>1690286261.0999999</v>
      </c>
      <c r="CE55">
        <v>1690286268.5999999</v>
      </c>
      <c r="CF55">
        <v>1</v>
      </c>
      <c r="CG55">
        <v>-0.89900000000000002</v>
      </c>
      <c r="CH55">
        <v>3.4000000000000002E-2</v>
      </c>
      <c r="CI55">
        <v>-1.2370000000000001</v>
      </c>
      <c r="CJ55">
        <v>8.5999999999999993E-2</v>
      </c>
      <c r="CK55">
        <v>799</v>
      </c>
      <c r="CL55">
        <v>16</v>
      </c>
      <c r="CM55">
        <v>0.28999999999999998</v>
      </c>
      <c r="CN55">
        <v>0.09</v>
      </c>
      <c r="CO55">
        <v>-176.737675</v>
      </c>
      <c r="CP55">
        <v>-31.494630393996101</v>
      </c>
      <c r="CQ55">
        <v>3.029863531477119</v>
      </c>
      <c r="CR55">
        <v>-1</v>
      </c>
      <c r="CS55">
        <v>9.1231539999999995</v>
      </c>
      <c r="CT55">
        <v>1.6699760600375</v>
      </c>
      <c r="CU55">
        <v>0.16072213599563689</v>
      </c>
      <c r="CV55">
        <v>-1</v>
      </c>
      <c r="CW55">
        <v>0</v>
      </c>
      <c r="CX55">
        <v>0</v>
      </c>
      <c r="CY55" t="s">
        <v>333</v>
      </c>
      <c r="CZ55">
        <v>2.3654000000000002</v>
      </c>
      <c r="DA55">
        <v>2.7138499999999999</v>
      </c>
      <c r="DB55">
        <v>0.12364799999999999</v>
      </c>
      <c r="DC55">
        <v>0.14685699999999999</v>
      </c>
      <c r="DD55">
        <v>0.116054</v>
      </c>
      <c r="DE55">
        <v>8.09309E-2</v>
      </c>
      <c r="DF55">
        <v>31988.6</v>
      </c>
      <c r="DG55">
        <v>27447.8</v>
      </c>
      <c r="DH55">
        <v>31159.599999999999</v>
      </c>
      <c r="DI55">
        <v>28031.7</v>
      </c>
      <c r="DJ55">
        <v>37382.300000000003</v>
      </c>
      <c r="DK55">
        <v>36611.1</v>
      </c>
      <c r="DL55">
        <v>44334.5</v>
      </c>
      <c r="DM55">
        <v>42459.8</v>
      </c>
      <c r="DN55">
        <v>1.48207</v>
      </c>
      <c r="DO55">
        <v>2.0916999999999999</v>
      </c>
      <c r="DP55">
        <v>7.8853199999999998E-2</v>
      </c>
      <c r="DQ55">
        <v>0.21247199999999999</v>
      </c>
      <c r="DR55">
        <v>25.664200000000001</v>
      </c>
      <c r="DS55">
        <v>25.290500000000002</v>
      </c>
      <c r="DT55">
        <v>69.5</v>
      </c>
      <c r="DU55">
        <v>24.4</v>
      </c>
      <c r="DV55">
        <v>21.464700000000001</v>
      </c>
      <c r="DW55">
        <v>62.5214</v>
      </c>
      <c r="DX55">
        <v>35.613</v>
      </c>
      <c r="DY55">
        <v>1</v>
      </c>
      <c r="DZ55">
        <v>-0.13948199999999999</v>
      </c>
      <c r="EA55">
        <v>-0.39449899999999999</v>
      </c>
      <c r="EB55">
        <v>20.190999999999999</v>
      </c>
      <c r="EC55">
        <v>5.2424499999999998</v>
      </c>
      <c r="ED55">
        <v>12.039899999999999</v>
      </c>
      <c r="EE55">
        <v>5.0168499999999998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1.8687400000000001</v>
      </c>
      <c r="EL55">
        <v>1.8643799999999999</v>
      </c>
      <c r="EM55">
        <v>1.8690500000000001</v>
      </c>
      <c r="EN55">
        <v>1.86707</v>
      </c>
      <c r="EO55">
        <v>1.8632500000000001</v>
      </c>
      <c r="EP55">
        <v>1.86419</v>
      </c>
      <c r="EQ55">
        <v>1.8700399999999999</v>
      </c>
      <c r="ER55">
        <v>1.86924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-1.1100000000000001</v>
      </c>
      <c r="FG55">
        <v>0.19109999999999999</v>
      </c>
      <c r="FH55">
        <v>-0.68620417327404271</v>
      </c>
      <c r="FI55">
        <v>-6.1462078757559423E-4</v>
      </c>
      <c r="FJ55">
        <v>-1.8861989874597051E-7</v>
      </c>
      <c r="FK55">
        <v>1.1980462299894961E-10</v>
      </c>
      <c r="FL55">
        <v>0.1911242781723908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12.7</v>
      </c>
      <c r="FU55">
        <v>12.5</v>
      </c>
      <c r="FV55">
        <v>1.7761199999999999</v>
      </c>
      <c r="FW55">
        <v>2.5524900000000001</v>
      </c>
      <c r="FX55">
        <v>1.5490699999999999</v>
      </c>
      <c r="FY55">
        <v>2.34253</v>
      </c>
      <c r="FZ55">
        <v>1.50146</v>
      </c>
      <c r="GA55">
        <v>2.3290999999999999</v>
      </c>
      <c r="GB55">
        <v>30.0718</v>
      </c>
      <c r="GC55">
        <v>23.982399999999998</v>
      </c>
      <c r="GD55">
        <v>19</v>
      </c>
      <c r="GE55">
        <v>282.40699999999998</v>
      </c>
      <c r="GF55">
        <v>621.32799999999997</v>
      </c>
      <c r="GG55">
        <v>25.268899999999999</v>
      </c>
      <c r="GH55">
        <v>25.681899999999999</v>
      </c>
      <c r="GI55">
        <v>30.0001</v>
      </c>
      <c r="GJ55">
        <v>25.6828</v>
      </c>
      <c r="GK55">
        <v>25.605699999999999</v>
      </c>
      <c r="GL55">
        <v>35.500300000000003</v>
      </c>
      <c r="GM55">
        <v>40.703299999999999</v>
      </c>
      <c r="GN55">
        <v>98.122200000000007</v>
      </c>
      <c r="GO55">
        <v>25.291699999999999</v>
      </c>
      <c r="GP55">
        <v>800</v>
      </c>
      <c r="GQ55">
        <v>14.902200000000001</v>
      </c>
      <c r="GR55">
        <v>99.686099999999996</v>
      </c>
      <c r="GS55">
        <v>99.352900000000005</v>
      </c>
    </row>
    <row r="56" spans="1:201" x14ac:dyDescent="0.25">
      <c r="A56">
        <v>40</v>
      </c>
      <c r="B56">
        <v>1690287030.0999999</v>
      </c>
      <c r="C56">
        <v>491.5</v>
      </c>
      <c r="D56" t="s">
        <v>413</v>
      </c>
      <c r="E56" t="s">
        <v>414</v>
      </c>
      <c r="F56" t="s">
        <v>330</v>
      </c>
      <c r="H56">
        <v>1690287030.0999999</v>
      </c>
      <c r="I56">
        <f t="shared" si="0"/>
        <v>1.0243733050320696E-3</v>
      </c>
      <c r="J56">
        <f t="shared" si="1"/>
        <v>1.0243733050320696</v>
      </c>
      <c r="K56">
        <f t="shared" si="2"/>
        <v>18.677577596918411</v>
      </c>
      <c r="L56">
        <f t="shared" si="3"/>
        <v>612.69799999999998</v>
      </c>
      <c r="M56">
        <f t="shared" si="4"/>
        <v>173.00075732238832</v>
      </c>
      <c r="N56">
        <f t="shared" si="5"/>
        <v>17.201228825829887</v>
      </c>
      <c r="O56">
        <f t="shared" si="6"/>
        <v>60.919724643103798</v>
      </c>
      <c r="P56">
        <f t="shared" si="7"/>
        <v>7.0436818186474681E-2</v>
      </c>
      <c r="Q56">
        <f t="shared" si="8"/>
        <v>2.3070093748244789</v>
      </c>
      <c r="R56">
        <f t="shared" si="9"/>
        <v>6.9263540712382402E-2</v>
      </c>
      <c r="S56">
        <f t="shared" si="10"/>
        <v>4.339349934770214E-2</v>
      </c>
      <c r="T56">
        <f t="shared" si="11"/>
        <v>276.11119279976958</v>
      </c>
      <c r="U56">
        <f t="shared" si="12"/>
        <v>28.294119082183691</v>
      </c>
      <c r="V56">
        <f t="shared" si="13"/>
        <v>28.294119082183691</v>
      </c>
      <c r="W56">
        <f t="shared" si="14"/>
        <v>3.860395225821657</v>
      </c>
      <c r="X56">
        <f t="shared" si="15"/>
        <v>69.712187179622191</v>
      </c>
      <c r="Y56">
        <f t="shared" si="16"/>
        <v>2.4364588826622597</v>
      </c>
      <c r="Z56">
        <f t="shared" si="17"/>
        <v>3.4950257354347785</v>
      </c>
      <c r="AA56">
        <f t="shared" si="18"/>
        <v>1.4239363431593972</v>
      </c>
      <c r="AB56">
        <f t="shared" si="19"/>
        <v>-45.174862751914269</v>
      </c>
      <c r="AC56">
        <f t="shared" si="20"/>
        <v>-211.25414212822571</v>
      </c>
      <c r="AD56">
        <f t="shared" si="21"/>
        <v>-19.850199921933836</v>
      </c>
      <c r="AE56">
        <f t="shared" si="22"/>
        <v>-0.16801200230423774</v>
      </c>
      <c r="AF56">
        <v>0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52854.705947230381</v>
      </c>
      <c r="AK56">
        <f t="shared" si="26"/>
        <v>1799.98</v>
      </c>
      <c r="AL56">
        <f t="shared" si="27"/>
        <v>1499.09679578386</v>
      </c>
      <c r="AM56">
        <f t="shared" si="28"/>
        <v>0.83284080699999996</v>
      </c>
      <c r="AN56">
        <f t="shared" si="29"/>
        <v>0.15339681151999998</v>
      </c>
      <c r="AO56">
        <v>29.1</v>
      </c>
      <c r="AP56">
        <v>0.5</v>
      </c>
      <c r="AQ56" t="s">
        <v>331</v>
      </c>
      <c r="AR56">
        <v>2</v>
      </c>
      <c r="AS56">
        <v>1690287030.0999999</v>
      </c>
      <c r="AT56">
        <v>612.69799999999998</v>
      </c>
      <c r="AU56">
        <v>799.89800000000002</v>
      </c>
      <c r="AV56">
        <v>24.5046</v>
      </c>
      <c r="AW56">
        <v>14.8148</v>
      </c>
      <c r="AX56">
        <v>613.80499999999995</v>
      </c>
      <c r="AY56">
        <v>24.313400000000001</v>
      </c>
      <c r="AZ56">
        <v>300.09699999999998</v>
      </c>
      <c r="BA56">
        <v>99.328699999999998</v>
      </c>
      <c r="BB56">
        <v>9.9933099999999997E-2</v>
      </c>
      <c r="BC56">
        <v>26.595600000000001</v>
      </c>
      <c r="BD56">
        <v>26.956600000000002</v>
      </c>
      <c r="BE56">
        <v>28.746400000000001</v>
      </c>
      <c r="BF56">
        <v>0</v>
      </c>
      <c r="BG56">
        <v>0</v>
      </c>
      <c r="BH56">
        <v>10051.9</v>
      </c>
      <c r="BI56">
        <v>1087.6500000000001</v>
      </c>
      <c r="BJ56">
        <v>1.28952</v>
      </c>
      <c r="BK56">
        <v>-187.19900000000001</v>
      </c>
      <c r="BL56">
        <v>628.08900000000006</v>
      </c>
      <c r="BM56">
        <v>811.92600000000004</v>
      </c>
      <c r="BN56">
        <v>9.6898</v>
      </c>
      <c r="BO56">
        <v>799.89800000000002</v>
      </c>
      <c r="BP56">
        <v>14.8148</v>
      </c>
      <c r="BQ56">
        <v>2.4340099999999998</v>
      </c>
      <c r="BR56">
        <v>1.47153</v>
      </c>
      <c r="BS56">
        <v>20.591799999999999</v>
      </c>
      <c r="BT56">
        <v>12.6755</v>
      </c>
      <c r="BU56">
        <v>1799.98</v>
      </c>
      <c r="BV56">
        <v>0.91001500000000002</v>
      </c>
      <c r="BW56">
        <v>3.3994299999999998E-2</v>
      </c>
      <c r="BX56">
        <v>2.1993100000000002E-2</v>
      </c>
      <c r="BY56">
        <v>3.3997600000000003E-2</v>
      </c>
      <c r="BZ56">
        <v>24</v>
      </c>
      <c r="CA56">
        <v>33528.1</v>
      </c>
      <c r="CB56">
        <v>1690286268.5999999</v>
      </c>
      <c r="CC56" t="s">
        <v>332</v>
      </c>
      <c r="CD56">
        <v>1690286261.0999999</v>
      </c>
      <c r="CE56">
        <v>1690286268.5999999</v>
      </c>
      <c r="CF56">
        <v>1</v>
      </c>
      <c r="CG56">
        <v>-0.89900000000000002</v>
      </c>
      <c r="CH56">
        <v>3.4000000000000002E-2</v>
      </c>
      <c r="CI56">
        <v>-1.2370000000000001</v>
      </c>
      <c r="CJ56">
        <v>8.5999999999999993E-2</v>
      </c>
      <c r="CK56">
        <v>799</v>
      </c>
      <c r="CL56">
        <v>16</v>
      </c>
      <c r="CM56">
        <v>0.28999999999999998</v>
      </c>
      <c r="CN56">
        <v>0.09</v>
      </c>
      <c r="CO56">
        <v>-181.946775</v>
      </c>
      <c r="CP56">
        <v>-30.952784240149711</v>
      </c>
      <c r="CQ56">
        <v>2.9778727935180478</v>
      </c>
      <c r="CR56">
        <v>-1</v>
      </c>
      <c r="CS56">
        <v>9.401294</v>
      </c>
      <c r="CT56">
        <v>1.664887879924922</v>
      </c>
      <c r="CU56">
        <v>0.16025469994355851</v>
      </c>
      <c r="CV56">
        <v>-1</v>
      </c>
      <c r="CW56">
        <v>0</v>
      </c>
      <c r="CX56">
        <v>0</v>
      </c>
      <c r="CY56" t="s">
        <v>333</v>
      </c>
      <c r="CZ56">
        <v>2.3647300000000002</v>
      </c>
      <c r="DA56">
        <v>2.7137699999999998</v>
      </c>
      <c r="DB56">
        <v>0.12292699999999999</v>
      </c>
      <c r="DC56">
        <v>0.14685200000000001</v>
      </c>
      <c r="DD56">
        <v>0.11604299999999999</v>
      </c>
      <c r="DE56">
        <v>7.9814599999999999E-2</v>
      </c>
      <c r="DF56">
        <v>32015.3</v>
      </c>
      <c r="DG56">
        <v>27448.2</v>
      </c>
      <c r="DH56">
        <v>31160</v>
      </c>
      <c r="DI56">
        <v>28031.9</v>
      </c>
      <c r="DJ56">
        <v>37383.1</v>
      </c>
      <c r="DK56">
        <v>36656.1</v>
      </c>
      <c r="DL56">
        <v>44335</v>
      </c>
      <c r="DM56">
        <v>42460.4</v>
      </c>
      <c r="DN56">
        <v>1.48193</v>
      </c>
      <c r="DO56">
        <v>2.09158</v>
      </c>
      <c r="DP56">
        <v>7.9069299999999995E-2</v>
      </c>
      <c r="DQ56">
        <v>0.211451</v>
      </c>
      <c r="DR56">
        <v>25.661999999999999</v>
      </c>
      <c r="DS56">
        <v>25.288399999999999</v>
      </c>
      <c r="DT56">
        <v>69.5</v>
      </c>
      <c r="DU56">
        <v>24.4</v>
      </c>
      <c r="DV56">
        <v>21.467099999999999</v>
      </c>
      <c r="DW56">
        <v>61.851399999999998</v>
      </c>
      <c r="DX56">
        <v>36.394199999999998</v>
      </c>
      <c r="DY56">
        <v>1</v>
      </c>
      <c r="DZ56">
        <v>-0.13933899999999999</v>
      </c>
      <c r="EA56">
        <v>-0.39541900000000002</v>
      </c>
      <c r="EB56">
        <v>20.191099999999999</v>
      </c>
      <c r="EC56">
        <v>5.24275</v>
      </c>
      <c r="ED56">
        <v>12.039899999999999</v>
      </c>
      <c r="EE56">
        <v>5.0168499999999998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1.8687400000000001</v>
      </c>
      <c r="EL56">
        <v>1.86439</v>
      </c>
      <c r="EM56">
        <v>1.8690500000000001</v>
      </c>
      <c r="EN56">
        <v>1.86707</v>
      </c>
      <c r="EO56">
        <v>1.8632500000000001</v>
      </c>
      <c r="EP56">
        <v>1.8642000000000001</v>
      </c>
      <c r="EQ56">
        <v>1.8700399999999999</v>
      </c>
      <c r="ER56">
        <v>1.86924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-1.107</v>
      </c>
      <c r="FG56">
        <v>0.19120000000000001</v>
      </c>
      <c r="FH56">
        <v>-0.68620417327404271</v>
      </c>
      <c r="FI56">
        <v>-6.1462078757559423E-4</v>
      </c>
      <c r="FJ56">
        <v>-1.8861989874597051E-7</v>
      </c>
      <c r="FK56">
        <v>1.1980462299894961E-10</v>
      </c>
      <c r="FL56">
        <v>0.1911242781723908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12.8</v>
      </c>
      <c r="FU56">
        <v>12.7</v>
      </c>
      <c r="FV56">
        <v>1.7761199999999999</v>
      </c>
      <c r="FW56">
        <v>2.5561500000000001</v>
      </c>
      <c r="FX56">
        <v>1.5490699999999999</v>
      </c>
      <c r="FY56">
        <v>2.34253</v>
      </c>
      <c r="FZ56">
        <v>1.50146</v>
      </c>
      <c r="GA56">
        <v>2.36816</v>
      </c>
      <c r="GB56">
        <v>30.0932</v>
      </c>
      <c r="GC56">
        <v>23.982399999999998</v>
      </c>
      <c r="GD56">
        <v>19</v>
      </c>
      <c r="GE56">
        <v>282.36099999999999</v>
      </c>
      <c r="GF56">
        <v>621.279</v>
      </c>
      <c r="GG56">
        <v>25.315300000000001</v>
      </c>
      <c r="GH56">
        <v>25.681899999999999</v>
      </c>
      <c r="GI56">
        <v>30.0001</v>
      </c>
      <c r="GJ56">
        <v>25.686499999999999</v>
      </c>
      <c r="GK56">
        <v>25.610499999999998</v>
      </c>
      <c r="GL56">
        <v>35.505200000000002</v>
      </c>
      <c r="GM56">
        <v>41.551600000000001</v>
      </c>
      <c r="GN56">
        <v>97.738200000000006</v>
      </c>
      <c r="GO56">
        <v>25.3399</v>
      </c>
      <c r="GP56">
        <v>800</v>
      </c>
      <c r="GQ56">
        <v>14.6113</v>
      </c>
      <c r="GR56">
        <v>99.687200000000004</v>
      </c>
      <c r="GS56">
        <v>99.354100000000003</v>
      </c>
    </row>
    <row r="57" spans="1:201" x14ac:dyDescent="0.25">
      <c r="A57">
        <v>41</v>
      </c>
      <c r="B57">
        <v>1690287040.0999999</v>
      </c>
      <c r="C57">
        <v>501.5</v>
      </c>
      <c r="D57" t="s">
        <v>415</v>
      </c>
      <c r="E57" t="s">
        <v>416</v>
      </c>
      <c r="F57" t="s">
        <v>330</v>
      </c>
      <c r="H57">
        <v>1690287040.0999999</v>
      </c>
      <c r="I57">
        <f t="shared" si="0"/>
        <v>1.0547266664758326E-3</v>
      </c>
      <c r="J57">
        <f t="shared" si="1"/>
        <v>1.0547266664758326</v>
      </c>
      <c r="K57">
        <f t="shared" si="2"/>
        <v>19.204419135535481</v>
      </c>
      <c r="L57">
        <f t="shared" si="3"/>
        <v>607.702</v>
      </c>
      <c r="M57">
        <f t="shared" si="4"/>
        <v>168.33479799228138</v>
      </c>
      <c r="N57">
        <f t="shared" si="5"/>
        <v>16.736550737194449</v>
      </c>
      <c r="O57">
        <f t="shared" si="6"/>
        <v>60.42027838213761</v>
      </c>
      <c r="P57">
        <f t="shared" si="7"/>
        <v>7.2494014204120952E-2</v>
      </c>
      <c r="Q57">
        <f t="shared" si="8"/>
        <v>2.3017141048583913</v>
      </c>
      <c r="R57">
        <f t="shared" si="9"/>
        <v>7.1249048513930643E-2</v>
      </c>
      <c r="S57">
        <f t="shared" si="10"/>
        <v>4.4640729663966608E-2</v>
      </c>
      <c r="T57">
        <f t="shared" si="11"/>
        <v>276.11420274168489</v>
      </c>
      <c r="U57">
        <f t="shared" si="12"/>
        <v>28.298034450614271</v>
      </c>
      <c r="V57">
        <f t="shared" si="13"/>
        <v>28.298034450614271</v>
      </c>
      <c r="W57">
        <f t="shared" si="14"/>
        <v>3.8612745342437798</v>
      </c>
      <c r="X57">
        <f t="shared" si="15"/>
        <v>69.659237833616487</v>
      </c>
      <c r="Y57">
        <f t="shared" si="16"/>
        <v>2.4360715891398406</v>
      </c>
      <c r="Z57">
        <f t="shared" si="17"/>
        <v>3.4971263896950493</v>
      </c>
      <c r="AA57">
        <f t="shared" si="18"/>
        <v>1.4252029451039392</v>
      </c>
      <c r="AB57">
        <f t="shared" si="19"/>
        <v>-46.51344599158422</v>
      </c>
      <c r="AC57">
        <f t="shared" si="20"/>
        <v>-209.98939128860656</v>
      </c>
      <c r="AD57">
        <f t="shared" si="21"/>
        <v>-19.778145457581228</v>
      </c>
      <c r="AE57">
        <f t="shared" si="22"/>
        <v>-0.1667799960870866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52651.967180476291</v>
      </c>
      <c r="AK57">
        <f t="shared" si="26"/>
        <v>1799.99</v>
      </c>
      <c r="AL57">
        <f t="shared" si="27"/>
        <v>1499.1033584017398</v>
      </c>
      <c r="AM57">
        <f t="shared" si="28"/>
        <v>0.83283982599999984</v>
      </c>
      <c r="AN57">
        <f t="shared" si="29"/>
        <v>0.15339763150999999</v>
      </c>
      <c r="AO57">
        <v>29.1</v>
      </c>
      <c r="AP57">
        <v>0.5</v>
      </c>
      <c r="AQ57" t="s">
        <v>331</v>
      </c>
      <c r="AR57">
        <v>2</v>
      </c>
      <c r="AS57">
        <v>1690287040.0999999</v>
      </c>
      <c r="AT57">
        <v>607.702</v>
      </c>
      <c r="AU57">
        <v>800.03099999999995</v>
      </c>
      <c r="AV57">
        <v>24.501799999999999</v>
      </c>
      <c r="AW57">
        <v>14.5305</v>
      </c>
      <c r="AX57">
        <v>608.80499999999995</v>
      </c>
      <c r="AY57">
        <v>24.310600000000001</v>
      </c>
      <c r="AZ57">
        <v>300.267</v>
      </c>
      <c r="BA57">
        <v>99.324200000000005</v>
      </c>
      <c r="BB57">
        <v>9.9988800000000003E-2</v>
      </c>
      <c r="BC57">
        <v>26.605799999999999</v>
      </c>
      <c r="BD57">
        <v>26.961500000000001</v>
      </c>
      <c r="BE57">
        <v>28.733499999999999</v>
      </c>
      <c r="BF57">
        <v>0</v>
      </c>
      <c r="BG57">
        <v>0</v>
      </c>
      <c r="BH57">
        <v>10012.5</v>
      </c>
      <c r="BI57">
        <v>1087.54</v>
      </c>
      <c r="BJ57">
        <v>1.28952</v>
      </c>
      <c r="BK57">
        <v>-192.33</v>
      </c>
      <c r="BL57">
        <v>622.96500000000003</v>
      </c>
      <c r="BM57">
        <v>811.82799999999997</v>
      </c>
      <c r="BN57">
        <v>9.9712999999999994</v>
      </c>
      <c r="BO57">
        <v>800.03099999999995</v>
      </c>
      <c r="BP57">
        <v>14.5305</v>
      </c>
      <c r="BQ57">
        <v>2.4336199999999999</v>
      </c>
      <c r="BR57">
        <v>1.44323</v>
      </c>
      <c r="BS57">
        <v>20.589200000000002</v>
      </c>
      <c r="BT57">
        <v>12.3796</v>
      </c>
      <c r="BU57">
        <v>1799.99</v>
      </c>
      <c r="BV57">
        <v>0.90999799999999997</v>
      </c>
      <c r="BW57">
        <v>3.4008400000000001E-2</v>
      </c>
      <c r="BX57">
        <v>2.2002299999999999E-2</v>
      </c>
      <c r="BY57">
        <v>3.3991500000000001E-2</v>
      </c>
      <c r="BZ57">
        <v>24</v>
      </c>
      <c r="CA57">
        <v>33528</v>
      </c>
      <c r="CB57">
        <v>1690286268.5999999</v>
      </c>
      <c r="CC57" t="s">
        <v>332</v>
      </c>
      <c r="CD57">
        <v>1690286261.0999999</v>
      </c>
      <c r="CE57">
        <v>1690286268.5999999</v>
      </c>
      <c r="CF57">
        <v>1</v>
      </c>
      <c r="CG57">
        <v>-0.89900000000000002</v>
      </c>
      <c r="CH57">
        <v>3.4000000000000002E-2</v>
      </c>
      <c r="CI57">
        <v>-1.2370000000000001</v>
      </c>
      <c r="CJ57">
        <v>8.5999999999999993E-2</v>
      </c>
      <c r="CK57">
        <v>799</v>
      </c>
      <c r="CL57">
        <v>16</v>
      </c>
      <c r="CM57">
        <v>0.28999999999999998</v>
      </c>
      <c r="CN57">
        <v>0.09</v>
      </c>
      <c r="CO57">
        <v>-186.57322500000001</v>
      </c>
      <c r="CP57">
        <v>-30.794803001875451</v>
      </c>
      <c r="CQ57">
        <v>2.9626128289695588</v>
      </c>
      <c r="CR57">
        <v>-1</v>
      </c>
      <c r="CS57">
        <v>9.6548114999999992</v>
      </c>
      <c r="CT57">
        <v>1.7196842026266079</v>
      </c>
      <c r="CU57">
        <v>0.16546929262781651</v>
      </c>
      <c r="CV57">
        <v>-1</v>
      </c>
      <c r="CW57">
        <v>0</v>
      </c>
      <c r="CX57">
        <v>0</v>
      </c>
      <c r="CY57" t="s">
        <v>333</v>
      </c>
      <c r="CZ57">
        <v>2.3652799999999998</v>
      </c>
      <c r="DA57">
        <v>2.7137899999999999</v>
      </c>
      <c r="DB57">
        <v>0.12221700000000001</v>
      </c>
      <c r="DC57">
        <v>0.14685400000000001</v>
      </c>
      <c r="DD57">
        <v>0.11602800000000001</v>
      </c>
      <c r="DE57">
        <v>7.8681699999999993E-2</v>
      </c>
      <c r="DF57">
        <v>32041.200000000001</v>
      </c>
      <c r="DG57">
        <v>27448.2</v>
      </c>
      <c r="DH57">
        <v>31159.9</v>
      </c>
      <c r="DI57">
        <v>28032</v>
      </c>
      <c r="DJ57">
        <v>37383.5</v>
      </c>
      <c r="DK57">
        <v>36701.5</v>
      </c>
      <c r="DL57">
        <v>44334.8</v>
      </c>
      <c r="DM57">
        <v>42460.6</v>
      </c>
      <c r="DN57">
        <v>1.4822299999999999</v>
      </c>
      <c r="DO57">
        <v>2.0908500000000001</v>
      </c>
      <c r="DP57">
        <v>7.9635499999999998E-2</v>
      </c>
      <c r="DQ57">
        <v>0.210788</v>
      </c>
      <c r="DR57">
        <v>25.657699999999998</v>
      </c>
      <c r="DS57">
        <v>25.286300000000001</v>
      </c>
      <c r="DT57">
        <v>69.5</v>
      </c>
      <c r="DU57">
        <v>24.4</v>
      </c>
      <c r="DV57">
        <v>21.466000000000001</v>
      </c>
      <c r="DW57">
        <v>62.2014</v>
      </c>
      <c r="DX57">
        <v>35.336500000000001</v>
      </c>
      <c r="DY57">
        <v>1</v>
      </c>
      <c r="DZ57">
        <v>-0.13980899999999999</v>
      </c>
      <c r="EA57">
        <v>-0.40954800000000002</v>
      </c>
      <c r="EB57">
        <v>20.191199999999998</v>
      </c>
      <c r="EC57">
        <v>5.2424499999999998</v>
      </c>
      <c r="ED57">
        <v>12.039899999999999</v>
      </c>
      <c r="EE57">
        <v>5.0165499999999996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1.86873</v>
      </c>
      <c r="EL57">
        <v>1.86436</v>
      </c>
      <c r="EM57">
        <v>1.8690500000000001</v>
      </c>
      <c r="EN57">
        <v>1.86707</v>
      </c>
      <c r="EO57">
        <v>1.8632500000000001</v>
      </c>
      <c r="EP57">
        <v>1.8642000000000001</v>
      </c>
      <c r="EQ57">
        <v>1.8700399999999999</v>
      </c>
      <c r="ER57">
        <v>1.86924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-1.103</v>
      </c>
      <c r="FG57">
        <v>0.19120000000000001</v>
      </c>
      <c r="FH57">
        <v>-0.68620417327404271</v>
      </c>
      <c r="FI57">
        <v>-6.1462078757559423E-4</v>
      </c>
      <c r="FJ57">
        <v>-1.8861989874597051E-7</v>
      </c>
      <c r="FK57">
        <v>1.1980462299894961E-10</v>
      </c>
      <c r="FL57">
        <v>0.1911242781723908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13</v>
      </c>
      <c r="FU57">
        <v>12.9</v>
      </c>
      <c r="FV57">
        <v>1.7761199999999999</v>
      </c>
      <c r="FW57">
        <v>2.5585900000000001</v>
      </c>
      <c r="FX57">
        <v>1.5490699999999999</v>
      </c>
      <c r="FY57">
        <v>2.34375</v>
      </c>
      <c r="FZ57">
        <v>1.50146</v>
      </c>
      <c r="GA57">
        <v>2.33765</v>
      </c>
      <c r="GB57">
        <v>30.0932</v>
      </c>
      <c r="GC57">
        <v>23.991199999999999</v>
      </c>
      <c r="GD57">
        <v>19</v>
      </c>
      <c r="GE57">
        <v>282.5</v>
      </c>
      <c r="GF57">
        <v>620.71699999999998</v>
      </c>
      <c r="GG57">
        <v>25.358699999999999</v>
      </c>
      <c r="GH57">
        <v>25.6798</v>
      </c>
      <c r="GI57">
        <v>30</v>
      </c>
      <c r="GJ57">
        <v>25.6892</v>
      </c>
      <c r="GK57">
        <v>25.6158</v>
      </c>
      <c r="GL57">
        <v>35.506900000000002</v>
      </c>
      <c r="GM57">
        <v>42.687800000000003</v>
      </c>
      <c r="GN57">
        <v>97.360200000000006</v>
      </c>
      <c r="GO57">
        <v>25.3841</v>
      </c>
      <c r="GP57">
        <v>800</v>
      </c>
      <c r="GQ57">
        <v>14.3195</v>
      </c>
      <c r="GR57">
        <v>99.686999999999998</v>
      </c>
      <c r="GS57">
        <v>99.354500000000002</v>
      </c>
    </row>
    <row r="58" spans="1:201" x14ac:dyDescent="0.25">
      <c r="A58">
        <v>42</v>
      </c>
      <c r="B58">
        <v>1690287050.0999999</v>
      </c>
      <c r="C58">
        <v>511.5</v>
      </c>
      <c r="D58" t="s">
        <v>417</v>
      </c>
      <c r="E58" t="s">
        <v>418</v>
      </c>
      <c r="F58" t="s">
        <v>330</v>
      </c>
      <c r="H58">
        <v>1690287050.0999999</v>
      </c>
      <c r="I58">
        <f t="shared" si="0"/>
        <v>1.0841680942417675E-3</v>
      </c>
      <c r="J58">
        <f t="shared" si="1"/>
        <v>1.0841680942417675</v>
      </c>
      <c r="K58">
        <f t="shared" si="2"/>
        <v>19.707734614043098</v>
      </c>
      <c r="L58">
        <f t="shared" si="3"/>
        <v>602.60299999999995</v>
      </c>
      <c r="M58">
        <f t="shared" si="4"/>
        <v>164.78593401441154</v>
      </c>
      <c r="N58">
        <f t="shared" si="5"/>
        <v>16.384146178574863</v>
      </c>
      <c r="O58">
        <f t="shared" si="6"/>
        <v>59.914917487947001</v>
      </c>
      <c r="P58">
        <f t="shared" si="7"/>
        <v>7.4676453917453325E-2</v>
      </c>
      <c r="Q58">
        <f t="shared" si="8"/>
        <v>2.3000846794407988</v>
      </c>
      <c r="R58">
        <f t="shared" si="9"/>
        <v>7.3355218604761727E-2</v>
      </c>
      <c r="S58">
        <f t="shared" si="10"/>
        <v>4.5963772261385122E-2</v>
      </c>
      <c r="T58">
        <f t="shared" si="11"/>
        <v>276.11299574973663</v>
      </c>
      <c r="U58">
        <f t="shared" si="12"/>
        <v>28.287848748958115</v>
      </c>
      <c r="V58">
        <f t="shared" si="13"/>
        <v>28.287848748958115</v>
      </c>
      <c r="W58">
        <f t="shared" si="14"/>
        <v>3.8589874062790006</v>
      </c>
      <c r="X58">
        <f t="shared" si="15"/>
        <v>69.664381468174312</v>
      </c>
      <c r="Y58">
        <f t="shared" si="16"/>
        <v>2.4360075139244999</v>
      </c>
      <c r="Z58">
        <f t="shared" si="17"/>
        <v>3.4967762041171251</v>
      </c>
      <c r="AA58">
        <f t="shared" si="18"/>
        <v>1.4229798923545007</v>
      </c>
      <c r="AB58">
        <f t="shared" si="19"/>
        <v>-47.811812956061949</v>
      </c>
      <c r="AC58">
        <f t="shared" si="20"/>
        <v>-208.78849058760093</v>
      </c>
      <c r="AD58">
        <f t="shared" si="21"/>
        <v>-19.677798776025313</v>
      </c>
      <c r="AE58">
        <f t="shared" si="22"/>
        <v>-0.16510656995157547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52590.604356249794</v>
      </c>
      <c r="AK58">
        <f t="shared" si="26"/>
        <v>1799.98</v>
      </c>
      <c r="AL58">
        <f t="shared" si="27"/>
        <v>1499.0967237846601</v>
      </c>
      <c r="AM58">
        <f t="shared" si="28"/>
        <v>0.83284076699999998</v>
      </c>
      <c r="AN58">
        <f t="shared" si="29"/>
        <v>0.15339781317000001</v>
      </c>
      <c r="AO58">
        <v>29.1</v>
      </c>
      <c r="AP58">
        <v>0.5</v>
      </c>
      <c r="AQ58" t="s">
        <v>331</v>
      </c>
      <c r="AR58">
        <v>2</v>
      </c>
      <c r="AS58">
        <v>1690287050.0999999</v>
      </c>
      <c r="AT58">
        <v>602.60299999999995</v>
      </c>
      <c r="AU58">
        <v>800.02300000000002</v>
      </c>
      <c r="AV58">
        <v>24.500499999999999</v>
      </c>
      <c r="AW58">
        <v>14.246</v>
      </c>
      <c r="AX58">
        <v>603.70299999999997</v>
      </c>
      <c r="AY58">
        <v>24.3093</v>
      </c>
      <c r="AZ58">
        <v>300.125</v>
      </c>
      <c r="BA58">
        <v>99.326800000000006</v>
      </c>
      <c r="BB58">
        <v>0.100049</v>
      </c>
      <c r="BC58">
        <v>26.604099999999999</v>
      </c>
      <c r="BD58">
        <v>26.962299999999999</v>
      </c>
      <c r="BE58">
        <v>28.773900000000001</v>
      </c>
      <c r="BF58">
        <v>0</v>
      </c>
      <c r="BG58">
        <v>0</v>
      </c>
      <c r="BH58">
        <v>10000</v>
      </c>
      <c r="BI58">
        <v>1087.19</v>
      </c>
      <c r="BJ58">
        <v>1.28952</v>
      </c>
      <c r="BK58">
        <v>-197.42</v>
      </c>
      <c r="BL58">
        <v>617.73800000000006</v>
      </c>
      <c r="BM58">
        <v>811.58500000000004</v>
      </c>
      <c r="BN58">
        <v>10.2545</v>
      </c>
      <c r="BO58">
        <v>800.02300000000002</v>
      </c>
      <c r="BP58">
        <v>14.246</v>
      </c>
      <c r="BQ58">
        <v>2.4335499999999999</v>
      </c>
      <c r="BR58">
        <v>1.4150100000000001</v>
      </c>
      <c r="BS58">
        <v>20.588799999999999</v>
      </c>
      <c r="BT58">
        <v>12.0794</v>
      </c>
      <c r="BU58">
        <v>1799.98</v>
      </c>
      <c r="BV58">
        <v>0.91000300000000001</v>
      </c>
      <c r="BW58">
        <v>3.4002900000000003E-2</v>
      </c>
      <c r="BX58">
        <v>2.2006600000000001E-2</v>
      </c>
      <c r="BY58">
        <v>3.3987299999999998E-2</v>
      </c>
      <c r="BZ58">
        <v>24</v>
      </c>
      <c r="CA58">
        <v>33527.9</v>
      </c>
      <c r="CB58">
        <v>1690286268.5999999</v>
      </c>
      <c r="CC58" t="s">
        <v>332</v>
      </c>
      <c r="CD58">
        <v>1690286261.0999999</v>
      </c>
      <c r="CE58">
        <v>1690286268.5999999</v>
      </c>
      <c r="CF58">
        <v>1</v>
      </c>
      <c r="CG58">
        <v>-0.89900000000000002</v>
      </c>
      <c r="CH58">
        <v>3.4000000000000002E-2</v>
      </c>
      <c r="CI58">
        <v>-1.2370000000000001</v>
      </c>
      <c r="CJ58">
        <v>8.5999999999999993E-2</v>
      </c>
      <c r="CK58">
        <v>799</v>
      </c>
      <c r="CL58">
        <v>16</v>
      </c>
      <c r="CM58">
        <v>0.28999999999999998</v>
      </c>
      <c r="CN58">
        <v>0.09</v>
      </c>
      <c r="CO58">
        <v>-191.79060975609761</v>
      </c>
      <c r="CP58">
        <v>-30.497937282230339</v>
      </c>
      <c r="CQ58">
        <v>3.0075215213474769</v>
      </c>
      <c r="CR58">
        <v>-1</v>
      </c>
      <c r="CS58">
        <v>9.9456590243902436</v>
      </c>
      <c r="CT58">
        <v>1.689945783972129</v>
      </c>
      <c r="CU58">
        <v>0.1666548569364589</v>
      </c>
      <c r="CV58">
        <v>-1</v>
      </c>
      <c r="CW58">
        <v>0</v>
      </c>
      <c r="CX58">
        <v>0</v>
      </c>
      <c r="CY58" t="s">
        <v>333</v>
      </c>
      <c r="CZ58">
        <v>2.3648199999999999</v>
      </c>
      <c r="DA58">
        <v>2.7138399999999998</v>
      </c>
      <c r="DB58">
        <v>0.12149799999999999</v>
      </c>
      <c r="DC58">
        <v>0.14685000000000001</v>
      </c>
      <c r="DD58">
        <v>0.116025</v>
      </c>
      <c r="DE58">
        <v>7.7545299999999998E-2</v>
      </c>
      <c r="DF58">
        <v>32067.7</v>
      </c>
      <c r="DG58">
        <v>27448.2</v>
      </c>
      <c r="DH58">
        <v>31160.2</v>
      </c>
      <c r="DI58">
        <v>28031.8</v>
      </c>
      <c r="DJ58">
        <v>37383.9</v>
      </c>
      <c r="DK58">
        <v>36746.699999999997</v>
      </c>
      <c r="DL58">
        <v>44335.199999999997</v>
      </c>
      <c r="DM58">
        <v>42460.4</v>
      </c>
      <c r="DN58">
        <v>1.4825200000000001</v>
      </c>
      <c r="DO58">
        <v>2.0905499999999999</v>
      </c>
      <c r="DP58">
        <v>7.9818100000000003E-2</v>
      </c>
      <c r="DQ58">
        <v>0.21320600000000001</v>
      </c>
      <c r="DR58">
        <v>25.6555</v>
      </c>
      <c r="DS58">
        <v>25.287299999999998</v>
      </c>
      <c r="DT58">
        <v>69.400000000000006</v>
      </c>
      <c r="DU58">
        <v>24.5</v>
      </c>
      <c r="DV58">
        <v>21.561</v>
      </c>
      <c r="DW58">
        <v>62.071399999999997</v>
      </c>
      <c r="DX58">
        <v>36.6066</v>
      </c>
      <c r="DY58">
        <v>1</v>
      </c>
      <c r="DZ58">
        <v>-0.13911599999999999</v>
      </c>
      <c r="EA58">
        <v>-0.44071900000000003</v>
      </c>
      <c r="EB58">
        <v>20.1906</v>
      </c>
      <c r="EC58">
        <v>5.2430500000000002</v>
      </c>
      <c r="ED58">
        <v>12.039899999999999</v>
      </c>
      <c r="EE58">
        <v>5.0171000000000001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1.86873</v>
      </c>
      <c r="EL58">
        <v>1.86439</v>
      </c>
      <c r="EM58">
        <v>1.8690500000000001</v>
      </c>
      <c r="EN58">
        <v>1.86707</v>
      </c>
      <c r="EO58">
        <v>1.8632500000000001</v>
      </c>
      <c r="EP58">
        <v>1.8642000000000001</v>
      </c>
      <c r="EQ58">
        <v>1.87005</v>
      </c>
      <c r="ER58">
        <v>1.8692200000000001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-1.1000000000000001</v>
      </c>
      <c r="FG58">
        <v>0.19120000000000001</v>
      </c>
      <c r="FH58">
        <v>-0.68620417327404271</v>
      </c>
      <c r="FI58">
        <v>-6.1462078757559423E-4</v>
      </c>
      <c r="FJ58">
        <v>-1.8861989874597051E-7</v>
      </c>
      <c r="FK58">
        <v>1.1980462299894961E-10</v>
      </c>
      <c r="FL58">
        <v>0.1911242781723908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13.2</v>
      </c>
      <c r="FU58">
        <v>13</v>
      </c>
      <c r="FV58">
        <v>1.7761199999999999</v>
      </c>
      <c r="FW58">
        <v>2.5622600000000002</v>
      </c>
      <c r="FX58">
        <v>1.5490699999999999</v>
      </c>
      <c r="FY58">
        <v>2.34253</v>
      </c>
      <c r="FZ58">
        <v>1.50146</v>
      </c>
      <c r="GA58">
        <v>2.3107899999999999</v>
      </c>
      <c r="GB58">
        <v>30.114699999999999</v>
      </c>
      <c r="GC58">
        <v>23.973700000000001</v>
      </c>
      <c r="GD58">
        <v>19</v>
      </c>
      <c r="GE58">
        <v>282.64299999999997</v>
      </c>
      <c r="GF58">
        <v>620.51599999999996</v>
      </c>
      <c r="GG58">
        <v>25.3994</v>
      </c>
      <c r="GH58">
        <v>25.677600000000002</v>
      </c>
      <c r="GI58">
        <v>30.0002</v>
      </c>
      <c r="GJ58">
        <v>25.693000000000001</v>
      </c>
      <c r="GK58">
        <v>25.620699999999999</v>
      </c>
      <c r="GL58">
        <v>35.510399999999997</v>
      </c>
      <c r="GM58">
        <v>43.901899999999998</v>
      </c>
      <c r="GN58">
        <v>96.988900000000001</v>
      </c>
      <c r="GO58">
        <v>25.414899999999999</v>
      </c>
      <c r="GP58">
        <v>800</v>
      </c>
      <c r="GQ58">
        <v>14.0261</v>
      </c>
      <c r="GR58">
        <v>99.687899999999999</v>
      </c>
      <c r="GS58">
        <v>99.353999999999999</v>
      </c>
    </row>
    <row r="59" spans="1:201" x14ac:dyDescent="0.25">
      <c r="A59">
        <v>43</v>
      </c>
      <c r="B59">
        <v>1690287060.0999999</v>
      </c>
      <c r="C59">
        <v>521.5</v>
      </c>
      <c r="D59" t="s">
        <v>419</v>
      </c>
      <c r="E59" t="s">
        <v>420</v>
      </c>
      <c r="F59" t="s">
        <v>330</v>
      </c>
      <c r="H59">
        <v>1690287060.0999999</v>
      </c>
      <c r="I59">
        <f t="shared" si="0"/>
        <v>1.1183768585817458E-3</v>
      </c>
      <c r="J59">
        <f t="shared" si="1"/>
        <v>1.1183768585817457</v>
      </c>
      <c r="K59">
        <f t="shared" si="2"/>
        <v>20.219033714902377</v>
      </c>
      <c r="L59">
        <f t="shared" si="3"/>
        <v>597.51300000000003</v>
      </c>
      <c r="M59">
        <f t="shared" si="4"/>
        <v>162.37211611995622</v>
      </c>
      <c r="N59">
        <f t="shared" si="5"/>
        <v>16.144613067382036</v>
      </c>
      <c r="O59">
        <f t="shared" si="6"/>
        <v>59.410546701282009</v>
      </c>
      <c r="P59">
        <f t="shared" si="7"/>
        <v>7.711539840272047E-2</v>
      </c>
      <c r="Q59">
        <f t="shared" si="8"/>
        <v>2.3017878853344831</v>
      </c>
      <c r="R59">
        <f t="shared" si="9"/>
        <v>7.5708348719747506E-2</v>
      </c>
      <c r="S59">
        <f t="shared" si="10"/>
        <v>4.7441997394843671E-2</v>
      </c>
      <c r="T59">
        <f t="shared" si="11"/>
        <v>276.11278005813324</v>
      </c>
      <c r="U59">
        <f t="shared" si="12"/>
        <v>28.286972761444648</v>
      </c>
      <c r="V59">
        <f t="shared" si="13"/>
        <v>28.286972761444648</v>
      </c>
      <c r="W59">
        <f t="shared" si="14"/>
        <v>3.8587907646160189</v>
      </c>
      <c r="X59">
        <f t="shared" si="15"/>
        <v>69.631557824219598</v>
      </c>
      <c r="Y59">
        <f t="shared" si="16"/>
        <v>2.4364953126558002</v>
      </c>
      <c r="Z59">
        <f t="shared" si="17"/>
        <v>3.4991250932609845</v>
      </c>
      <c r="AA59">
        <f t="shared" si="18"/>
        <v>1.4222954519602187</v>
      </c>
      <c r="AB59">
        <f t="shared" si="19"/>
        <v>-49.320419463454989</v>
      </c>
      <c r="AC59">
        <f t="shared" si="20"/>
        <v>-207.41972159357218</v>
      </c>
      <c r="AD59">
        <f t="shared" si="21"/>
        <v>-19.535354726344714</v>
      </c>
      <c r="AE59">
        <f t="shared" si="22"/>
        <v>-0.1627157252386553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52653.178049313065</v>
      </c>
      <c r="AK59">
        <f t="shared" si="26"/>
        <v>1799.98</v>
      </c>
      <c r="AL59">
        <f t="shared" si="27"/>
        <v>1499.09414441332</v>
      </c>
      <c r="AM59">
        <f t="shared" si="28"/>
        <v>0.83283933399999999</v>
      </c>
      <c r="AN59">
        <f t="shared" si="29"/>
        <v>0.15339769334000003</v>
      </c>
      <c r="AO59">
        <v>29.1</v>
      </c>
      <c r="AP59">
        <v>0.5</v>
      </c>
      <c r="AQ59" t="s">
        <v>331</v>
      </c>
      <c r="AR59">
        <v>2</v>
      </c>
      <c r="AS59">
        <v>1690287060.0999999</v>
      </c>
      <c r="AT59">
        <v>597.51300000000003</v>
      </c>
      <c r="AU59">
        <v>799.899</v>
      </c>
      <c r="AV59">
        <v>24.5047</v>
      </c>
      <c r="AW59">
        <v>13.9338</v>
      </c>
      <c r="AX59">
        <v>598.60900000000004</v>
      </c>
      <c r="AY59">
        <v>24.313600000000001</v>
      </c>
      <c r="AZ59">
        <v>300.327</v>
      </c>
      <c r="BA59">
        <v>99.329700000000003</v>
      </c>
      <c r="BB59">
        <v>0.10001400000000001</v>
      </c>
      <c r="BC59">
        <v>26.615500000000001</v>
      </c>
      <c r="BD59">
        <v>26.9742</v>
      </c>
      <c r="BE59">
        <v>28.751300000000001</v>
      </c>
      <c r="BF59">
        <v>0</v>
      </c>
      <c r="BG59">
        <v>0</v>
      </c>
      <c r="BH59">
        <v>10012.5</v>
      </c>
      <c r="BI59">
        <v>1087.02</v>
      </c>
      <c r="BJ59">
        <v>1.28952</v>
      </c>
      <c r="BK59">
        <v>-202.386</v>
      </c>
      <c r="BL59">
        <v>612.52300000000002</v>
      </c>
      <c r="BM59">
        <v>811.202</v>
      </c>
      <c r="BN59">
        <v>10.5709</v>
      </c>
      <c r="BO59">
        <v>799.899</v>
      </c>
      <c r="BP59">
        <v>13.9338</v>
      </c>
      <c r="BQ59">
        <v>2.43404</v>
      </c>
      <c r="BR59">
        <v>1.3840399999999999</v>
      </c>
      <c r="BS59">
        <v>20.592099999999999</v>
      </c>
      <c r="BT59">
        <v>11.7439</v>
      </c>
      <c r="BU59">
        <v>1799.98</v>
      </c>
      <c r="BV59">
        <v>0.90998699999999999</v>
      </c>
      <c r="BW59">
        <v>3.3997600000000003E-2</v>
      </c>
      <c r="BX59">
        <v>2.2003200000000001E-2</v>
      </c>
      <c r="BY59">
        <v>3.4012199999999999E-2</v>
      </c>
      <c r="BZ59">
        <v>24</v>
      </c>
      <c r="CA59">
        <v>33528</v>
      </c>
      <c r="CB59">
        <v>1690286268.5999999</v>
      </c>
      <c r="CC59" t="s">
        <v>332</v>
      </c>
      <c r="CD59">
        <v>1690286261.0999999</v>
      </c>
      <c r="CE59">
        <v>1690286268.5999999</v>
      </c>
      <c r="CF59">
        <v>1</v>
      </c>
      <c r="CG59">
        <v>-0.89900000000000002</v>
      </c>
      <c r="CH59">
        <v>3.4000000000000002E-2</v>
      </c>
      <c r="CI59">
        <v>-1.2370000000000001</v>
      </c>
      <c r="CJ59">
        <v>8.5999999999999993E-2</v>
      </c>
      <c r="CK59">
        <v>799</v>
      </c>
      <c r="CL59">
        <v>16</v>
      </c>
      <c r="CM59">
        <v>0.28999999999999998</v>
      </c>
      <c r="CN59">
        <v>0.09</v>
      </c>
      <c r="CO59">
        <v>-196.86758536585361</v>
      </c>
      <c r="CP59">
        <v>-30.574222996516159</v>
      </c>
      <c r="CQ59">
        <v>3.015051688070546</v>
      </c>
      <c r="CR59">
        <v>-1</v>
      </c>
      <c r="CS59">
        <v>10.23018317073171</v>
      </c>
      <c r="CT59">
        <v>1.741046968641117</v>
      </c>
      <c r="CU59">
        <v>0.1717813380141931</v>
      </c>
      <c r="CV59">
        <v>-1</v>
      </c>
      <c r="CW59">
        <v>0</v>
      </c>
      <c r="CX59">
        <v>0</v>
      </c>
      <c r="CY59" t="s">
        <v>333</v>
      </c>
      <c r="CZ59">
        <v>2.3654999999999999</v>
      </c>
      <c r="DA59">
        <v>2.7138200000000001</v>
      </c>
      <c r="DB59">
        <v>0.120778</v>
      </c>
      <c r="DC59">
        <v>0.14683099999999999</v>
      </c>
      <c r="DD59">
        <v>0.11604200000000001</v>
      </c>
      <c r="DE59">
        <v>7.6288300000000003E-2</v>
      </c>
      <c r="DF59">
        <v>32093.4</v>
      </c>
      <c r="DG59">
        <v>27449</v>
      </c>
      <c r="DH59">
        <v>31159.599999999999</v>
      </c>
      <c r="DI59">
        <v>28032</v>
      </c>
      <c r="DJ59">
        <v>37382.800000000003</v>
      </c>
      <c r="DK59">
        <v>36797.5</v>
      </c>
      <c r="DL59">
        <v>44334.9</v>
      </c>
      <c r="DM59">
        <v>42461.1</v>
      </c>
      <c r="DN59">
        <v>1.4827999999999999</v>
      </c>
      <c r="DO59">
        <v>2.0902500000000002</v>
      </c>
      <c r="DP59">
        <v>8.0544500000000005E-2</v>
      </c>
      <c r="DQ59">
        <v>0.211753</v>
      </c>
      <c r="DR59">
        <v>25.6555</v>
      </c>
      <c r="DS59">
        <v>25.288399999999999</v>
      </c>
      <c r="DT59">
        <v>69.400000000000006</v>
      </c>
      <c r="DU59">
        <v>24.5</v>
      </c>
      <c r="DV59">
        <v>21.561499999999999</v>
      </c>
      <c r="DW59">
        <v>62.241399999999999</v>
      </c>
      <c r="DX59">
        <v>35.512799999999999</v>
      </c>
      <c r="DY59">
        <v>1</v>
      </c>
      <c r="DZ59">
        <v>-0.139405</v>
      </c>
      <c r="EA59">
        <v>-0.46237200000000001</v>
      </c>
      <c r="EB59">
        <v>20.190799999999999</v>
      </c>
      <c r="EC59">
        <v>5.2418500000000003</v>
      </c>
      <c r="ED59">
        <v>12.039899999999999</v>
      </c>
      <c r="EE59">
        <v>5.0168499999999998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1.8687400000000001</v>
      </c>
      <c r="EL59">
        <v>1.86442</v>
      </c>
      <c r="EM59">
        <v>1.8690500000000001</v>
      </c>
      <c r="EN59">
        <v>1.8670800000000001</v>
      </c>
      <c r="EO59">
        <v>1.8632500000000001</v>
      </c>
      <c r="EP59">
        <v>1.8642099999999999</v>
      </c>
      <c r="EQ59">
        <v>1.8700600000000001</v>
      </c>
      <c r="ER59">
        <v>1.8692299999999999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-1.0960000000000001</v>
      </c>
      <c r="FG59">
        <v>0.19109999999999999</v>
      </c>
      <c r="FH59">
        <v>-0.68620417327404271</v>
      </c>
      <c r="FI59">
        <v>-6.1462078757559423E-4</v>
      </c>
      <c r="FJ59">
        <v>-1.8861989874597051E-7</v>
      </c>
      <c r="FK59">
        <v>1.1980462299894961E-10</v>
      </c>
      <c r="FL59">
        <v>0.1911242781723908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13.3</v>
      </c>
      <c r="FU59">
        <v>13.2</v>
      </c>
      <c r="FV59">
        <v>1.7761199999999999</v>
      </c>
      <c r="FW59">
        <v>2.5549300000000001</v>
      </c>
      <c r="FX59">
        <v>1.5490699999999999</v>
      </c>
      <c r="FY59">
        <v>2.34253</v>
      </c>
      <c r="FZ59">
        <v>1.50024</v>
      </c>
      <c r="GA59">
        <v>2.3803700000000001</v>
      </c>
      <c r="GB59">
        <v>30.114699999999999</v>
      </c>
      <c r="GC59">
        <v>23.982399999999998</v>
      </c>
      <c r="GD59">
        <v>19</v>
      </c>
      <c r="GE59">
        <v>282.77199999999999</v>
      </c>
      <c r="GF59">
        <v>620.31500000000005</v>
      </c>
      <c r="GG59">
        <v>25.432700000000001</v>
      </c>
      <c r="GH59">
        <v>25.677</v>
      </c>
      <c r="GI59">
        <v>30.0001</v>
      </c>
      <c r="GJ59">
        <v>25.695699999999999</v>
      </c>
      <c r="GK59">
        <v>25.625499999999999</v>
      </c>
      <c r="GL59">
        <v>35.5182</v>
      </c>
      <c r="GM59">
        <v>44.783099999999997</v>
      </c>
      <c r="GN59">
        <v>96.602400000000003</v>
      </c>
      <c r="GO59">
        <v>25.4481</v>
      </c>
      <c r="GP59">
        <v>800</v>
      </c>
      <c r="GQ59">
        <v>13.731299999999999</v>
      </c>
      <c r="GR59">
        <v>99.686700000000002</v>
      </c>
      <c r="GS59">
        <v>99.355199999999996</v>
      </c>
    </row>
    <row r="60" spans="1:201" x14ac:dyDescent="0.25">
      <c r="A60">
        <v>44</v>
      </c>
      <c r="B60">
        <v>1690287070.0999999</v>
      </c>
      <c r="C60">
        <v>531.5</v>
      </c>
      <c r="D60" t="s">
        <v>421</v>
      </c>
      <c r="E60" t="s">
        <v>422</v>
      </c>
      <c r="F60" t="s">
        <v>330</v>
      </c>
      <c r="H60">
        <v>1690287070.0999999</v>
      </c>
      <c r="I60">
        <f t="shared" si="0"/>
        <v>1.1476339101789347E-3</v>
      </c>
      <c r="J60">
        <f t="shared" si="1"/>
        <v>1.1476339101789348</v>
      </c>
      <c r="K60">
        <f t="shared" si="2"/>
        <v>20.720003198089405</v>
      </c>
      <c r="L60">
        <f t="shared" si="3"/>
        <v>592.58699999999999</v>
      </c>
      <c r="M60">
        <f t="shared" si="4"/>
        <v>158.84903864568875</v>
      </c>
      <c r="N60">
        <f t="shared" si="5"/>
        <v>15.793813312998854</v>
      </c>
      <c r="O60">
        <f t="shared" si="6"/>
        <v>58.918886318132998</v>
      </c>
      <c r="P60">
        <f t="shared" si="7"/>
        <v>7.9302462538951859E-2</v>
      </c>
      <c r="Q60">
        <f t="shared" si="8"/>
        <v>2.2989986240926172</v>
      </c>
      <c r="R60">
        <f t="shared" si="9"/>
        <v>7.7813532348128836E-2</v>
      </c>
      <c r="S60">
        <f t="shared" si="10"/>
        <v>4.8764903748997918E-2</v>
      </c>
      <c r="T60">
        <f t="shared" si="11"/>
        <v>276.11202871048152</v>
      </c>
      <c r="U60">
        <f t="shared" si="12"/>
        <v>28.277704331547174</v>
      </c>
      <c r="V60">
        <f t="shared" si="13"/>
        <v>28.277704331547174</v>
      </c>
      <c r="W60">
        <f t="shared" si="14"/>
        <v>3.8567107230582702</v>
      </c>
      <c r="X60">
        <f t="shared" si="15"/>
        <v>69.644720105212215</v>
      </c>
      <c r="Y60">
        <f t="shared" si="16"/>
        <v>2.4367262226601998</v>
      </c>
      <c r="Z60">
        <f t="shared" si="17"/>
        <v>3.4987953415263058</v>
      </c>
      <c r="AA60">
        <f t="shared" si="18"/>
        <v>1.4199845003980704</v>
      </c>
      <c r="AB60">
        <f t="shared" si="19"/>
        <v>-50.610655438891023</v>
      </c>
      <c r="AC60">
        <f t="shared" si="20"/>
        <v>-206.21792154478871</v>
      </c>
      <c r="AD60">
        <f t="shared" si="21"/>
        <v>-19.444673386190189</v>
      </c>
      <c r="AE60">
        <f t="shared" si="22"/>
        <v>-0.16122165938838862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52547.763795780033</v>
      </c>
      <c r="AK60">
        <f t="shared" si="26"/>
        <v>1799.98</v>
      </c>
      <c r="AL60">
        <f t="shared" si="27"/>
        <v>1499.0955807973598</v>
      </c>
      <c r="AM60">
        <f t="shared" si="28"/>
        <v>0.83284013199999996</v>
      </c>
      <c r="AN60">
        <f t="shared" si="29"/>
        <v>0.15339727591999996</v>
      </c>
      <c r="AO60">
        <v>29.1</v>
      </c>
      <c r="AP60">
        <v>0.5</v>
      </c>
      <c r="AQ60" t="s">
        <v>331</v>
      </c>
      <c r="AR60">
        <v>2</v>
      </c>
      <c r="AS60">
        <v>1690287070.0999999</v>
      </c>
      <c r="AT60">
        <v>592.58699999999999</v>
      </c>
      <c r="AU60">
        <v>800.06399999999996</v>
      </c>
      <c r="AV60">
        <v>24.5078</v>
      </c>
      <c r="AW60">
        <v>13.654</v>
      </c>
      <c r="AX60">
        <v>593.67899999999997</v>
      </c>
      <c r="AY60">
        <v>24.316700000000001</v>
      </c>
      <c r="AZ60">
        <v>300.14999999999998</v>
      </c>
      <c r="BA60">
        <v>99.326499999999996</v>
      </c>
      <c r="BB60">
        <v>0.100059</v>
      </c>
      <c r="BC60">
        <v>26.613900000000001</v>
      </c>
      <c r="BD60">
        <v>26.972200000000001</v>
      </c>
      <c r="BE60">
        <v>28.745799999999999</v>
      </c>
      <c r="BF60">
        <v>0</v>
      </c>
      <c r="BG60">
        <v>0</v>
      </c>
      <c r="BH60">
        <v>9991.8799999999992</v>
      </c>
      <c r="BI60">
        <v>1086.8800000000001</v>
      </c>
      <c r="BJ60">
        <v>1.28952</v>
      </c>
      <c r="BK60">
        <v>-207.477</v>
      </c>
      <c r="BL60">
        <v>607.47400000000005</v>
      </c>
      <c r="BM60">
        <v>811.13900000000001</v>
      </c>
      <c r="BN60">
        <v>10.8538</v>
      </c>
      <c r="BO60">
        <v>800.06399999999996</v>
      </c>
      <c r="BP60">
        <v>13.654</v>
      </c>
      <c r="BQ60">
        <v>2.4342800000000002</v>
      </c>
      <c r="BR60">
        <v>1.3562099999999999</v>
      </c>
      <c r="BS60">
        <v>20.593599999999999</v>
      </c>
      <c r="BT60">
        <v>11.4366</v>
      </c>
      <c r="BU60">
        <v>1799.98</v>
      </c>
      <c r="BV60">
        <v>0.91000099999999995</v>
      </c>
      <c r="BW60">
        <v>3.39922E-2</v>
      </c>
      <c r="BX60">
        <v>2.1999600000000001E-2</v>
      </c>
      <c r="BY60">
        <v>3.4006799999999997E-2</v>
      </c>
      <c r="BZ60">
        <v>24</v>
      </c>
      <c r="CA60">
        <v>33528.1</v>
      </c>
      <c r="CB60">
        <v>1690286268.5999999</v>
      </c>
      <c r="CC60" t="s">
        <v>332</v>
      </c>
      <c r="CD60">
        <v>1690286261.0999999</v>
      </c>
      <c r="CE60">
        <v>1690286268.5999999</v>
      </c>
      <c r="CF60">
        <v>1</v>
      </c>
      <c r="CG60">
        <v>-0.89900000000000002</v>
      </c>
      <c r="CH60">
        <v>3.4000000000000002E-2</v>
      </c>
      <c r="CI60">
        <v>-1.2370000000000001</v>
      </c>
      <c r="CJ60">
        <v>8.5999999999999993E-2</v>
      </c>
      <c r="CK60">
        <v>799</v>
      </c>
      <c r="CL60">
        <v>16</v>
      </c>
      <c r="CM60">
        <v>0.28999999999999998</v>
      </c>
      <c r="CN60">
        <v>0.09</v>
      </c>
      <c r="CO60">
        <v>-201.80855</v>
      </c>
      <c r="CP60">
        <v>-30.35853658536524</v>
      </c>
      <c r="CQ60">
        <v>2.9207407446570808</v>
      </c>
      <c r="CR60">
        <v>-1</v>
      </c>
      <c r="CS60">
        <v>10.52012</v>
      </c>
      <c r="CT60">
        <v>1.829858161350838</v>
      </c>
      <c r="CU60">
        <v>0.17612797506358829</v>
      </c>
      <c r="CV60">
        <v>-1</v>
      </c>
      <c r="CW60">
        <v>0</v>
      </c>
      <c r="CX60">
        <v>0</v>
      </c>
      <c r="CY60" t="s">
        <v>333</v>
      </c>
      <c r="CZ60">
        <v>2.36496</v>
      </c>
      <c r="DA60">
        <v>2.7138399999999998</v>
      </c>
      <c r="DB60">
        <v>0.120071</v>
      </c>
      <c r="DC60">
        <v>0.14684</v>
      </c>
      <c r="DD60">
        <v>0.116048</v>
      </c>
      <c r="DE60">
        <v>7.5148599999999996E-2</v>
      </c>
      <c r="DF60">
        <v>32119.5</v>
      </c>
      <c r="DG60">
        <v>27448.9</v>
      </c>
      <c r="DH60">
        <v>31160</v>
      </c>
      <c r="DI60">
        <v>28032.3</v>
      </c>
      <c r="DJ60">
        <v>37382.800000000003</v>
      </c>
      <c r="DK60">
        <v>36843.300000000003</v>
      </c>
      <c r="DL60">
        <v>44335.3</v>
      </c>
      <c r="DM60">
        <v>42461.5</v>
      </c>
      <c r="DN60">
        <v>1.4826699999999999</v>
      </c>
      <c r="DO60">
        <v>2.0895800000000002</v>
      </c>
      <c r="DP60">
        <v>8.05482E-2</v>
      </c>
      <c r="DQ60">
        <v>0.211507</v>
      </c>
      <c r="DR60">
        <v>25.653500000000001</v>
      </c>
      <c r="DS60">
        <v>25.286799999999999</v>
      </c>
      <c r="DT60">
        <v>69.400000000000006</v>
      </c>
      <c r="DU60">
        <v>24.5</v>
      </c>
      <c r="DV60">
        <v>21.563300000000002</v>
      </c>
      <c r="DW60">
        <v>61.421399999999998</v>
      </c>
      <c r="DX60">
        <v>36.5184</v>
      </c>
      <c r="DY60">
        <v>1</v>
      </c>
      <c r="DZ60">
        <v>-0.140015</v>
      </c>
      <c r="EA60">
        <v>-0.47972500000000001</v>
      </c>
      <c r="EB60">
        <v>20.1907</v>
      </c>
      <c r="EC60">
        <v>5.2426000000000004</v>
      </c>
      <c r="ED60">
        <v>12.039899999999999</v>
      </c>
      <c r="EE60">
        <v>5.0168499999999998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1.8687400000000001</v>
      </c>
      <c r="EL60">
        <v>1.8644099999999999</v>
      </c>
      <c r="EM60">
        <v>1.8690500000000001</v>
      </c>
      <c r="EN60">
        <v>1.86707</v>
      </c>
      <c r="EO60">
        <v>1.8632500000000001</v>
      </c>
      <c r="EP60">
        <v>1.8642099999999999</v>
      </c>
      <c r="EQ60">
        <v>1.8700399999999999</v>
      </c>
      <c r="ER60">
        <v>1.8692599999999999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-1.0920000000000001</v>
      </c>
      <c r="FG60">
        <v>0.19109999999999999</v>
      </c>
      <c r="FH60">
        <v>-0.68620417327404271</v>
      </c>
      <c r="FI60">
        <v>-6.1462078757559423E-4</v>
      </c>
      <c r="FJ60">
        <v>-1.8861989874597051E-7</v>
      </c>
      <c r="FK60">
        <v>1.1980462299894961E-10</v>
      </c>
      <c r="FL60">
        <v>0.1911242781723908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13.5</v>
      </c>
      <c r="FU60">
        <v>13.4</v>
      </c>
      <c r="FV60">
        <v>1.7761199999999999</v>
      </c>
      <c r="FW60">
        <v>2.5659200000000002</v>
      </c>
      <c r="FX60">
        <v>1.5490699999999999</v>
      </c>
      <c r="FY60">
        <v>2.34253</v>
      </c>
      <c r="FZ60">
        <v>1.50146</v>
      </c>
      <c r="GA60">
        <v>2.2741699999999998</v>
      </c>
      <c r="GB60">
        <v>30.114699999999999</v>
      </c>
      <c r="GC60">
        <v>23.982399999999998</v>
      </c>
      <c r="GD60">
        <v>19</v>
      </c>
      <c r="GE60">
        <v>282.73399999999998</v>
      </c>
      <c r="GF60">
        <v>619.78399999999999</v>
      </c>
      <c r="GG60">
        <v>25.463899999999999</v>
      </c>
      <c r="GH60">
        <v>25.6755</v>
      </c>
      <c r="GI60">
        <v>30.0001</v>
      </c>
      <c r="GJ60">
        <v>25.698899999999998</v>
      </c>
      <c r="GK60">
        <v>25.6297</v>
      </c>
      <c r="GL60">
        <v>35.514099999999999</v>
      </c>
      <c r="GM60">
        <v>45.976599999999998</v>
      </c>
      <c r="GN60">
        <v>96.210700000000003</v>
      </c>
      <c r="GO60">
        <v>25.48</v>
      </c>
      <c r="GP60">
        <v>800</v>
      </c>
      <c r="GQ60">
        <v>13.435499999999999</v>
      </c>
      <c r="GR60">
        <v>99.687700000000007</v>
      </c>
      <c r="GS60">
        <v>99.356099999999998</v>
      </c>
    </row>
    <row r="61" spans="1:201" x14ac:dyDescent="0.25">
      <c r="A61">
        <v>45</v>
      </c>
      <c r="B61">
        <v>1690287080.0999999</v>
      </c>
      <c r="C61">
        <v>541.5</v>
      </c>
      <c r="D61" t="s">
        <v>423</v>
      </c>
      <c r="E61" t="s">
        <v>424</v>
      </c>
      <c r="F61" t="s">
        <v>330</v>
      </c>
      <c r="H61">
        <v>1690287080.0999999</v>
      </c>
      <c r="I61">
        <f t="shared" si="0"/>
        <v>1.179366143762057E-3</v>
      </c>
      <c r="J61">
        <f t="shared" si="1"/>
        <v>1.1793661437620571</v>
      </c>
      <c r="K61">
        <f t="shared" si="2"/>
        <v>21.203601040716407</v>
      </c>
      <c r="L61">
        <f t="shared" si="3"/>
        <v>587.67999999999995</v>
      </c>
      <c r="M61">
        <f t="shared" si="4"/>
        <v>156.02565203573135</v>
      </c>
      <c r="N61">
        <f t="shared" si="5"/>
        <v>15.513479299440554</v>
      </c>
      <c r="O61">
        <f t="shared" si="6"/>
        <v>58.432452585471999</v>
      </c>
      <c r="P61">
        <f t="shared" si="7"/>
        <v>8.1570939377482596E-2</v>
      </c>
      <c r="Q61">
        <f t="shared" si="8"/>
        <v>2.3016068266780882</v>
      </c>
      <c r="R61">
        <f t="shared" si="9"/>
        <v>7.9998266473143592E-2</v>
      </c>
      <c r="S61">
        <f t="shared" si="10"/>
        <v>5.0137689510718453E-2</v>
      </c>
      <c r="T61">
        <f t="shared" si="11"/>
        <v>276.11183600462272</v>
      </c>
      <c r="U61">
        <f t="shared" si="12"/>
        <v>28.276748501065143</v>
      </c>
      <c r="V61">
        <f t="shared" si="13"/>
        <v>28.276748501065143</v>
      </c>
      <c r="W61">
        <f t="shared" si="14"/>
        <v>3.856496269109408</v>
      </c>
      <c r="X61">
        <f t="shared" si="15"/>
        <v>69.608884094350842</v>
      </c>
      <c r="Y61">
        <f t="shared" si="16"/>
        <v>2.43706519252224</v>
      </c>
      <c r="Z61">
        <f t="shared" si="17"/>
        <v>3.5010835530978173</v>
      </c>
      <c r="AA61">
        <f t="shared" si="18"/>
        <v>1.4194310765871681</v>
      </c>
      <c r="AB61">
        <f t="shared" si="19"/>
        <v>-52.010046939906715</v>
      </c>
      <c r="AC61">
        <f t="shared" si="20"/>
        <v>-204.95593634928034</v>
      </c>
      <c r="AD61">
        <f t="shared" si="21"/>
        <v>-19.304753927018904</v>
      </c>
      <c r="AE61">
        <f t="shared" si="22"/>
        <v>-0.15890121158324177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52644.635803322009</v>
      </c>
      <c r="AK61">
        <f t="shared" si="26"/>
        <v>1799.98</v>
      </c>
      <c r="AL61">
        <f t="shared" si="27"/>
        <v>1499.09350002048</v>
      </c>
      <c r="AM61">
        <f t="shared" si="28"/>
        <v>0.83283897600000001</v>
      </c>
      <c r="AN61">
        <f t="shared" si="29"/>
        <v>0.15339716885999996</v>
      </c>
      <c r="AO61">
        <v>29.1</v>
      </c>
      <c r="AP61">
        <v>0.5</v>
      </c>
      <c r="AQ61" t="s">
        <v>331</v>
      </c>
      <c r="AR61">
        <v>2</v>
      </c>
      <c r="AS61">
        <v>1690287080.0999999</v>
      </c>
      <c r="AT61">
        <v>587.67999999999995</v>
      </c>
      <c r="AU61">
        <v>799.976</v>
      </c>
      <c r="AV61">
        <v>24.5106</v>
      </c>
      <c r="AW61">
        <v>13.3565</v>
      </c>
      <c r="AX61">
        <v>588.76900000000001</v>
      </c>
      <c r="AY61">
        <v>24.319500000000001</v>
      </c>
      <c r="AZ61">
        <v>300.14400000000001</v>
      </c>
      <c r="BA61">
        <v>99.329099999999997</v>
      </c>
      <c r="BB61">
        <v>9.9930400000000003E-2</v>
      </c>
      <c r="BC61">
        <v>26.625</v>
      </c>
      <c r="BD61">
        <v>26.9726</v>
      </c>
      <c r="BE61">
        <v>28.754000000000001</v>
      </c>
      <c r="BF61">
        <v>0</v>
      </c>
      <c r="BG61">
        <v>0</v>
      </c>
      <c r="BH61">
        <v>10011.200000000001</v>
      </c>
      <c r="BI61">
        <v>1086.76</v>
      </c>
      <c r="BJ61">
        <v>1.28952</v>
      </c>
      <c r="BK61">
        <v>-212.297</v>
      </c>
      <c r="BL61">
        <v>602.44600000000003</v>
      </c>
      <c r="BM61">
        <v>810.80600000000004</v>
      </c>
      <c r="BN61">
        <v>11.1541</v>
      </c>
      <c r="BO61">
        <v>799.976</v>
      </c>
      <c r="BP61">
        <v>13.3565</v>
      </c>
      <c r="BQ61">
        <v>2.4346199999999998</v>
      </c>
      <c r="BR61">
        <v>1.3266899999999999</v>
      </c>
      <c r="BS61">
        <v>20.5959</v>
      </c>
      <c r="BT61">
        <v>11.104699999999999</v>
      </c>
      <c r="BU61">
        <v>1799.98</v>
      </c>
      <c r="BV61">
        <v>0.90999699999999994</v>
      </c>
      <c r="BW61">
        <v>3.4006500000000002E-2</v>
      </c>
      <c r="BX61">
        <v>2.1995799999999999E-2</v>
      </c>
      <c r="BY61">
        <v>3.4000799999999998E-2</v>
      </c>
      <c r="BZ61">
        <v>24</v>
      </c>
      <c r="CA61">
        <v>33528.1</v>
      </c>
      <c r="CB61">
        <v>1690286268.5999999</v>
      </c>
      <c r="CC61" t="s">
        <v>332</v>
      </c>
      <c r="CD61">
        <v>1690286261.0999999</v>
      </c>
      <c r="CE61">
        <v>1690286268.5999999</v>
      </c>
      <c r="CF61">
        <v>1</v>
      </c>
      <c r="CG61">
        <v>-0.89900000000000002</v>
      </c>
      <c r="CH61">
        <v>3.4000000000000002E-2</v>
      </c>
      <c r="CI61">
        <v>-1.2370000000000001</v>
      </c>
      <c r="CJ61">
        <v>8.5999999999999993E-2</v>
      </c>
      <c r="CK61">
        <v>799</v>
      </c>
      <c r="CL61">
        <v>16</v>
      </c>
      <c r="CM61">
        <v>0.28999999999999998</v>
      </c>
      <c r="CN61">
        <v>0.09</v>
      </c>
      <c r="CO61">
        <v>-206.936243902439</v>
      </c>
      <c r="CP61">
        <v>-29.8485574912897</v>
      </c>
      <c r="CQ61">
        <v>2.9437018902328398</v>
      </c>
      <c r="CR61">
        <v>-1</v>
      </c>
      <c r="CS61">
        <v>10.832653658536589</v>
      </c>
      <c r="CT61">
        <v>1.8071456445992731</v>
      </c>
      <c r="CU61">
        <v>0.17826603591202059</v>
      </c>
      <c r="CV61">
        <v>-1</v>
      </c>
      <c r="CW61">
        <v>0</v>
      </c>
      <c r="CX61">
        <v>0</v>
      </c>
      <c r="CY61" t="s">
        <v>333</v>
      </c>
      <c r="CZ61">
        <v>2.3649499999999999</v>
      </c>
      <c r="DA61">
        <v>2.71373</v>
      </c>
      <c r="DB61">
        <v>0.119371</v>
      </c>
      <c r="DC61">
        <v>0.14682500000000001</v>
      </c>
      <c r="DD61">
        <v>0.11606</v>
      </c>
      <c r="DE61">
        <v>7.3931499999999997E-2</v>
      </c>
      <c r="DF61">
        <v>32144.799999999999</v>
      </c>
      <c r="DG61">
        <v>27449.7</v>
      </c>
      <c r="DH61">
        <v>31159.7</v>
      </c>
      <c r="DI61">
        <v>28032.6</v>
      </c>
      <c r="DJ61">
        <v>37382</v>
      </c>
      <c r="DK61">
        <v>36892.5</v>
      </c>
      <c r="DL61">
        <v>44335</v>
      </c>
      <c r="DM61">
        <v>42462.1</v>
      </c>
      <c r="DN61">
        <v>1.48258</v>
      </c>
      <c r="DO61">
        <v>2.0888</v>
      </c>
      <c r="DP61">
        <v>8.07084E-2</v>
      </c>
      <c r="DQ61">
        <v>0.21204700000000001</v>
      </c>
      <c r="DR61">
        <v>25.651199999999999</v>
      </c>
      <c r="DS61">
        <v>25.286300000000001</v>
      </c>
      <c r="DT61">
        <v>69.3</v>
      </c>
      <c r="DU61">
        <v>24.5</v>
      </c>
      <c r="DV61">
        <v>21.530799999999999</v>
      </c>
      <c r="DW61">
        <v>62.191400000000002</v>
      </c>
      <c r="DX61">
        <v>35.773200000000003</v>
      </c>
      <c r="DY61">
        <v>1</v>
      </c>
      <c r="DZ61">
        <v>-0.13955000000000001</v>
      </c>
      <c r="EA61">
        <v>-0.51132100000000003</v>
      </c>
      <c r="EB61">
        <v>20.1907</v>
      </c>
      <c r="EC61">
        <v>5.2428999999999997</v>
      </c>
      <c r="ED61">
        <v>12.039899999999999</v>
      </c>
      <c r="EE61">
        <v>5.0169499999999996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1.8687400000000001</v>
      </c>
      <c r="EL61">
        <v>1.8643700000000001</v>
      </c>
      <c r="EM61">
        <v>1.8690500000000001</v>
      </c>
      <c r="EN61">
        <v>1.86707</v>
      </c>
      <c r="EO61">
        <v>1.8632500000000001</v>
      </c>
      <c r="EP61">
        <v>1.8642099999999999</v>
      </c>
      <c r="EQ61">
        <v>1.8700399999999999</v>
      </c>
      <c r="ER61">
        <v>1.8692500000000001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-1.089</v>
      </c>
      <c r="FG61">
        <v>0.19109999999999999</v>
      </c>
      <c r="FH61">
        <v>-0.68620417327404271</v>
      </c>
      <c r="FI61">
        <v>-6.1462078757559423E-4</v>
      </c>
      <c r="FJ61">
        <v>-1.8861989874597051E-7</v>
      </c>
      <c r="FK61">
        <v>1.1980462299894961E-10</v>
      </c>
      <c r="FL61">
        <v>0.1911242781723908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13.7</v>
      </c>
      <c r="FU61">
        <v>13.5</v>
      </c>
      <c r="FV61">
        <v>1.7761199999999999</v>
      </c>
      <c r="FW61">
        <v>2.5549300000000001</v>
      </c>
      <c r="FX61">
        <v>1.5490699999999999</v>
      </c>
      <c r="FY61">
        <v>2.34253</v>
      </c>
      <c r="FZ61">
        <v>1.50146</v>
      </c>
      <c r="GA61">
        <v>2.4023400000000001</v>
      </c>
      <c r="GB61">
        <v>30.136099999999999</v>
      </c>
      <c r="GC61">
        <v>23.982399999999998</v>
      </c>
      <c r="GD61">
        <v>19</v>
      </c>
      <c r="GE61">
        <v>282.70299999999997</v>
      </c>
      <c r="GF61">
        <v>619.16700000000003</v>
      </c>
      <c r="GG61">
        <v>25.495100000000001</v>
      </c>
      <c r="GH61">
        <v>25.673300000000001</v>
      </c>
      <c r="GI61">
        <v>30</v>
      </c>
      <c r="GJ61">
        <v>25.701599999999999</v>
      </c>
      <c r="GK61">
        <v>25.634</v>
      </c>
      <c r="GL61">
        <v>35.510399999999997</v>
      </c>
      <c r="GM61">
        <v>47.1464</v>
      </c>
      <c r="GN61">
        <v>95.83</v>
      </c>
      <c r="GO61">
        <v>25.514700000000001</v>
      </c>
      <c r="GP61">
        <v>800</v>
      </c>
      <c r="GQ61">
        <v>13.138299999999999</v>
      </c>
      <c r="GR61">
        <v>99.686999999999998</v>
      </c>
      <c r="GS61">
        <v>99.357500000000002</v>
      </c>
    </row>
    <row r="62" spans="1:201" x14ac:dyDescent="0.25">
      <c r="A62">
        <v>46</v>
      </c>
      <c r="B62">
        <v>1690287090.0999999</v>
      </c>
      <c r="C62">
        <v>551.5</v>
      </c>
      <c r="D62" t="s">
        <v>425</v>
      </c>
      <c r="E62" t="s">
        <v>426</v>
      </c>
      <c r="F62" t="s">
        <v>330</v>
      </c>
      <c r="H62">
        <v>1690287090.0999999</v>
      </c>
      <c r="I62">
        <f t="shared" si="0"/>
        <v>1.2126724095651046E-3</v>
      </c>
      <c r="J62">
        <f t="shared" si="1"/>
        <v>1.2126724095651047</v>
      </c>
      <c r="K62">
        <f t="shared" si="2"/>
        <v>21.702021589592007</v>
      </c>
      <c r="L62">
        <f t="shared" si="3"/>
        <v>582.803</v>
      </c>
      <c r="M62">
        <f t="shared" si="4"/>
        <v>154.60771197435585</v>
      </c>
      <c r="N62">
        <f t="shared" si="5"/>
        <v>15.372169212827398</v>
      </c>
      <c r="O62">
        <f t="shared" si="6"/>
        <v>57.946309529691696</v>
      </c>
      <c r="P62">
        <f t="shared" si="7"/>
        <v>8.4198924570931893E-2</v>
      </c>
      <c r="Q62">
        <f t="shared" si="8"/>
        <v>2.3049955449751498</v>
      </c>
      <c r="R62">
        <f t="shared" si="9"/>
        <v>8.2526815262601708E-2</v>
      </c>
      <c r="S62">
        <f t="shared" si="10"/>
        <v>5.1726726149144475E-2</v>
      </c>
      <c r="T62">
        <f t="shared" si="11"/>
        <v>276.11123302932259</v>
      </c>
      <c r="U62">
        <f t="shared" si="12"/>
        <v>28.259417606212445</v>
      </c>
      <c r="V62">
        <f t="shared" si="13"/>
        <v>28.259417606212445</v>
      </c>
      <c r="W62">
        <f t="shared" si="14"/>
        <v>3.8526096440601791</v>
      </c>
      <c r="X62">
        <f t="shared" si="15"/>
        <v>69.648049446126365</v>
      </c>
      <c r="Y62">
        <f t="shared" si="16"/>
        <v>2.4378189190269297</v>
      </c>
      <c r="Z62">
        <f t="shared" si="17"/>
        <v>3.5001969738041447</v>
      </c>
      <c r="AA62">
        <f t="shared" si="18"/>
        <v>1.4147907250332494</v>
      </c>
      <c r="AB62">
        <f t="shared" si="19"/>
        <v>-53.478853261821115</v>
      </c>
      <c r="AC62">
        <f t="shared" si="20"/>
        <v>-203.63838937997184</v>
      </c>
      <c r="AD62">
        <f t="shared" si="21"/>
        <v>-19.150385285954588</v>
      </c>
      <c r="AE62">
        <f t="shared" si="22"/>
        <v>-0.15639489842496346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52773.814022569728</v>
      </c>
      <c r="AK62">
        <f t="shared" si="26"/>
        <v>1799.98</v>
      </c>
      <c r="AL62">
        <f t="shared" si="27"/>
        <v>1499.0952298012601</v>
      </c>
      <c r="AM62">
        <f t="shared" si="28"/>
        <v>0.83283993700000003</v>
      </c>
      <c r="AN62">
        <f t="shared" si="29"/>
        <v>0.15339683387</v>
      </c>
      <c r="AO62">
        <v>29.1</v>
      </c>
      <c r="AP62">
        <v>0.5</v>
      </c>
      <c r="AQ62" t="s">
        <v>331</v>
      </c>
      <c r="AR62">
        <v>2</v>
      </c>
      <c r="AS62">
        <v>1690287090.0999999</v>
      </c>
      <c r="AT62">
        <v>582.803</v>
      </c>
      <c r="AU62">
        <v>800.05799999999999</v>
      </c>
      <c r="AV62">
        <v>24.518699999999999</v>
      </c>
      <c r="AW62">
        <v>13.05</v>
      </c>
      <c r="AX62">
        <v>583.88800000000003</v>
      </c>
      <c r="AY62">
        <v>24.327500000000001</v>
      </c>
      <c r="AZ62">
        <v>300.15199999999999</v>
      </c>
      <c r="BA62">
        <v>99.326999999999998</v>
      </c>
      <c r="BB62">
        <v>9.9923899999999996E-2</v>
      </c>
      <c r="BC62">
        <v>26.620699999999999</v>
      </c>
      <c r="BD62">
        <v>26.984200000000001</v>
      </c>
      <c r="BE62">
        <v>28.7575</v>
      </c>
      <c r="BF62">
        <v>0</v>
      </c>
      <c r="BG62">
        <v>0</v>
      </c>
      <c r="BH62">
        <v>10036.9</v>
      </c>
      <c r="BI62">
        <v>1086.52</v>
      </c>
      <c r="BJ62">
        <v>1.28952</v>
      </c>
      <c r="BK62">
        <v>-217.255</v>
      </c>
      <c r="BL62">
        <v>597.45100000000002</v>
      </c>
      <c r="BM62">
        <v>810.63699999999994</v>
      </c>
      <c r="BN62">
        <v>11.4687</v>
      </c>
      <c r="BO62">
        <v>800.05799999999999</v>
      </c>
      <c r="BP62">
        <v>13.05</v>
      </c>
      <c r="BQ62">
        <v>2.4353699999999998</v>
      </c>
      <c r="BR62">
        <v>1.2962199999999999</v>
      </c>
      <c r="BS62">
        <v>20.600899999999999</v>
      </c>
      <c r="BT62">
        <v>10.755100000000001</v>
      </c>
      <c r="BU62">
        <v>1799.98</v>
      </c>
      <c r="BV62">
        <v>0.91000999999999999</v>
      </c>
      <c r="BW62">
        <v>3.4001499999999997E-2</v>
      </c>
      <c r="BX62">
        <v>2.1992600000000001E-2</v>
      </c>
      <c r="BY62">
        <v>3.3995900000000003E-2</v>
      </c>
      <c r="BZ62">
        <v>24</v>
      </c>
      <c r="CA62">
        <v>33528.1</v>
      </c>
      <c r="CB62">
        <v>1690286268.5999999</v>
      </c>
      <c r="CC62" t="s">
        <v>332</v>
      </c>
      <c r="CD62">
        <v>1690286261.0999999</v>
      </c>
      <c r="CE62">
        <v>1690286268.5999999</v>
      </c>
      <c r="CF62">
        <v>1</v>
      </c>
      <c r="CG62">
        <v>-0.89900000000000002</v>
      </c>
      <c r="CH62">
        <v>3.4000000000000002E-2</v>
      </c>
      <c r="CI62">
        <v>-1.2370000000000001</v>
      </c>
      <c r="CJ62">
        <v>8.5999999999999993E-2</v>
      </c>
      <c r="CK62">
        <v>799</v>
      </c>
      <c r="CL62">
        <v>16</v>
      </c>
      <c r="CM62">
        <v>0.28999999999999998</v>
      </c>
      <c r="CN62">
        <v>0.09</v>
      </c>
      <c r="CO62">
        <v>-211.85851219512199</v>
      </c>
      <c r="CP62">
        <v>-29.10027177700367</v>
      </c>
      <c r="CQ62">
        <v>2.870112440407691</v>
      </c>
      <c r="CR62">
        <v>-1</v>
      </c>
      <c r="CS62">
        <v>11.137499999999999</v>
      </c>
      <c r="CT62">
        <v>1.8814327526132371</v>
      </c>
      <c r="CU62">
        <v>0.18578211471059719</v>
      </c>
      <c r="CV62">
        <v>-1</v>
      </c>
      <c r="CW62">
        <v>0</v>
      </c>
      <c r="CX62">
        <v>0</v>
      </c>
      <c r="CY62" t="s">
        <v>333</v>
      </c>
      <c r="CZ62">
        <v>2.3650099999999998</v>
      </c>
      <c r="DA62">
        <v>2.7137500000000001</v>
      </c>
      <c r="DB62">
        <v>0.11866699999999999</v>
      </c>
      <c r="DC62">
        <v>0.14682500000000001</v>
      </c>
      <c r="DD62">
        <v>0.11608300000000001</v>
      </c>
      <c r="DE62">
        <v>7.26633E-2</v>
      </c>
      <c r="DF62">
        <v>32170.3</v>
      </c>
      <c r="DG62">
        <v>27449.7</v>
      </c>
      <c r="DH62">
        <v>31159.5</v>
      </c>
      <c r="DI62">
        <v>28032.6</v>
      </c>
      <c r="DJ62">
        <v>37380.699999999997</v>
      </c>
      <c r="DK62">
        <v>36943.300000000003</v>
      </c>
      <c r="DL62">
        <v>44334.8</v>
      </c>
      <c r="DM62">
        <v>42462.3</v>
      </c>
      <c r="DN62">
        <v>1.4827699999999999</v>
      </c>
      <c r="DO62">
        <v>2.0884999999999998</v>
      </c>
      <c r="DP62">
        <v>8.1550300000000006E-2</v>
      </c>
      <c r="DQ62">
        <v>0.21231900000000001</v>
      </c>
      <c r="DR62">
        <v>25.649100000000001</v>
      </c>
      <c r="DS62">
        <v>25.285299999999999</v>
      </c>
      <c r="DT62">
        <v>69.3</v>
      </c>
      <c r="DU62">
        <v>24.5</v>
      </c>
      <c r="DV62">
        <v>21.5319</v>
      </c>
      <c r="DW62">
        <v>61.7014</v>
      </c>
      <c r="DX62">
        <v>36.241999999999997</v>
      </c>
      <c r="DY62">
        <v>1</v>
      </c>
      <c r="DZ62">
        <v>-0.13955999999999999</v>
      </c>
      <c r="EA62">
        <v>-0.50284899999999999</v>
      </c>
      <c r="EB62">
        <v>20.190799999999999</v>
      </c>
      <c r="EC62">
        <v>5.2418500000000003</v>
      </c>
      <c r="ED62">
        <v>12.039899999999999</v>
      </c>
      <c r="EE62">
        <v>5.0168999999999997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1.86873</v>
      </c>
      <c r="EL62">
        <v>1.86439</v>
      </c>
      <c r="EM62">
        <v>1.8690500000000001</v>
      </c>
      <c r="EN62">
        <v>1.86707</v>
      </c>
      <c r="EO62">
        <v>1.8632500000000001</v>
      </c>
      <c r="EP62">
        <v>1.8642099999999999</v>
      </c>
      <c r="EQ62">
        <v>1.8700399999999999</v>
      </c>
      <c r="ER62">
        <v>1.86924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-1.085</v>
      </c>
      <c r="FG62">
        <v>0.19120000000000001</v>
      </c>
      <c r="FH62">
        <v>-0.68620417327404271</v>
      </c>
      <c r="FI62">
        <v>-6.1462078757559423E-4</v>
      </c>
      <c r="FJ62">
        <v>-1.8861989874597051E-7</v>
      </c>
      <c r="FK62">
        <v>1.1980462299894961E-10</v>
      </c>
      <c r="FL62">
        <v>0.1911242781723908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13.8</v>
      </c>
      <c r="FU62">
        <v>13.7</v>
      </c>
      <c r="FV62">
        <v>1.7761199999999999</v>
      </c>
      <c r="FW62">
        <v>2.5610400000000002</v>
      </c>
      <c r="FX62">
        <v>1.5490699999999999</v>
      </c>
      <c r="FY62">
        <v>2.34253</v>
      </c>
      <c r="FZ62">
        <v>1.50146</v>
      </c>
      <c r="GA62">
        <v>2.2790499999999998</v>
      </c>
      <c r="GB62">
        <v>30.136099999999999</v>
      </c>
      <c r="GC62">
        <v>23.982399999999998</v>
      </c>
      <c r="GD62">
        <v>19</v>
      </c>
      <c r="GE62">
        <v>282.798</v>
      </c>
      <c r="GF62">
        <v>618.94600000000003</v>
      </c>
      <c r="GG62">
        <v>25.5259</v>
      </c>
      <c r="GH62">
        <v>25.671099999999999</v>
      </c>
      <c r="GI62">
        <v>30</v>
      </c>
      <c r="GJ62">
        <v>25.703800000000001</v>
      </c>
      <c r="GK62">
        <v>25.6372</v>
      </c>
      <c r="GL62">
        <v>35.508299999999998</v>
      </c>
      <c r="GM62">
        <v>48.073099999999997</v>
      </c>
      <c r="GN62">
        <v>95.451800000000006</v>
      </c>
      <c r="GO62">
        <v>25.527899999999999</v>
      </c>
      <c r="GP62">
        <v>800</v>
      </c>
      <c r="GQ62">
        <v>12.836600000000001</v>
      </c>
      <c r="GR62">
        <v>99.686400000000006</v>
      </c>
      <c r="GS62">
        <v>99.357799999999997</v>
      </c>
    </row>
    <row r="63" spans="1:201" x14ac:dyDescent="0.25">
      <c r="A63">
        <v>47</v>
      </c>
      <c r="B63">
        <v>1690287100.0999999</v>
      </c>
      <c r="C63">
        <v>561.5</v>
      </c>
      <c r="D63" t="s">
        <v>427</v>
      </c>
      <c r="E63" t="s">
        <v>428</v>
      </c>
      <c r="F63" t="s">
        <v>330</v>
      </c>
      <c r="H63">
        <v>1690287100.0999999</v>
      </c>
      <c r="I63">
        <f t="shared" si="0"/>
        <v>1.2461445771385043E-3</v>
      </c>
      <c r="J63">
        <f t="shared" si="1"/>
        <v>1.2461445771385042</v>
      </c>
      <c r="K63">
        <f t="shared" si="2"/>
        <v>22.203457364600606</v>
      </c>
      <c r="L63">
        <f t="shared" si="3"/>
        <v>577.94000000000005</v>
      </c>
      <c r="M63">
        <f t="shared" si="4"/>
        <v>151.99696266092047</v>
      </c>
      <c r="N63">
        <f t="shared" si="5"/>
        <v>15.11280021052665</v>
      </c>
      <c r="O63">
        <f t="shared" si="6"/>
        <v>57.463594013760002</v>
      </c>
      <c r="P63">
        <f t="shared" si="7"/>
        <v>8.6636244303493926E-2</v>
      </c>
      <c r="Q63">
        <f t="shared" si="8"/>
        <v>2.2992720116870409</v>
      </c>
      <c r="R63">
        <f t="shared" si="9"/>
        <v>8.4862717374593305E-2</v>
      </c>
      <c r="S63">
        <f t="shared" si="10"/>
        <v>5.3195518818633776E-2</v>
      </c>
      <c r="T63">
        <f t="shared" si="11"/>
        <v>276.11480458634139</v>
      </c>
      <c r="U63">
        <f t="shared" si="12"/>
        <v>28.255679673693454</v>
      </c>
      <c r="V63">
        <f t="shared" si="13"/>
        <v>28.255679673693454</v>
      </c>
      <c r="W63">
        <f t="shared" si="14"/>
        <v>3.8517718237181255</v>
      </c>
      <c r="X63">
        <f t="shared" si="15"/>
        <v>69.637058130947707</v>
      </c>
      <c r="Y63">
        <f t="shared" si="16"/>
        <v>2.4379223570975999</v>
      </c>
      <c r="Z63">
        <f t="shared" si="17"/>
        <v>3.5008979737674362</v>
      </c>
      <c r="AA63">
        <f t="shared" si="18"/>
        <v>1.4138494666205257</v>
      </c>
      <c r="AB63">
        <f t="shared" si="19"/>
        <v>-54.954975851808044</v>
      </c>
      <c r="AC63">
        <f t="shared" si="20"/>
        <v>-202.24792864017184</v>
      </c>
      <c r="AD63">
        <f t="shared" si="21"/>
        <v>-19.066936561193383</v>
      </c>
      <c r="AE63">
        <f t="shared" si="22"/>
        <v>-0.15503646683185934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52556.361145231764</v>
      </c>
      <c r="AK63">
        <f t="shared" si="26"/>
        <v>1799.99</v>
      </c>
      <c r="AL63">
        <f t="shared" si="27"/>
        <v>1499.10742817913</v>
      </c>
      <c r="AM63">
        <f t="shared" si="28"/>
        <v>0.83284208699999995</v>
      </c>
      <c r="AN63">
        <f t="shared" si="29"/>
        <v>0.15339796587000004</v>
      </c>
      <c r="AO63">
        <v>29.1</v>
      </c>
      <c r="AP63">
        <v>0.5</v>
      </c>
      <c r="AQ63" t="s">
        <v>331</v>
      </c>
      <c r="AR63">
        <v>2</v>
      </c>
      <c r="AS63">
        <v>1690287100.0999999</v>
      </c>
      <c r="AT63">
        <v>577.94000000000005</v>
      </c>
      <c r="AU63">
        <v>800.11800000000005</v>
      </c>
      <c r="AV63">
        <v>24.519400000000001</v>
      </c>
      <c r="AW63">
        <v>12.7378</v>
      </c>
      <c r="AX63">
        <v>579.02300000000002</v>
      </c>
      <c r="AY63">
        <v>24.328299999999999</v>
      </c>
      <c r="AZ63">
        <v>300.245</v>
      </c>
      <c r="BA63">
        <v>99.328299999999999</v>
      </c>
      <c r="BB63">
        <v>0.100004</v>
      </c>
      <c r="BC63">
        <v>26.624099999999999</v>
      </c>
      <c r="BD63">
        <v>26.984999999999999</v>
      </c>
      <c r="BE63">
        <v>28.7576</v>
      </c>
      <c r="BF63">
        <v>0</v>
      </c>
      <c r="BG63">
        <v>0</v>
      </c>
      <c r="BH63">
        <v>9993.75</v>
      </c>
      <c r="BI63">
        <v>1086.56</v>
      </c>
      <c r="BJ63">
        <v>1.28952</v>
      </c>
      <c r="BK63">
        <v>-222.178</v>
      </c>
      <c r="BL63">
        <v>592.46699999999998</v>
      </c>
      <c r="BM63">
        <v>810.44200000000001</v>
      </c>
      <c r="BN63">
        <v>11.781599999999999</v>
      </c>
      <c r="BO63">
        <v>800.11800000000005</v>
      </c>
      <c r="BP63">
        <v>12.7378</v>
      </c>
      <c r="BQ63">
        <v>2.43547</v>
      </c>
      <c r="BR63">
        <v>1.26522</v>
      </c>
      <c r="BS63">
        <v>20.601600000000001</v>
      </c>
      <c r="BT63">
        <v>10.3919</v>
      </c>
      <c r="BU63">
        <v>1799.99</v>
      </c>
      <c r="BV63">
        <v>0.91000599999999998</v>
      </c>
      <c r="BW63">
        <v>3.39963E-2</v>
      </c>
      <c r="BX63">
        <v>2.2007599999999999E-2</v>
      </c>
      <c r="BY63">
        <v>3.3990699999999999E-2</v>
      </c>
      <c r="BZ63">
        <v>24</v>
      </c>
      <c r="CA63">
        <v>33528.1</v>
      </c>
      <c r="CB63">
        <v>1690286268.5999999</v>
      </c>
      <c r="CC63" t="s">
        <v>332</v>
      </c>
      <c r="CD63">
        <v>1690286261.0999999</v>
      </c>
      <c r="CE63">
        <v>1690286268.5999999</v>
      </c>
      <c r="CF63">
        <v>1</v>
      </c>
      <c r="CG63">
        <v>-0.89900000000000002</v>
      </c>
      <c r="CH63">
        <v>3.4000000000000002E-2</v>
      </c>
      <c r="CI63">
        <v>-1.2370000000000001</v>
      </c>
      <c r="CJ63">
        <v>8.5999999999999993E-2</v>
      </c>
      <c r="CK63">
        <v>799</v>
      </c>
      <c r="CL63">
        <v>16</v>
      </c>
      <c r="CM63">
        <v>0.28999999999999998</v>
      </c>
      <c r="CN63">
        <v>0.09</v>
      </c>
      <c r="CO63">
        <v>-217.13114999999999</v>
      </c>
      <c r="CP63">
        <v>-29.494446529080228</v>
      </c>
      <c r="CQ63">
        <v>2.8384342210979612</v>
      </c>
      <c r="CR63">
        <v>-1</v>
      </c>
      <c r="CS63">
        <v>11.467157500000001</v>
      </c>
      <c r="CT63">
        <v>1.8626262664165021</v>
      </c>
      <c r="CU63">
        <v>0.17949225594367571</v>
      </c>
      <c r="CV63">
        <v>-1</v>
      </c>
      <c r="CW63">
        <v>0</v>
      </c>
      <c r="CX63">
        <v>0</v>
      </c>
      <c r="CY63" t="s">
        <v>333</v>
      </c>
      <c r="CZ63">
        <v>2.3653400000000002</v>
      </c>
      <c r="DA63">
        <v>2.7137899999999999</v>
      </c>
      <c r="DB63">
        <v>0.117967</v>
      </c>
      <c r="DC63">
        <v>0.14682700000000001</v>
      </c>
      <c r="DD63">
        <v>0.116087</v>
      </c>
      <c r="DE63">
        <v>7.1362599999999998E-2</v>
      </c>
      <c r="DF63">
        <v>32195.1</v>
      </c>
      <c r="DG63">
        <v>27449.3</v>
      </c>
      <c r="DH63">
        <v>31158.799999999999</v>
      </c>
      <c r="DI63">
        <v>28032.3</v>
      </c>
      <c r="DJ63">
        <v>37379.5</v>
      </c>
      <c r="DK63">
        <v>36994.9</v>
      </c>
      <c r="DL63">
        <v>44333.599999999999</v>
      </c>
      <c r="DM63">
        <v>42461.8</v>
      </c>
      <c r="DN63">
        <v>1.4834499999999999</v>
      </c>
      <c r="DO63">
        <v>2.0878299999999999</v>
      </c>
      <c r="DP63">
        <v>8.18633E-2</v>
      </c>
      <c r="DQ63">
        <v>0.21252399999999999</v>
      </c>
      <c r="DR63">
        <v>25.6447</v>
      </c>
      <c r="DS63">
        <v>25.282</v>
      </c>
      <c r="DT63">
        <v>69.3</v>
      </c>
      <c r="DU63">
        <v>24.5</v>
      </c>
      <c r="DV63">
        <v>21.533799999999999</v>
      </c>
      <c r="DW63">
        <v>62.261400000000002</v>
      </c>
      <c r="DX63">
        <v>35.921500000000002</v>
      </c>
      <c r="DY63">
        <v>1</v>
      </c>
      <c r="DZ63">
        <v>-0.13960900000000001</v>
      </c>
      <c r="EA63">
        <v>-0.520343</v>
      </c>
      <c r="EB63">
        <v>20.1906</v>
      </c>
      <c r="EC63">
        <v>5.2421499999999996</v>
      </c>
      <c r="ED63">
        <v>12.039899999999999</v>
      </c>
      <c r="EE63">
        <v>5.0167999999999999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1.8687400000000001</v>
      </c>
      <c r="EL63">
        <v>1.8644099999999999</v>
      </c>
      <c r="EM63">
        <v>1.8690500000000001</v>
      </c>
      <c r="EN63">
        <v>1.86707</v>
      </c>
      <c r="EO63">
        <v>1.8632500000000001</v>
      </c>
      <c r="EP63">
        <v>1.8642099999999999</v>
      </c>
      <c r="EQ63">
        <v>1.8700300000000001</v>
      </c>
      <c r="ER63">
        <v>1.86924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-1.083</v>
      </c>
      <c r="FG63">
        <v>0.19109999999999999</v>
      </c>
      <c r="FH63">
        <v>-0.68620417327404271</v>
      </c>
      <c r="FI63">
        <v>-6.1462078757559423E-4</v>
      </c>
      <c r="FJ63">
        <v>-1.8861989874597051E-7</v>
      </c>
      <c r="FK63">
        <v>1.1980462299894961E-10</v>
      </c>
      <c r="FL63">
        <v>0.1911242781723908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14</v>
      </c>
      <c r="FU63">
        <v>13.9</v>
      </c>
      <c r="FV63">
        <v>1.7761199999999999</v>
      </c>
      <c r="FW63">
        <v>2.5573700000000001</v>
      </c>
      <c r="FX63">
        <v>1.5490699999999999</v>
      </c>
      <c r="FY63">
        <v>2.34253</v>
      </c>
      <c r="FZ63">
        <v>1.50146</v>
      </c>
      <c r="GA63">
        <v>2.3742700000000001</v>
      </c>
      <c r="GB63">
        <v>30.157599999999999</v>
      </c>
      <c r="GC63">
        <v>23.991199999999999</v>
      </c>
      <c r="GD63">
        <v>19</v>
      </c>
      <c r="GE63">
        <v>283.09100000000001</v>
      </c>
      <c r="GF63">
        <v>618.40499999999997</v>
      </c>
      <c r="GG63">
        <v>25.541</v>
      </c>
      <c r="GH63">
        <v>25.669</v>
      </c>
      <c r="GI63">
        <v>30</v>
      </c>
      <c r="GJ63">
        <v>25.705400000000001</v>
      </c>
      <c r="GK63">
        <v>25.640499999999999</v>
      </c>
      <c r="GL63">
        <v>35.502699999999997</v>
      </c>
      <c r="GM63">
        <v>48.958599999999997</v>
      </c>
      <c r="GN63">
        <v>94.674099999999996</v>
      </c>
      <c r="GO63">
        <v>25.555499999999999</v>
      </c>
      <c r="GP63">
        <v>800</v>
      </c>
      <c r="GQ63">
        <v>12.539199999999999</v>
      </c>
      <c r="GR63">
        <v>99.683899999999994</v>
      </c>
      <c r="GS63">
        <v>99.3566</v>
      </c>
    </row>
    <row r="64" spans="1:201" x14ac:dyDescent="0.25">
      <c r="A64">
        <v>48</v>
      </c>
      <c r="B64">
        <v>1690287110.0999999</v>
      </c>
      <c r="C64">
        <v>571.5</v>
      </c>
      <c r="D64" t="s">
        <v>429</v>
      </c>
      <c r="E64" t="s">
        <v>430</v>
      </c>
      <c r="F64" t="s">
        <v>330</v>
      </c>
      <c r="H64">
        <v>1690287110.0999999</v>
      </c>
      <c r="I64">
        <f t="shared" si="0"/>
        <v>1.2795858247917811E-3</v>
      </c>
      <c r="J64">
        <f t="shared" si="1"/>
        <v>1.2795858247917811</v>
      </c>
      <c r="K64">
        <f t="shared" si="2"/>
        <v>22.66578592754302</v>
      </c>
      <c r="L64">
        <f t="shared" si="3"/>
        <v>573.11099999999999</v>
      </c>
      <c r="M64">
        <f t="shared" si="4"/>
        <v>150.0894762294954</v>
      </c>
      <c r="N64">
        <f t="shared" si="5"/>
        <v>14.923432793062501</v>
      </c>
      <c r="O64">
        <f t="shared" si="6"/>
        <v>56.984564849751003</v>
      </c>
      <c r="P64">
        <f t="shared" si="7"/>
        <v>8.9085298584446734E-2</v>
      </c>
      <c r="Q64">
        <f t="shared" si="8"/>
        <v>2.3047861222850257</v>
      </c>
      <c r="R64">
        <f t="shared" si="9"/>
        <v>8.721563627933325E-2</v>
      </c>
      <c r="S64">
        <f t="shared" si="10"/>
        <v>5.4674486206577812E-2</v>
      </c>
      <c r="T64">
        <f t="shared" si="11"/>
        <v>276.11461258140798</v>
      </c>
      <c r="U64">
        <f t="shared" si="12"/>
        <v>28.25163742109801</v>
      </c>
      <c r="V64">
        <f t="shared" si="13"/>
        <v>28.25163742109801</v>
      </c>
      <c r="W64">
        <f t="shared" si="14"/>
        <v>3.8508659719402685</v>
      </c>
      <c r="X64">
        <f t="shared" si="15"/>
        <v>69.602585657463777</v>
      </c>
      <c r="Y64">
        <f t="shared" si="16"/>
        <v>2.4382084837538001</v>
      </c>
      <c r="Z64">
        <f t="shared" si="17"/>
        <v>3.5030429699163639</v>
      </c>
      <c r="AA64">
        <f t="shared" si="18"/>
        <v>1.4126574881864684</v>
      </c>
      <c r="AB64">
        <f t="shared" si="19"/>
        <v>-56.429734873317543</v>
      </c>
      <c r="AC64">
        <f t="shared" si="20"/>
        <v>-200.93842812465681</v>
      </c>
      <c r="AD64">
        <f t="shared" si="21"/>
        <v>-18.898759189591143</v>
      </c>
      <c r="AE64">
        <f t="shared" si="22"/>
        <v>-0.1523096061575302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52763.510479383745</v>
      </c>
      <c r="AK64">
        <f t="shared" si="26"/>
        <v>1799.99</v>
      </c>
      <c r="AL64">
        <f t="shared" si="27"/>
        <v>1499.1079015764999</v>
      </c>
      <c r="AM64">
        <f t="shared" si="28"/>
        <v>0.83284234999999995</v>
      </c>
      <c r="AN64">
        <f t="shared" si="29"/>
        <v>0.15339785919999999</v>
      </c>
      <c r="AO64">
        <v>29.1</v>
      </c>
      <c r="AP64">
        <v>0.5</v>
      </c>
      <c r="AQ64" t="s">
        <v>331</v>
      </c>
      <c r="AR64">
        <v>2</v>
      </c>
      <c r="AS64">
        <v>1690287110.0999999</v>
      </c>
      <c r="AT64">
        <v>573.11099999999999</v>
      </c>
      <c r="AU64">
        <v>799.95100000000002</v>
      </c>
      <c r="AV64">
        <v>24.521799999999999</v>
      </c>
      <c r="AW64">
        <v>12.421200000000001</v>
      </c>
      <c r="AX64">
        <v>574.19000000000005</v>
      </c>
      <c r="AY64">
        <v>24.3306</v>
      </c>
      <c r="AZ64">
        <v>300.17399999999998</v>
      </c>
      <c r="BA64">
        <v>99.330200000000005</v>
      </c>
      <c r="BB64">
        <v>0.100041</v>
      </c>
      <c r="BC64">
        <v>26.634499999999999</v>
      </c>
      <c r="BD64">
        <v>26.991099999999999</v>
      </c>
      <c r="BE64">
        <v>28.729099999999999</v>
      </c>
      <c r="BF64">
        <v>0</v>
      </c>
      <c r="BG64">
        <v>0</v>
      </c>
      <c r="BH64">
        <v>10035</v>
      </c>
      <c r="BI64">
        <v>1086.3800000000001</v>
      </c>
      <c r="BJ64">
        <v>1.28952</v>
      </c>
      <c r="BK64">
        <v>-226.84</v>
      </c>
      <c r="BL64">
        <v>587.51800000000003</v>
      </c>
      <c r="BM64">
        <v>810.01300000000003</v>
      </c>
      <c r="BN64">
        <v>12.1006</v>
      </c>
      <c r="BO64">
        <v>799.95100000000002</v>
      </c>
      <c r="BP64">
        <v>12.421200000000001</v>
      </c>
      <c r="BQ64">
        <v>2.4357500000000001</v>
      </c>
      <c r="BR64">
        <v>1.2338</v>
      </c>
      <c r="BS64">
        <v>20.603400000000001</v>
      </c>
      <c r="BT64">
        <v>10.015700000000001</v>
      </c>
      <c r="BU64">
        <v>1799.99</v>
      </c>
      <c r="BV64">
        <v>0.91000999999999999</v>
      </c>
      <c r="BW64">
        <v>3.3993799999999998E-2</v>
      </c>
      <c r="BX64">
        <v>2.2006999999999999E-2</v>
      </c>
      <c r="BY64">
        <v>3.3989600000000002E-2</v>
      </c>
      <c r="BZ64">
        <v>24</v>
      </c>
      <c r="CA64">
        <v>33528.1</v>
      </c>
      <c r="CB64">
        <v>1690286268.5999999</v>
      </c>
      <c r="CC64" t="s">
        <v>332</v>
      </c>
      <c r="CD64">
        <v>1690286261.0999999</v>
      </c>
      <c r="CE64">
        <v>1690286268.5999999</v>
      </c>
      <c r="CF64">
        <v>1</v>
      </c>
      <c r="CG64">
        <v>-0.89900000000000002</v>
      </c>
      <c r="CH64">
        <v>3.4000000000000002E-2</v>
      </c>
      <c r="CI64">
        <v>-1.2370000000000001</v>
      </c>
      <c r="CJ64">
        <v>8.5999999999999993E-2</v>
      </c>
      <c r="CK64">
        <v>799</v>
      </c>
      <c r="CL64">
        <v>16</v>
      </c>
      <c r="CM64">
        <v>0.28999999999999998</v>
      </c>
      <c r="CN64">
        <v>0.09</v>
      </c>
      <c r="CO64">
        <v>-221.52967500000011</v>
      </c>
      <c r="CP64">
        <v>-29.262742964352331</v>
      </c>
      <c r="CQ64">
        <v>2.8158244209067811</v>
      </c>
      <c r="CR64">
        <v>-1</v>
      </c>
      <c r="CS64">
        <v>11.742940000000001</v>
      </c>
      <c r="CT64">
        <v>1.855069418386452</v>
      </c>
      <c r="CU64">
        <v>0.17849537360951401</v>
      </c>
      <c r="CV64">
        <v>-1</v>
      </c>
      <c r="CW64">
        <v>0</v>
      </c>
      <c r="CX64">
        <v>0</v>
      </c>
      <c r="CY64" t="s">
        <v>333</v>
      </c>
      <c r="CZ64">
        <v>2.3651200000000001</v>
      </c>
      <c r="DA64">
        <v>2.7138599999999999</v>
      </c>
      <c r="DB64">
        <v>0.117269</v>
      </c>
      <c r="DC64">
        <v>0.14680099999999999</v>
      </c>
      <c r="DD64">
        <v>0.11609700000000001</v>
      </c>
      <c r="DE64">
        <v>7.0031800000000005E-2</v>
      </c>
      <c r="DF64">
        <v>32220.799999999999</v>
      </c>
      <c r="DG64">
        <v>27451</v>
      </c>
      <c r="DH64">
        <v>31158.9</v>
      </c>
      <c r="DI64">
        <v>28033.1</v>
      </c>
      <c r="DJ64">
        <v>37379.4</v>
      </c>
      <c r="DK64">
        <v>37049.1</v>
      </c>
      <c r="DL64">
        <v>44334.1</v>
      </c>
      <c r="DM64">
        <v>42463.1</v>
      </c>
      <c r="DN64">
        <v>1.4836499999999999</v>
      </c>
      <c r="DO64">
        <v>2.0872199999999999</v>
      </c>
      <c r="DP64">
        <v>8.2563600000000001E-2</v>
      </c>
      <c r="DQ64">
        <v>0.21091099999999999</v>
      </c>
      <c r="DR64">
        <v>25.639399999999998</v>
      </c>
      <c r="DS64">
        <v>25.279900000000001</v>
      </c>
      <c r="DT64">
        <v>69.2</v>
      </c>
      <c r="DU64">
        <v>24.5</v>
      </c>
      <c r="DV64">
        <v>21.504200000000001</v>
      </c>
      <c r="DW64">
        <v>62.071399999999997</v>
      </c>
      <c r="DX64">
        <v>36.238</v>
      </c>
      <c r="DY64">
        <v>1</v>
      </c>
      <c r="DZ64">
        <v>-0.13975399999999999</v>
      </c>
      <c r="EA64">
        <v>-0.54897600000000002</v>
      </c>
      <c r="EB64">
        <v>20.1905</v>
      </c>
      <c r="EC64">
        <v>5.2421499999999996</v>
      </c>
      <c r="ED64">
        <v>12.039899999999999</v>
      </c>
      <c r="EE64">
        <v>5.0169499999999996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1.8687400000000001</v>
      </c>
      <c r="EL64">
        <v>1.8644099999999999</v>
      </c>
      <c r="EM64">
        <v>1.8690500000000001</v>
      </c>
      <c r="EN64">
        <v>1.86707</v>
      </c>
      <c r="EO64">
        <v>1.8632500000000001</v>
      </c>
      <c r="EP64">
        <v>1.8642300000000001</v>
      </c>
      <c r="EQ64">
        <v>1.8700300000000001</v>
      </c>
      <c r="ER64">
        <v>1.8692500000000001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-1.079</v>
      </c>
      <c r="FG64">
        <v>0.19120000000000001</v>
      </c>
      <c r="FH64">
        <v>-0.68620417327404271</v>
      </c>
      <c r="FI64">
        <v>-6.1462078757559423E-4</v>
      </c>
      <c r="FJ64">
        <v>-1.8861989874597051E-7</v>
      </c>
      <c r="FK64">
        <v>1.1980462299894961E-10</v>
      </c>
      <c r="FL64">
        <v>0.1911242781723908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14.2</v>
      </c>
      <c r="FU64">
        <v>14</v>
      </c>
      <c r="FV64">
        <v>1.7748999999999999</v>
      </c>
      <c r="FW64">
        <v>2.5598100000000001</v>
      </c>
      <c r="FX64">
        <v>1.5490699999999999</v>
      </c>
      <c r="FY64">
        <v>2.34253</v>
      </c>
      <c r="FZ64">
        <v>1.50146</v>
      </c>
      <c r="GA64">
        <v>2.2656200000000002</v>
      </c>
      <c r="GB64">
        <v>30.157599999999999</v>
      </c>
      <c r="GC64">
        <v>23.982399999999998</v>
      </c>
      <c r="GD64">
        <v>19</v>
      </c>
      <c r="GE64">
        <v>283.18099999999998</v>
      </c>
      <c r="GF64">
        <v>617.93700000000001</v>
      </c>
      <c r="GG64">
        <v>25.569400000000002</v>
      </c>
      <c r="GH64">
        <v>25.666799999999999</v>
      </c>
      <c r="GI64">
        <v>29.9999</v>
      </c>
      <c r="GJ64">
        <v>25.706399999999999</v>
      </c>
      <c r="GK64">
        <v>25.6447</v>
      </c>
      <c r="GL64">
        <v>35.496000000000002</v>
      </c>
      <c r="GM64">
        <v>49.842199999999998</v>
      </c>
      <c r="GN64">
        <v>94.283799999999999</v>
      </c>
      <c r="GO64">
        <v>25.5762</v>
      </c>
      <c r="GP64">
        <v>800</v>
      </c>
      <c r="GQ64">
        <v>12.2417</v>
      </c>
      <c r="GR64">
        <v>99.684799999999996</v>
      </c>
      <c r="GS64">
        <v>99.3596</v>
      </c>
    </row>
    <row r="65" spans="1:201" x14ac:dyDescent="0.25">
      <c r="A65">
        <v>49</v>
      </c>
      <c r="B65">
        <v>1690287120.0999999</v>
      </c>
      <c r="C65">
        <v>581.5</v>
      </c>
      <c r="D65" t="s">
        <v>431</v>
      </c>
      <c r="E65" t="s">
        <v>432</v>
      </c>
      <c r="F65" t="s">
        <v>330</v>
      </c>
      <c r="H65">
        <v>1690287120.0999999</v>
      </c>
      <c r="I65">
        <f t="shared" si="0"/>
        <v>1.3089965957499494E-3</v>
      </c>
      <c r="J65">
        <f t="shared" si="1"/>
        <v>1.3089965957499494</v>
      </c>
      <c r="K65">
        <f t="shared" si="2"/>
        <v>23.142149605155357</v>
      </c>
      <c r="L65">
        <f t="shared" si="3"/>
        <v>568.37099999999998</v>
      </c>
      <c r="M65">
        <f t="shared" si="4"/>
        <v>147.00120292182029</v>
      </c>
      <c r="N65">
        <f t="shared" si="5"/>
        <v>14.616232747423986</v>
      </c>
      <c r="O65">
        <f t="shared" si="6"/>
        <v>56.512754030348098</v>
      </c>
      <c r="P65">
        <f t="shared" si="7"/>
        <v>9.1342915244585252E-2</v>
      </c>
      <c r="Q65">
        <f t="shared" si="8"/>
        <v>2.3001208899351235</v>
      </c>
      <c r="R65">
        <f t="shared" si="9"/>
        <v>8.9374523405793022E-2</v>
      </c>
      <c r="S65">
        <f t="shared" si="10"/>
        <v>5.603239638443798E-2</v>
      </c>
      <c r="T65">
        <f t="shared" si="11"/>
        <v>276.11293930236377</v>
      </c>
      <c r="U65">
        <f t="shared" si="12"/>
        <v>28.242163381099328</v>
      </c>
      <c r="V65">
        <f t="shared" si="13"/>
        <v>28.242163381099328</v>
      </c>
      <c r="W65">
        <f t="shared" si="14"/>
        <v>3.8487436076527795</v>
      </c>
      <c r="X65">
        <f t="shared" si="15"/>
        <v>69.62349626836928</v>
      </c>
      <c r="Y65">
        <f t="shared" si="16"/>
        <v>2.4385244763457203</v>
      </c>
      <c r="Z65">
        <f t="shared" si="17"/>
        <v>3.5024447306498869</v>
      </c>
      <c r="AA65">
        <f t="shared" si="18"/>
        <v>1.4102191313070591</v>
      </c>
      <c r="AB65">
        <f t="shared" si="19"/>
        <v>-57.726749872572768</v>
      </c>
      <c r="AC65">
        <f t="shared" si="20"/>
        <v>-199.71649061926601</v>
      </c>
      <c r="AD65">
        <f t="shared" si="21"/>
        <v>-18.820767459018626</v>
      </c>
      <c r="AE65">
        <f t="shared" si="22"/>
        <v>-0.15106864849363433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52587.207062601854</v>
      </c>
      <c r="AK65">
        <f t="shared" si="26"/>
        <v>1799.98</v>
      </c>
      <c r="AL65">
        <f t="shared" si="27"/>
        <v>1499.0914390433802</v>
      </c>
      <c r="AM65">
        <f t="shared" si="28"/>
        <v>0.83283783100000008</v>
      </c>
      <c r="AN65">
        <f t="shared" si="29"/>
        <v>0.15339778180999999</v>
      </c>
      <c r="AO65">
        <v>29.1</v>
      </c>
      <c r="AP65">
        <v>0.5</v>
      </c>
      <c r="AQ65" t="s">
        <v>331</v>
      </c>
      <c r="AR65">
        <v>2</v>
      </c>
      <c r="AS65">
        <v>1690287120.0999999</v>
      </c>
      <c r="AT65">
        <v>568.37099999999998</v>
      </c>
      <c r="AU65">
        <v>800.02800000000002</v>
      </c>
      <c r="AV65">
        <v>24.525200000000002</v>
      </c>
      <c r="AW65">
        <v>12.141400000000001</v>
      </c>
      <c r="AX65">
        <v>569.44600000000003</v>
      </c>
      <c r="AY65">
        <v>24.334</v>
      </c>
      <c r="AZ65">
        <v>300.05</v>
      </c>
      <c r="BA65">
        <v>99.329499999999996</v>
      </c>
      <c r="BB65">
        <v>9.9841100000000002E-2</v>
      </c>
      <c r="BC65">
        <v>26.631599999999999</v>
      </c>
      <c r="BD65">
        <v>26.995799999999999</v>
      </c>
      <c r="BE65">
        <v>28.716000000000001</v>
      </c>
      <c r="BF65">
        <v>0</v>
      </c>
      <c r="BG65">
        <v>0</v>
      </c>
      <c r="BH65">
        <v>10000</v>
      </c>
      <c r="BI65">
        <v>1086.3800000000001</v>
      </c>
      <c r="BJ65">
        <v>1.28952</v>
      </c>
      <c r="BK65">
        <v>-231.65799999999999</v>
      </c>
      <c r="BL65">
        <v>582.66099999999994</v>
      </c>
      <c r="BM65">
        <v>809.86099999999999</v>
      </c>
      <c r="BN65">
        <v>12.383699999999999</v>
      </c>
      <c r="BO65">
        <v>800.02800000000002</v>
      </c>
      <c r="BP65">
        <v>12.141400000000001</v>
      </c>
      <c r="BQ65">
        <v>2.43607</v>
      </c>
      <c r="BR65">
        <v>1.206</v>
      </c>
      <c r="BS65">
        <v>20.605599999999999</v>
      </c>
      <c r="BT65">
        <v>9.6758500000000005</v>
      </c>
      <c r="BU65">
        <v>1799.98</v>
      </c>
      <c r="BV65">
        <v>0.90997700000000004</v>
      </c>
      <c r="BW65">
        <v>3.4006599999999998E-2</v>
      </c>
      <c r="BX65">
        <v>2.20038E-2</v>
      </c>
      <c r="BY65">
        <v>3.4012300000000002E-2</v>
      </c>
      <c r="BZ65">
        <v>24</v>
      </c>
      <c r="CA65">
        <v>33528</v>
      </c>
      <c r="CB65">
        <v>1690286268.5999999</v>
      </c>
      <c r="CC65" t="s">
        <v>332</v>
      </c>
      <c r="CD65">
        <v>1690286261.0999999</v>
      </c>
      <c r="CE65">
        <v>1690286268.5999999</v>
      </c>
      <c r="CF65">
        <v>1</v>
      </c>
      <c r="CG65">
        <v>-0.89900000000000002</v>
      </c>
      <c r="CH65">
        <v>3.4000000000000002E-2</v>
      </c>
      <c r="CI65">
        <v>-1.2370000000000001</v>
      </c>
      <c r="CJ65">
        <v>8.5999999999999993E-2</v>
      </c>
      <c r="CK65">
        <v>799</v>
      </c>
      <c r="CL65">
        <v>16</v>
      </c>
      <c r="CM65">
        <v>0.28999999999999998</v>
      </c>
      <c r="CN65">
        <v>0.09</v>
      </c>
      <c r="CO65">
        <v>-226.339325</v>
      </c>
      <c r="CP65">
        <v>-28.674990619136729</v>
      </c>
      <c r="CQ65">
        <v>2.759594258106616</v>
      </c>
      <c r="CR65">
        <v>-1</v>
      </c>
      <c r="CS65">
        <v>12.051852500000001</v>
      </c>
      <c r="CT65">
        <v>1.8460581613508611</v>
      </c>
      <c r="CU65">
        <v>0.17766314050401691</v>
      </c>
      <c r="CV65">
        <v>-1</v>
      </c>
      <c r="CW65">
        <v>0</v>
      </c>
      <c r="CX65">
        <v>0</v>
      </c>
      <c r="CY65" t="s">
        <v>333</v>
      </c>
      <c r="CZ65">
        <v>2.3647399999999998</v>
      </c>
      <c r="DA65">
        <v>2.7136300000000002</v>
      </c>
      <c r="DB65">
        <v>0.116578</v>
      </c>
      <c r="DC65">
        <v>0.14680299999999999</v>
      </c>
      <c r="DD65">
        <v>0.116107</v>
      </c>
      <c r="DE65">
        <v>6.8844100000000005E-2</v>
      </c>
      <c r="DF65">
        <v>32246.1</v>
      </c>
      <c r="DG65">
        <v>27450.799999999999</v>
      </c>
      <c r="DH65">
        <v>31159</v>
      </c>
      <c r="DI65">
        <v>28033</v>
      </c>
      <c r="DJ65">
        <v>37378.800000000003</v>
      </c>
      <c r="DK65">
        <v>37096.5</v>
      </c>
      <c r="DL65">
        <v>44334</v>
      </c>
      <c r="DM65">
        <v>42463.1</v>
      </c>
      <c r="DN65">
        <v>1.4828300000000001</v>
      </c>
      <c r="DO65">
        <v>2.08717</v>
      </c>
      <c r="DP65">
        <v>8.3051600000000003E-2</v>
      </c>
      <c r="DQ65">
        <v>0.21032999999999999</v>
      </c>
      <c r="DR65">
        <v>25.636099999999999</v>
      </c>
      <c r="DS65">
        <v>25.276199999999999</v>
      </c>
      <c r="DT65">
        <v>69.099999999999994</v>
      </c>
      <c r="DU65">
        <v>24.5</v>
      </c>
      <c r="DV65">
        <v>21.4679</v>
      </c>
      <c r="DW65">
        <v>62.2714</v>
      </c>
      <c r="DX65">
        <v>36.033700000000003</v>
      </c>
      <c r="DY65">
        <v>1</v>
      </c>
      <c r="DZ65">
        <v>-0.13959299999999999</v>
      </c>
      <c r="EA65">
        <v>-0.52981500000000004</v>
      </c>
      <c r="EB65">
        <v>20.190300000000001</v>
      </c>
      <c r="EC65">
        <v>5.2426000000000004</v>
      </c>
      <c r="ED65">
        <v>12.039899999999999</v>
      </c>
      <c r="EE65">
        <v>5.0167000000000002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1.8687400000000001</v>
      </c>
      <c r="EL65">
        <v>1.86439</v>
      </c>
      <c r="EM65">
        <v>1.8690500000000001</v>
      </c>
      <c r="EN65">
        <v>1.86707</v>
      </c>
      <c r="EO65">
        <v>1.8632500000000001</v>
      </c>
      <c r="EP65">
        <v>1.86425</v>
      </c>
      <c r="EQ65">
        <v>1.8700600000000001</v>
      </c>
      <c r="ER65">
        <v>1.8692800000000001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-1.075</v>
      </c>
      <c r="FG65">
        <v>0.19120000000000001</v>
      </c>
      <c r="FH65">
        <v>-0.68620417327404271</v>
      </c>
      <c r="FI65">
        <v>-6.1462078757559423E-4</v>
      </c>
      <c r="FJ65">
        <v>-1.8861989874597051E-7</v>
      </c>
      <c r="FK65">
        <v>1.1980462299894961E-10</v>
      </c>
      <c r="FL65">
        <v>0.1911242781723908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14.3</v>
      </c>
      <c r="FU65">
        <v>14.2</v>
      </c>
      <c r="FV65">
        <v>1.7748999999999999</v>
      </c>
      <c r="FW65">
        <v>2.5585900000000001</v>
      </c>
      <c r="FX65">
        <v>1.5490699999999999</v>
      </c>
      <c r="FY65">
        <v>2.34253</v>
      </c>
      <c r="FZ65">
        <v>1.50146</v>
      </c>
      <c r="GA65">
        <v>2.3779300000000001</v>
      </c>
      <c r="GB65">
        <v>30.178999999999998</v>
      </c>
      <c r="GC65">
        <v>23.982399999999998</v>
      </c>
      <c r="GD65">
        <v>19</v>
      </c>
      <c r="GE65">
        <v>282.83999999999997</v>
      </c>
      <c r="GF65">
        <v>617.92700000000002</v>
      </c>
      <c r="GG65">
        <v>25.584599999999998</v>
      </c>
      <c r="GH65">
        <v>25.6647</v>
      </c>
      <c r="GI65">
        <v>30</v>
      </c>
      <c r="GJ65">
        <v>25.708600000000001</v>
      </c>
      <c r="GK65">
        <v>25.647400000000001</v>
      </c>
      <c r="GL65">
        <v>35.491199999999999</v>
      </c>
      <c r="GM65">
        <v>51.004899999999999</v>
      </c>
      <c r="GN65">
        <v>93.516499999999994</v>
      </c>
      <c r="GO65">
        <v>25.591899999999999</v>
      </c>
      <c r="GP65">
        <v>800</v>
      </c>
      <c r="GQ65">
        <v>11.94</v>
      </c>
      <c r="GR65">
        <v>99.684600000000003</v>
      </c>
      <c r="GS65">
        <v>99.359399999999994</v>
      </c>
    </row>
    <row r="66" spans="1:201" x14ac:dyDescent="0.25">
      <c r="A66">
        <v>50</v>
      </c>
      <c r="B66">
        <v>1690287130.0999999</v>
      </c>
      <c r="C66">
        <v>591.5</v>
      </c>
      <c r="D66" t="s">
        <v>433</v>
      </c>
      <c r="E66" t="s">
        <v>434</v>
      </c>
      <c r="F66" t="s">
        <v>330</v>
      </c>
      <c r="H66">
        <v>1690287130.0999999</v>
      </c>
      <c r="I66">
        <f t="shared" si="0"/>
        <v>1.3404465857692234E-3</v>
      </c>
      <c r="J66">
        <f t="shared" si="1"/>
        <v>1.3404465857692234</v>
      </c>
      <c r="K66">
        <f t="shared" si="2"/>
        <v>23.639144269310666</v>
      </c>
      <c r="L66">
        <f t="shared" si="3"/>
        <v>563.59100000000001</v>
      </c>
      <c r="M66">
        <f t="shared" si="4"/>
        <v>144.72267153618276</v>
      </c>
      <c r="N66">
        <f t="shared" si="5"/>
        <v>14.389754607861958</v>
      </c>
      <c r="O66">
        <f t="shared" si="6"/>
        <v>56.037772818282498</v>
      </c>
      <c r="P66">
        <f t="shared" si="7"/>
        <v>9.3895725273627634E-2</v>
      </c>
      <c r="Q66">
        <f t="shared" si="8"/>
        <v>2.3011250444242277</v>
      </c>
      <c r="R66">
        <f t="shared" si="9"/>
        <v>9.1818006835840432E-2</v>
      </c>
      <c r="S66">
        <f t="shared" si="10"/>
        <v>5.7569099767173837E-2</v>
      </c>
      <c r="T66">
        <f t="shared" si="11"/>
        <v>276.11241626417541</v>
      </c>
      <c r="U66">
        <f t="shared" si="12"/>
        <v>28.225100846349086</v>
      </c>
      <c r="V66">
        <f t="shared" si="13"/>
        <v>28.225100846349086</v>
      </c>
      <c r="W66">
        <f t="shared" si="14"/>
        <v>3.8449238504733758</v>
      </c>
      <c r="X66">
        <f t="shared" si="15"/>
        <v>69.668881235665054</v>
      </c>
      <c r="Y66">
        <f t="shared" si="16"/>
        <v>2.43922320717575</v>
      </c>
      <c r="Z66">
        <f t="shared" si="17"/>
        <v>3.5011660355571448</v>
      </c>
      <c r="AA66">
        <f t="shared" si="18"/>
        <v>1.4057006432976258</v>
      </c>
      <c r="AB66">
        <f t="shared" si="19"/>
        <v>-59.113694432422754</v>
      </c>
      <c r="AC66">
        <f t="shared" si="20"/>
        <v>-198.45609295256938</v>
      </c>
      <c r="AD66">
        <f t="shared" si="21"/>
        <v>-18.691656862359338</v>
      </c>
      <c r="AE66">
        <f t="shared" si="22"/>
        <v>-0.14902798317604038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52626.332159953497</v>
      </c>
      <c r="AK66">
        <f t="shared" si="26"/>
        <v>1799.98</v>
      </c>
      <c r="AL66">
        <f t="shared" si="27"/>
        <v>1499.0931616242401</v>
      </c>
      <c r="AM66">
        <f t="shared" si="28"/>
        <v>0.832838788</v>
      </c>
      <c r="AN66">
        <f t="shared" si="29"/>
        <v>0.15339749123000002</v>
      </c>
      <c r="AO66">
        <v>29.1</v>
      </c>
      <c r="AP66">
        <v>0.5</v>
      </c>
      <c r="AQ66" t="s">
        <v>331</v>
      </c>
      <c r="AR66">
        <v>2</v>
      </c>
      <c r="AS66">
        <v>1690287130.0999999</v>
      </c>
      <c r="AT66">
        <v>563.59100000000001</v>
      </c>
      <c r="AU66">
        <v>800.14300000000003</v>
      </c>
      <c r="AV66">
        <v>24.5321</v>
      </c>
      <c r="AW66">
        <v>11.8528</v>
      </c>
      <c r="AX66">
        <v>564.66300000000001</v>
      </c>
      <c r="AY66">
        <v>24.341000000000001</v>
      </c>
      <c r="AZ66">
        <v>300.096</v>
      </c>
      <c r="BA66">
        <v>99.329899999999995</v>
      </c>
      <c r="BB66">
        <v>9.9957500000000005E-2</v>
      </c>
      <c r="BC66">
        <v>26.625399999999999</v>
      </c>
      <c r="BD66">
        <v>26.946400000000001</v>
      </c>
      <c r="BE66">
        <v>28.7349</v>
      </c>
      <c r="BF66">
        <v>0</v>
      </c>
      <c r="BG66">
        <v>0</v>
      </c>
      <c r="BH66">
        <v>10007.5</v>
      </c>
      <c r="BI66">
        <v>1086.3</v>
      </c>
      <c r="BJ66">
        <v>1.19841</v>
      </c>
      <c r="BK66">
        <v>-236.55199999999999</v>
      </c>
      <c r="BL66">
        <v>577.76499999999999</v>
      </c>
      <c r="BM66">
        <v>809.74099999999999</v>
      </c>
      <c r="BN66">
        <v>12.6793</v>
      </c>
      <c r="BO66">
        <v>800.14300000000003</v>
      </c>
      <c r="BP66">
        <v>11.8528</v>
      </c>
      <c r="BQ66">
        <v>2.4367700000000001</v>
      </c>
      <c r="BR66">
        <v>1.1773400000000001</v>
      </c>
      <c r="BS66">
        <v>20.610199999999999</v>
      </c>
      <c r="BT66">
        <v>9.3180599999999991</v>
      </c>
      <c r="BU66">
        <v>1799.98</v>
      </c>
      <c r="BV66">
        <v>0.90998900000000005</v>
      </c>
      <c r="BW66">
        <v>3.40021E-2</v>
      </c>
      <c r="BX66">
        <v>2.20009E-2</v>
      </c>
      <c r="BY66">
        <v>3.4007700000000002E-2</v>
      </c>
      <c r="BZ66">
        <v>24</v>
      </c>
      <c r="CA66">
        <v>33528</v>
      </c>
      <c r="CB66">
        <v>1690286268.5999999</v>
      </c>
      <c r="CC66" t="s">
        <v>332</v>
      </c>
      <c r="CD66">
        <v>1690286261.0999999</v>
      </c>
      <c r="CE66">
        <v>1690286268.5999999</v>
      </c>
      <c r="CF66">
        <v>1</v>
      </c>
      <c r="CG66">
        <v>-0.89900000000000002</v>
      </c>
      <c r="CH66">
        <v>3.4000000000000002E-2</v>
      </c>
      <c r="CI66">
        <v>-1.2370000000000001</v>
      </c>
      <c r="CJ66">
        <v>8.5999999999999993E-2</v>
      </c>
      <c r="CK66">
        <v>799</v>
      </c>
      <c r="CL66">
        <v>16</v>
      </c>
      <c r="CM66">
        <v>0.28999999999999998</v>
      </c>
      <c r="CN66">
        <v>0.09</v>
      </c>
      <c r="CO66">
        <v>-231.10987499999999</v>
      </c>
      <c r="CP66">
        <v>-28.79575609756046</v>
      </c>
      <c r="CQ66">
        <v>2.7708609058151938</v>
      </c>
      <c r="CR66">
        <v>-1</v>
      </c>
      <c r="CS66">
        <v>12.351815</v>
      </c>
      <c r="CT66">
        <v>1.7361005628517541</v>
      </c>
      <c r="CU66">
        <v>0.16709776113102159</v>
      </c>
      <c r="CV66">
        <v>-1</v>
      </c>
      <c r="CW66">
        <v>0</v>
      </c>
      <c r="CX66">
        <v>0</v>
      </c>
      <c r="CY66" t="s">
        <v>333</v>
      </c>
      <c r="CZ66">
        <v>2.3649100000000001</v>
      </c>
      <c r="DA66">
        <v>2.7137500000000001</v>
      </c>
      <c r="DB66">
        <v>0.115879</v>
      </c>
      <c r="DC66">
        <v>0.146811</v>
      </c>
      <c r="DD66">
        <v>0.11613</v>
      </c>
      <c r="DE66">
        <v>6.7608600000000005E-2</v>
      </c>
      <c r="DF66">
        <v>32271.200000000001</v>
      </c>
      <c r="DG66">
        <v>27450.400000000001</v>
      </c>
      <c r="DH66">
        <v>31158.7</v>
      </c>
      <c r="DI66">
        <v>28032.9</v>
      </c>
      <c r="DJ66">
        <v>37377.5</v>
      </c>
      <c r="DK66">
        <v>37145.800000000003</v>
      </c>
      <c r="DL66">
        <v>44333.7</v>
      </c>
      <c r="DM66">
        <v>42463</v>
      </c>
      <c r="DN66">
        <v>1.4834499999999999</v>
      </c>
      <c r="DO66">
        <v>2.08643</v>
      </c>
      <c r="DP66">
        <v>8.0160800000000004E-2</v>
      </c>
      <c r="DQ66">
        <v>0.21165200000000001</v>
      </c>
      <c r="DR66">
        <v>25.634</v>
      </c>
      <c r="DS66">
        <v>25.273499999999999</v>
      </c>
      <c r="DT66">
        <v>69.099999999999994</v>
      </c>
      <c r="DU66">
        <v>24.5</v>
      </c>
      <c r="DV66">
        <v>21.471699999999998</v>
      </c>
      <c r="DW66">
        <v>62.2014</v>
      </c>
      <c r="DX66">
        <v>36.4343</v>
      </c>
      <c r="DY66">
        <v>1</v>
      </c>
      <c r="DZ66">
        <v>-0.13947899999999999</v>
      </c>
      <c r="EA66">
        <v>-0.571438</v>
      </c>
      <c r="EB66">
        <v>20.190300000000001</v>
      </c>
      <c r="EC66">
        <v>5.2426000000000004</v>
      </c>
      <c r="ED66">
        <v>12.039899999999999</v>
      </c>
      <c r="EE66">
        <v>5.01675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1.8687400000000001</v>
      </c>
      <c r="EL66">
        <v>1.8644000000000001</v>
      </c>
      <c r="EM66">
        <v>1.8690500000000001</v>
      </c>
      <c r="EN66">
        <v>1.86707</v>
      </c>
      <c r="EO66">
        <v>1.8632500000000001</v>
      </c>
      <c r="EP66">
        <v>1.8642700000000001</v>
      </c>
      <c r="EQ66">
        <v>1.8700600000000001</v>
      </c>
      <c r="ER66">
        <v>1.8692599999999999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-1.0720000000000001</v>
      </c>
      <c r="FG66">
        <v>0.19109999999999999</v>
      </c>
      <c r="FH66">
        <v>-0.68620417327404271</v>
      </c>
      <c r="FI66">
        <v>-6.1462078757559423E-4</v>
      </c>
      <c r="FJ66">
        <v>-1.8861989874597051E-7</v>
      </c>
      <c r="FK66">
        <v>1.1980462299894961E-10</v>
      </c>
      <c r="FL66">
        <v>0.1911242781723908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14.5</v>
      </c>
      <c r="FU66">
        <v>14.4</v>
      </c>
      <c r="FV66">
        <v>1.7748999999999999</v>
      </c>
      <c r="FW66">
        <v>2.5622600000000002</v>
      </c>
      <c r="FX66">
        <v>1.5490699999999999</v>
      </c>
      <c r="FY66">
        <v>2.34253</v>
      </c>
      <c r="FZ66">
        <v>1.50146</v>
      </c>
      <c r="GA66">
        <v>2.2888199999999999</v>
      </c>
      <c r="GB66">
        <v>30.178999999999998</v>
      </c>
      <c r="GC66">
        <v>23.973700000000001</v>
      </c>
      <c r="GD66">
        <v>19</v>
      </c>
      <c r="GE66">
        <v>283.11599999999999</v>
      </c>
      <c r="GF66">
        <v>617.32799999999997</v>
      </c>
      <c r="GG66">
        <v>25.604600000000001</v>
      </c>
      <c r="GH66">
        <v>25.662500000000001</v>
      </c>
      <c r="GI66">
        <v>30.0002</v>
      </c>
      <c r="GJ66">
        <v>25.710799999999999</v>
      </c>
      <c r="GK66">
        <v>25.651199999999999</v>
      </c>
      <c r="GL66">
        <v>35.484400000000001</v>
      </c>
      <c r="GM66">
        <v>51.875100000000003</v>
      </c>
      <c r="GN66">
        <v>93.1434</v>
      </c>
      <c r="GO66">
        <v>25.634599999999999</v>
      </c>
      <c r="GP66">
        <v>800</v>
      </c>
      <c r="GQ66">
        <v>11.634499999999999</v>
      </c>
      <c r="GR66">
        <v>99.683800000000005</v>
      </c>
      <c r="GS66">
        <v>99.359099999999998</v>
      </c>
    </row>
    <row r="67" spans="1:201" x14ac:dyDescent="0.25">
      <c r="A67">
        <v>51</v>
      </c>
      <c r="B67">
        <v>1690287140.0999999</v>
      </c>
      <c r="C67">
        <v>601.5</v>
      </c>
      <c r="D67" t="s">
        <v>435</v>
      </c>
      <c r="E67" t="s">
        <v>436</v>
      </c>
      <c r="F67" t="s">
        <v>330</v>
      </c>
      <c r="H67">
        <v>1690287140.0999999</v>
      </c>
      <c r="I67">
        <f t="shared" si="0"/>
        <v>1.3739043435964198E-3</v>
      </c>
      <c r="J67">
        <f t="shared" si="1"/>
        <v>1.3739043435964198</v>
      </c>
      <c r="K67">
        <f t="shared" si="2"/>
        <v>24.102881720959857</v>
      </c>
      <c r="L67">
        <f t="shared" si="3"/>
        <v>558.98900000000003</v>
      </c>
      <c r="M67">
        <f t="shared" si="4"/>
        <v>142.55093815098985</v>
      </c>
      <c r="N67">
        <f t="shared" si="5"/>
        <v>14.173811555267168</v>
      </c>
      <c r="O67">
        <f t="shared" si="6"/>
        <v>55.580165590178012</v>
      </c>
      <c r="P67">
        <f t="shared" si="7"/>
        <v>9.6337983857082213E-2</v>
      </c>
      <c r="Q67">
        <f t="shared" si="8"/>
        <v>2.2982922265826771</v>
      </c>
      <c r="R67">
        <f t="shared" si="9"/>
        <v>9.4149502680086775E-2</v>
      </c>
      <c r="S67">
        <f t="shared" si="10"/>
        <v>5.9035924804562379E-2</v>
      </c>
      <c r="T67">
        <f t="shared" si="11"/>
        <v>276.11196866314884</v>
      </c>
      <c r="U67">
        <f t="shared" si="12"/>
        <v>28.2267964453277</v>
      </c>
      <c r="V67">
        <f t="shared" si="13"/>
        <v>28.2267964453277</v>
      </c>
      <c r="W67">
        <f t="shared" si="14"/>
        <v>3.8453032929409527</v>
      </c>
      <c r="X67">
        <f t="shared" si="15"/>
        <v>69.652639905469186</v>
      </c>
      <c r="Y67">
        <f t="shared" si="16"/>
        <v>2.4402062006840004</v>
      </c>
      <c r="Z67">
        <f t="shared" si="17"/>
        <v>3.5033937033769096</v>
      </c>
      <c r="AA67">
        <f t="shared" si="18"/>
        <v>1.4050970922569523</v>
      </c>
      <c r="AB67">
        <f t="shared" si="19"/>
        <v>-60.589181552602113</v>
      </c>
      <c r="AC67">
        <f t="shared" si="20"/>
        <v>-197.08369640079997</v>
      </c>
      <c r="AD67">
        <f t="shared" si="21"/>
        <v>-18.586434810511349</v>
      </c>
      <c r="AE67">
        <f t="shared" si="22"/>
        <v>-0.14734410076454196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52517.19349561305</v>
      </c>
      <c r="AK67">
        <f t="shared" si="26"/>
        <v>1799.98</v>
      </c>
      <c r="AL67">
        <f t="shared" si="27"/>
        <v>1499.0955699974797</v>
      </c>
      <c r="AM67">
        <f t="shared" si="28"/>
        <v>0.8328401259999999</v>
      </c>
      <c r="AN67">
        <f t="shared" si="29"/>
        <v>0.15339724256000004</v>
      </c>
      <c r="AO67">
        <v>29.1</v>
      </c>
      <c r="AP67">
        <v>0.5</v>
      </c>
      <c r="AQ67" t="s">
        <v>331</v>
      </c>
      <c r="AR67">
        <v>2</v>
      </c>
      <c r="AS67">
        <v>1690287140.0999999</v>
      </c>
      <c r="AT67">
        <v>558.98900000000003</v>
      </c>
      <c r="AU67">
        <v>800.07500000000005</v>
      </c>
      <c r="AV67">
        <v>24.542000000000002</v>
      </c>
      <c r="AW67">
        <v>11.5509</v>
      </c>
      <c r="AX67">
        <v>560.05799999999999</v>
      </c>
      <c r="AY67">
        <v>24.3508</v>
      </c>
      <c r="AZ67">
        <v>300.20100000000002</v>
      </c>
      <c r="BA67">
        <v>99.329800000000006</v>
      </c>
      <c r="BB67">
        <v>0.10000199999999999</v>
      </c>
      <c r="BC67">
        <v>26.636199999999999</v>
      </c>
      <c r="BD67">
        <v>26.9863</v>
      </c>
      <c r="BE67">
        <v>28.6999</v>
      </c>
      <c r="BF67">
        <v>0</v>
      </c>
      <c r="BG67">
        <v>0</v>
      </c>
      <c r="BH67">
        <v>9986.25</v>
      </c>
      <c r="BI67">
        <v>1086.1500000000001</v>
      </c>
      <c r="BJ67">
        <v>1.3147500000000001</v>
      </c>
      <c r="BK67">
        <v>-241.08600000000001</v>
      </c>
      <c r="BL67">
        <v>573.053</v>
      </c>
      <c r="BM67">
        <v>809.42499999999995</v>
      </c>
      <c r="BN67">
        <v>12.991099999999999</v>
      </c>
      <c r="BO67">
        <v>800.07500000000005</v>
      </c>
      <c r="BP67">
        <v>11.5509</v>
      </c>
      <c r="BQ67">
        <v>2.4377499999999999</v>
      </c>
      <c r="BR67">
        <v>1.1473500000000001</v>
      </c>
      <c r="BS67">
        <v>20.616700000000002</v>
      </c>
      <c r="BT67">
        <v>8.9353899999999999</v>
      </c>
      <c r="BU67">
        <v>1799.98</v>
      </c>
      <c r="BV67">
        <v>0.91000199999999998</v>
      </c>
      <c r="BW67">
        <v>3.3997300000000001E-2</v>
      </c>
      <c r="BX67">
        <v>2.1997800000000001E-2</v>
      </c>
      <c r="BY67">
        <v>3.4002999999999999E-2</v>
      </c>
      <c r="BZ67">
        <v>24</v>
      </c>
      <c r="CA67">
        <v>33528.1</v>
      </c>
      <c r="CB67">
        <v>1690286268.5999999</v>
      </c>
      <c r="CC67" t="s">
        <v>332</v>
      </c>
      <c r="CD67">
        <v>1690286261.0999999</v>
      </c>
      <c r="CE67">
        <v>1690286268.5999999</v>
      </c>
      <c r="CF67">
        <v>1</v>
      </c>
      <c r="CG67">
        <v>-0.89900000000000002</v>
      </c>
      <c r="CH67">
        <v>3.4000000000000002E-2</v>
      </c>
      <c r="CI67">
        <v>-1.2370000000000001</v>
      </c>
      <c r="CJ67">
        <v>8.5999999999999993E-2</v>
      </c>
      <c r="CK67">
        <v>799</v>
      </c>
      <c r="CL67">
        <v>16</v>
      </c>
      <c r="CM67">
        <v>0.28999999999999998</v>
      </c>
      <c r="CN67">
        <v>0.09</v>
      </c>
      <c r="CO67">
        <v>-235.9647317073171</v>
      </c>
      <c r="CP67">
        <v>-28.162118466899301</v>
      </c>
      <c r="CQ67">
        <v>2.7779371362392422</v>
      </c>
      <c r="CR67">
        <v>-1</v>
      </c>
      <c r="CS67">
        <v>12.654097560975609</v>
      </c>
      <c r="CT67">
        <v>1.797156794425117</v>
      </c>
      <c r="CU67">
        <v>0.17733232064480159</v>
      </c>
      <c r="CV67">
        <v>-1</v>
      </c>
      <c r="CW67">
        <v>0</v>
      </c>
      <c r="CX67">
        <v>0</v>
      </c>
      <c r="CY67" t="s">
        <v>333</v>
      </c>
      <c r="CZ67">
        <v>2.3652600000000001</v>
      </c>
      <c r="DA67">
        <v>2.7137799999999999</v>
      </c>
      <c r="DB67">
        <v>0.115204</v>
      </c>
      <c r="DC67">
        <v>0.14679600000000001</v>
      </c>
      <c r="DD67">
        <v>0.116162</v>
      </c>
      <c r="DE67">
        <v>6.6304399999999999E-2</v>
      </c>
      <c r="DF67">
        <v>32296.1</v>
      </c>
      <c r="DG67">
        <v>27451.4</v>
      </c>
      <c r="DH67">
        <v>31158.9</v>
      </c>
      <c r="DI67">
        <v>28033.4</v>
      </c>
      <c r="DJ67">
        <v>37376.300000000003</v>
      </c>
      <c r="DK67">
        <v>37198.5</v>
      </c>
      <c r="DL67">
        <v>44334</v>
      </c>
      <c r="DM67">
        <v>42463.7</v>
      </c>
      <c r="DN67">
        <v>1.484</v>
      </c>
      <c r="DO67">
        <v>2.0857000000000001</v>
      </c>
      <c r="DP67">
        <v>8.2600900000000005E-2</v>
      </c>
      <c r="DQ67">
        <v>0.20961099999999999</v>
      </c>
      <c r="DR67">
        <v>25.634</v>
      </c>
      <c r="DS67">
        <v>25.271799999999999</v>
      </c>
      <c r="DT67">
        <v>69</v>
      </c>
      <c r="DU67">
        <v>24.6</v>
      </c>
      <c r="DV67">
        <v>21.567399999999999</v>
      </c>
      <c r="DW67">
        <v>62.431399999999996</v>
      </c>
      <c r="DX67">
        <v>35.9375</v>
      </c>
      <c r="DY67">
        <v>1</v>
      </c>
      <c r="DZ67">
        <v>-0.13914599999999999</v>
      </c>
      <c r="EA67">
        <v>-0.63057700000000005</v>
      </c>
      <c r="EB67">
        <v>20.189900000000002</v>
      </c>
      <c r="EC67">
        <v>5.2431999999999999</v>
      </c>
      <c r="ED67">
        <v>12.039899999999999</v>
      </c>
      <c r="EE67">
        <v>5.0169499999999996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1.8687400000000001</v>
      </c>
      <c r="EL67">
        <v>1.86439</v>
      </c>
      <c r="EM67">
        <v>1.8690500000000001</v>
      </c>
      <c r="EN67">
        <v>1.86707</v>
      </c>
      <c r="EO67">
        <v>1.8632500000000001</v>
      </c>
      <c r="EP67">
        <v>1.8642799999999999</v>
      </c>
      <c r="EQ67">
        <v>1.87008</v>
      </c>
      <c r="ER67">
        <v>1.86927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-1.069</v>
      </c>
      <c r="FG67">
        <v>0.19120000000000001</v>
      </c>
      <c r="FH67">
        <v>-0.68620417327404271</v>
      </c>
      <c r="FI67">
        <v>-6.1462078757559423E-4</v>
      </c>
      <c r="FJ67">
        <v>-1.8861989874597051E-7</v>
      </c>
      <c r="FK67">
        <v>1.1980462299894961E-10</v>
      </c>
      <c r="FL67">
        <v>0.1911242781723908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14.7</v>
      </c>
      <c r="FU67">
        <v>14.5</v>
      </c>
      <c r="FV67">
        <v>1.7748999999999999</v>
      </c>
      <c r="FW67">
        <v>2.5610400000000002</v>
      </c>
      <c r="FX67">
        <v>1.5490699999999999</v>
      </c>
      <c r="FY67">
        <v>2.34253</v>
      </c>
      <c r="FZ67">
        <v>1.50146</v>
      </c>
      <c r="GA67">
        <v>2.3889200000000002</v>
      </c>
      <c r="GB67">
        <v>30.200500000000002</v>
      </c>
      <c r="GC67">
        <v>23.982399999999998</v>
      </c>
      <c r="GD67">
        <v>19</v>
      </c>
      <c r="GE67">
        <v>283.358</v>
      </c>
      <c r="GF67">
        <v>616.72900000000004</v>
      </c>
      <c r="GG67">
        <v>25.6509</v>
      </c>
      <c r="GH67">
        <v>25.660299999999999</v>
      </c>
      <c r="GI67">
        <v>30.000399999999999</v>
      </c>
      <c r="GJ67">
        <v>25.712900000000001</v>
      </c>
      <c r="GK67">
        <v>25.653400000000001</v>
      </c>
      <c r="GL67">
        <v>35.481499999999997</v>
      </c>
      <c r="GM67">
        <v>53.063099999999999</v>
      </c>
      <c r="GN67">
        <v>92.371099999999998</v>
      </c>
      <c r="GO67">
        <v>25.6586</v>
      </c>
      <c r="GP67">
        <v>800</v>
      </c>
      <c r="GQ67">
        <v>11.3301</v>
      </c>
      <c r="GR67">
        <v>99.6845</v>
      </c>
      <c r="GS67">
        <v>99.360799999999998</v>
      </c>
    </row>
    <row r="68" spans="1:201" x14ac:dyDescent="0.25">
      <c r="A68">
        <v>52</v>
      </c>
      <c r="B68">
        <v>1690287150.0999999</v>
      </c>
      <c r="C68">
        <v>611.5</v>
      </c>
      <c r="D68" t="s">
        <v>437</v>
      </c>
      <c r="E68" t="s">
        <v>438</v>
      </c>
      <c r="F68" t="s">
        <v>330</v>
      </c>
      <c r="H68">
        <v>1690287150.0999999</v>
      </c>
      <c r="I68">
        <f t="shared" si="0"/>
        <v>1.4081143379882305E-3</v>
      </c>
      <c r="J68">
        <f t="shared" si="1"/>
        <v>1.4081143379882306</v>
      </c>
      <c r="K68">
        <f t="shared" si="2"/>
        <v>24.565816499210438</v>
      </c>
      <c r="L68">
        <f t="shared" si="3"/>
        <v>554.35</v>
      </c>
      <c r="M68">
        <f t="shared" si="4"/>
        <v>140.82977042486587</v>
      </c>
      <c r="N68">
        <f t="shared" si="5"/>
        <v>14.002446439362398</v>
      </c>
      <c r="O68">
        <f t="shared" si="6"/>
        <v>55.118006372110003</v>
      </c>
      <c r="P68">
        <f t="shared" si="7"/>
        <v>9.8926882231566704E-2</v>
      </c>
      <c r="Q68">
        <f t="shared" si="8"/>
        <v>2.2973543381973256</v>
      </c>
      <c r="R68">
        <f t="shared" si="9"/>
        <v>9.6619797058551032E-2</v>
      </c>
      <c r="S68">
        <f t="shared" si="10"/>
        <v>6.0590174333334176E-2</v>
      </c>
      <c r="T68">
        <f t="shared" si="11"/>
        <v>276.11134758004977</v>
      </c>
      <c r="U68">
        <f t="shared" si="12"/>
        <v>28.224735790199812</v>
      </c>
      <c r="V68">
        <f t="shared" si="13"/>
        <v>28.224735790199812</v>
      </c>
      <c r="W68">
        <f t="shared" si="14"/>
        <v>3.8448421621955227</v>
      </c>
      <c r="X68">
        <f t="shared" si="15"/>
        <v>69.657771635514891</v>
      </c>
      <c r="Y68">
        <f t="shared" si="16"/>
        <v>2.4416078713389</v>
      </c>
      <c r="Z68">
        <f t="shared" si="17"/>
        <v>3.5051478306177262</v>
      </c>
      <c r="AA68">
        <f t="shared" si="18"/>
        <v>1.4032342908566227</v>
      </c>
      <c r="AB68">
        <f t="shared" si="19"/>
        <v>-62.097842305280963</v>
      </c>
      <c r="AC68">
        <f t="shared" si="20"/>
        <v>-195.69528078183239</v>
      </c>
      <c r="AD68">
        <f t="shared" si="21"/>
        <v>-18.463623348215314</v>
      </c>
      <c r="AE68">
        <f t="shared" si="22"/>
        <v>-0.14539885527889851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52480.191617855184</v>
      </c>
      <c r="AK68">
        <f t="shared" si="26"/>
        <v>1799.98</v>
      </c>
      <c r="AL68">
        <f t="shared" si="27"/>
        <v>1499.0968749829801</v>
      </c>
      <c r="AM68">
        <f t="shared" si="28"/>
        <v>0.83284085100000005</v>
      </c>
      <c r="AN68">
        <f t="shared" si="29"/>
        <v>0.15339689750999999</v>
      </c>
      <c r="AO68">
        <v>29.1</v>
      </c>
      <c r="AP68">
        <v>0.5</v>
      </c>
      <c r="AQ68" t="s">
        <v>331</v>
      </c>
      <c r="AR68">
        <v>2</v>
      </c>
      <c r="AS68">
        <v>1690287150.0999999</v>
      </c>
      <c r="AT68">
        <v>554.35</v>
      </c>
      <c r="AU68">
        <v>800.18799999999999</v>
      </c>
      <c r="AV68">
        <v>24.5565</v>
      </c>
      <c r="AW68">
        <v>11.234400000000001</v>
      </c>
      <c r="AX68">
        <v>555.41499999999996</v>
      </c>
      <c r="AY68">
        <v>24.365400000000001</v>
      </c>
      <c r="AZ68">
        <v>300.02699999999999</v>
      </c>
      <c r="BA68">
        <v>99.328199999999995</v>
      </c>
      <c r="BB68">
        <v>9.9970600000000007E-2</v>
      </c>
      <c r="BC68">
        <v>26.6447</v>
      </c>
      <c r="BD68">
        <v>26.979500000000002</v>
      </c>
      <c r="BE68">
        <v>28.718599999999999</v>
      </c>
      <c r="BF68">
        <v>0</v>
      </c>
      <c r="BG68">
        <v>0</v>
      </c>
      <c r="BH68">
        <v>9979.3799999999992</v>
      </c>
      <c r="BI68">
        <v>1086</v>
      </c>
      <c r="BJ68">
        <v>1.3455900000000001</v>
      </c>
      <c r="BK68">
        <v>-245.839</v>
      </c>
      <c r="BL68">
        <v>568.30499999999995</v>
      </c>
      <c r="BM68">
        <v>809.28</v>
      </c>
      <c r="BN68">
        <v>13.322100000000001</v>
      </c>
      <c r="BO68">
        <v>800.18799999999999</v>
      </c>
      <c r="BP68">
        <v>11.234400000000001</v>
      </c>
      <c r="BQ68">
        <v>2.4391600000000002</v>
      </c>
      <c r="BR68">
        <v>1.11589</v>
      </c>
      <c r="BS68">
        <v>20.626100000000001</v>
      </c>
      <c r="BT68">
        <v>8.5244099999999996</v>
      </c>
      <c r="BU68">
        <v>1799.98</v>
      </c>
      <c r="BV68">
        <v>0.91001399999999999</v>
      </c>
      <c r="BW68">
        <v>3.3992700000000001E-2</v>
      </c>
      <c r="BX68">
        <v>2.1994799999999998E-2</v>
      </c>
      <c r="BY68">
        <v>3.3998300000000002E-2</v>
      </c>
      <c r="BZ68">
        <v>24</v>
      </c>
      <c r="CA68">
        <v>33528.199999999997</v>
      </c>
      <c r="CB68">
        <v>1690286268.5999999</v>
      </c>
      <c r="CC68" t="s">
        <v>332</v>
      </c>
      <c r="CD68">
        <v>1690286261.0999999</v>
      </c>
      <c r="CE68">
        <v>1690286268.5999999</v>
      </c>
      <c r="CF68">
        <v>1</v>
      </c>
      <c r="CG68">
        <v>-0.89900000000000002</v>
      </c>
      <c r="CH68">
        <v>3.4000000000000002E-2</v>
      </c>
      <c r="CI68">
        <v>-1.2370000000000001</v>
      </c>
      <c r="CJ68">
        <v>8.5999999999999993E-2</v>
      </c>
      <c r="CK68">
        <v>799</v>
      </c>
      <c r="CL68">
        <v>16</v>
      </c>
      <c r="CM68">
        <v>0.28999999999999998</v>
      </c>
      <c r="CN68">
        <v>0.09</v>
      </c>
      <c r="CO68">
        <v>-240.63782926829271</v>
      </c>
      <c r="CP68">
        <v>-27.88411149825777</v>
      </c>
      <c r="CQ68">
        <v>2.7501945199712639</v>
      </c>
      <c r="CR68">
        <v>-1</v>
      </c>
      <c r="CS68">
        <v>12.967756097560979</v>
      </c>
      <c r="CT68">
        <v>1.9484968641115079</v>
      </c>
      <c r="CU68">
        <v>0.19227917336934899</v>
      </c>
      <c r="CV68">
        <v>-1</v>
      </c>
      <c r="CW68">
        <v>0</v>
      </c>
      <c r="CX68">
        <v>0</v>
      </c>
      <c r="CY68" t="s">
        <v>333</v>
      </c>
      <c r="CZ68">
        <v>2.3647100000000001</v>
      </c>
      <c r="DA68">
        <v>2.71374</v>
      </c>
      <c r="DB68">
        <v>0.114519</v>
      </c>
      <c r="DC68">
        <v>0.14680000000000001</v>
      </c>
      <c r="DD68">
        <v>0.11620800000000001</v>
      </c>
      <c r="DE68">
        <v>6.4922900000000006E-2</v>
      </c>
      <c r="DF68">
        <v>32321.200000000001</v>
      </c>
      <c r="DG68">
        <v>27451.5</v>
      </c>
      <c r="DH68">
        <v>31159</v>
      </c>
      <c r="DI68">
        <v>28033.7</v>
      </c>
      <c r="DJ68">
        <v>37374.400000000001</v>
      </c>
      <c r="DK68">
        <v>37254</v>
      </c>
      <c r="DL68">
        <v>44334.2</v>
      </c>
      <c r="DM68">
        <v>42464.1</v>
      </c>
      <c r="DN68">
        <v>1.4839500000000001</v>
      </c>
      <c r="DO68">
        <v>2.0854200000000001</v>
      </c>
      <c r="DP68">
        <v>8.2183599999999996E-2</v>
      </c>
      <c r="DQ68">
        <v>0.21065800000000001</v>
      </c>
      <c r="DR68">
        <v>25.634</v>
      </c>
      <c r="DS68">
        <v>25.273499999999999</v>
      </c>
      <c r="DT68">
        <v>69</v>
      </c>
      <c r="DU68">
        <v>24.6</v>
      </c>
      <c r="DV68">
        <v>21.5654</v>
      </c>
      <c r="DW68">
        <v>62.031399999999998</v>
      </c>
      <c r="DX68">
        <v>36.578499999999998</v>
      </c>
      <c r="DY68">
        <v>1</v>
      </c>
      <c r="DZ68">
        <v>-0.14024600000000001</v>
      </c>
      <c r="EA68">
        <v>-0.56630400000000003</v>
      </c>
      <c r="EB68">
        <v>20.190100000000001</v>
      </c>
      <c r="EC68">
        <v>5.2424499999999998</v>
      </c>
      <c r="ED68">
        <v>12.039899999999999</v>
      </c>
      <c r="EE68">
        <v>5.0167999999999999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1.8687400000000001</v>
      </c>
      <c r="EL68">
        <v>1.8644099999999999</v>
      </c>
      <c r="EM68">
        <v>1.8690500000000001</v>
      </c>
      <c r="EN68">
        <v>1.86707</v>
      </c>
      <c r="EO68">
        <v>1.8632500000000001</v>
      </c>
      <c r="EP68">
        <v>1.8642399999999999</v>
      </c>
      <c r="EQ68">
        <v>1.8700399999999999</v>
      </c>
      <c r="ER68">
        <v>1.8692800000000001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-1.0649999999999999</v>
      </c>
      <c r="FG68">
        <v>0.19109999999999999</v>
      </c>
      <c r="FH68">
        <v>-0.68620417327404271</v>
      </c>
      <c r="FI68">
        <v>-6.1462078757559423E-4</v>
      </c>
      <c r="FJ68">
        <v>-1.8861989874597051E-7</v>
      </c>
      <c r="FK68">
        <v>1.1980462299894961E-10</v>
      </c>
      <c r="FL68">
        <v>0.1911242781723908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14.8</v>
      </c>
      <c r="FU68">
        <v>14.7</v>
      </c>
      <c r="FV68">
        <v>1.7736799999999999</v>
      </c>
      <c r="FW68">
        <v>2.5647000000000002</v>
      </c>
      <c r="FX68">
        <v>1.5490699999999999</v>
      </c>
      <c r="FY68">
        <v>2.34253</v>
      </c>
      <c r="FZ68">
        <v>1.50146</v>
      </c>
      <c r="GA68">
        <v>2.2656200000000002</v>
      </c>
      <c r="GB68">
        <v>30.200500000000002</v>
      </c>
      <c r="GC68">
        <v>23.973700000000001</v>
      </c>
      <c r="GD68">
        <v>19</v>
      </c>
      <c r="GE68">
        <v>283.33800000000002</v>
      </c>
      <c r="GF68">
        <v>616.51900000000001</v>
      </c>
      <c r="GG68">
        <v>25.664300000000001</v>
      </c>
      <c r="GH68">
        <v>25.658100000000001</v>
      </c>
      <c r="GI68">
        <v>29.999400000000001</v>
      </c>
      <c r="GJ68">
        <v>25.712900000000001</v>
      </c>
      <c r="GK68">
        <v>25.6555</v>
      </c>
      <c r="GL68">
        <v>35.465899999999998</v>
      </c>
      <c r="GM68">
        <v>53.971899999999998</v>
      </c>
      <c r="GN68">
        <v>91.992000000000004</v>
      </c>
      <c r="GO68">
        <v>25.6678</v>
      </c>
      <c r="GP68">
        <v>800</v>
      </c>
      <c r="GQ68">
        <v>11.016</v>
      </c>
      <c r="GR68">
        <v>99.685100000000006</v>
      </c>
      <c r="GS68">
        <v>99.361699999999999</v>
      </c>
    </row>
    <row r="69" spans="1:201" x14ac:dyDescent="0.25">
      <c r="A69">
        <v>53</v>
      </c>
      <c r="B69">
        <v>1690287160.0999999</v>
      </c>
      <c r="C69">
        <v>621.5</v>
      </c>
      <c r="D69" t="s">
        <v>439</v>
      </c>
      <c r="E69" t="s">
        <v>440</v>
      </c>
      <c r="F69" t="s">
        <v>330</v>
      </c>
      <c r="H69">
        <v>1690287160.0999999</v>
      </c>
      <c r="I69">
        <f t="shared" si="0"/>
        <v>1.443421190134333E-3</v>
      </c>
      <c r="J69">
        <f t="shared" si="1"/>
        <v>1.443421190134333</v>
      </c>
      <c r="K69">
        <f t="shared" si="2"/>
        <v>25.025595778813823</v>
      </c>
      <c r="L69">
        <f t="shared" si="3"/>
        <v>549.76900000000001</v>
      </c>
      <c r="M69">
        <f t="shared" si="4"/>
        <v>140.00328686661365</v>
      </c>
      <c r="N69">
        <f t="shared" si="5"/>
        <v>13.920741018176303</v>
      </c>
      <c r="O69">
        <f t="shared" si="6"/>
        <v>54.664372816570008</v>
      </c>
      <c r="P69">
        <f t="shared" si="7"/>
        <v>0.10175280568004168</v>
      </c>
      <c r="Q69">
        <f t="shared" si="8"/>
        <v>2.3017321820591876</v>
      </c>
      <c r="R69">
        <f t="shared" si="9"/>
        <v>9.9318300360062062E-2</v>
      </c>
      <c r="S69">
        <f t="shared" si="10"/>
        <v>6.2287816985119066E-2</v>
      </c>
      <c r="T69">
        <f t="shared" si="11"/>
        <v>276.11287368306859</v>
      </c>
      <c r="U69">
        <f t="shared" si="12"/>
        <v>28.211521899087089</v>
      </c>
      <c r="V69">
        <f t="shared" si="13"/>
        <v>28.211521899087089</v>
      </c>
      <c r="W69">
        <f t="shared" si="14"/>
        <v>3.8418863209997922</v>
      </c>
      <c r="X69">
        <f t="shared" si="15"/>
        <v>69.678715622768678</v>
      </c>
      <c r="Y69">
        <f t="shared" si="16"/>
        <v>2.4424858186850003</v>
      </c>
      <c r="Z69">
        <f t="shared" si="17"/>
        <v>3.5053542489334832</v>
      </c>
      <c r="AA69">
        <f t="shared" si="18"/>
        <v>1.399400502314792</v>
      </c>
      <c r="AB69">
        <f t="shared" si="19"/>
        <v>-63.654874484924086</v>
      </c>
      <c r="AC69">
        <f t="shared" si="20"/>
        <v>-194.30438241732409</v>
      </c>
      <c r="AD69">
        <f t="shared" si="21"/>
        <v>-18.296407846669744</v>
      </c>
      <c r="AE69">
        <f t="shared" si="22"/>
        <v>-0.14279106584933743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52645.80030833085</v>
      </c>
      <c r="AK69">
        <f t="shared" si="26"/>
        <v>1799.99</v>
      </c>
      <c r="AL69">
        <f t="shared" si="27"/>
        <v>1499.10294980401</v>
      </c>
      <c r="AM69">
        <f t="shared" si="28"/>
        <v>0.83283959900000004</v>
      </c>
      <c r="AN69">
        <f t="shared" si="29"/>
        <v>0.15339689313999999</v>
      </c>
      <c r="AO69">
        <v>29.1</v>
      </c>
      <c r="AP69">
        <v>0.5</v>
      </c>
      <c r="AQ69" t="s">
        <v>331</v>
      </c>
      <c r="AR69">
        <v>2</v>
      </c>
      <c r="AS69">
        <v>1690287160.0999999</v>
      </c>
      <c r="AT69">
        <v>549.76900000000001</v>
      </c>
      <c r="AU69">
        <v>800.01199999999994</v>
      </c>
      <c r="AV69">
        <v>24.564499999999999</v>
      </c>
      <c r="AW69">
        <v>10.9183</v>
      </c>
      <c r="AX69">
        <v>550.83100000000002</v>
      </c>
      <c r="AY69">
        <v>24.3734</v>
      </c>
      <c r="AZ69">
        <v>300.24299999999999</v>
      </c>
      <c r="BA69">
        <v>99.331500000000005</v>
      </c>
      <c r="BB69">
        <v>0.10002999999999999</v>
      </c>
      <c r="BC69">
        <v>26.645700000000001</v>
      </c>
      <c r="BD69">
        <v>26.984400000000001</v>
      </c>
      <c r="BE69">
        <v>28.717199999999998</v>
      </c>
      <c r="BF69">
        <v>0</v>
      </c>
      <c r="BG69">
        <v>0</v>
      </c>
      <c r="BH69">
        <v>10011.9</v>
      </c>
      <c r="BI69">
        <v>1085.8499999999999</v>
      </c>
      <c r="BJ69">
        <v>1.2110300000000001</v>
      </c>
      <c r="BK69">
        <v>-250.24299999999999</v>
      </c>
      <c r="BL69">
        <v>563.61400000000003</v>
      </c>
      <c r="BM69">
        <v>808.84400000000005</v>
      </c>
      <c r="BN69">
        <v>13.6463</v>
      </c>
      <c r="BO69">
        <v>800.01199999999994</v>
      </c>
      <c r="BP69">
        <v>10.9183</v>
      </c>
      <c r="BQ69">
        <v>2.4400300000000001</v>
      </c>
      <c r="BR69">
        <v>1.08453</v>
      </c>
      <c r="BS69">
        <v>20.631900000000002</v>
      </c>
      <c r="BT69">
        <v>8.1043099999999999</v>
      </c>
      <c r="BU69">
        <v>1799.99</v>
      </c>
      <c r="BV69">
        <v>0.91000700000000001</v>
      </c>
      <c r="BW69">
        <v>3.4008200000000002E-2</v>
      </c>
      <c r="BX69">
        <v>2.1991699999999999E-2</v>
      </c>
      <c r="BY69">
        <v>3.3993599999999999E-2</v>
      </c>
      <c r="BZ69">
        <v>24</v>
      </c>
      <c r="CA69">
        <v>33528.300000000003</v>
      </c>
      <c r="CB69">
        <v>1690286268.5999999</v>
      </c>
      <c r="CC69" t="s">
        <v>332</v>
      </c>
      <c r="CD69">
        <v>1690286261.0999999</v>
      </c>
      <c r="CE69">
        <v>1690286268.5999999</v>
      </c>
      <c r="CF69">
        <v>1</v>
      </c>
      <c r="CG69">
        <v>-0.89900000000000002</v>
      </c>
      <c r="CH69">
        <v>3.4000000000000002E-2</v>
      </c>
      <c r="CI69">
        <v>-1.2370000000000001</v>
      </c>
      <c r="CJ69">
        <v>8.5999999999999993E-2</v>
      </c>
      <c r="CK69">
        <v>799</v>
      </c>
      <c r="CL69">
        <v>16</v>
      </c>
      <c r="CM69">
        <v>0.28999999999999998</v>
      </c>
      <c r="CN69">
        <v>0.09</v>
      </c>
      <c r="CO69">
        <v>-245.24931707317069</v>
      </c>
      <c r="CP69">
        <v>-27.204439024390101</v>
      </c>
      <c r="CQ69">
        <v>2.6843024932138979</v>
      </c>
      <c r="CR69">
        <v>-1</v>
      </c>
      <c r="CS69">
        <v>13.289263414634149</v>
      </c>
      <c r="CT69">
        <v>1.9051108013937521</v>
      </c>
      <c r="CU69">
        <v>0.18800511378112161</v>
      </c>
      <c r="CV69">
        <v>-1</v>
      </c>
      <c r="CW69">
        <v>0</v>
      </c>
      <c r="CX69">
        <v>0</v>
      </c>
      <c r="CY69" t="s">
        <v>333</v>
      </c>
      <c r="CZ69">
        <v>2.3654199999999999</v>
      </c>
      <c r="DA69">
        <v>2.7138300000000002</v>
      </c>
      <c r="DB69">
        <v>0.113845</v>
      </c>
      <c r="DC69">
        <v>0.14677599999999999</v>
      </c>
      <c r="DD69">
        <v>0.11623799999999999</v>
      </c>
      <c r="DE69">
        <v>6.3531900000000002E-2</v>
      </c>
      <c r="DF69">
        <v>32346.1</v>
      </c>
      <c r="DG69">
        <v>27452.6</v>
      </c>
      <c r="DH69">
        <v>31159.3</v>
      </c>
      <c r="DI69">
        <v>28034.1</v>
      </c>
      <c r="DJ69">
        <v>37373.4</v>
      </c>
      <c r="DK69">
        <v>37310.199999999997</v>
      </c>
      <c r="DL69">
        <v>44334.6</v>
      </c>
      <c r="DM69">
        <v>42464.800000000003</v>
      </c>
      <c r="DN69">
        <v>1.48458</v>
      </c>
      <c r="DO69">
        <v>2.0849799999999998</v>
      </c>
      <c r="DP69">
        <v>8.2351300000000002E-2</v>
      </c>
      <c r="DQ69">
        <v>0.21043799999999999</v>
      </c>
      <c r="DR69">
        <v>25.636099999999999</v>
      </c>
      <c r="DS69">
        <v>25.275600000000001</v>
      </c>
      <c r="DT69">
        <v>68.900000000000006</v>
      </c>
      <c r="DU69">
        <v>24.6</v>
      </c>
      <c r="DV69">
        <v>21.5351</v>
      </c>
      <c r="DW69">
        <v>62.261400000000002</v>
      </c>
      <c r="DX69">
        <v>35.572899999999997</v>
      </c>
      <c r="DY69">
        <v>1</v>
      </c>
      <c r="DZ69">
        <v>-0.14025699999999999</v>
      </c>
      <c r="EA69">
        <v>-0.59387500000000004</v>
      </c>
      <c r="EB69">
        <v>20.190100000000001</v>
      </c>
      <c r="EC69">
        <v>5.2424499999999998</v>
      </c>
      <c r="ED69">
        <v>12.039899999999999</v>
      </c>
      <c r="EE69">
        <v>5.0168999999999997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1.8687400000000001</v>
      </c>
      <c r="EL69">
        <v>1.86443</v>
      </c>
      <c r="EM69">
        <v>1.8690500000000001</v>
      </c>
      <c r="EN69">
        <v>1.8670800000000001</v>
      </c>
      <c r="EO69">
        <v>1.8632500000000001</v>
      </c>
      <c r="EP69">
        <v>1.86426</v>
      </c>
      <c r="EQ69">
        <v>1.8700699999999999</v>
      </c>
      <c r="ER69">
        <v>1.8692800000000001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-1.0620000000000001</v>
      </c>
      <c r="FG69">
        <v>0.19109999999999999</v>
      </c>
      <c r="FH69">
        <v>-0.68620417327404271</v>
      </c>
      <c r="FI69">
        <v>-6.1462078757559423E-4</v>
      </c>
      <c r="FJ69">
        <v>-1.8861989874597051E-7</v>
      </c>
      <c r="FK69">
        <v>1.1980462299894961E-10</v>
      </c>
      <c r="FL69">
        <v>0.1911242781723908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15</v>
      </c>
      <c r="FU69">
        <v>14.9</v>
      </c>
      <c r="FV69">
        <v>1.7736799999999999</v>
      </c>
      <c r="FW69">
        <v>2.5549300000000001</v>
      </c>
      <c r="FX69">
        <v>1.5490699999999999</v>
      </c>
      <c r="FY69">
        <v>2.34253</v>
      </c>
      <c r="FZ69">
        <v>1.50146</v>
      </c>
      <c r="GA69">
        <v>2.3779300000000001</v>
      </c>
      <c r="GB69">
        <v>30.222000000000001</v>
      </c>
      <c r="GC69">
        <v>23.991199999999999</v>
      </c>
      <c r="GD69">
        <v>19</v>
      </c>
      <c r="GE69">
        <v>283.613</v>
      </c>
      <c r="GF69">
        <v>616.15700000000004</v>
      </c>
      <c r="GG69">
        <v>25.675999999999998</v>
      </c>
      <c r="GH69">
        <v>25.655999999999999</v>
      </c>
      <c r="GI69">
        <v>29.9999</v>
      </c>
      <c r="GJ69">
        <v>25.7151</v>
      </c>
      <c r="GK69">
        <v>25.657599999999999</v>
      </c>
      <c r="GL69">
        <v>35.467100000000002</v>
      </c>
      <c r="GM69">
        <v>55.1402</v>
      </c>
      <c r="GN69">
        <v>91.216399999999993</v>
      </c>
      <c r="GO69">
        <v>25.687799999999999</v>
      </c>
      <c r="GP69">
        <v>800</v>
      </c>
      <c r="GQ69">
        <v>10.707599999999999</v>
      </c>
      <c r="GR69">
        <v>99.685900000000004</v>
      </c>
      <c r="GS69">
        <v>99.363299999999995</v>
      </c>
    </row>
    <row r="70" spans="1:201" x14ac:dyDescent="0.25">
      <c r="A70">
        <v>54</v>
      </c>
      <c r="B70">
        <v>1690287170.0999999</v>
      </c>
      <c r="C70">
        <v>631.5</v>
      </c>
      <c r="D70" t="s">
        <v>441</v>
      </c>
      <c r="E70" t="s">
        <v>442</v>
      </c>
      <c r="F70" t="s">
        <v>330</v>
      </c>
      <c r="H70">
        <v>1690287170.0999999</v>
      </c>
      <c r="I70">
        <f t="shared" si="0"/>
        <v>1.4764672818871226E-3</v>
      </c>
      <c r="J70">
        <f t="shared" si="1"/>
        <v>1.4764672818871225</v>
      </c>
      <c r="K70">
        <f t="shared" si="2"/>
        <v>25.44815825937599</v>
      </c>
      <c r="L70">
        <f t="shared" si="3"/>
        <v>545.25300000000004</v>
      </c>
      <c r="M70">
        <f t="shared" si="4"/>
        <v>138.33487770676251</v>
      </c>
      <c r="N70">
        <f t="shared" si="5"/>
        <v>13.75520987344686</v>
      </c>
      <c r="O70">
        <f t="shared" si="6"/>
        <v>54.216764227926014</v>
      </c>
      <c r="P70">
        <f t="shared" si="7"/>
        <v>0.10424697099584838</v>
      </c>
      <c r="Q70">
        <f t="shared" si="8"/>
        <v>2.2955963424073333</v>
      </c>
      <c r="R70">
        <f t="shared" si="9"/>
        <v>0.10168662186641644</v>
      </c>
      <c r="S70">
        <f t="shared" si="10"/>
        <v>6.3778938330345383E-2</v>
      </c>
      <c r="T70">
        <f t="shared" si="11"/>
        <v>276.11304892114583</v>
      </c>
      <c r="U70">
        <f t="shared" si="12"/>
        <v>28.208477904543511</v>
      </c>
      <c r="V70">
        <f t="shared" si="13"/>
        <v>28.208477904543511</v>
      </c>
      <c r="W70">
        <f t="shared" si="14"/>
        <v>3.8412056848889429</v>
      </c>
      <c r="X70">
        <f t="shared" si="15"/>
        <v>69.679292144963483</v>
      </c>
      <c r="Y70">
        <f t="shared" si="16"/>
        <v>2.4430670386974001</v>
      </c>
      <c r="Z70">
        <f t="shared" si="17"/>
        <v>3.5061593817783763</v>
      </c>
      <c r="AA70">
        <f t="shared" si="18"/>
        <v>1.3981386461915428</v>
      </c>
      <c r="AB70">
        <f t="shared" si="19"/>
        <v>-65.112207131222107</v>
      </c>
      <c r="AC70">
        <f t="shared" si="20"/>
        <v>-192.9270256716016</v>
      </c>
      <c r="AD70">
        <f t="shared" si="21"/>
        <v>-18.215345006342798</v>
      </c>
      <c r="AE70">
        <f t="shared" si="22"/>
        <v>-0.14152888802064467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52412.993422325802</v>
      </c>
      <c r="AK70">
        <f t="shared" si="26"/>
        <v>1799.98</v>
      </c>
      <c r="AL70">
        <f t="shared" si="27"/>
        <v>1499.0957319956799</v>
      </c>
      <c r="AM70">
        <f t="shared" si="28"/>
        <v>0.83284021599999991</v>
      </c>
      <c r="AN70">
        <f t="shared" si="29"/>
        <v>0.15339784271000001</v>
      </c>
      <c r="AO70">
        <v>29.1</v>
      </c>
      <c r="AP70">
        <v>0.5</v>
      </c>
      <c r="AQ70" t="s">
        <v>331</v>
      </c>
      <c r="AR70">
        <v>2</v>
      </c>
      <c r="AS70">
        <v>1690287170.0999999</v>
      </c>
      <c r="AT70">
        <v>545.25300000000004</v>
      </c>
      <c r="AU70">
        <v>799.84799999999996</v>
      </c>
      <c r="AV70">
        <v>24.569700000000001</v>
      </c>
      <c r="AW70">
        <v>10.603199999999999</v>
      </c>
      <c r="AX70">
        <v>546.31200000000001</v>
      </c>
      <c r="AY70">
        <v>24.378599999999999</v>
      </c>
      <c r="AZ70">
        <v>300.072</v>
      </c>
      <c r="BA70">
        <v>99.334100000000007</v>
      </c>
      <c r="BB70">
        <v>0.10004200000000001</v>
      </c>
      <c r="BC70">
        <v>26.6496</v>
      </c>
      <c r="BD70">
        <v>26.980699999999999</v>
      </c>
      <c r="BE70">
        <v>28.7057</v>
      </c>
      <c r="BF70">
        <v>0</v>
      </c>
      <c r="BG70">
        <v>0</v>
      </c>
      <c r="BH70">
        <v>9965.6200000000008</v>
      </c>
      <c r="BI70">
        <v>1085.74</v>
      </c>
      <c r="BJ70">
        <v>1.3455900000000001</v>
      </c>
      <c r="BK70">
        <v>-254.595</v>
      </c>
      <c r="BL70">
        <v>558.98699999999997</v>
      </c>
      <c r="BM70">
        <v>808.42</v>
      </c>
      <c r="BN70">
        <v>13.9665</v>
      </c>
      <c r="BO70">
        <v>799.84799999999996</v>
      </c>
      <c r="BP70">
        <v>10.603199999999999</v>
      </c>
      <c r="BQ70">
        <v>2.4406099999999999</v>
      </c>
      <c r="BR70">
        <v>1.05325</v>
      </c>
      <c r="BS70">
        <v>20.6357</v>
      </c>
      <c r="BT70">
        <v>7.6746499999999997</v>
      </c>
      <c r="BU70">
        <v>1799.98</v>
      </c>
      <c r="BV70">
        <v>0.909999</v>
      </c>
      <c r="BW70">
        <v>3.4003899999999997E-2</v>
      </c>
      <c r="BX70">
        <v>2.20073E-2</v>
      </c>
      <c r="BY70">
        <v>3.39893E-2</v>
      </c>
      <c r="BZ70">
        <v>24</v>
      </c>
      <c r="CA70">
        <v>33527.9</v>
      </c>
      <c r="CB70">
        <v>1690286268.5999999</v>
      </c>
      <c r="CC70" t="s">
        <v>332</v>
      </c>
      <c r="CD70">
        <v>1690286261.0999999</v>
      </c>
      <c r="CE70">
        <v>1690286268.5999999</v>
      </c>
      <c r="CF70">
        <v>1</v>
      </c>
      <c r="CG70">
        <v>-0.89900000000000002</v>
      </c>
      <c r="CH70">
        <v>3.4000000000000002E-2</v>
      </c>
      <c r="CI70">
        <v>-1.2370000000000001</v>
      </c>
      <c r="CJ70">
        <v>8.5999999999999993E-2</v>
      </c>
      <c r="CK70">
        <v>799</v>
      </c>
      <c r="CL70">
        <v>16</v>
      </c>
      <c r="CM70">
        <v>0.28999999999999998</v>
      </c>
      <c r="CN70">
        <v>0.09</v>
      </c>
      <c r="CO70">
        <v>-249.8731219512195</v>
      </c>
      <c r="CP70">
        <v>-27.728780487805011</v>
      </c>
      <c r="CQ70">
        <v>2.737673395289189</v>
      </c>
      <c r="CR70">
        <v>-1</v>
      </c>
      <c r="CS70">
        <v>13.611560975609761</v>
      </c>
      <c r="CT70">
        <v>1.963657839721261</v>
      </c>
      <c r="CU70">
        <v>0.19366573525970551</v>
      </c>
      <c r="CV70">
        <v>-1</v>
      </c>
      <c r="CW70">
        <v>0</v>
      </c>
      <c r="CX70">
        <v>0</v>
      </c>
      <c r="CY70" t="s">
        <v>333</v>
      </c>
      <c r="CZ70">
        <v>2.3648500000000001</v>
      </c>
      <c r="DA70">
        <v>2.7138</v>
      </c>
      <c r="DB70">
        <v>0.113177</v>
      </c>
      <c r="DC70">
        <v>0.14675299999999999</v>
      </c>
      <c r="DD70">
        <v>0.116258</v>
      </c>
      <c r="DE70">
        <v>6.2130600000000001E-2</v>
      </c>
      <c r="DF70">
        <v>32370.400000000001</v>
      </c>
      <c r="DG70">
        <v>27453.599999999999</v>
      </c>
      <c r="DH70">
        <v>31159.200000000001</v>
      </c>
      <c r="DI70">
        <v>28034.2</v>
      </c>
      <c r="DJ70">
        <v>37372.400000000001</v>
      </c>
      <c r="DK70">
        <v>37366.400000000001</v>
      </c>
      <c r="DL70">
        <v>44334.6</v>
      </c>
      <c r="DM70">
        <v>42465</v>
      </c>
      <c r="DN70">
        <v>1.4846999999999999</v>
      </c>
      <c r="DO70">
        <v>2.0842999999999998</v>
      </c>
      <c r="DP70">
        <v>8.2124000000000003E-2</v>
      </c>
      <c r="DQ70">
        <v>0.20960300000000001</v>
      </c>
      <c r="DR70">
        <v>25.636099999999999</v>
      </c>
      <c r="DS70">
        <v>25.277799999999999</v>
      </c>
      <c r="DT70">
        <v>68.8</v>
      </c>
      <c r="DU70">
        <v>24.6</v>
      </c>
      <c r="DV70">
        <v>21.500299999999999</v>
      </c>
      <c r="DW70">
        <v>62.131399999999999</v>
      </c>
      <c r="DX70">
        <v>36.8429</v>
      </c>
      <c r="DY70">
        <v>1</v>
      </c>
      <c r="DZ70">
        <v>-0.14050599999999999</v>
      </c>
      <c r="EA70">
        <v>-0.60254099999999999</v>
      </c>
      <c r="EB70">
        <v>20.190100000000001</v>
      </c>
      <c r="EC70">
        <v>5.2423000000000002</v>
      </c>
      <c r="ED70">
        <v>12.039899999999999</v>
      </c>
      <c r="EE70">
        <v>5.0167999999999999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1.8687400000000001</v>
      </c>
      <c r="EL70">
        <v>1.86443</v>
      </c>
      <c r="EM70">
        <v>1.8690500000000001</v>
      </c>
      <c r="EN70">
        <v>1.86707</v>
      </c>
      <c r="EO70">
        <v>1.86324</v>
      </c>
      <c r="EP70">
        <v>1.86425</v>
      </c>
      <c r="EQ70">
        <v>1.87008</v>
      </c>
      <c r="ER70">
        <v>1.8692500000000001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-1.0589999999999999</v>
      </c>
      <c r="FG70">
        <v>0.19109999999999999</v>
      </c>
      <c r="FH70">
        <v>-0.68620417327404271</v>
      </c>
      <c r="FI70">
        <v>-6.1462078757559423E-4</v>
      </c>
      <c r="FJ70">
        <v>-1.8861989874597051E-7</v>
      </c>
      <c r="FK70">
        <v>1.1980462299894961E-10</v>
      </c>
      <c r="FL70">
        <v>0.1911242781723908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15.2</v>
      </c>
      <c r="FU70">
        <v>15</v>
      </c>
      <c r="FV70">
        <v>1.7736799999999999</v>
      </c>
      <c r="FW70">
        <v>2.5622600000000002</v>
      </c>
      <c r="FX70">
        <v>1.5490699999999999</v>
      </c>
      <c r="FY70">
        <v>2.34253</v>
      </c>
      <c r="FZ70">
        <v>1.50146</v>
      </c>
      <c r="GA70">
        <v>2.2961399999999998</v>
      </c>
      <c r="GB70">
        <v>30.222000000000001</v>
      </c>
      <c r="GC70">
        <v>23.973700000000001</v>
      </c>
      <c r="GD70">
        <v>19</v>
      </c>
      <c r="GE70">
        <v>283.666</v>
      </c>
      <c r="GF70">
        <v>615.60299999999995</v>
      </c>
      <c r="GG70">
        <v>25.694600000000001</v>
      </c>
      <c r="GH70">
        <v>25.6538</v>
      </c>
      <c r="GI70">
        <v>30.0002</v>
      </c>
      <c r="GJ70">
        <v>25.7151</v>
      </c>
      <c r="GK70">
        <v>25.659800000000001</v>
      </c>
      <c r="GL70">
        <v>35.461599999999997</v>
      </c>
      <c r="GM70">
        <v>56.276299999999999</v>
      </c>
      <c r="GN70">
        <v>90.442499999999995</v>
      </c>
      <c r="GO70">
        <v>25.704999999999998</v>
      </c>
      <c r="GP70">
        <v>800</v>
      </c>
      <c r="GQ70">
        <v>10.398999999999999</v>
      </c>
      <c r="GR70">
        <v>99.685699999999997</v>
      </c>
      <c r="GS70">
        <v>99.363799999999998</v>
      </c>
    </row>
    <row r="71" spans="1:201" x14ac:dyDescent="0.25">
      <c r="A71">
        <v>55</v>
      </c>
      <c r="B71">
        <v>1690287180.0999999</v>
      </c>
      <c r="C71">
        <v>641.5</v>
      </c>
      <c r="D71" t="s">
        <v>443</v>
      </c>
      <c r="E71" t="s">
        <v>444</v>
      </c>
      <c r="F71" t="s">
        <v>330</v>
      </c>
      <c r="H71">
        <v>1690287180.0999999</v>
      </c>
      <c r="I71">
        <f t="shared" si="0"/>
        <v>1.5134330522778097E-3</v>
      </c>
      <c r="J71">
        <f t="shared" si="1"/>
        <v>1.5134330522778097</v>
      </c>
      <c r="K71">
        <f t="shared" si="2"/>
        <v>25.939629196940274</v>
      </c>
      <c r="L71">
        <f t="shared" si="3"/>
        <v>540.73800000000006</v>
      </c>
      <c r="M71">
        <f t="shared" si="4"/>
        <v>137.48912676560374</v>
      </c>
      <c r="N71">
        <f t="shared" si="5"/>
        <v>13.670602238438292</v>
      </c>
      <c r="O71">
        <f t="shared" si="6"/>
        <v>53.765808883281004</v>
      </c>
      <c r="P71">
        <f t="shared" si="7"/>
        <v>0.10728347374553701</v>
      </c>
      <c r="Q71">
        <f t="shared" si="8"/>
        <v>2.3002941482923633</v>
      </c>
      <c r="R71">
        <f t="shared" si="9"/>
        <v>0.10457926816296556</v>
      </c>
      <c r="S71">
        <f t="shared" si="10"/>
        <v>6.5599327432871141E-2</v>
      </c>
      <c r="T71">
        <f t="shared" si="11"/>
        <v>276.11633775600006</v>
      </c>
      <c r="U71">
        <f t="shared" si="12"/>
        <v>28.19346946195822</v>
      </c>
      <c r="V71">
        <f t="shared" si="13"/>
        <v>28.19346946195822</v>
      </c>
      <c r="W71">
        <f t="shared" si="14"/>
        <v>3.8378513400775351</v>
      </c>
      <c r="X71">
        <f t="shared" si="15"/>
        <v>69.717367092026308</v>
      </c>
      <c r="Y71">
        <f t="shared" si="16"/>
        <v>2.4443876128655502</v>
      </c>
      <c r="Z71">
        <f t="shared" si="17"/>
        <v>3.5061387353297211</v>
      </c>
      <c r="AA71">
        <f t="shared" si="18"/>
        <v>1.393463727211985</v>
      </c>
      <c r="AB71">
        <f t="shared" si="19"/>
        <v>-66.742397605451401</v>
      </c>
      <c r="AC71">
        <f t="shared" si="20"/>
        <v>-191.47299221334188</v>
      </c>
      <c r="AD71">
        <f t="shared" si="21"/>
        <v>-18.039778032634796</v>
      </c>
      <c r="AE71">
        <f t="shared" si="22"/>
        <v>-0.13883009542800551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52590.6472116593</v>
      </c>
      <c r="AK71">
        <f t="shared" si="26"/>
        <v>1800</v>
      </c>
      <c r="AL71">
        <f t="shared" si="27"/>
        <v>1499.1132456</v>
      </c>
      <c r="AM71">
        <f t="shared" si="28"/>
        <v>0.83284069199999999</v>
      </c>
      <c r="AN71">
        <f t="shared" si="29"/>
        <v>0.15339796542000003</v>
      </c>
      <c r="AO71">
        <v>29.1</v>
      </c>
      <c r="AP71">
        <v>0.5</v>
      </c>
      <c r="AQ71" t="s">
        <v>331</v>
      </c>
      <c r="AR71">
        <v>2</v>
      </c>
      <c r="AS71">
        <v>1690287180.0999999</v>
      </c>
      <c r="AT71">
        <v>540.73800000000006</v>
      </c>
      <c r="AU71">
        <v>800.12199999999996</v>
      </c>
      <c r="AV71">
        <v>24.5839</v>
      </c>
      <c r="AW71">
        <v>10.2738</v>
      </c>
      <c r="AX71">
        <v>541.79399999999998</v>
      </c>
      <c r="AY71">
        <v>24.392800000000001</v>
      </c>
      <c r="AZ71">
        <v>300.19499999999999</v>
      </c>
      <c r="BA71">
        <v>99.330500000000001</v>
      </c>
      <c r="BB71">
        <v>9.9924499999999999E-2</v>
      </c>
      <c r="BC71">
        <v>26.6495</v>
      </c>
      <c r="BD71">
        <v>27.003900000000002</v>
      </c>
      <c r="BE71">
        <v>28.702100000000002</v>
      </c>
      <c r="BF71">
        <v>0</v>
      </c>
      <c r="BG71">
        <v>0</v>
      </c>
      <c r="BH71">
        <v>10001.200000000001</v>
      </c>
      <c r="BI71">
        <v>1085.6199999999999</v>
      </c>
      <c r="BJ71">
        <v>1.3455900000000001</v>
      </c>
      <c r="BK71">
        <v>-259.38400000000001</v>
      </c>
      <c r="BL71">
        <v>554.36699999999996</v>
      </c>
      <c r="BM71">
        <v>808.428</v>
      </c>
      <c r="BN71">
        <v>14.3101</v>
      </c>
      <c r="BO71">
        <v>800.12199999999996</v>
      </c>
      <c r="BP71">
        <v>10.2738</v>
      </c>
      <c r="BQ71">
        <v>2.4419400000000002</v>
      </c>
      <c r="BR71">
        <v>1.0205</v>
      </c>
      <c r="BS71">
        <v>20.644600000000001</v>
      </c>
      <c r="BT71">
        <v>7.2124499999999996</v>
      </c>
      <c r="BU71">
        <v>1800</v>
      </c>
      <c r="BV71">
        <v>0.90999399999999997</v>
      </c>
      <c r="BW71">
        <v>3.39987E-2</v>
      </c>
      <c r="BX71">
        <v>2.2006600000000001E-2</v>
      </c>
      <c r="BY71">
        <v>3.4001200000000002E-2</v>
      </c>
      <c r="BZ71">
        <v>24</v>
      </c>
      <c r="CA71">
        <v>33528.199999999997</v>
      </c>
      <c r="CB71">
        <v>1690286268.5999999</v>
      </c>
      <c r="CC71" t="s">
        <v>332</v>
      </c>
      <c r="CD71">
        <v>1690286261.0999999</v>
      </c>
      <c r="CE71">
        <v>1690286268.5999999</v>
      </c>
      <c r="CF71">
        <v>1</v>
      </c>
      <c r="CG71">
        <v>-0.89900000000000002</v>
      </c>
      <c r="CH71">
        <v>3.4000000000000002E-2</v>
      </c>
      <c r="CI71">
        <v>-1.2370000000000001</v>
      </c>
      <c r="CJ71">
        <v>8.5999999999999993E-2</v>
      </c>
      <c r="CK71">
        <v>799</v>
      </c>
      <c r="CL71">
        <v>16</v>
      </c>
      <c r="CM71">
        <v>0.28999999999999998</v>
      </c>
      <c r="CN71">
        <v>0.09</v>
      </c>
      <c r="CO71">
        <v>-254.39724390243899</v>
      </c>
      <c r="CP71">
        <v>-26.819017421603199</v>
      </c>
      <c r="CQ71">
        <v>2.6476885158751151</v>
      </c>
      <c r="CR71">
        <v>-1</v>
      </c>
      <c r="CS71">
        <v>13.93816341463415</v>
      </c>
      <c r="CT71">
        <v>1.953888501742169</v>
      </c>
      <c r="CU71">
        <v>0.1927506891653209</v>
      </c>
      <c r="CV71">
        <v>-1</v>
      </c>
      <c r="CW71">
        <v>0</v>
      </c>
      <c r="CX71">
        <v>0</v>
      </c>
      <c r="CY71" t="s">
        <v>333</v>
      </c>
      <c r="CZ71">
        <v>2.36524</v>
      </c>
      <c r="DA71">
        <v>2.7137199999999999</v>
      </c>
      <c r="DB71">
        <v>0.112501</v>
      </c>
      <c r="DC71">
        <v>0.14677399999999999</v>
      </c>
      <c r="DD71">
        <v>0.116302</v>
      </c>
      <c r="DE71">
        <v>6.06463E-2</v>
      </c>
      <c r="DF71">
        <v>32395.200000000001</v>
      </c>
      <c r="DG71">
        <v>27453</v>
      </c>
      <c r="DH71">
        <v>31159.3</v>
      </c>
      <c r="DI71">
        <v>28034.3</v>
      </c>
      <c r="DJ71">
        <v>37370.9</v>
      </c>
      <c r="DK71">
        <v>37426</v>
      </c>
      <c r="DL71">
        <v>44335.1</v>
      </c>
      <c r="DM71">
        <v>42465.4</v>
      </c>
      <c r="DN71">
        <v>1.4846200000000001</v>
      </c>
      <c r="DO71">
        <v>2.0836999999999999</v>
      </c>
      <c r="DP71">
        <v>8.3483799999999997E-2</v>
      </c>
      <c r="DQ71">
        <v>0.20925299999999999</v>
      </c>
      <c r="DR71">
        <v>25.6372</v>
      </c>
      <c r="DS71">
        <v>25.279800000000002</v>
      </c>
      <c r="DT71">
        <v>68.7</v>
      </c>
      <c r="DU71">
        <v>24.6</v>
      </c>
      <c r="DV71">
        <v>21.471399999999999</v>
      </c>
      <c r="DW71">
        <v>62.2714</v>
      </c>
      <c r="DX71">
        <v>35.6571</v>
      </c>
      <c r="DY71">
        <v>1</v>
      </c>
      <c r="DZ71">
        <v>-0.14049</v>
      </c>
      <c r="EA71">
        <v>-0.63627500000000003</v>
      </c>
      <c r="EB71">
        <v>20.189900000000002</v>
      </c>
      <c r="EC71">
        <v>5.2426000000000004</v>
      </c>
      <c r="ED71">
        <v>12.039899999999999</v>
      </c>
      <c r="EE71">
        <v>5.0168499999999998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1.8687400000000001</v>
      </c>
      <c r="EL71">
        <v>1.86442</v>
      </c>
      <c r="EM71">
        <v>1.8690500000000001</v>
      </c>
      <c r="EN71">
        <v>1.86707</v>
      </c>
      <c r="EO71">
        <v>1.8632500000000001</v>
      </c>
      <c r="EP71">
        <v>1.8642700000000001</v>
      </c>
      <c r="EQ71">
        <v>1.8700399999999999</v>
      </c>
      <c r="ER71">
        <v>1.8692800000000001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-1.056</v>
      </c>
      <c r="FG71">
        <v>0.19109999999999999</v>
      </c>
      <c r="FH71">
        <v>-0.68620417327404271</v>
      </c>
      <c r="FI71">
        <v>-6.1462078757559423E-4</v>
      </c>
      <c r="FJ71">
        <v>-1.8861989874597051E-7</v>
      </c>
      <c r="FK71">
        <v>1.1980462299894961E-10</v>
      </c>
      <c r="FL71">
        <v>0.1911242781723908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15.3</v>
      </c>
      <c r="FU71">
        <v>15.2</v>
      </c>
      <c r="FV71">
        <v>1.7724599999999999</v>
      </c>
      <c r="FW71">
        <v>2.5585900000000001</v>
      </c>
      <c r="FX71">
        <v>1.5490699999999999</v>
      </c>
      <c r="FY71">
        <v>2.34253</v>
      </c>
      <c r="FZ71">
        <v>1.50146</v>
      </c>
      <c r="GA71">
        <v>2.3815900000000001</v>
      </c>
      <c r="GB71">
        <v>30.243400000000001</v>
      </c>
      <c r="GC71">
        <v>23.991199999999999</v>
      </c>
      <c r="GD71">
        <v>19</v>
      </c>
      <c r="GE71">
        <v>283.63400000000001</v>
      </c>
      <c r="GF71">
        <v>615.11400000000003</v>
      </c>
      <c r="GG71">
        <v>25.716200000000001</v>
      </c>
      <c r="GH71">
        <v>25.652200000000001</v>
      </c>
      <c r="GI71">
        <v>30</v>
      </c>
      <c r="GJ71">
        <v>25.7151</v>
      </c>
      <c r="GK71">
        <v>25.661999999999999</v>
      </c>
      <c r="GL71">
        <v>35.448999999999998</v>
      </c>
      <c r="GM71">
        <v>57.1601</v>
      </c>
      <c r="GN71">
        <v>89.673000000000002</v>
      </c>
      <c r="GO71">
        <v>25.718</v>
      </c>
      <c r="GP71">
        <v>800</v>
      </c>
      <c r="GQ71">
        <v>10.080500000000001</v>
      </c>
      <c r="GR71">
        <v>99.686599999999999</v>
      </c>
      <c r="GS71">
        <v>99.364599999999996</v>
      </c>
    </row>
    <row r="72" spans="1:201" x14ac:dyDescent="0.25">
      <c r="A72">
        <v>56</v>
      </c>
      <c r="B72">
        <v>1690287190.0999999</v>
      </c>
      <c r="C72">
        <v>651.5</v>
      </c>
      <c r="D72" t="s">
        <v>445</v>
      </c>
      <c r="E72" t="s">
        <v>446</v>
      </c>
      <c r="F72" t="s">
        <v>330</v>
      </c>
      <c r="H72">
        <v>1690287190.0999999</v>
      </c>
      <c r="I72">
        <f t="shared" si="0"/>
        <v>1.5467282566107923E-3</v>
      </c>
      <c r="J72">
        <f t="shared" si="1"/>
        <v>1.5467282566107923</v>
      </c>
      <c r="K72">
        <f t="shared" si="2"/>
        <v>26.374654324029663</v>
      </c>
      <c r="L72">
        <f t="shared" si="3"/>
        <v>536.35900000000004</v>
      </c>
      <c r="M72">
        <f t="shared" si="4"/>
        <v>136.1425630562758</v>
      </c>
      <c r="N72">
        <f t="shared" si="5"/>
        <v>13.536896452678315</v>
      </c>
      <c r="O72">
        <f t="shared" si="6"/>
        <v>53.331126441778807</v>
      </c>
      <c r="P72">
        <f t="shared" si="7"/>
        <v>0.10996093641474611</v>
      </c>
      <c r="Q72">
        <f t="shared" si="8"/>
        <v>2.3007377676425991</v>
      </c>
      <c r="R72">
        <f t="shared" si="9"/>
        <v>0.10712252504982447</v>
      </c>
      <c r="S72">
        <f t="shared" si="10"/>
        <v>6.7200495598106716E-2</v>
      </c>
      <c r="T72">
        <f t="shared" si="11"/>
        <v>276.11423938948127</v>
      </c>
      <c r="U72">
        <f t="shared" si="12"/>
        <v>28.181257385802581</v>
      </c>
      <c r="V72">
        <f t="shared" si="13"/>
        <v>28.181257385802581</v>
      </c>
      <c r="W72">
        <f t="shared" si="14"/>
        <v>3.835123861105239</v>
      </c>
      <c r="X72">
        <f t="shared" si="15"/>
        <v>69.733038952226295</v>
      </c>
      <c r="Y72">
        <f t="shared" si="16"/>
        <v>2.4447787235549998</v>
      </c>
      <c r="Z72">
        <f t="shared" si="17"/>
        <v>3.5059116314002949</v>
      </c>
      <c r="AA72">
        <f t="shared" si="18"/>
        <v>1.3903451375502391</v>
      </c>
      <c r="AB72">
        <f t="shared" si="19"/>
        <v>-68.210716116535949</v>
      </c>
      <c r="AC72">
        <f t="shared" si="20"/>
        <v>-190.13160566256533</v>
      </c>
      <c r="AD72">
        <f t="shared" si="21"/>
        <v>-17.908752170563645</v>
      </c>
      <c r="AE72">
        <f t="shared" si="22"/>
        <v>-0.13683456018367224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52607.666813014672</v>
      </c>
      <c r="AK72">
        <f t="shared" si="26"/>
        <v>1799.99</v>
      </c>
      <c r="AL72">
        <f t="shared" si="27"/>
        <v>1499.1032522023299</v>
      </c>
      <c r="AM72">
        <f t="shared" si="28"/>
        <v>0.83283976699999995</v>
      </c>
      <c r="AN72">
        <f t="shared" si="29"/>
        <v>0.15339765186999998</v>
      </c>
      <c r="AO72">
        <v>29.1</v>
      </c>
      <c r="AP72">
        <v>0.5</v>
      </c>
      <c r="AQ72" t="s">
        <v>331</v>
      </c>
      <c r="AR72">
        <v>2</v>
      </c>
      <c r="AS72">
        <v>1690287190.0999999</v>
      </c>
      <c r="AT72">
        <v>536.35900000000004</v>
      </c>
      <c r="AU72">
        <v>800.18399999999997</v>
      </c>
      <c r="AV72">
        <v>24.587499999999999</v>
      </c>
      <c r="AW72">
        <v>9.9562500000000007</v>
      </c>
      <c r="AX72">
        <v>537.41099999999994</v>
      </c>
      <c r="AY72">
        <v>24.3964</v>
      </c>
      <c r="AZ72">
        <v>300.06400000000002</v>
      </c>
      <c r="BA72">
        <v>99.331800000000001</v>
      </c>
      <c r="BB72">
        <v>9.9973199999999998E-2</v>
      </c>
      <c r="BC72">
        <v>26.648399999999999</v>
      </c>
      <c r="BD72">
        <v>26.9986</v>
      </c>
      <c r="BE72">
        <v>28.689599999999999</v>
      </c>
      <c r="BF72">
        <v>0</v>
      </c>
      <c r="BG72">
        <v>0</v>
      </c>
      <c r="BH72">
        <v>10004.4</v>
      </c>
      <c r="BI72">
        <v>1085.6500000000001</v>
      </c>
      <c r="BJ72">
        <v>1.3455900000000001</v>
      </c>
      <c r="BK72">
        <v>-263.82499999999999</v>
      </c>
      <c r="BL72">
        <v>549.87900000000002</v>
      </c>
      <c r="BM72">
        <v>808.23</v>
      </c>
      <c r="BN72">
        <v>14.6313</v>
      </c>
      <c r="BO72">
        <v>800.18399999999997</v>
      </c>
      <c r="BP72">
        <v>9.9562500000000007</v>
      </c>
      <c r="BQ72">
        <v>2.4423300000000001</v>
      </c>
      <c r="BR72">
        <v>0.98897299999999999</v>
      </c>
      <c r="BS72">
        <v>20.647200000000002</v>
      </c>
      <c r="BT72">
        <v>6.7549200000000003</v>
      </c>
      <c r="BU72">
        <v>1799.99</v>
      </c>
      <c r="BV72">
        <v>0.90999099999999999</v>
      </c>
      <c r="BW72">
        <v>3.3994099999999999E-2</v>
      </c>
      <c r="BX72">
        <v>2.2003600000000002E-2</v>
      </c>
      <c r="BY72">
        <v>3.4011100000000002E-2</v>
      </c>
      <c r="BZ72">
        <v>24</v>
      </c>
      <c r="CA72">
        <v>33528.1</v>
      </c>
      <c r="CB72">
        <v>1690286268.5999999</v>
      </c>
      <c r="CC72" t="s">
        <v>332</v>
      </c>
      <c r="CD72">
        <v>1690286261.0999999</v>
      </c>
      <c r="CE72">
        <v>1690286268.5999999</v>
      </c>
      <c r="CF72">
        <v>1</v>
      </c>
      <c r="CG72">
        <v>-0.89900000000000002</v>
      </c>
      <c r="CH72">
        <v>3.4000000000000002E-2</v>
      </c>
      <c r="CI72">
        <v>-1.2370000000000001</v>
      </c>
      <c r="CJ72">
        <v>8.5999999999999993E-2</v>
      </c>
      <c r="CK72">
        <v>799</v>
      </c>
      <c r="CL72">
        <v>16</v>
      </c>
      <c r="CM72">
        <v>0.28999999999999998</v>
      </c>
      <c r="CN72">
        <v>0.09</v>
      </c>
      <c r="CO72">
        <v>-259.20207499999998</v>
      </c>
      <c r="CP72">
        <v>-27.182893058160388</v>
      </c>
      <c r="CQ72">
        <v>2.61569714786995</v>
      </c>
      <c r="CR72">
        <v>-1</v>
      </c>
      <c r="CS72">
        <v>14.292802500000001</v>
      </c>
      <c r="CT72">
        <v>1.99835459662286</v>
      </c>
      <c r="CU72">
        <v>0.19235536187938709</v>
      </c>
      <c r="CV72">
        <v>-1</v>
      </c>
      <c r="CW72">
        <v>0</v>
      </c>
      <c r="CX72">
        <v>0</v>
      </c>
      <c r="CY72" t="s">
        <v>333</v>
      </c>
      <c r="CZ72">
        <v>2.36483</v>
      </c>
      <c r="DA72">
        <v>2.7137699999999998</v>
      </c>
      <c r="DB72">
        <v>0.111846</v>
      </c>
      <c r="DC72">
        <v>0.14677699999999999</v>
      </c>
      <c r="DD72">
        <v>0.116315</v>
      </c>
      <c r="DE72">
        <v>5.9202100000000001E-2</v>
      </c>
      <c r="DF72">
        <v>32419.8</v>
      </c>
      <c r="DG72">
        <v>27453.200000000001</v>
      </c>
      <c r="DH72">
        <v>31160</v>
      </c>
      <c r="DI72">
        <v>28034.6</v>
      </c>
      <c r="DJ72">
        <v>37370.9</v>
      </c>
      <c r="DK72">
        <v>37484.1</v>
      </c>
      <c r="DL72">
        <v>44335.8</v>
      </c>
      <c r="DM72">
        <v>42465.8</v>
      </c>
      <c r="DN72">
        <v>1.4849699999999999</v>
      </c>
      <c r="DO72">
        <v>2.0829300000000002</v>
      </c>
      <c r="DP72">
        <v>8.3085099999999995E-2</v>
      </c>
      <c r="DQ72">
        <v>0.20835899999999999</v>
      </c>
      <c r="DR72">
        <v>25.638300000000001</v>
      </c>
      <c r="DS72">
        <v>25.282</v>
      </c>
      <c r="DT72">
        <v>68.5</v>
      </c>
      <c r="DU72">
        <v>24.6</v>
      </c>
      <c r="DV72">
        <v>21.4087</v>
      </c>
      <c r="DW72">
        <v>62.2014</v>
      </c>
      <c r="DX72">
        <v>36.662700000000001</v>
      </c>
      <c r="DY72">
        <v>1</v>
      </c>
      <c r="DZ72">
        <v>-0.140546</v>
      </c>
      <c r="EA72">
        <v>-0.60169899999999998</v>
      </c>
      <c r="EB72">
        <v>20.190100000000001</v>
      </c>
      <c r="EC72">
        <v>5.2428999999999997</v>
      </c>
      <c r="ED72">
        <v>12.039899999999999</v>
      </c>
      <c r="EE72">
        <v>5.0168999999999997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1.86873</v>
      </c>
      <c r="EL72">
        <v>1.86443</v>
      </c>
      <c r="EM72">
        <v>1.8690500000000001</v>
      </c>
      <c r="EN72">
        <v>1.86707</v>
      </c>
      <c r="EO72">
        <v>1.86324</v>
      </c>
      <c r="EP72">
        <v>1.86426</v>
      </c>
      <c r="EQ72">
        <v>1.8700399999999999</v>
      </c>
      <c r="ER72">
        <v>1.8692599999999999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-1.052</v>
      </c>
      <c r="FG72">
        <v>0.19109999999999999</v>
      </c>
      <c r="FH72">
        <v>-0.68620417327404271</v>
      </c>
      <c r="FI72">
        <v>-6.1462078757559423E-4</v>
      </c>
      <c r="FJ72">
        <v>-1.8861989874597051E-7</v>
      </c>
      <c r="FK72">
        <v>1.1980462299894961E-10</v>
      </c>
      <c r="FL72">
        <v>0.1911242781723908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15.5</v>
      </c>
      <c r="FU72">
        <v>15.4</v>
      </c>
      <c r="FV72">
        <v>1.7724599999999999</v>
      </c>
      <c r="FW72">
        <v>2.5622600000000002</v>
      </c>
      <c r="FX72">
        <v>1.5490699999999999</v>
      </c>
      <c r="FY72">
        <v>2.34131</v>
      </c>
      <c r="FZ72">
        <v>1.50146</v>
      </c>
      <c r="GA72">
        <v>2.3303199999999999</v>
      </c>
      <c r="GB72">
        <v>30.243400000000001</v>
      </c>
      <c r="GC72">
        <v>23.982399999999998</v>
      </c>
      <c r="GD72">
        <v>19</v>
      </c>
      <c r="GE72">
        <v>283.79199999999997</v>
      </c>
      <c r="GF72">
        <v>614.452</v>
      </c>
      <c r="GG72">
        <v>25.723299999999998</v>
      </c>
      <c r="GH72">
        <v>25.650500000000001</v>
      </c>
      <c r="GI72">
        <v>30.0002</v>
      </c>
      <c r="GJ72">
        <v>25.717199999999998</v>
      </c>
      <c r="GK72">
        <v>25.662400000000002</v>
      </c>
      <c r="GL72">
        <v>35.436300000000003</v>
      </c>
      <c r="GM72">
        <v>58.001899999999999</v>
      </c>
      <c r="GN72">
        <v>89.282700000000006</v>
      </c>
      <c r="GO72">
        <v>25.727799999999998</v>
      </c>
      <c r="GP72">
        <v>800</v>
      </c>
      <c r="GQ72">
        <v>9.7701399999999996</v>
      </c>
      <c r="GR72">
        <v>99.688299999999998</v>
      </c>
      <c r="GS72">
        <v>99.365600000000001</v>
      </c>
    </row>
    <row r="73" spans="1:201" x14ac:dyDescent="0.25">
      <c r="A73">
        <v>57</v>
      </c>
      <c r="B73">
        <v>1690287200.0999999</v>
      </c>
      <c r="C73">
        <v>661.5</v>
      </c>
      <c r="D73" t="s">
        <v>447</v>
      </c>
      <c r="E73" t="s">
        <v>448</v>
      </c>
      <c r="F73" t="s">
        <v>330</v>
      </c>
      <c r="H73">
        <v>1690287200.0999999</v>
      </c>
      <c r="I73">
        <f t="shared" si="0"/>
        <v>1.5809225772593855E-3</v>
      </c>
      <c r="J73">
        <f t="shared" si="1"/>
        <v>1.5809225772593856</v>
      </c>
      <c r="K73">
        <f t="shared" si="2"/>
        <v>26.800252449485939</v>
      </c>
      <c r="L73">
        <f t="shared" si="3"/>
        <v>532.053</v>
      </c>
      <c r="M73">
        <f t="shared" si="4"/>
        <v>135.02468986025093</v>
      </c>
      <c r="N73">
        <f t="shared" si="5"/>
        <v>13.425682672808954</v>
      </c>
      <c r="O73">
        <f t="shared" si="6"/>
        <v>52.902730237774506</v>
      </c>
      <c r="P73">
        <f t="shared" si="7"/>
        <v>0.11268782639053228</v>
      </c>
      <c r="Q73">
        <f t="shared" si="8"/>
        <v>2.3023030053634539</v>
      </c>
      <c r="R73">
        <f t="shared" si="9"/>
        <v>0.10971091282768262</v>
      </c>
      <c r="S73">
        <f t="shared" si="10"/>
        <v>6.8830234121617262E-2</v>
      </c>
      <c r="T73">
        <f t="shared" si="11"/>
        <v>276.11383786571201</v>
      </c>
      <c r="U73">
        <f t="shared" si="12"/>
        <v>28.169689443998351</v>
      </c>
      <c r="V73">
        <f t="shared" si="13"/>
        <v>28.169689443998351</v>
      </c>
      <c r="W73">
        <f t="shared" si="14"/>
        <v>3.8325418045632982</v>
      </c>
      <c r="X73">
        <f t="shared" si="15"/>
        <v>69.736621167617358</v>
      </c>
      <c r="Y73">
        <f t="shared" si="16"/>
        <v>2.4449763002084</v>
      </c>
      <c r="Z73">
        <f t="shared" si="17"/>
        <v>3.506014858866922</v>
      </c>
      <c r="AA73">
        <f t="shared" si="18"/>
        <v>1.3875655043548982</v>
      </c>
      <c r="AB73">
        <f t="shared" si="19"/>
        <v>-69.718685657138906</v>
      </c>
      <c r="AC73">
        <f t="shared" si="20"/>
        <v>-188.76306180843559</v>
      </c>
      <c r="AD73">
        <f t="shared" si="21"/>
        <v>-17.766775723771094</v>
      </c>
      <c r="AE73">
        <f t="shared" si="22"/>
        <v>-0.13468532363359031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52666.863630965359</v>
      </c>
      <c r="AK73">
        <f t="shared" si="26"/>
        <v>1799.99</v>
      </c>
      <c r="AL73">
        <f t="shared" si="27"/>
        <v>1499.1022136081001</v>
      </c>
      <c r="AM73">
        <f t="shared" si="28"/>
        <v>0.83283919000000006</v>
      </c>
      <c r="AN73">
        <f t="shared" si="29"/>
        <v>0.15339742880000001</v>
      </c>
      <c r="AO73">
        <v>29.1</v>
      </c>
      <c r="AP73">
        <v>0.5</v>
      </c>
      <c r="AQ73" t="s">
        <v>331</v>
      </c>
      <c r="AR73">
        <v>2</v>
      </c>
      <c r="AS73">
        <v>1690287200.0999999</v>
      </c>
      <c r="AT73">
        <v>532.053</v>
      </c>
      <c r="AU73">
        <v>800.01099999999997</v>
      </c>
      <c r="AV73">
        <v>24.589600000000001</v>
      </c>
      <c r="AW73">
        <v>9.6408500000000004</v>
      </c>
      <c r="AX73">
        <v>533.10199999999998</v>
      </c>
      <c r="AY73">
        <v>24.398399999999999</v>
      </c>
      <c r="AZ73">
        <v>300.18299999999999</v>
      </c>
      <c r="BA73">
        <v>99.331400000000002</v>
      </c>
      <c r="BB73">
        <v>9.9916500000000005E-2</v>
      </c>
      <c r="BC73">
        <v>26.648900000000001</v>
      </c>
      <c r="BD73">
        <v>26.988299999999999</v>
      </c>
      <c r="BE73">
        <v>28.6692</v>
      </c>
      <c r="BF73">
        <v>0</v>
      </c>
      <c r="BG73">
        <v>0</v>
      </c>
      <c r="BH73">
        <v>10016.200000000001</v>
      </c>
      <c r="BI73">
        <v>1085.76</v>
      </c>
      <c r="BJ73">
        <v>1.3455900000000001</v>
      </c>
      <c r="BK73">
        <v>-267.95800000000003</v>
      </c>
      <c r="BL73">
        <v>545.46600000000001</v>
      </c>
      <c r="BM73">
        <v>807.79899999999998</v>
      </c>
      <c r="BN73">
        <v>14.948700000000001</v>
      </c>
      <c r="BO73">
        <v>800.01099999999997</v>
      </c>
      <c r="BP73">
        <v>9.6408500000000004</v>
      </c>
      <c r="BQ73">
        <v>2.44252</v>
      </c>
      <c r="BR73">
        <v>0.95763900000000002</v>
      </c>
      <c r="BS73">
        <v>20.648399999999999</v>
      </c>
      <c r="BT73">
        <v>6.2873299999999999</v>
      </c>
      <c r="BU73">
        <v>1799.99</v>
      </c>
      <c r="BV73">
        <v>0.90999300000000005</v>
      </c>
      <c r="BW73">
        <v>3.3998500000000001E-2</v>
      </c>
      <c r="BX73">
        <v>2.2001E-2</v>
      </c>
      <c r="BY73">
        <v>3.4007000000000003E-2</v>
      </c>
      <c r="BZ73">
        <v>24.458300000000001</v>
      </c>
      <c r="CA73">
        <v>33528.199999999997</v>
      </c>
      <c r="CB73">
        <v>1690286268.5999999</v>
      </c>
      <c r="CC73" t="s">
        <v>332</v>
      </c>
      <c r="CD73">
        <v>1690286261.0999999</v>
      </c>
      <c r="CE73">
        <v>1690286268.5999999</v>
      </c>
      <c r="CF73">
        <v>1</v>
      </c>
      <c r="CG73">
        <v>-0.89900000000000002</v>
      </c>
      <c r="CH73">
        <v>3.4000000000000002E-2</v>
      </c>
      <c r="CI73">
        <v>-1.2370000000000001</v>
      </c>
      <c r="CJ73">
        <v>8.5999999999999993E-2</v>
      </c>
      <c r="CK73">
        <v>799</v>
      </c>
      <c r="CL73">
        <v>16</v>
      </c>
      <c r="CM73">
        <v>0.28999999999999998</v>
      </c>
      <c r="CN73">
        <v>0.09</v>
      </c>
      <c r="CO73">
        <v>-263.20622500000002</v>
      </c>
      <c r="CP73">
        <v>-26.3705628517815</v>
      </c>
      <c r="CQ73">
        <v>2.538184316470141</v>
      </c>
      <c r="CR73">
        <v>-1</v>
      </c>
      <c r="CS73">
        <v>14.586157500000001</v>
      </c>
      <c r="CT73">
        <v>1.8781879924952889</v>
      </c>
      <c r="CU73">
        <v>0.18076458293523659</v>
      </c>
      <c r="CV73">
        <v>-1</v>
      </c>
      <c r="CW73">
        <v>0</v>
      </c>
      <c r="CX73">
        <v>0</v>
      </c>
      <c r="CY73" t="s">
        <v>333</v>
      </c>
      <c r="CZ73">
        <v>2.36524</v>
      </c>
      <c r="DA73">
        <v>2.7137199999999999</v>
      </c>
      <c r="DB73">
        <v>0.11119900000000001</v>
      </c>
      <c r="DC73">
        <v>0.14674799999999999</v>
      </c>
      <c r="DD73">
        <v>0.11632099999999999</v>
      </c>
      <c r="DE73">
        <v>5.7750599999999999E-2</v>
      </c>
      <c r="DF73">
        <v>32443.1</v>
      </c>
      <c r="DG73">
        <v>27454.2</v>
      </c>
      <c r="DH73">
        <v>31159.7</v>
      </c>
      <c r="DI73">
        <v>28034.799999999999</v>
      </c>
      <c r="DJ73">
        <v>37370.199999999997</v>
      </c>
      <c r="DK73">
        <v>37542.5</v>
      </c>
      <c r="DL73">
        <v>44335.4</v>
      </c>
      <c r="DM73">
        <v>42466.400000000001</v>
      </c>
      <c r="DN73">
        <v>1.4845999999999999</v>
      </c>
      <c r="DO73">
        <v>2.0826199999999999</v>
      </c>
      <c r="DP73">
        <v>8.2328899999999997E-2</v>
      </c>
      <c r="DQ73">
        <v>0.20697299999999999</v>
      </c>
      <c r="DR73">
        <v>25.6404</v>
      </c>
      <c r="DS73">
        <v>25.284099999999999</v>
      </c>
      <c r="DT73">
        <v>68.400000000000006</v>
      </c>
      <c r="DU73">
        <v>24.6</v>
      </c>
      <c r="DV73">
        <v>21.377099999999999</v>
      </c>
      <c r="DW73">
        <v>61.921399999999998</v>
      </c>
      <c r="DX73">
        <v>36.093800000000002</v>
      </c>
      <c r="DY73">
        <v>1</v>
      </c>
      <c r="DZ73">
        <v>-0.13753599999999999</v>
      </c>
      <c r="EA73">
        <v>1.7821400000000001</v>
      </c>
      <c r="EB73">
        <v>20.175899999999999</v>
      </c>
      <c r="EC73">
        <v>5.2424499999999998</v>
      </c>
      <c r="ED73">
        <v>12.039899999999999</v>
      </c>
      <c r="EE73">
        <v>5.0169499999999996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1.86873</v>
      </c>
      <c r="EL73">
        <v>1.86442</v>
      </c>
      <c r="EM73">
        <v>1.8690500000000001</v>
      </c>
      <c r="EN73">
        <v>1.86707</v>
      </c>
      <c r="EO73">
        <v>1.8632500000000001</v>
      </c>
      <c r="EP73">
        <v>1.86426</v>
      </c>
      <c r="EQ73">
        <v>1.8700600000000001</v>
      </c>
      <c r="ER73">
        <v>1.86924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-1.0489999999999999</v>
      </c>
      <c r="FG73">
        <v>0.19120000000000001</v>
      </c>
      <c r="FH73">
        <v>-0.68620417327404271</v>
      </c>
      <c r="FI73">
        <v>-6.1462078757559423E-4</v>
      </c>
      <c r="FJ73">
        <v>-1.8861989874597051E-7</v>
      </c>
      <c r="FK73">
        <v>1.1980462299894961E-10</v>
      </c>
      <c r="FL73">
        <v>0.1911242781723908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15.7</v>
      </c>
      <c r="FU73">
        <v>15.5</v>
      </c>
      <c r="FV73">
        <v>1.7724599999999999</v>
      </c>
      <c r="FW73">
        <v>2.5585900000000001</v>
      </c>
      <c r="FX73">
        <v>1.5490699999999999</v>
      </c>
      <c r="FY73">
        <v>2.34253</v>
      </c>
      <c r="FZ73">
        <v>1.50024</v>
      </c>
      <c r="GA73">
        <v>2.3132299999999999</v>
      </c>
      <c r="GB73">
        <v>30.264900000000001</v>
      </c>
      <c r="GC73">
        <v>23.982399999999998</v>
      </c>
      <c r="GD73">
        <v>19</v>
      </c>
      <c r="GE73">
        <v>283.63299999999998</v>
      </c>
      <c r="GF73">
        <v>614.21600000000001</v>
      </c>
      <c r="GG73">
        <v>25.343900000000001</v>
      </c>
      <c r="GH73">
        <v>25.648399999999999</v>
      </c>
      <c r="GI73">
        <v>30.001999999999999</v>
      </c>
      <c r="GJ73">
        <v>25.717199999999998</v>
      </c>
      <c r="GK73">
        <v>25.664100000000001</v>
      </c>
      <c r="GL73">
        <v>35.434100000000001</v>
      </c>
      <c r="GM73">
        <v>58.844900000000003</v>
      </c>
      <c r="GN73">
        <v>88.511600000000001</v>
      </c>
      <c r="GO73">
        <v>25.09</v>
      </c>
      <c r="GP73">
        <v>800</v>
      </c>
      <c r="GQ73">
        <v>9.4644499999999994</v>
      </c>
      <c r="GR73">
        <v>99.6875</v>
      </c>
      <c r="GS73">
        <v>99.366600000000005</v>
      </c>
    </row>
    <row r="74" spans="1:201" x14ac:dyDescent="0.25">
      <c r="A74">
        <v>58</v>
      </c>
      <c r="B74">
        <v>1690287210.0999999</v>
      </c>
      <c r="C74">
        <v>671.5</v>
      </c>
      <c r="D74" t="s">
        <v>449</v>
      </c>
      <c r="E74" t="s">
        <v>450</v>
      </c>
      <c r="F74" t="s">
        <v>330</v>
      </c>
      <c r="H74">
        <v>1690287210.0999999</v>
      </c>
      <c r="I74">
        <f t="shared" si="0"/>
        <v>1.5986417499011633E-3</v>
      </c>
      <c r="J74">
        <f t="shared" si="1"/>
        <v>1.5986417499011634</v>
      </c>
      <c r="K74">
        <f t="shared" si="2"/>
        <v>27.238849088079736</v>
      </c>
      <c r="L74">
        <f t="shared" si="3"/>
        <v>527.70100000000002</v>
      </c>
      <c r="M74">
        <f t="shared" si="4"/>
        <v>130.51681658474453</v>
      </c>
      <c r="N74">
        <f t="shared" si="5"/>
        <v>12.977824162773077</v>
      </c>
      <c r="O74">
        <f t="shared" si="6"/>
        <v>52.471481972385106</v>
      </c>
      <c r="P74">
        <f t="shared" si="7"/>
        <v>0.11449176996049701</v>
      </c>
      <c r="Q74">
        <f t="shared" si="8"/>
        <v>2.2991845174890297</v>
      </c>
      <c r="R74">
        <f t="shared" si="9"/>
        <v>0.11141613599375902</v>
      </c>
      <c r="S74">
        <f t="shared" si="10"/>
        <v>6.9904536707374551E-2</v>
      </c>
      <c r="T74">
        <f t="shared" si="11"/>
        <v>276.11397587094524</v>
      </c>
      <c r="U74">
        <f t="shared" si="12"/>
        <v>28.108186809821479</v>
      </c>
      <c r="V74">
        <f t="shared" si="13"/>
        <v>28.108186809821479</v>
      </c>
      <c r="W74">
        <f t="shared" si="14"/>
        <v>3.818839377047953</v>
      </c>
      <c r="X74">
        <f t="shared" si="15"/>
        <v>69.74577171934348</v>
      </c>
      <c r="Y74">
        <f t="shared" si="16"/>
        <v>2.4370008967513699</v>
      </c>
      <c r="Z74">
        <f t="shared" si="17"/>
        <v>3.4941199110361061</v>
      </c>
      <c r="AA74">
        <f t="shared" si="18"/>
        <v>1.3818384802965831</v>
      </c>
      <c r="AB74">
        <f t="shared" si="19"/>
        <v>-70.500101170641301</v>
      </c>
      <c r="AC74">
        <f t="shared" si="20"/>
        <v>-188.03603039673627</v>
      </c>
      <c r="AD74">
        <f t="shared" si="21"/>
        <v>-17.711804274664104</v>
      </c>
      <c r="AE74">
        <f t="shared" si="22"/>
        <v>-0.13395997109640234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52558.947685696483</v>
      </c>
      <c r="AK74">
        <f t="shared" si="26"/>
        <v>1799.99</v>
      </c>
      <c r="AL74">
        <f t="shared" si="27"/>
        <v>1499.1018752099799</v>
      </c>
      <c r="AM74">
        <f t="shared" si="28"/>
        <v>0.83283900199999994</v>
      </c>
      <c r="AN74">
        <f t="shared" si="29"/>
        <v>0.15339750546999997</v>
      </c>
      <c r="AO74">
        <v>29.1</v>
      </c>
      <c r="AP74">
        <v>0.5</v>
      </c>
      <c r="AQ74" t="s">
        <v>331</v>
      </c>
      <c r="AR74">
        <v>2</v>
      </c>
      <c r="AS74">
        <v>1690287210.0999999</v>
      </c>
      <c r="AT74">
        <v>527.70100000000002</v>
      </c>
      <c r="AU74">
        <v>799.98099999999999</v>
      </c>
      <c r="AV74">
        <v>24.508700000000001</v>
      </c>
      <c r="AW74">
        <v>9.3885799999999993</v>
      </c>
      <c r="AX74">
        <v>528.74699999999996</v>
      </c>
      <c r="AY74">
        <v>24.317599999999999</v>
      </c>
      <c r="AZ74">
        <v>300.13200000000001</v>
      </c>
      <c r="BA74">
        <v>99.334199999999996</v>
      </c>
      <c r="BB74">
        <v>9.9915100000000007E-2</v>
      </c>
      <c r="BC74">
        <v>26.591200000000001</v>
      </c>
      <c r="BD74">
        <v>26.931899999999999</v>
      </c>
      <c r="BE74">
        <v>28.6112</v>
      </c>
      <c r="BF74">
        <v>0</v>
      </c>
      <c r="BG74">
        <v>0</v>
      </c>
      <c r="BH74">
        <v>9992.5</v>
      </c>
      <c r="BI74">
        <v>1085.69</v>
      </c>
      <c r="BJ74">
        <v>1.3455900000000001</v>
      </c>
      <c r="BK74">
        <v>-272.27999999999997</v>
      </c>
      <c r="BL74">
        <v>540.95899999999995</v>
      </c>
      <c r="BM74">
        <v>807.56299999999999</v>
      </c>
      <c r="BN74">
        <v>15.120100000000001</v>
      </c>
      <c r="BO74">
        <v>799.98099999999999</v>
      </c>
      <c r="BP74">
        <v>9.3885799999999993</v>
      </c>
      <c r="BQ74">
        <v>2.4345500000000002</v>
      </c>
      <c r="BR74">
        <v>0.93260699999999996</v>
      </c>
      <c r="BS74">
        <v>20.595400000000001</v>
      </c>
      <c r="BT74">
        <v>5.9039700000000002</v>
      </c>
      <c r="BU74">
        <v>1799.99</v>
      </c>
      <c r="BV74">
        <v>0.90998999999999997</v>
      </c>
      <c r="BW74">
        <v>3.4007299999999997E-2</v>
      </c>
      <c r="BX74">
        <v>2.1999100000000001E-2</v>
      </c>
      <c r="BY74">
        <v>3.4004100000000002E-2</v>
      </c>
      <c r="BZ74">
        <v>24.625</v>
      </c>
      <c r="CA74">
        <v>33528.199999999997</v>
      </c>
      <c r="CB74">
        <v>1690286268.5999999</v>
      </c>
      <c r="CC74" t="s">
        <v>332</v>
      </c>
      <c r="CD74">
        <v>1690286261.0999999</v>
      </c>
      <c r="CE74">
        <v>1690286268.5999999</v>
      </c>
      <c r="CF74">
        <v>1</v>
      </c>
      <c r="CG74">
        <v>-0.89900000000000002</v>
      </c>
      <c r="CH74">
        <v>3.4000000000000002E-2</v>
      </c>
      <c r="CI74">
        <v>-1.2370000000000001</v>
      </c>
      <c r="CJ74">
        <v>8.5999999999999993E-2</v>
      </c>
      <c r="CK74">
        <v>799</v>
      </c>
      <c r="CL74">
        <v>16</v>
      </c>
      <c r="CM74">
        <v>0.28999999999999998</v>
      </c>
      <c r="CN74">
        <v>0.09</v>
      </c>
      <c r="CO74">
        <v>-267.54480000000001</v>
      </c>
      <c r="CP74">
        <v>-25.824405253282301</v>
      </c>
      <c r="CQ74">
        <v>2.486301512286873</v>
      </c>
      <c r="CR74">
        <v>-1</v>
      </c>
      <c r="CS74">
        <v>14.883775</v>
      </c>
      <c r="CT74">
        <v>1.6337020637897921</v>
      </c>
      <c r="CU74">
        <v>0.15809926905270619</v>
      </c>
      <c r="CV74">
        <v>-1</v>
      </c>
      <c r="CW74">
        <v>0</v>
      </c>
      <c r="CX74">
        <v>0</v>
      </c>
      <c r="CY74" t="s">
        <v>333</v>
      </c>
      <c r="CZ74">
        <v>2.3650699999999998</v>
      </c>
      <c r="DA74">
        <v>2.7136999999999998</v>
      </c>
      <c r="DB74">
        <v>0.110545</v>
      </c>
      <c r="DC74">
        <v>0.14674200000000001</v>
      </c>
      <c r="DD74">
        <v>0.11605500000000001</v>
      </c>
      <c r="DE74">
        <v>5.6579400000000002E-2</v>
      </c>
      <c r="DF74">
        <v>32467.200000000001</v>
      </c>
      <c r="DG74">
        <v>27454.2</v>
      </c>
      <c r="DH74">
        <v>31159.9</v>
      </c>
      <c r="DI74">
        <v>28034.6</v>
      </c>
      <c r="DJ74">
        <v>37381.9</v>
      </c>
      <c r="DK74">
        <v>37588.9</v>
      </c>
      <c r="DL74">
        <v>44335.9</v>
      </c>
      <c r="DM74">
        <v>42465.9</v>
      </c>
      <c r="DN74">
        <v>1.4845999999999999</v>
      </c>
      <c r="DO74">
        <v>2.08195</v>
      </c>
      <c r="DP74">
        <v>7.8745200000000001E-2</v>
      </c>
      <c r="DQ74">
        <v>0.203289</v>
      </c>
      <c r="DR74">
        <v>25.642600000000002</v>
      </c>
      <c r="DS74">
        <v>25.286300000000001</v>
      </c>
      <c r="DT74">
        <v>68.2</v>
      </c>
      <c r="DU74">
        <v>24.6</v>
      </c>
      <c r="DV74">
        <v>21.314699999999998</v>
      </c>
      <c r="DW74">
        <v>62.121400000000001</v>
      </c>
      <c r="DX74">
        <v>36.101799999999997</v>
      </c>
      <c r="DY74">
        <v>1</v>
      </c>
      <c r="DZ74">
        <v>-0.13964699999999999</v>
      </c>
      <c r="EA74">
        <v>0.127277</v>
      </c>
      <c r="EB74">
        <v>20.191199999999998</v>
      </c>
      <c r="EC74">
        <v>5.2415500000000002</v>
      </c>
      <c r="ED74">
        <v>12.039899999999999</v>
      </c>
      <c r="EE74">
        <v>5.0163000000000002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1.8687400000000001</v>
      </c>
      <c r="EL74">
        <v>1.86442</v>
      </c>
      <c r="EM74">
        <v>1.8690500000000001</v>
      </c>
      <c r="EN74">
        <v>1.86707</v>
      </c>
      <c r="EO74">
        <v>1.8632500000000001</v>
      </c>
      <c r="EP74">
        <v>1.8642700000000001</v>
      </c>
      <c r="EQ74">
        <v>1.8700399999999999</v>
      </c>
      <c r="ER74">
        <v>1.8692599999999999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-1.046</v>
      </c>
      <c r="FG74">
        <v>0.19109999999999999</v>
      </c>
      <c r="FH74">
        <v>-0.68620417327404271</v>
      </c>
      <c r="FI74">
        <v>-6.1462078757559423E-4</v>
      </c>
      <c r="FJ74">
        <v>-1.8861989874597051E-7</v>
      </c>
      <c r="FK74">
        <v>1.1980462299894961E-10</v>
      </c>
      <c r="FL74">
        <v>0.1911242781723908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15.8</v>
      </c>
      <c r="FU74">
        <v>15.7</v>
      </c>
      <c r="FV74">
        <v>1.7724599999999999</v>
      </c>
      <c r="FW74">
        <v>2.5598100000000001</v>
      </c>
      <c r="FX74">
        <v>1.5490699999999999</v>
      </c>
      <c r="FY74">
        <v>2.34253</v>
      </c>
      <c r="FZ74">
        <v>1.50146</v>
      </c>
      <c r="GA74">
        <v>2.3803700000000001</v>
      </c>
      <c r="GB74">
        <v>30.264900000000001</v>
      </c>
      <c r="GC74">
        <v>23.982399999999998</v>
      </c>
      <c r="GD74">
        <v>19</v>
      </c>
      <c r="GE74">
        <v>283.63099999999997</v>
      </c>
      <c r="GF74">
        <v>613.66300000000001</v>
      </c>
      <c r="GG74">
        <v>24.984200000000001</v>
      </c>
      <c r="GH74">
        <v>25.646799999999999</v>
      </c>
      <c r="GI74">
        <v>29.999500000000001</v>
      </c>
      <c r="GJ74">
        <v>25.716699999999999</v>
      </c>
      <c r="GK74">
        <v>25.6662</v>
      </c>
      <c r="GL74">
        <v>35.426900000000003</v>
      </c>
      <c r="GM74">
        <v>59.729199999999999</v>
      </c>
      <c r="GN74">
        <v>87.734899999999996</v>
      </c>
      <c r="GO74">
        <v>25.107600000000001</v>
      </c>
      <c r="GP74">
        <v>800</v>
      </c>
      <c r="GQ74">
        <v>9.2222500000000007</v>
      </c>
      <c r="GR74">
        <v>99.688299999999998</v>
      </c>
      <c r="GS74">
        <v>99.365700000000004</v>
      </c>
    </row>
    <row r="75" spans="1:201" x14ac:dyDescent="0.25">
      <c r="A75">
        <v>59</v>
      </c>
      <c r="B75">
        <v>1690287220.0999999</v>
      </c>
      <c r="C75">
        <v>681.5</v>
      </c>
      <c r="D75" t="s">
        <v>451</v>
      </c>
      <c r="E75" t="s">
        <v>452</v>
      </c>
      <c r="F75" t="s">
        <v>330</v>
      </c>
      <c r="H75">
        <v>1690287220.0999999</v>
      </c>
      <c r="I75">
        <f t="shared" si="0"/>
        <v>1.6247529938037042E-3</v>
      </c>
      <c r="J75">
        <f t="shared" si="1"/>
        <v>1.6247529938037042</v>
      </c>
      <c r="K75">
        <f t="shared" si="2"/>
        <v>27.652503894857784</v>
      </c>
      <c r="L75">
        <f t="shared" si="3"/>
        <v>523.548</v>
      </c>
      <c r="M75">
        <f t="shared" si="4"/>
        <v>129.87133365943913</v>
      </c>
      <c r="N75">
        <f t="shared" si="5"/>
        <v>12.913328123394789</v>
      </c>
      <c r="O75">
        <f t="shared" si="6"/>
        <v>52.057270236985197</v>
      </c>
      <c r="P75">
        <f t="shared" si="7"/>
        <v>0.11731175644577074</v>
      </c>
      <c r="Q75">
        <f t="shared" si="8"/>
        <v>2.3051396510301352</v>
      </c>
      <c r="R75">
        <f t="shared" si="9"/>
        <v>0.11409313671214666</v>
      </c>
      <c r="S75">
        <f t="shared" si="10"/>
        <v>7.1590035208648151E-2</v>
      </c>
      <c r="T75">
        <f t="shared" si="11"/>
        <v>276.11179294910124</v>
      </c>
      <c r="U75">
        <f t="shared" si="12"/>
        <v>28.058458874316162</v>
      </c>
      <c r="V75">
        <f t="shared" si="13"/>
        <v>28.058458874316162</v>
      </c>
      <c r="W75">
        <f t="shared" si="14"/>
        <v>3.8077915516671825</v>
      </c>
      <c r="X75">
        <f t="shared" si="15"/>
        <v>69.880352460976809</v>
      </c>
      <c r="Y75">
        <f t="shared" si="16"/>
        <v>2.43628557663029</v>
      </c>
      <c r="Z75">
        <f t="shared" si="17"/>
        <v>3.4863670414238137</v>
      </c>
      <c r="AA75">
        <f t="shared" si="18"/>
        <v>1.3715059750368925</v>
      </c>
      <c r="AB75">
        <f t="shared" si="19"/>
        <v>-71.651607026743349</v>
      </c>
      <c r="AC75">
        <f t="shared" si="20"/>
        <v>-187.02829586227338</v>
      </c>
      <c r="AD75">
        <f t="shared" si="21"/>
        <v>-17.563697510838864</v>
      </c>
      <c r="AE75">
        <f t="shared" si="22"/>
        <v>-0.1318074507543372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52791.227700056705</v>
      </c>
      <c r="AK75">
        <f t="shared" si="26"/>
        <v>1799.98</v>
      </c>
      <c r="AL75">
        <f t="shared" si="27"/>
        <v>1499.09373941782</v>
      </c>
      <c r="AM75">
        <f t="shared" si="28"/>
        <v>0.83283910900000002</v>
      </c>
      <c r="AN75">
        <f t="shared" si="29"/>
        <v>0.15339714494000001</v>
      </c>
      <c r="AO75">
        <v>29.1</v>
      </c>
      <c r="AP75">
        <v>0.5</v>
      </c>
      <c r="AQ75" t="s">
        <v>331</v>
      </c>
      <c r="AR75">
        <v>2</v>
      </c>
      <c r="AS75">
        <v>1690287220.0999999</v>
      </c>
      <c r="AT75">
        <v>523.548</v>
      </c>
      <c r="AU75">
        <v>800.08100000000002</v>
      </c>
      <c r="AV75">
        <v>24.502099999999999</v>
      </c>
      <c r="AW75">
        <v>9.1252300000000002</v>
      </c>
      <c r="AX75">
        <v>524.59100000000001</v>
      </c>
      <c r="AY75">
        <v>24.311</v>
      </c>
      <c r="AZ75">
        <v>299.94299999999998</v>
      </c>
      <c r="BA75">
        <v>99.331800000000001</v>
      </c>
      <c r="BB75">
        <v>9.9904900000000005E-2</v>
      </c>
      <c r="BC75">
        <v>26.5535</v>
      </c>
      <c r="BD75">
        <v>26.883199999999999</v>
      </c>
      <c r="BE75">
        <v>28.5898</v>
      </c>
      <c r="BF75">
        <v>0</v>
      </c>
      <c r="BG75">
        <v>0</v>
      </c>
      <c r="BH75">
        <v>10037.5</v>
      </c>
      <c r="BI75">
        <v>1085.51</v>
      </c>
      <c r="BJ75">
        <v>1.3455900000000001</v>
      </c>
      <c r="BK75">
        <v>-276.53300000000002</v>
      </c>
      <c r="BL75">
        <v>536.69799999999998</v>
      </c>
      <c r="BM75">
        <v>807.45</v>
      </c>
      <c r="BN75">
        <v>15.376899999999999</v>
      </c>
      <c r="BO75">
        <v>800.08100000000002</v>
      </c>
      <c r="BP75">
        <v>9.1252300000000002</v>
      </c>
      <c r="BQ75">
        <v>2.43384</v>
      </c>
      <c r="BR75">
        <v>0.90642500000000004</v>
      </c>
      <c r="BS75">
        <v>20.590699999999998</v>
      </c>
      <c r="BT75">
        <v>5.4931599999999996</v>
      </c>
      <c r="BU75">
        <v>1799.98</v>
      </c>
      <c r="BV75">
        <v>0.909999</v>
      </c>
      <c r="BW75">
        <v>3.4003600000000002E-2</v>
      </c>
      <c r="BX75">
        <v>2.1996700000000001E-2</v>
      </c>
      <c r="BY75">
        <v>3.40004E-2</v>
      </c>
      <c r="BZ75">
        <v>24.666699999999999</v>
      </c>
      <c r="CA75">
        <v>33528.1</v>
      </c>
      <c r="CB75">
        <v>1690286268.5999999</v>
      </c>
      <c r="CC75" t="s">
        <v>332</v>
      </c>
      <c r="CD75">
        <v>1690286261.0999999</v>
      </c>
      <c r="CE75">
        <v>1690286268.5999999</v>
      </c>
      <c r="CF75">
        <v>1</v>
      </c>
      <c r="CG75">
        <v>-0.89900000000000002</v>
      </c>
      <c r="CH75">
        <v>3.4000000000000002E-2</v>
      </c>
      <c r="CI75">
        <v>-1.2370000000000001</v>
      </c>
      <c r="CJ75">
        <v>8.5999999999999993E-2</v>
      </c>
      <c r="CK75">
        <v>799</v>
      </c>
      <c r="CL75">
        <v>16</v>
      </c>
      <c r="CM75">
        <v>0.28999999999999998</v>
      </c>
      <c r="CN75">
        <v>0.09</v>
      </c>
      <c r="CO75">
        <v>-272.25167499999998</v>
      </c>
      <c r="CP75">
        <v>-25.50849906191338</v>
      </c>
      <c r="CQ75">
        <v>2.455613868134602</v>
      </c>
      <c r="CR75">
        <v>-1</v>
      </c>
      <c r="CS75">
        <v>15.13658</v>
      </c>
      <c r="CT75">
        <v>1.178539587241983</v>
      </c>
      <c r="CU75">
        <v>0.11452226028157141</v>
      </c>
      <c r="CV75">
        <v>-1</v>
      </c>
      <c r="CW75">
        <v>0</v>
      </c>
      <c r="CX75">
        <v>0</v>
      </c>
      <c r="CY75" t="s">
        <v>333</v>
      </c>
      <c r="CZ75">
        <v>2.3644500000000002</v>
      </c>
      <c r="DA75">
        <v>2.71373</v>
      </c>
      <c r="DB75">
        <v>0.109913</v>
      </c>
      <c r="DC75">
        <v>0.14674499999999999</v>
      </c>
      <c r="DD75">
        <v>0.11602999999999999</v>
      </c>
      <c r="DE75">
        <v>5.5342099999999998E-2</v>
      </c>
      <c r="DF75">
        <v>32491</v>
      </c>
      <c r="DG75">
        <v>27454.6</v>
      </c>
      <c r="DH75">
        <v>31160.6</v>
      </c>
      <c r="DI75">
        <v>28035.200000000001</v>
      </c>
      <c r="DJ75">
        <v>37383.699999999997</v>
      </c>
      <c r="DK75">
        <v>37639.199999999997</v>
      </c>
      <c r="DL75">
        <v>44336.800000000003</v>
      </c>
      <c r="DM75">
        <v>42466.9</v>
      </c>
      <c r="DN75">
        <v>1.4850699999999999</v>
      </c>
      <c r="DO75">
        <v>2.0815000000000001</v>
      </c>
      <c r="DP75">
        <v>7.5902800000000006E-2</v>
      </c>
      <c r="DQ75">
        <v>0.20198199999999999</v>
      </c>
      <c r="DR75">
        <v>25.6404</v>
      </c>
      <c r="DS75">
        <v>25.286300000000001</v>
      </c>
      <c r="DT75">
        <v>68.099999999999994</v>
      </c>
      <c r="DU75">
        <v>24.7</v>
      </c>
      <c r="DV75">
        <v>21.411100000000001</v>
      </c>
      <c r="DW75">
        <v>62.051400000000001</v>
      </c>
      <c r="DX75">
        <v>37.083300000000001</v>
      </c>
      <c r="DY75">
        <v>1</v>
      </c>
      <c r="DZ75">
        <v>-0.141011</v>
      </c>
      <c r="EA75">
        <v>-0.54631799999999997</v>
      </c>
      <c r="EB75">
        <v>20.1904</v>
      </c>
      <c r="EC75">
        <v>5.242</v>
      </c>
      <c r="ED75">
        <v>12.039899999999999</v>
      </c>
      <c r="EE75">
        <v>5.0168499999999998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1.8687400000000001</v>
      </c>
      <c r="EL75">
        <v>1.8644099999999999</v>
      </c>
      <c r="EM75">
        <v>1.8690500000000001</v>
      </c>
      <c r="EN75">
        <v>1.86707</v>
      </c>
      <c r="EO75">
        <v>1.8632500000000001</v>
      </c>
      <c r="EP75">
        <v>1.86425</v>
      </c>
      <c r="EQ75">
        <v>1.8700699999999999</v>
      </c>
      <c r="ER75">
        <v>1.8693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-1.0429999999999999</v>
      </c>
      <c r="FG75">
        <v>0.19109999999999999</v>
      </c>
      <c r="FH75">
        <v>-0.68620417327404271</v>
      </c>
      <c r="FI75">
        <v>-6.1462078757559423E-4</v>
      </c>
      <c r="FJ75">
        <v>-1.8861989874597051E-7</v>
      </c>
      <c r="FK75">
        <v>1.1980462299894961E-10</v>
      </c>
      <c r="FL75">
        <v>0.1911242781723908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16</v>
      </c>
      <c r="FU75">
        <v>15.9</v>
      </c>
      <c r="FV75">
        <v>1.7712399999999999</v>
      </c>
      <c r="FW75">
        <v>2.5598100000000001</v>
      </c>
      <c r="FX75">
        <v>1.5490699999999999</v>
      </c>
      <c r="FY75">
        <v>2.34131</v>
      </c>
      <c r="FZ75">
        <v>1.50146</v>
      </c>
      <c r="GA75">
        <v>2.3120099999999999</v>
      </c>
      <c r="GB75">
        <v>30.2864</v>
      </c>
      <c r="GC75">
        <v>23.982399999999998</v>
      </c>
      <c r="GD75">
        <v>19</v>
      </c>
      <c r="GE75">
        <v>283.83499999999998</v>
      </c>
      <c r="GF75">
        <v>613.303</v>
      </c>
      <c r="GG75">
        <v>25.1174</v>
      </c>
      <c r="GH75">
        <v>25.645199999999999</v>
      </c>
      <c r="GI75">
        <v>29.999700000000001</v>
      </c>
      <c r="GJ75">
        <v>25.717199999999998</v>
      </c>
      <c r="GK75">
        <v>25.668299999999999</v>
      </c>
      <c r="GL75">
        <v>35.417700000000004</v>
      </c>
      <c r="GM75">
        <v>60.647500000000001</v>
      </c>
      <c r="GN75">
        <v>86.971400000000003</v>
      </c>
      <c r="GO75">
        <v>25.248100000000001</v>
      </c>
      <c r="GP75">
        <v>800</v>
      </c>
      <c r="GQ75">
        <v>8.9245199999999993</v>
      </c>
      <c r="GR75">
        <v>99.6905</v>
      </c>
      <c r="GS75">
        <v>99.367800000000003</v>
      </c>
    </row>
    <row r="76" spans="1:201" x14ac:dyDescent="0.25">
      <c r="A76">
        <v>60</v>
      </c>
      <c r="B76">
        <v>1690287230.0999999</v>
      </c>
      <c r="C76">
        <v>691.5</v>
      </c>
      <c r="D76" t="s">
        <v>453</v>
      </c>
      <c r="E76" t="s">
        <v>454</v>
      </c>
      <c r="F76" t="s">
        <v>330</v>
      </c>
      <c r="H76">
        <v>1690287230.0999999</v>
      </c>
      <c r="I76">
        <f t="shared" si="0"/>
        <v>1.6628263386535985E-3</v>
      </c>
      <c r="J76">
        <f t="shared" si="1"/>
        <v>1.6628263386535984</v>
      </c>
      <c r="K76">
        <f t="shared" si="2"/>
        <v>28.08324455578872</v>
      </c>
      <c r="L76">
        <f t="shared" si="3"/>
        <v>519.42399999999998</v>
      </c>
      <c r="M76">
        <f t="shared" si="4"/>
        <v>130.74232145742056</v>
      </c>
      <c r="N76">
        <f t="shared" si="5"/>
        <v>13.000241535986623</v>
      </c>
      <c r="O76">
        <f t="shared" si="6"/>
        <v>51.648443933951995</v>
      </c>
      <c r="P76">
        <f t="shared" si="7"/>
        <v>0.1207680867057196</v>
      </c>
      <c r="Q76">
        <f t="shared" si="8"/>
        <v>2.2988485668212233</v>
      </c>
      <c r="R76">
        <f t="shared" si="9"/>
        <v>0.11735093804560597</v>
      </c>
      <c r="S76">
        <f t="shared" si="10"/>
        <v>7.3643299846368998E-2</v>
      </c>
      <c r="T76">
        <f t="shared" si="11"/>
        <v>276.112842471242</v>
      </c>
      <c r="U76">
        <f t="shared" si="12"/>
        <v>28.042752496647701</v>
      </c>
      <c r="V76">
        <f t="shared" si="13"/>
        <v>28.042752496647701</v>
      </c>
      <c r="W76">
        <f t="shared" si="14"/>
        <v>3.80430793763552</v>
      </c>
      <c r="X76">
        <f t="shared" si="15"/>
        <v>70.004563980405095</v>
      </c>
      <c r="Y76">
        <f t="shared" si="16"/>
        <v>2.4395950942404001</v>
      </c>
      <c r="Z76">
        <f t="shared" si="17"/>
        <v>3.4849086338474518</v>
      </c>
      <c r="AA76">
        <f t="shared" si="18"/>
        <v>1.3647128433951199</v>
      </c>
      <c r="AB76">
        <f t="shared" si="19"/>
        <v>-73.330641534623695</v>
      </c>
      <c r="AC76">
        <f t="shared" si="20"/>
        <v>-185.45123066267897</v>
      </c>
      <c r="AD76">
        <f t="shared" si="21"/>
        <v>-17.461265845894228</v>
      </c>
      <c r="AE76">
        <f t="shared" si="22"/>
        <v>-0.13029557195486063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52554.085699028954</v>
      </c>
      <c r="AK76">
        <f t="shared" si="26"/>
        <v>1799.99</v>
      </c>
      <c r="AL76">
        <f t="shared" si="27"/>
        <v>1499.1036356001998</v>
      </c>
      <c r="AM76">
        <f t="shared" si="28"/>
        <v>0.83283997999999992</v>
      </c>
      <c r="AN76">
        <f t="shared" si="29"/>
        <v>0.1533968758</v>
      </c>
      <c r="AO76">
        <v>29.1</v>
      </c>
      <c r="AP76">
        <v>0.5</v>
      </c>
      <c r="AQ76" t="s">
        <v>331</v>
      </c>
      <c r="AR76">
        <v>2</v>
      </c>
      <c r="AS76">
        <v>1690287230.0999999</v>
      </c>
      <c r="AT76">
        <v>519.42399999999998</v>
      </c>
      <c r="AU76">
        <v>800.01400000000001</v>
      </c>
      <c r="AV76">
        <v>24.534800000000001</v>
      </c>
      <c r="AW76">
        <v>8.8120700000000003</v>
      </c>
      <c r="AX76">
        <v>520.46500000000003</v>
      </c>
      <c r="AY76">
        <v>24.343699999999998</v>
      </c>
      <c r="AZ76">
        <v>300.209</v>
      </c>
      <c r="BA76">
        <v>99.334000000000003</v>
      </c>
      <c r="BB76">
        <v>0.100073</v>
      </c>
      <c r="BC76">
        <v>26.546399999999998</v>
      </c>
      <c r="BD76">
        <v>26.9038</v>
      </c>
      <c r="BE76">
        <v>28.5715</v>
      </c>
      <c r="BF76">
        <v>0</v>
      </c>
      <c r="BG76">
        <v>0</v>
      </c>
      <c r="BH76">
        <v>9990</v>
      </c>
      <c r="BI76">
        <v>1085.3399999999999</v>
      </c>
      <c r="BJ76">
        <v>1.3455900000000001</v>
      </c>
      <c r="BK76">
        <v>-280.58999999999997</v>
      </c>
      <c r="BL76">
        <v>532.48900000000003</v>
      </c>
      <c r="BM76">
        <v>807.12699999999995</v>
      </c>
      <c r="BN76">
        <v>15.7227</v>
      </c>
      <c r="BO76">
        <v>800.01400000000001</v>
      </c>
      <c r="BP76">
        <v>8.8120700000000003</v>
      </c>
      <c r="BQ76">
        <v>2.4371399999999999</v>
      </c>
      <c r="BR76">
        <v>0.87533799999999995</v>
      </c>
      <c r="BS76">
        <v>20.6127</v>
      </c>
      <c r="BT76">
        <v>4.9915500000000002</v>
      </c>
      <c r="BU76">
        <v>1799.99</v>
      </c>
      <c r="BV76">
        <v>0.91000999999999999</v>
      </c>
      <c r="BW76">
        <v>3.3999500000000002E-2</v>
      </c>
      <c r="BX76">
        <v>2.1994E-2</v>
      </c>
      <c r="BY76">
        <v>3.3996199999999997E-2</v>
      </c>
      <c r="BZ76">
        <v>24.666699999999999</v>
      </c>
      <c r="CA76">
        <v>33528.199999999997</v>
      </c>
      <c r="CB76">
        <v>1690286268.5999999</v>
      </c>
      <c r="CC76" t="s">
        <v>332</v>
      </c>
      <c r="CD76">
        <v>1690286261.0999999</v>
      </c>
      <c r="CE76">
        <v>1690286268.5999999</v>
      </c>
      <c r="CF76">
        <v>1</v>
      </c>
      <c r="CG76">
        <v>-0.89900000000000002</v>
      </c>
      <c r="CH76">
        <v>3.4000000000000002E-2</v>
      </c>
      <c r="CI76">
        <v>-1.2370000000000001</v>
      </c>
      <c r="CJ76">
        <v>8.5999999999999993E-2</v>
      </c>
      <c r="CK76">
        <v>799</v>
      </c>
      <c r="CL76">
        <v>16</v>
      </c>
      <c r="CM76">
        <v>0.28999999999999998</v>
      </c>
      <c r="CN76">
        <v>0.09</v>
      </c>
      <c r="CO76">
        <v>-276.02929999999998</v>
      </c>
      <c r="CP76">
        <v>-24.843129455909249</v>
      </c>
      <c r="CQ76">
        <v>2.390833360985245</v>
      </c>
      <c r="CR76">
        <v>-1</v>
      </c>
      <c r="CS76">
        <v>15.360995000000001</v>
      </c>
      <c r="CT76">
        <v>1.846903564727898</v>
      </c>
      <c r="CU76">
        <v>0.17854406451909849</v>
      </c>
      <c r="CV76">
        <v>-1</v>
      </c>
      <c r="CW76">
        <v>0</v>
      </c>
      <c r="CX76">
        <v>0</v>
      </c>
      <c r="CY76" t="s">
        <v>333</v>
      </c>
      <c r="CZ76">
        <v>2.3653400000000002</v>
      </c>
      <c r="DA76">
        <v>2.7138599999999999</v>
      </c>
      <c r="DB76">
        <v>0.109289</v>
      </c>
      <c r="DC76">
        <v>0.146734</v>
      </c>
      <c r="DD76">
        <v>0.11614099999999999</v>
      </c>
      <c r="DE76">
        <v>5.38579E-2</v>
      </c>
      <c r="DF76">
        <v>32513.5</v>
      </c>
      <c r="DG76">
        <v>27455.4</v>
      </c>
      <c r="DH76">
        <v>31160.3</v>
      </c>
      <c r="DI76">
        <v>28035.599999999999</v>
      </c>
      <c r="DJ76">
        <v>37378.699999999997</v>
      </c>
      <c r="DK76">
        <v>37699.199999999997</v>
      </c>
      <c r="DL76">
        <v>44336.6</v>
      </c>
      <c r="DM76">
        <v>42467.7</v>
      </c>
      <c r="DN76">
        <v>1.4859</v>
      </c>
      <c r="DO76">
        <v>2.0807500000000001</v>
      </c>
      <c r="DP76">
        <v>7.7489799999999998E-2</v>
      </c>
      <c r="DQ76">
        <v>0.201181</v>
      </c>
      <c r="DR76">
        <v>25.635100000000001</v>
      </c>
      <c r="DS76">
        <v>25.280999999999999</v>
      </c>
      <c r="DT76">
        <v>67.900000000000006</v>
      </c>
      <c r="DU76">
        <v>24.7</v>
      </c>
      <c r="DV76">
        <v>21.349499999999999</v>
      </c>
      <c r="DW76">
        <v>61.9514</v>
      </c>
      <c r="DX76">
        <v>35.917499999999997</v>
      </c>
      <c r="DY76">
        <v>1</v>
      </c>
      <c r="DZ76">
        <v>-0.14127500000000001</v>
      </c>
      <c r="EA76">
        <v>-0.74840399999999996</v>
      </c>
      <c r="EB76">
        <v>20.1891</v>
      </c>
      <c r="EC76">
        <v>5.24275</v>
      </c>
      <c r="ED76">
        <v>12.039899999999999</v>
      </c>
      <c r="EE76">
        <v>5.0171000000000001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1.86873</v>
      </c>
      <c r="EL76">
        <v>1.86443</v>
      </c>
      <c r="EM76">
        <v>1.8690500000000001</v>
      </c>
      <c r="EN76">
        <v>1.86707</v>
      </c>
      <c r="EO76">
        <v>1.8632500000000001</v>
      </c>
      <c r="EP76">
        <v>1.86426</v>
      </c>
      <c r="EQ76">
        <v>1.8700699999999999</v>
      </c>
      <c r="ER76">
        <v>1.8692599999999999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-1.0409999999999999</v>
      </c>
      <c r="FG76">
        <v>0.19109999999999999</v>
      </c>
      <c r="FH76">
        <v>-0.68620417327404271</v>
      </c>
      <c r="FI76">
        <v>-6.1462078757559423E-4</v>
      </c>
      <c r="FJ76">
        <v>-1.8861989874597051E-7</v>
      </c>
      <c r="FK76">
        <v>1.1980462299894961E-10</v>
      </c>
      <c r="FL76">
        <v>0.1911242781723908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16.100000000000001</v>
      </c>
      <c r="FU76">
        <v>16</v>
      </c>
      <c r="FV76">
        <v>1.7712399999999999</v>
      </c>
      <c r="FW76">
        <v>2.5585900000000001</v>
      </c>
      <c r="FX76">
        <v>1.5490699999999999</v>
      </c>
      <c r="FY76">
        <v>2.34131</v>
      </c>
      <c r="FZ76">
        <v>1.50146</v>
      </c>
      <c r="GA76">
        <v>2.3144499999999999</v>
      </c>
      <c r="GB76">
        <v>30.2864</v>
      </c>
      <c r="GC76">
        <v>23.991199999999999</v>
      </c>
      <c r="GD76">
        <v>19</v>
      </c>
      <c r="GE76">
        <v>284.19299999999998</v>
      </c>
      <c r="GF76">
        <v>612.67100000000005</v>
      </c>
      <c r="GG76">
        <v>25.3185</v>
      </c>
      <c r="GH76">
        <v>25.6431</v>
      </c>
      <c r="GI76">
        <v>30.0001</v>
      </c>
      <c r="GJ76">
        <v>25.718800000000002</v>
      </c>
      <c r="GK76">
        <v>25.6693</v>
      </c>
      <c r="GL76">
        <v>35.411799999999999</v>
      </c>
      <c r="GM76">
        <v>61.520200000000003</v>
      </c>
      <c r="GN76">
        <v>86.190100000000001</v>
      </c>
      <c r="GO76">
        <v>25.3994</v>
      </c>
      <c r="GP76">
        <v>800</v>
      </c>
      <c r="GQ76">
        <v>8.6014499999999998</v>
      </c>
      <c r="GR76">
        <v>99.689800000000005</v>
      </c>
      <c r="GS76">
        <v>99.369500000000002</v>
      </c>
    </row>
    <row r="77" spans="1:201" x14ac:dyDescent="0.25">
      <c r="A77">
        <v>61</v>
      </c>
      <c r="B77">
        <v>1690287240.0999999</v>
      </c>
      <c r="C77">
        <v>701.5</v>
      </c>
      <c r="D77" t="s">
        <v>455</v>
      </c>
      <c r="E77" t="s">
        <v>456</v>
      </c>
      <c r="F77" t="s">
        <v>330</v>
      </c>
      <c r="H77">
        <v>1690287240.0999999</v>
      </c>
      <c r="I77">
        <f t="shared" si="0"/>
        <v>1.6994955567127047E-3</v>
      </c>
      <c r="J77">
        <f t="shared" si="1"/>
        <v>1.6994955567127046</v>
      </c>
      <c r="K77">
        <f t="shared" si="2"/>
        <v>28.493523094201997</v>
      </c>
      <c r="L77">
        <f t="shared" si="3"/>
        <v>515.524</v>
      </c>
      <c r="M77">
        <f t="shared" si="4"/>
        <v>129.61867405431602</v>
      </c>
      <c r="N77">
        <f t="shared" si="5"/>
        <v>12.888640502092681</v>
      </c>
      <c r="O77">
        <f t="shared" si="6"/>
        <v>51.261159355915993</v>
      </c>
      <c r="P77">
        <f t="shared" si="7"/>
        <v>0.1234831942417845</v>
      </c>
      <c r="Q77">
        <f t="shared" si="8"/>
        <v>2.2966940831972558</v>
      </c>
      <c r="R77">
        <f t="shared" si="9"/>
        <v>0.11990987033955409</v>
      </c>
      <c r="S77">
        <f t="shared" si="10"/>
        <v>7.5256104789520675E-2</v>
      </c>
      <c r="T77">
        <f t="shared" si="11"/>
        <v>276.11240834965383</v>
      </c>
      <c r="U77">
        <f t="shared" si="12"/>
        <v>28.057657242747165</v>
      </c>
      <c r="V77">
        <f t="shared" si="13"/>
        <v>28.057657242747165</v>
      </c>
      <c r="W77">
        <f t="shared" si="14"/>
        <v>3.8076136855035143</v>
      </c>
      <c r="X77">
        <f t="shared" si="15"/>
        <v>69.985204230990021</v>
      </c>
      <c r="Y77">
        <f t="shared" si="16"/>
        <v>2.4426023373232</v>
      </c>
      <c r="Z77">
        <f t="shared" si="17"/>
        <v>3.490169621083417</v>
      </c>
      <c r="AA77">
        <f t="shared" si="18"/>
        <v>1.3650113481803143</v>
      </c>
      <c r="AB77">
        <f t="shared" si="19"/>
        <v>-74.947754051030273</v>
      </c>
      <c r="AC77">
        <f t="shared" si="20"/>
        <v>-183.95314593261583</v>
      </c>
      <c r="AD77">
        <f t="shared" si="21"/>
        <v>-17.339966869278019</v>
      </c>
      <c r="AE77">
        <f t="shared" si="22"/>
        <v>-0.12845850327030917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52468.097990246359</v>
      </c>
      <c r="AK77">
        <f t="shared" si="26"/>
        <v>1799.99</v>
      </c>
      <c r="AL77">
        <f t="shared" si="27"/>
        <v>1499.10507919218</v>
      </c>
      <c r="AM77">
        <f t="shared" si="28"/>
        <v>0.832840782</v>
      </c>
      <c r="AN77">
        <f t="shared" si="29"/>
        <v>0.15339663462000003</v>
      </c>
      <c r="AO77">
        <v>29.1</v>
      </c>
      <c r="AP77">
        <v>0.5</v>
      </c>
      <c r="AQ77" t="s">
        <v>331</v>
      </c>
      <c r="AR77">
        <v>2</v>
      </c>
      <c r="AS77">
        <v>1690287240.0999999</v>
      </c>
      <c r="AT77">
        <v>515.524</v>
      </c>
      <c r="AU77">
        <v>800.21699999999998</v>
      </c>
      <c r="AV77">
        <v>24.564800000000002</v>
      </c>
      <c r="AW77">
        <v>8.4955200000000008</v>
      </c>
      <c r="AX77">
        <v>516.56200000000001</v>
      </c>
      <c r="AY77">
        <v>24.3736</v>
      </c>
      <c r="AZ77">
        <v>300.20299999999997</v>
      </c>
      <c r="BA77">
        <v>99.334999999999994</v>
      </c>
      <c r="BB77">
        <v>0.100059</v>
      </c>
      <c r="BC77">
        <v>26.571999999999999</v>
      </c>
      <c r="BD77">
        <v>26.9026</v>
      </c>
      <c r="BE77">
        <v>28.550799999999999</v>
      </c>
      <c r="BF77">
        <v>0</v>
      </c>
      <c r="BG77">
        <v>0</v>
      </c>
      <c r="BH77">
        <v>9973.75</v>
      </c>
      <c r="BI77">
        <v>1085.33</v>
      </c>
      <c r="BJ77">
        <v>1.3595999999999999</v>
      </c>
      <c r="BK77">
        <v>-284.69299999999998</v>
      </c>
      <c r="BL77">
        <v>528.50699999999995</v>
      </c>
      <c r="BM77">
        <v>807.07299999999998</v>
      </c>
      <c r="BN77">
        <v>16.069199999999999</v>
      </c>
      <c r="BO77">
        <v>800.21699999999998</v>
      </c>
      <c r="BP77">
        <v>8.4955200000000008</v>
      </c>
      <c r="BQ77">
        <v>2.44014</v>
      </c>
      <c r="BR77">
        <v>0.84390200000000004</v>
      </c>
      <c r="BS77">
        <v>20.6326</v>
      </c>
      <c r="BT77">
        <v>4.4680299999999997</v>
      </c>
      <c r="BU77">
        <v>1799.99</v>
      </c>
      <c r="BV77">
        <v>0.91002000000000005</v>
      </c>
      <c r="BW77">
        <v>3.3995699999999997E-2</v>
      </c>
      <c r="BX77">
        <v>2.19916E-2</v>
      </c>
      <c r="BY77">
        <v>3.3992399999999999E-2</v>
      </c>
      <c r="BZ77">
        <v>24.666699999999999</v>
      </c>
      <c r="CA77">
        <v>33528.300000000003</v>
      </c>
      <c r="CB77">
        <v>1690286268.5999999</v>
      </c>
      <c r="CC77" t="s">
        <v>332</v>
      </c>
      <c r="CD77">
        <v>1690286261.0999999</v>
      </c>
      <c r="CE77">
        <v>1690286268.5999999</v>
      </c>
      <c r="CF77">
        <v>1</v>
      </c>
      <c r="CG77">
        <v>-0.89900000000000002</v>
      </c>
      <c r="CH77">
        <v>3.4000000000000002E-2</v>
      </c>
      <c r="CI77">
        <v>-1.2370000000000001</v>
      </c>
      <c r="CJ77">
        <v>8.5999999999999993E-2</v>
      </c>
      <c r="CK77">
        <v>799</v>
      </c>
      <c r="CL77">
        <v>16</v>
      </c>
      <c r="CM77">
        <v>0.28999999999999998</v>
      </c>
      <c r="CN77">
        <v>0.09</v>
      </c>
      <c r="CO77">
        <v>-280.2151951219513</v>
      </c>
      <c r="CP77">
        <v>-24.30959581881509</v>
      </c>
      <c r="CQ77">
        <v>2.3977877733089472</v>
      </c>
      <c r="CR77">
        <v>-1</v>
      </c>
      <c r="CS77">
        <v>15.69521219512195</v>
      </c>
      <c r="CT77">
        <v>2.0754668989547138</v>
      </c>
      <c r="CU77">
        <v>0.20475685663509269</v>
      </c>
      <c r="CV77">
        <v>-1</v>
      </c>
      <c r="CW77">
        <v>0</v>
      </c>
      <c r="CX77">
        <v>0</v>
      </c>
      <c r="CY77" t="s">
        <v>333</v>
      </c>
      <c r="CZ77">
        <v>2.3653200000000001</v>
      </c>
      <c r="DA77">
        <v>2.7138300000000002</v>
      </c>
      <c r="DB77">
        <v>0.108695</v>
      </c>
      <c r="DC77">
        <v>0.14675299999999999</v>
      </c>
      <c r="DD77">
        <v>0.116242</v>
      </c>
      <c r="DE77">
        <v>5.2338700000000002E-2</v>
      </c>
      <c r="DF77">
        <v>32535.3</v>
      </c>
      <c r="DG77">
        <v>27455.200000000001</v>
      </c>
      <c r="DH77">
        <v>31160.5</v>
      </c>
      <c r="DI77">
        <v>28036</v>
      </c>
      <c r="DJ77">
        <v>37374.300000000003</v>
      </c>
      <c r="DK77">
        <v>37760.699999999997</v>
      </c>
      <c r="DL77">
        <v>44336.6</v>
      </c>
      <c r="DM77">
        <v>42468.5</v>
      </c>
      <c r="DN77">
        <v>1.4862299999999999</v>
      </c>
      <c r="DO77">
        <v>2.0800800000000002</v>
      </c>
      <c r="DP77">
        <v>7.7903299999999995E-2</v>
      </c>
      <c r="DQ77">
        <v>0.200268</v>
      </c>
      <c r="DR77">
        <v>25.626999999999999</v>
      </c>
      <c r="DS77">
        <v>25.275099999999998</v>
      </c>
      <c r="DT77">
        <v>67.7</v>
      </c>
      <c r="DU77">
        <v>24.7</v>
      </c>
      <c r="DV77">
        <v>21.2866</v>
      </c>
      <c r="DW77">
        <v>61.9114</v>
      </c>
      <c r="DX77">
        <v>35.9696</v>
      </c>
      <c r="DY77">
        <v>1</v>
      </c>
      <c r="DZ77">
        <v>-0.14119399999999999</v>
      </c>
      <c r="EA77">
        <v>-0.78001100000000001</v>
      </c>
      <c r="EB77">
        <v>20.188800000000001</v>
      </c>
      <c r="EC77">
        <v>5.2424499999999998</v>
      </c>
      <c r="ED77">
        <v>12.039899999999999</v>
      </c>
      <c r="EE77">
        <v>5.0170000000000003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1.8687400000000001</v>
      </c>
      <c r="EL77">
        <v>1.8644400000000001</v>
      </c>
      <c r="EM77">
        <v>1.8690599999999999</v>
      </c>
      <c r="EN77">
        <v>1.86707</v>
      </c>
      <c r="EO77">
        <v>1.8632500000000001</v>
      </c>
      <c r="EP77">
        <v>1.8642399999999999</v>
      </c>
      <c r="EQ77">
        <v>1.87009</v>
      </c>
      <c r="ER77">
        <v>1.8692599999999999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-1.038</v>
      </c>
      <c r="FG77">
        <v>0.19120000000000001</v>
      </c>
      <c r="FH77">
        <v>-0.68620417327404271</v>
      </c>
      <c r="FI77">
        <v>-6.1462078757559423E-4</v>
      </c>
      <c r="FJ77">
        <v>-1.8861989874597051E-7</v>
      </c>
      <c r="FK77">
        <v>1.1980462299894961E-10</v>
      </c>
      <c r="FL77">
        <v>0.1911242781723908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16.3</v>
      </c>
      <c r="FU77">
        <v>16.2</v>
      </c>
      <c r="FV77">
        <v>1.7700199999999999</v>
      </c>
      <c r="FW77">
        <v>2.5585900000000001</v>
      </c>
      <c r="FX77">
        <v>1.5490699999999999</v>
      </c>
      <c r="FY77">
        <v>2.34131</v>
      </c>
      <c r="FZ77">
        <v>1.50146</v>
      </c>
      <c r="GA77">
        <v>2.3718300000000001</v>
      </c>
      <c r="GB77">
        <v>30.2864</v>
      </c>
      <c r="GC77">
        <v>23.991199999999999</v>
      </c>
      <c r="GD77">
        <v>19</v>
      </c>
      <c r="GE77">
        <v>284.334</v>
      </c>
      <c r="GF77">
        <v>612.10799999999995</v>
      </c>
      <c r="GG77">
        <v>25.477399999999999</v>
      </c>
      <c r="GH77">
        <v>25.6431</v>
      </c>
      <c r="GI77">
        <v>30.0001</v>
      </c>
      <c r="GJ77">
        <v>25.7194</v>
      </c>
      <c r="GK77">
        <v>25.670500000000001</v>
      </c>
      <c r="GL77">
        <v>35.399799999999999</v>
      </c>
      <c r="GM77">
        <v>62.718600000000002</v>
      </c>
      <c r="GN77">
        <v>85.033000000000001</v>
      </c>
      <c r="GO77">
        <v>25.548400000000001</v>
      </c>
      <c r="GP77">
        <v>800</v>
      </c>
      <c r="GQ77">
        <v>8.2795500000000004</v>
      </c>
      <c r="GR77">
        <v>99.690100000000001</v>
      </c>
      <c r="GS77">
        <v>99.371300000000005</v>
      </c>
    </row>
    <row r="78" spans="1:201" x14ac:dyDescent="0.25">
      <c r="A78">
        <v>62</v>
      </c>
      <c r="B78">
        <v>1690287250.0999999</v>
      </c>
      <c r="C78">
        <v>711.5</v>
      </c>
      <c r="D78" t="s">
        <v>457</v>
      </c>
      <c r="E78" t="s">
        <v>458</v>
      </c>
      <c r="F78" t="s">
        <v>330</v>
      </c>
      <c r="H78">
        <v>1690287250.0999999</v>
      </c>
      <c r="I78">
        <f t="shared" si="0"/>
        <v>1.7344594761756784E-3</v>
      </c>
      <c r="J78">
        <f t="shared" si="1"/>
        <v>1.7344594761756784</v>
      </c>
      <c r="K78">
        <f t="shared" si="2"/>
        <v>28.8584434959017</v>
      </c>
      <c r="L78">
        <f t="shared" si="3"/>
        <v>511.58199999999999</v>
      </c>
      <c r="M78">
        <f t="shared" si="4"/>
        <v>129.50410080215323</v>
      </c>
      <c r="N78">
        <f t="shared" si="5"/>
        <v>12.876627605262032</v>
      </c>
      <c r="O78">
        <f t="shared" si="6"/>
        <v>50.866735977874399</v>
      </c>
      <c r="P78">
        <f t="shared" si="7"/>
        <v>0.12639042835496009</v>
      </c>
      <c r="Q78">
        <f t="shared" si="8"/>
        <v>2.2996319964410175</v>
      </c>
      <c r="R78">
        <f t="shared" si="9"/>
        <v>0.12265423714784311</v>
      </c>
      <c r="S78">
        <f t="shared" si="10"/>
        <v>7.698538043929308E-2</v>
      </c>
      <c r="T78">
        <f t="shared" si="11"/>
        <v>276.11430031914284</v>
      </c>
      <c r="U78">
        <f t="shared" si="12"/>
        <v>28.051053073809175</v>
      </c>
      <c r="V78">
        <f t="shared" si="13"/>
        <v>28.051053073809175</v>
      </c>
      <c r="W78">
        <f t="shared" si="14"/>
        <v>3.8061486270689686</v>
      </c>
      <c r="X78">
        <f t="shared" si="15"/>
        <v>70.006866444008708</v>
      </c>
      <c r="Y78">
        <f t="shared" si="16"/>
        <v>2.4442943077435997</v>
      </c>
      <c r="Z78">
        <f t="shared" si="17"/>
        <v>3.4915065220045798</v>
      </c>
      <c r="AA78">
        <f t="shared" si="18"/>
        <v>1.3618543193253689</v>
      </c>
      <c r="AB78">
        <f t="shared" si="19"/>
        <v>-76.489662899347422</v>
      </c>
      <c r="AC78">
        <f t="shared" si="20"/>
        <v>-182.56383185489531</v>
      </c>
      <c r="AD78">
        <f t="shared" si="21"/>
        <v>-17.187009728365776</v>
      </c>
      <c r="AE78">
        <f t="shared" si="22"/>
        <v>-0.12620416346564411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52578.032982121484</v>
      </c>
      <c r="AK78">
        <f t="shared" si="26"/>
        <v>1799.99</v>
      </c>
      <c r="AL78">
        <f t="shared" si="27"/>
        <v>1499.10733817963</v>
      </c>
      <c r="AM78">
        <f t="shared" si="28"/>
        <v>0.83284203700000004</v>
      </c>
      <c r="AN78">
        <f t="shared" si="29"/>
        <v>0.15339768572000001</v>
      </c>
      <c r="AO78">
        <v>29.1</v>
      </c>
      <c r="AP78">
        <v>0.5</v>
      </c>
      <c r="AQ78" t="s">
        <v>331</v>
      </c>
      <c r="AR78">
        <v>2</v>
      </c>
      <c r="AS78">
        <v>1690287250.0999999</v>
      </c>
      <c r="AT78">
        <v>511.58199999999999</v>
      </c>
      <c r="AU78">
        <v>800.08799999999997</v>
      </c>
      <c r="AV78">
        <v>24.582999999999998</v>
      </c>
      <c r="AW78">
        <v>8.1739200000000007</v>
      </c>
      <c r="AX78">
        <v>512.61699999999996</v>
      </c>
      <c r="AY78">
        <v>24.3919</v>
      </c>
      <c r="AZ78">
        <v>300.029</v>
      </c>
      <c r="BA78">
        <v>99.330299999999994</v>
      </c>
      <c r="BB78">
        <v>9.9969199999999994E-2</v>
      </c>
      <c r="BC78">
        <v>26.578499999999998</v>
      </c>
      <c r="BD78">
        <v>26.918399999999998</v>
      </c>
      <c r="BE78">
        <v>28.555499999999999</v>
      </c>
      <c r="BF78">
        <v>0</v>
      </c>
      <c r="BG78">
        <v>0</v>
      </c>
      <c r="BH78">
        <v>9996.25</v>
      </c>
      <c r="BI78">
        <v>1085.23</v>
      </c>
      <c r="BJ78">
        <v>1.3455900000000001</v>
      </c>
      <c r="BK78">
        <v>-288.50599999999997</v>
      </c>
      <c r="BL78">
        <v>524.476</v>
      </c>
      <c r="BM78">
        <v>806.68200000000002</v>
      </c>
      <c r="BN78">
        <v>16.409099999999999</v>
      </c>
      <c r="BO78">
        <v>800.08799999999997</v>
      </c>
      <c r="BP78">
        <v>8.1739200000000007</v>
      </c>
      <c r="BQ78">
        <v>2.44184</v>
      </c>
      <c r="BR78">
        <v>0.81191800000000003</v>
      </c>
      <c r="BS78">
        <v>20.643899999999999</v>
      </c>
      <c r="BT78">
        <v>3.9174000000000002</v>
      </c>
      <c r="BU78">
        <v>1799.99</v>
      </c>
      <c r="BV78">
        <v>0.91001200000000004</v>
      </c>
      <c r="BW78">
        <v>3.3992500000000002E-2</v>
      </c>
      <c r="BX78">
        <v>2.2006100000000001E-2</v>
      </c>
      <c r="BY78">
        <v>3.3989199999999997E-2</v>
      </c>
      <c r="BZ78">
        <v>24.666699999999999</v>
      </c>
      <c r="CA78">
        <v>33528.199999999997</v>
      </c>
      <c r="CB78">
        <v>1690286268.5999999</v>
      </c>
      <c r="CC78" t="s">
        <v>332</v>
      </c>
      <c r="CD78">
        <v>1690286261.0999999</v>
      </c>
      <c r="CE78">
        <v>1690286268.5999999</v>
      </c>
      <c r="CF78">
        <v>1</v>
      </c>
      <c r="CG78">
        <v>-0.89900000000000002</v>
      </c>
      <c r="CH78">
        <v>3.4000000000000002E-2</v>
      </c>
      <c r="CI78">
        <v>-1.2370000000000001</v>
      </c>
      <c r="CJ78">
        <v>8.5999999999999993E-2</v>
      </c>
      <c r="CK78">
        <v>799</v>
      </c>
      <c r="CL78">
        <v>16</v>
      </c>
      <c r="CM78">
        <v>0.28999999999999998</v>
      </c>
      <c r="CN78">
        <v>0.09</v>
      </c>
      <c r="CO78">
        <v>-284.13487500000002</v>
      </c>
      <c r="CP78">
        <v>-23.875575984990672</v>
      </c>
      <c r="CQ78">
        <v>2.297612414959278</v>
      </c>
      <c r="CR78">
        <v>-1</v>
      </c>
      <c r="CS78">
        <v>16.029620000000001</v>
      </c>
      <c r="CT78">
        <v>2.0835737335834472</v>
      </c>
      <c r="CU78">
        <v>0.20047103057549229</v>
      </c>
      <c r="CV78">
        <v>-1</v>
      </c>
      <c r="CW78">
        <v>0</v>
      </c>
      <c r="CX78">
        <v>0</v>
      </c>
      <c r="CY78" t="s">
        <v>333</v>
      </c>
      <c r="CZ78">
        <v>2.3647499999999999</v>
      </c>
      <c r="DA78">
        <v>2.7137600000000002</v>
      </c>
      <c r="DB78">
        <v>0.108087</v>
      </c>
      <c r="DC78">
        <v>0.14672299999999999</v>
      </c>
      <c r="DD78">
        <v>0.116297</v>
      </c>
      <c r="DE78">
        <v>5.0772699999999997E-2</v>
      </c>
      <c r="DF78">
        <v>32557.5</v>
      </c>
      <c r="DG78">
        <v>27456</v>
      </c>
      <c r="DH78">
        <v>31160.400000000001</v>
      </c>
      <c r="DI78">
        <v>28035.8</v>
      </c>
      <c r="DJ78">
        <v>37372</v>
      </c>
      <c r="DK78">
        <v>37823.199999999997</v>
      </c>
      <c r="DL78">
        <v>44336.800000000003</v>
      </c>
      <c r="DM78">
        <v>42468.5</v>
      </c>
      <c r="DN78">
        <v>1.48577</v>
      </c>
      <c r="DO78">
        <v>2.07978</v>
      </c>
      <c r="DP78">
        <v>7.9430600000000004E-2</v>
      </c>
      <c r="DQ78">
        <v>0.20094200000000001</v>
      </c>
      <c r="DR78">
        <v>25.617899999999999</v>
      </c>
      <c r="DS78">
        <v>25.268799999999999</v>
      </c>
      <c r="DT78">
        <v>67.599999999999994</v>
      </c>
      <c r="DU78">
        <v>24.7</v>
      </c>
      <c r="DV78">
        <v>21.263200000000001</v>
      </c>
      <c r="DW78">
        <v>62.501399999999997</v>
      </c>
      <c r="DX78">
        <v>36.902999999999999</v>
      </c>
      <c r="DY78">
        <v>1</v>
      </c>
      <c r="DZ78">
        <v>-0.14116400000000001</v>
      </c>
      <c r="EA78">
        <v>-0.83155000000000001</v>
      </c>
      <c r="EB78">
        <v>20.188700000000001</v>
      </c>
      <c r="EC78">
        <v>5.2430500000000002</v>
      </c>
      <c r="ED78">
        <v>12.039899999999999</v>
      </c>
      <c r="EE78">
        <v>5.0169499999999996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1.8687400000000001</v>
      </c>
      <c r="EL78">
        <v>1.8644400000000001</v>
      </c>
      <c r="EM78">
        <v>1.8690500000000001</v>
      </c>
      <c r="EN78">
        <v>1.86707</v>
      </c>
      <c r="EO78">
        <v>1.8632500000000001</v>
      </c>
      <c r="EP78">
        <v>1.86425</v>
      </c>
      <c r="EQ78">
        <v>1.8700399999999999</v>
      </c>
      <c r="ER78">
        <v>1.8692299999999999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-1.0349999999999999</v>
      </c>
      <c r="FG78">
        <v>0.19109999999999999</v>
      </c>
      <c r="FH78">
        <v>-0.68620417327404271</v>
      </c>
      <c r="FI78">
        <v>-6.1462078757559423E-4</v>
      </c>
      <c r="FJ78">
        <v>-1.8861989874597051E-7</v>
      </c>
      <c r="FK78">
        <v>1.1980462299894961E-10</v>
      </c>
      <c r="FL78">
        <v>0.1911242781723908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16.5</v>
      </c>
      <c r="FU78">
        <v>16.399999999999999</v>
      </c>
      <c r="FV78">
        <v>1.7700199999999999</v>
      </c>
      <c r="FW78">
        <v>2.5634800000000002</v>
      </c>
      <c r="FX78">
        <v>1.5490699999999999</v>
      </c>
      <c r="FY78">
        <v>2.34131</v>
      </c>
      <c r="FZ78">
        <v>1.50146</v>
      </c>
      <c r="GA78">
        <v>2.323</v>
      </c>
      <c r="GB78">
        <v>30.3079</v>
      </c>
      <c r="GC78">
        <v>23.973700000000001</v>
      </c>
      <c r="GD78">
        <v>19</v>
      </c>
      <c r="GE78">
        <v>284.142</v>
      </c>
      <c r="GF78">
        <v>611.87699999999995</v>
      </c>
      <c r="GG78">
        <v>25.6188</v>
      </c>
      <c r="GH78">
        <v>25.640899999999998</v>
      </c>
      <c r="GI78">
        <v>30.0001</v>
      </c>
      <c r="GJ78">
        <v>25.7194</v>
      </c>
      <c r="GK78">
        <v>25.672599999999999</v>
      </c>
      <c r="GL78">
        <v>35.392800000000001</v>
      </c>
      <c r="GM78">
        <v>63.864199999999997</v>
      </c>
      <c r="GN78">
        <v>84.272499999999994</v>
      </c>
      <c r="GO78">
        <v>25.677600000000002</v>
      </c>
      <c r="GP78">
        <v>800</v>
      </c>
      <c r="GQ78">
        <v>7.9590500000000004</v>
      </c>
      <c r="GR78">
        <v>99.690200000000004</v>
      </c>
      <c r="GS78">
        <v>99.371099999999998</v>
      </c>
    </row>
    <row r="79" spans="1:201" x14ac:dyDescent="0.25">
      <c r="A79">
        <v>63</v>
      </c>
      <c r="B79">
        <v>1690287260.0999999</v>
      </c>
      <c r="C79">
        <v>721.5</v>
      </c>
      <c r="D79" t="s">
        <v>459</v>
      </c>
      <c r="E79" t="s">
        <v>460</v>
      </c>
      <c r="F79" t="s">
        <v>330</v>
      </c>
      <c r="H79">
        <v>1690287260.0999999</v>
      </c>
      <c r="I79">
        <f t="shared" si="0"/>
        <v>1.7705016168848692E-3</v>
      </c>
      <c r="J79">
        <f t="shared" si="1"/>
        <v>1.7705016168848693</v>
      </c>
      <c r="K79">
        <f t="shared" si="2"/>
        <v>29.266591570532949</v>
      </c>
      <c r="L79">
        <f t="shared" si="3"/>
        <v>507.65899999999999</v>
      </c>
      <c r="M79">
        <f t="shared" si="4"/>
        <v>127.92907668546496</v>
      </c>
      <c r="N79">
        <f t="shared" si="5"/>
        <v>12.720393246221644</v>
      </c>
      <c r="O79">
        <f t="shared" si="6"/>
        <v>50.478142126052994</v>
      </c>
      <c r="P79">
        <f t="shared" si="7"/>
        <v>0.12903844970186534</v>
      </c>
      <c r="Q79">
        <f t="shared" si="8"/>
        <v>2.2965845115632177</v>
      </c>
      <c r="R79">
        <f t="shared" si="9"/>
        <v>0.12514166215549913</v>
      </c>
      <c r="S79">
        <f t="shared" si="10"/>
        <v>7.8553847347308442E-2</v>
      </c>
      <c r="T79">
        <f t="shared" si="11"/>
        <v>276.11494588555627</v>
      </c>
      <c r="U79">
        <f t="shared" si="12"/>
        <v>28.061080555643652</v>
      </c>
      <c r="V79">
        <f t="shared" si="13"/>
        <v>28.061080555643652</v>
      </c>
      <c r="W79">
        <f t="shared" si="14"/>
        <v>3.8083733014336723</v>
      </c>
      <c r="X79">
        <f t="shared" si="15"/>
        <v>69.968564901944887</v>
      </c>
      <c r="Y79">
        <f t="shared" si="16"/>
        <v>2.4458371552325997</v>
      </c>
      <c r="Z79">
        <f t="shared" si="17"/>
        <v>3.4956228681554875</v>
      </c>
      <c r="AA79">
        <f t="shared" si="18"/>
        <v>1.3625361462010726</v>
      </c>
      <c r="AB79">
        <f t="shared" si="19"/>
        <v>-78.079121304622731</v>
      </c>
      <c r="AC79">
        <f t="shared" si="20"/>
        <v>-181.08716524736724</v>
      </c>
      <c r="AD79">
        <f t="shared" si="21"/>
        <v>-17.073173745298682</v>
      </c>
      <c r="AE79">
        <f t="shared" si="22"/>
        <v>-0.12451441173237754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52459.273103264291</v>
      </c>
      <c r="AK79">
        <f t="shared" si="26"/>
        <v>1799.99</v>
      </c>
      <c r="AL79">
        <f t="shared" si="27"/>
        <v>1499.1046921943303</v>
      </c>
      <c r="AM79">
        <f t="shared" si="28"/>
        <v>0.83284056700000009</v>
      </c>
      <c r="AN79">
        <f t="shared" si="29"/>
        <v>0.15339804436999999</v>
      </c>
      <c r="AO79">
        <v>29.1</v>
      </c>
      <c r="AP79">
        <v>0.5</v>
      </c>
      <c r="AQ79" t="s">
        <v>331</v>
      </c>
      <c r="AR79">
        <v>2</v>
      </c>
      <c r="AS79">
        <v>1690287260.0999999</v>
      </c>
      <c r="AT79">
        <v>507.65899999999999</v>
      </c>
      <c r="AU79">
        <v>800.08600000000001</v>
      </c>
      <c r="AV79">
        <v>24.597799999999999</v>
      </c>
      <c r="AW79">
        <v>7.8565300000000002</v>
      </c>
      <c r="AX79">
        <v>508.69099999999997</v>
      </c>
      <c r="AY79">
        <v>24.406700000000001</v>
      </c>
      <c r="AZ79">
        <v>300.18200000000002</v>
      </c>
      <c r="BA79">
        <v>99.333100000000002</v>
      </c>
      <c r="BB79">
        <v>0.100067</v>
      </c>
      <c r="BC79">
        <v>26.598500000000001</v>
      </c>
      <c r="BD79">
        <v>26.9329</v>
      </c>
      <c r="BE79">
        <v>28.586300000000001</v>
      </c>
      <c r="BF79">
        <v>0</v>
      </c>
      <c r="BG79">
        <v>0</v>
      </c>
      <c r="BH79">
        <v>9973.1200000000008</v>
      </c>
      <c r="BI79">
        <v>1085.28</v>
      </c>
      <c r="BJ79">
        <v>1.3455900000000001</v>
      </c>
      <c r="BK79">
        <v>-292.42599999999999</v>
      </c>
      <c r="BL79">
        <v>520.46199999999999</v>
      </c>
      <c r="BM79">
        <v>806.42200000000003</v>
      </c>
      <c r="BN79">
        <v>16.741299999999999</v>
      </c>
      <c r="BO79">
        <v>800.08600000000001</v>
      </c>
      <c r="BP79">
        <v>7.8565300000000002</v>
      </c>
      <c r="BQ79">
        <v>2.4433799999999999</v>
      </c>
      <c r="BR79">
        <v>0.78041400000000005</v>
      </c>
      <c r="BS79">
        <v>20.654199999999999</v>
      </c>
      <c r="BT79">
        <v>3.35595</v>
      </c>
      <c r="BU79">
        <v>1799.99</v>
      </c>
      <c r="BV79">
        <v>0.90999799999999997</v>
      </c>
      <c r="BW79">
        <v>3.4007200000000001E-2</v>
      </c>
      <c r="BX79">
        <v>2.20086E-2</v>
      </c>
      <c r="BY79">
        <v>3.3986299999999997E-2</v>
      </c>
      <c r="BZ79">
        <v>24.666699999999999</v>
      </c>
      <c r="CA79">
        <v>33528.1</v>
      </c>
      <c r="CB79">
        <v>1690286268.5999999</v>
      </c>
      <c r="CC79" t="s">
        <v>332</v>
      </c>
      <c r="CD79">
        <v>1690286261.0999999</v>
      </c>
      <c r="CE79">
        <v>1690286268.5999999</v>
      </c>
      <c r="CF79">
        <v>1</v>
      </c>
      <c r="CG79">
        <v>-0.89900000000000002</v>
      </c>
      <c r="CH79">
        <v>3.4000000000000002E-2</v>
      </c>
      <c r="CI79">
        <v>-1.2370000000000001</v>
      </c>
      <c r="CJ79">
        <v>8.5999999999999993E-2</v>
      </c>
      <c r="CK79">
        <v>799</v>
      </c>
      <c r="CL79">
        <v>16</v>
      </c>
      <c r="CM79">
        <v>0.28999999999999998</v>
      </c>
      <c r="CN79">
        <v>0.09</v>
      </c>
      <c r="CO79">
        <v>-288.14582926829269</v>
      </c>
      <c r="CP79">
        <v>-23.12839024390248</v>
      </c>
      <c r="CQ79">
        <v>2.2813866440459369</v>
      </c>
      <c r="CR79">
        <v>-1</v>
      </c>
      <c r="CS79">
        <v>16.37504146341464</v>
      </c>
      <c r="CT79">
        <v>1.9911114982578311</v>
      </c>
      <c r="CU79">
        <v>0.19642081129568109</v>
      </c>
      <c r="CV79">
        <v>-1</v>
      </c>
      <c r="CW79">
        <v>0</v>
      </c>
      <c r="CX79">
        <v>0</v>
      </c>
      <c r="CY79" t="s">
        <v>333</v>
      </c>
      <c r="CZ79">
        <v>2.3652600000000001</v>
      </c>
      <c r="DA79">
        <v>2.7138300000000002</v>
      </c>
      <c r="DB79">
        <v>0.107487</v>
      </c>
      <c r="DC79">
        <v>0.14672099999999999</v>
      </c>
      <c r="DD79">
        <v>0.11634899999999999</v>
      </c>
      <c r="DE79">
        <v>4.9210999999999998E-2</v>
      </c>
      <c r="DF79">
        <v>32579.5</v>
      </c>
      <c r="DG79">
        <v>27456.7</v>
      </c>
      <c r="DH79">
        <v>31160.5</v>
      </c>
      <c r="DI79">
        <v>28036.5</v>
      </c>
      <c r="DJ79">
        <v>37370</v>
      </c>
      <c r="DK79">
        <v>37886.400000000001</v>
      </c>
      <c r="DL79">
        <v>44337.1</v>
      </c>
      <c r="DM79">
        <v>42469.5</v>
      </c>
      <c r="DN79">
        <v>1.4863999999999999</v>
      </c>
      <c r="DO79">
        <v>2.0793200000000001</v>
      </c>
      <c r="DP79">
        <v>8.06563E-2</v>
      </c>
      <c r="DQ79">
        <v>0.20296500000000001</v>
      </c>
      <c r="DR79">
        <v>25.612300000000001</v>
      </c>
      <c r="DS79">
        <v>25.2666</v>
      </c>
      <c r="DT79">
        <v>67.3</v>
      </c>
      <c r="DU79">
        <v>24.7</v>
      </c>
      <c r="DV79">
        <v>21.161799999999999</v>
      </c>
      <c r="DW79">
        <v>62.281399999999998</v>
      </c>
      <c r="DX79">
        <v>36.157899999999998</v>
      </c>
      <c r="DY79">
        <v>1</v>
      </c>
      <c r="DZ79">
        <v>-0.14102400000000001</v>
      </c>
      <c r="EA79">
        <v>-0.845136</v>
      </c>
      <c r="EB79">
        <v>20.188500000000001</v>
      </c>
      <c r="EC79">
        <v>5.242</v>
      </c>
      <c r="ED79">
        <v>12.039899999999999</v>
      </c>
      <c r="EE79">
        <v>5.0168499999999998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1.8687400000000001</v>
      </c>
      <c r="EL79">
        <v>1.8644400000000001</v>
      </c>
      <c r="EM79">
        <v>1.8690500000000001</v>
      </c>
      <c r="EN79">
        <v>1.86707</v>
      </c>
      <c r="EO79">
        <v>1.8632500000000001</v>
      </c>
      <c r="EP79">
        <v>1.8642300000000001</v>
      </c>
      <c r="EQ79">
        <v>1.87008</v>
      </c>
      <c r="ER79">
        <v>1.8692599999999999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-1.032</v>
      </c>
      <c r="FG79">
        <v>0.19109999999999999</v>
      </c>
      <c r="FH79">
        <v>-0.68620417327404271</v>
      </c>
      <c r="FI79">
        <v>-6.1462078757559423E-4</v>
      </c>
      <c r="FJ79">
        <v>-1.8861989874597051E-7</v>
      </c>
      <c r="FK79">
        <v>1.1980462299894961E-10</v>
      </c>
      <c r="FL79">
        <v>0.1911242781723908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16.600000000000001</v>
      </c>
      <c r="FU79">
        <v>16.5</v>
      </c>
      <c r="FV79">
        <v>1.7700199999999999</v>
      </c>
      <c r="FW79">
        <v>2.5573700000000001</v>
      </c>
      <c r="FX79">
        <v>1.5490699999999999</v>
      </c>
      <c r="FY79">
        <v>2.34131</v>
      </c>
      <c r="FZ79">
        <v>1.50146</v>
      </c>
      <c r="GA79">
        <v>2.3120099999999999</v>
      </c>
      <c r="GB79">
        <v>30.3294</v>
      </c>
      <c r="GC79">
        <v>23.991199999999999</v>
      </c>
      <c r="GD79">
        <v>19</v>
      </c>
      <c r="GE79">
        <v>284.41800000000001</v>
      </c>
      <c r="GF79">
        <v>611.49199999999996</v>
      </c>
      <c r="GG79">
        <v>25.738199999999999</v>
      </c>
      <c r="GH79">
        <v>25.639700000000001</v>
      </c>
      <c r="GI79">
        <v>30.0002</v>
      </c>
      <c r="GJ79">
        <v>25.721499999999999</v>
      </c>
      <c r="GK79">
        <v>25.672599999999999</v>
      </c>
      <c r="GL79">
        <v>35.3887</v>
      </c>
      <c r="GM79">
        <v>64.994600000000005</v>
      </c>
      <c r="GN79">
        <v>83.495199999999997</v>
      </c>
      <c r="GO79">
        <v>25.7837</v>
      </c>
      <c r="GP79">
        <v>800</v>
      </c>
      <c r="GQ79">
        <v>7.6336599999999999</v>
      </c>
      <c r="GR79">
        <v>99.690799999999996</v>
      </c>
      <c r="GS79">
        <v>99.3733</v>
      </c>
    </row>
    <row r="80" spans="1:201" x14ac:dyDescent="0.25">
      <c r="A80">
        <v>64</v>
      </c>
      <c r="B80">
        <v>1690287270.0999999</v>
      </c>
      <c r="C80">
        <v>731.5</v>
      </c>
      <c r="D80" t="s">
        <v>461</v>
      </c>
      <c r="E80" t="s">
        <v>462</v>
      </c>
      <c r="F80" t="s">
        <v>330</v>
      </c>
      <c r="H80">
        <v>1690287270.0999999</v>
      </c>
      <c r="I80">
        <f t="shared" si="0"/>
        <v>1.8068601796556252E-3</v>
      </c>
      <c r="J80">
        <f t="shared" si="1"/>
        <v>1.8068601796556252</v>
      </c>
      <c r="K80">
        <f t="shared" si="2"/>
        <v>29.648685753833814</v>
      </c>
      <c r="L80">
        <f t="shared" si="3"/>
        <v>503.82499999999999</v>
      </c>
      <c r="M80">
        <f t="shared" si="4"/>
        <v>126.686527426784</v>
      </c>
      <c r="N80">
        <f t="shared" si="5"/>
        <v>12.596746736576231</v>
      </c>
      <c r="O80">
        <f t="shared" si="6"/>
        <v>50.09653396825</v>
      </c>
      <c r="P80">
        <f t="shared" si="7"/>
        <v>0.13168907388225717</v>
      </c>
      <c r="Q80">
        <f t="shared" si="8"/>
        <v>2.2970770212895171</v>
      </c>
      <c r="R80">
        <f t="shared" si="9"/>
        <v>0.12763410064420361</v>
      </c>
      <c r="S80">
        <f t="shared" si="10"/>
        <v>8.0125235257795163E-2</v>
      </c>
      <c r="T80">
        <f t="shared" si="11"/>
        <v>276.11480660233013</v>
      </c>
      <c r="U80">
        <f t="shared" si="12"/>
        <v>28.069727344529912</v>
      </c>
      <c r="V80">
        <f t="shared" si="13"/>
        <v>28.069727344529912</v>
      </c>
      <c r="W80">
        <f t="shared" si="14"/>
        <v>3.8102925691807545</v>
      </c>
      <c r="X80">
        <f t="shared" si="15"/>
        <v>69.915030739456512</v>
      </c>
      <c r="Y80">
        <f t="shared" si="16"/>
        <v>2.4469620074130001</v>
      </c>
      <c r="Z80">
        <f t="shared" si="17"/>
        <v>3.499908362383167</v>
      </c>
      <c r="AA80">
        <f t="shared" si="18"/>
        <v>1.3633305617677545</v>
      </c>
      <c r="AB80">
        <f t="shared" si="19"/>
        <v>-79.682533922813064</v>
      </c>
      <c r="AC80">
        <f t="shared" si="20"/>
        <v>-179.62094609263349</v>
      </c>
      <c r="AD80">
        <f t="shared" si="21"/>
        <v>-16.933793975171483</v>
      </c>
      <c r="AE80">
        <f t="shared" si="22"/>
        <v>-0.12246738828787329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52474.241453913048</v>
      </c>
      <c r="AK80">
        <f t="shared" si="26"/>
        <v>1799.99</v>
      </c>
      <c r="AL80">
        <f t="shared" si="27"/>
        <v>1499.10030381871</v>
      </c>
      <c r="AM80">
        <f t="shared" si="28"/>
        <v>0.83283812899999998</v>
      </c>
      <c r="AN80">
        <f t="shared" si="29"/>
        <v>0.15339796699000002</v>
      </c>
      <c r="AO80">
        <v>29.1</v>
      </c>
      <c r="AP80">
        <v>0.5</v>
      </c>
      <c r="AQ80" t="s">
        <v>331</v>
      </c>
      <c r="AR80">
        <v>2</v>
      </c>
      <c r="AS80">
        <v>1690287270.0999999</v>
      </c>
      <c r="AT80">
        <v>503.82499999999999</v>
      </c>
      <c r="AU80">
        <v>800.05600000000004</v>
      </c>
      <c r="AV80">
        <v>24.609300000000001</v>
      </c>
      <c r="AW80">
        <v>7.5251200000000003</v>
      </c>
      <c r="AX80">
        <v>504.85399999999998</v>
      </c>
      <c r="AY80">
        <v>24.418199999999999</v>
      </c>
      <c r="AZ80">
        <v>300.19400000000002</v>
      </c>
      <c r="BA80">
        <v>99.332400000000007</v>
      </c>
      <c r="BB80">
        <v>0.10001</v>
      </c>
      <c r="BC80">
        <v>26.619299999999999</v>
      </c>
      <c r="BD80">
        <v>26.9435</v>
      </c>
      <c r="BE80">
        <v>28.564800000000002</v>
      </c>
      <c r="BF80">
        <v>0</v>
      </c>
      <c r="BG80">
        <v>0</v>
      </c>
      <c r="BH80">
        <v>9976.8799999999992</v>
      </c>
      <c r="BI80">
        <v>1085.31</v>
      </c>
      <c r="BJ80">
        <v>1.3595999999999999</v>
      </c>
      <c r="BK80">
        <v>-296.23099999999999</v>
      </c>
      <c r="BL80">
        <v>516.53700000000003</v>
      </c>
      <c r="BM80">
        <v>806.12199999999996</v>
      </c>
      <c r="BN80">
        <v>17.084199999999999</v>
      </c>
      <c r="BO80">
        <v>800.05600000000004</v>
      </c>
      <c r="BP80">
        <v>7.5251200000000003</v>
      </c>
      <c r="BQ80">
        <v>2.4445000000000001</v>
      </c>
      <c r="BR80">
        <v>0.74748800000000004</v>
      </c>
      <c r="BS80">
        <v>20.6616</v>
      </c>
      <c r="BT80">
        <v>2.7473299999999998</v>
      </c>
      <c r="BU80">
        <v>1799.99</v>
      </c>
      <c r="BV80">
        <v>0.90997600000000001</v>
      </c>
      <c r="BW80">
        <v>3.4006099999999997E-2</v>
      </c>
      <c r="BX80">
        <v>2.20062E-2</v>
      </c>
      <c r="BY80">
        <v>3.40115E-2</v>
      </c>
      <c r="BZ80">
        <v>24.75</v>
      </c>
      <c r="CA80">
        <v>33528.1</v>
      </c>
      <c r="CB80">
        <v>1690286268.5999999</v>
      </c>
      <c r="CC80" t="s">
        <v>332</v>
      </c>
      <c r="CD80">
        <v>1690286261.0999999</v>
      </c>
      <c r="CE80">
        <v>1690286268.5999999</v>
      </c>
      <c r="CF80">
        <v>1</v>
      </c>
      <c r="CG80">
        <v>-0.89900000000000002</v>
      </c>
      <c r="CH80">
        <v>3.4000000000000002E-2</v>
      </c>
      <c r="CI80">
        <v>-1.2370000000000001</v>
      </c>
      <c r="CJ80">
        <v>8.5999999999999993E-2</v>
      </c>
      <c r="CK80">
        <v>799</v>
      </c>
      <c r="CL80">
        <v>16</v>
      </c>
      <c r="CM80">
        <v>0.28999999999999998</v>
      </c>
      <c r="CN80">
        <v>0.09</v>
      </c>
      <c r="CO80">
        <v>-292.02390243902443</v>
      </c>
      <c r="CP80">
        <v>-23.34004181184714</v>
      </c>
      <c r="CQ80">
        <v>2.3020706565079698</v>
      </c>
      <c r="CR80">
        <v>-1</v>
      </c>
      <c r="CS80">
        <v>16.7094243902439</v>
      </c>
      <c r="CT80">
        <v>2.016963763066228</v>
      </c>
      <c r="CU80">
        <v>0.19893649284533971</v>
      </c>
      <c r="CV80">
        <v>-1</v>
      </c>
      <c r="CW80">
        <v>0</v>
      </c>
      <c r="CX80">
        <v>0</v>
      </c>
      <c r="CY80" t="s">
        <v>333</v>
      </c>
      <c r="CZ80">
        <v>2.3653200000000001</v>
      </c>
      <c r="DA80">
        <v>2.7137799999999999</v>
      </c>
      <c r="DB80">
        <v>0.106895</v>
      </c>
      <c r="DC80">
        <v>0.14670900000000001</v>
      </c>
      <c r="DD80">
        <v>0.116387</v>
      </c>
      <c r="DE80">
        <v>4.75562E-2</v>
      </c>
      <c r="DF80">
        <v>32601.3</v>
      </c>
      <c r="DG80">
        <v>27457.4</v>
      </c>
      <c r="DH80">
        <v>31160.7</v>
      </c>
      <c r="DI80">
        <v>28036.9</v>
      </c>
      <c r="DJ80">
        <v>37368.5</v>
      </c>
      <c r="DK80">
        <v>37953.1</v>
      </c>
      <c r="DL80">
        <v>44337.4</v>
      </c>
      <c r="DM80">
        <v>42470.1</v>
      </c>
      <c r="DN80">
        <v>1.48658</v>
      </c>
      <c r="DO80">
        <v>2.0789200000000001</v>
      </c>
      <c r="DP80">
        <v>8.1494499999999997E-2</v>
      </c>
      <c r="DQ80">
        <v>0.20168</v>
      </c>
      <c r="DR80">
        <v>25.609200000000001</v>
      </c>
      <c r="DS80">
        <v>25.266100000000002</v>
      </c>
      <c r="DT80">
        <v>67.099999999999994</v>
      </c>
      <c r="DU80">
        <v>24.7</v>
      </c>
      <c r="DV80">
        <v>21.098400000000002</v>
      </c>
      <c r="DW80">
        <v>62.361400000000003</v>
      </c>
      <c r="DX80">
        <v>35.957500000000003</v>
      </c>
      <c r="DY80">
        <v>1</v>
      </c>
      <c r="DZ80">
        <v>-0.14130599999999999</v>
      </c>
      <c r="EA80">
        <v>-0.86438499999999996</v>
      </c>
      <c r="EB80">
        <v>20.188199999999998</v>
      </c>
      <c r="EC80">
        <v>5.2424499999999998</v>
      </c>
      <c r="ED80">
        <v>12.039899999999999</v>
      </c>
      <c r="EE80">
        <v>5.0168499999999998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1.8687400000000001</v>
      </c>
      <c r="EL80">
        <v>1.86443</v>
      </c>
      <c r="EM80">
        <v>1.8690500000000001</v>
      </c>
      <c r="EN80">
        <v>1.86707</v>
      </c>
      <c r="EO80">
        <v>1.8632500000000001</v>
      </c>
      <c r="EP80">
        <v>1.8642399999999999</v>
      </c>
      <c r="EQ80">
        <v>1.8700600000000001</v>
      </c>
      <c r="ER80">
        <v>1.8692500000000001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-1.0289999999999999</v>
      </c>
      <c r="FG80">
        <v>0.19109999999999999</v>
      </c>
      <c r="FH80">
        <v>-0.68620417327404271</v>
      </c>
      <c r="FI80">
        <v>-6.1462078757559423E-4</v>
      </c>
      <c r="FJ80">
        <v>-1.8861989874597051E-7</v>
      </c>
      <c r="FK80">
        <v>1.1980462299894961E-10</v>
      </c>
      <c r="FL80">
        <v>0.1911242781723908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16.8</v>
      </c>
      <c r="FU80">
        <v>16.7</v>
      </c>
      <c r="FV80">
        <v>1.7700199999999999</v>
      </c>
      <c r="FW80">
        <v>2.5561500000000001</v>
      </c>
      <c r="FX80">
        <v>1.5490699999999999</v>
      </c>
      <c r="FY80">
        <v>2.34131</v>
      </c>
      <c r="FZ80">
        <v>1.50146</v>
      </c>
      <c r="GA80">
        <v>2.3706100000000001</v>
      </c>
      <c r="GB80">
        <v>30.3294</v>
      </c>
      <c r="GC80">
        <v>23.982399999999998</v>
      </c>
      <c r="GD80">
        <v>19</v>
      </c>
      <c r="GE80">
        <v>284.49200000000002</v>
      </c>
      <c r="GF80">
        <v>611.16800000000001</v>
      </c>
      <c r="GG80">
        <v>25.833400000000001</v>
      </c>
      <c r="GH80">
        <v>25.6387</v>
      </c>
      <c r="GI80">
        <v>30</v>
      </c>
      <c r="GJ80">
        <v>25.721499999999999</v>
      </c>
      <c r="GK80">
        <v>25.674099999999999</v>
      </c>
      <c r="GL80">
        <v>35.381</v>
      </c>
      <c r="GM80">
        <v>65.862099999999998</v>
      </c>
      <c r="GN80">
        <v>82.701099999999997</v>
      </c>
      <c r="GO80">
        <v>25.8767</v>
      </c>
      <c r="GP80">
        <v>800</v>
      </c>
      <c r="GQ80">
        <v>7.3156400000000001</v>
      </c>
      <c r="GR80">
        <v>99.691400000000002</v>
      </c>
      <c r="GS80">
        <v>99.374700000000004</v>
      </c>
    </row>
    <row r="81" spans="1:201" x14ac:dyDescent="0.25">
      <c r="A81">
        <v>65</v>
      </c>
      <c r="B81">
        <v>1690287280.0999999</v>
      </c>
      <c r="C81">
        <v>741.5</v>
      </c>
      <c r="D81" t="s">
        <v>463</v>
      </c>
      <c r="E81" t="s">
        <v>464</v>
      </c>
      <c r="F81" t="s">
        <v>330</v>
      </c>
      <c r="H81">
        <v>1690287280.0999999</v>
      </c>
      <c r="I81">
        <f t="shared" ref="I81:I144" si="30">(J81)/1000</f>
        <v>1.8450950305820338E-3</v>
      </c>
      <c r="J81">
        <f t="shared" ref="J81:J144" si="31">1000*AZ81*AH81*(AV81-AW81)/(100*AO81*(1000-AH81*AV81))</f>
        <v>1.8450950305820337</v>
      </c>
      <c r="K81">
        <f t="shared" ref="K81:K144" si="32">AZ81*AH81*(AU81-AT81*(1000-AH81*AW81)/(1000-AH81*AV81))/(100*AO81)</f>
        <v>30.011027480558575</v>
      </c>
      <c r="L81">
        <f t="shared" ref="L81:L144" si="33">AT81 - IF(AH81&gt;1, K81*AO81*100/(AJ81*BH81), 0)</f>
        <v>500.01799999999997</v>
      </c>
      <c r="M81">
        <f t="shared" ref="M81:M144" si="34">((S81-I81/2)*L81-K81)/(S81+I81/2)</f>
        <v>126.34346561640059</v>
      </c>
      <c r="N81">
        <f t="shared" ref="N81:N144" si="35">M81*(BA81+BB81)/1000</f>
        <v>12.562605077902564</v>
      </c>
      <c r="O81">
        <f t="shared" ref="O81:O144" si="36">(AT81 - IF(AH81&gt;1, K81*AO81*100/(AJ81*BH81), 0))*(BA81+BB81)/1000</f>
        <v>49.717875279078001</v>
      </c>
      <c r="P81">
        <f t="shared" ref="P81:P144" si="37">2/((1/R81-1/Q81)+SIGN(R81)*SQRT((1/R81-1/Q81)*(1/R81-1/Q81) + 4*AP81/((AP81+1)*(AP81+1))*(2*1/R81*1/Q81-1/Q81*1/Q81)))</f>
        <v>0.1346185551215327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2.2972398246002355</v>
      </c>
      <c r="R81">
        <f t="shared" ref="R81:R144" si="39">I81*(1000-(1000*0.61365*EXP(17.502*V81/(240.97+V81))/(BA81+BB81)+AV81)/2)/(1000*0.61365*EXP(17.502*V81/(240.97+V81))/(BA81+BB81)-AV81)</f>
        <v>0.13038457787471375</v>
      </c>
      <c r="S81">
        <f t="shared" ref="S81:S144" si="40">1/((AP81+1)/(P81/1.6)+1/(Q81/1.37)) + AP81/((AP81+1)/(P81/1.6) + AP81/(Q81/1.37))</f>
        <v>8.1859674341456995E-2</v>
      </c>
      <c r="T81">
        <f t="shared" ref="T81:T144" si="41">(AK81*AN81)</f>
        <v>276.11287702305577</v>
      </c>
      <c r="U81">
        <f t="shared" ref="U81:U144" si="42">(BC81+(T81+2*0.95*0.0000000567*(((BC81+$B$7)+273)^4-(BC81+273)^4)-44100*I81)/(1.84*29.3*Q81+8*0.95*0.0000000567*(BC81+273)^3))</f>
        <v>28.073149859302966</v>
      </c>
      <c r="V81">
        <f t="shared" ref="V81:V144" si="43">($C$7*BD81+$D$7*BE81+$E$7*U81)</f>
        <v>28.073149859302966</v>
      </c>
      <c r="W81">
        <f t="shared" ref="W81:W144" si="44">0.61365*EXP(17.502*V81/(240.97+V81))</f>
        <v>3.8110524741113392</v>
      </c>
      <c r="X81">
        <f t="shared" ref="X81:X144" si="45">(Y81/Z81*100)</f>
        <v>69.886192177386988</v>
      </c>
      <c r="Y81">
        <f t="shared" ref="Y81:Y144" si="46">AV81*(BA81+BB81)/1000</f>
        <v>2.4482586872304002</v>
      </c>
      <c r="Z81">
        <f t="shared" ref="Z81:Z144" si="47">0.61365*EXP(17.502*BC81/(240.97+BC81))</f>
        <v>3.5032080171375846</v>
      </c>
      <c r="AA81">
        <f t="shared" ref="AA81:AA144" si="48">(W81-AV81*(BA81+BB81)/1000)</f>
        <v>1.362793786880939</v>
      </c>
      <c r="AB81">
        <f t="shared" ref="AB81:AB144" si="49">(-I81*44100)</f>
        <v>-81.368690848667697</v>
      </c>
      <c r="AC81">
        <f t="shared" ref="AC81:AC144" si="50">2*29.3*Q81*0.92*(BC81-V81)</f>
        <v>-178.07597019932166</v>
      </c>
      <c r="AD81">
        <f t="shared" ref="AD81:AD144" si="51">2*0.95*0.0000000567*(((BC81+$B$7)+273)^4-(V81+273)^4)</f>
        <v>-16.788578070862933</v>
      </c>
      <c r="AE81">
        <f t="shared" ref="AE81:AE144" si="52">T81+AD81+AB81+AC81</f>
        <v>-0.12036209579650858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52477.592266164589</v>
      </c>
      <c r="AK81">
        <f t="shared" ref="AK81:AK144" si="56">$B$11*BI81+$C$11*BJ81+$D$11*BU81</f>
        <v>1799.98</v>
      </c>
      <c r="AL81">
        <f t="shared" ref="AL81:AL144" si="57">AK81*AM81</f>
        <v>1499.09224003448</v>
      </c>
      <c r="AM81">
        <f t="shared" ref="AM81:AM144" si="58">($B$11*$D$9+$C$11*$D$9+$D$11*(BV81*$E$9+BW81*$F$9+BX81*$G$9+BY81*$H$9))/($B$11+$C$11+$D$11)</f>
        <v>0.83283827600000004</v>
      </c>
      <c r="AN81">
        <f t="shared" ref="AN81:AN144" si="59">($B$11*$K$9+$C$11*$K$9+$D$11*(BV81*$L$9+BW81*$M$9+BX81*$N$9+BY81*$O$9))/($B$11+$C$11+$D$11)</f>
        <v>0.15339774720999999</v>
      </c>
      <c r="AO81">
        <v>29.1</v>
      </c>
      <c r="AP81">
        <v>0.5</v>
      </c>
      <c r="AQ81" t="s">
        <v>331</v>
      </c>
      <c r="AR81">
        <v>2</v>
      </c>
      <c r="AS81">
        <v>1690287280.0999999</v>
      </c>
      <c r="AT81">
        <v>500.01799999999997</v>
      </c>
      <c r="AU81">
        <v>800.01599999999996</v>
      </c>
      <c r="AV81">
        <v>24.622399999999999</v>
      </c>
      <c r="AW81">
        <v>7.1690300000000002</v>
      </c>
      <c r="AX81">
        <v>501.04500000000002</v>
      </c>
      <c r="AY81">
        <v>24.4313</v>
      </c>
      <c r="AZ81">
        <v>300.05799999999999</v>
      </c>
      <c r="BA81">
        <v>99.3322</v>
      </c>
      <c r="BB81">
        <v>9.9971000000000004E-2</v>
      </c>
      <c r="BC81">
        <v>26.635300000000001</v>
      </c>
      <c r="BD81">
        <v>26.934699999999999</v>
      </c>
      <c r="BE81">
        <v>28.558499999999999</v>
      </c>
      <c r="BF81">
        <v>0</v>
      </c>
      <c r="BG81">
        <v>0</v>
      </c>
      <c r="BH81">
        <v>9978.1200000000008</v>
      </c>
      <c r="BI81">
        <v>1085.4000000000001</v>
      </c>
      <c r="BJ81">
        <v>1.3455900000000001</v>
      </c>
      <c r="BK81">
        <v>-299.99799999999999</v>
      </c>
      <c r="BL81">
        <v>512.64099999999996</v>
      </c>
      <c r="BM81">
        <v>805.79300000000001</v>
      </c>
      <c r="BN81">
        <v>17.453399999999998</v>
      </c>
      <c r="BO81">
        <v>800.01599999999996</v>
      </c>
      <c r="BP81">
        <v>7.1690300000000002</v>
      </c>
      <c r="BQ81">
        <v>2.4458000000000002</v>
      </c>
      <c r="BR81">
        <v>0.71211500000000005</v>
      </c>
      <c r="BS81">
        <v>20.670200000000001</v>
      </c>
      <c r="BT81">
        <v>2.0664799999999999</v>
      </c>
      <c r="BU81">
        <v>1799.98</v>
      </c>
      <c r="BV81">
        <v>0.90998100000000004</v>
      </c>
      <c r="BW81">
        <v>3.4003100000000001E-2</v>
      </c>
      <c r="BX81">
        <v>2.2004300000000001E-2</v>
      </c>
      <c r="BY81">
        <v>3.4011100000000002E-2</v>
      </c>
      <c r="BZ81">
        <v>24.791699999999999</v>
      </c>
      <c r="CA81">
        <v>33528</v>
      </c>
      <c r="CB81">
        <v>1690286268.5999999</v>
      </c>
      <c r="CC81" t="s">
        <v>332</v>
      </c>
      <c r="CD81">
        <v>1690286261.0999999</v>
      </c>
      <c r="CE81">
        <v>1690286268.5999999</v>
      </c>
      <c r="CF81">
        <v>1</v>
      </c>
      <c r="CG81">
        <v>-0.89900000000000002</v>
      </c>
      <c r="CH81">
        <v>3.4000000000000002E-2</v>
      </c>
      <c r="CI81">
        <v>-1.2370000000000001</v>
      </c>
      <c r="CJ81">
        <v>8.5999999999999993E-2</v>
      </c>
      <c r="CK81">
        <v>799</v>
      </c>
      <c r="CL81">
        <v>16</v>
      </c>
      <c r="CM81">
        <v>0.28999999999999998</v>
      </c>
      <c r="CN81">
        <v>0.09</v>
      </c>
      <c r="CO81">
        <v>-296.18015000000003</v>
      </c>
      <c r="CP81">
        <v>-22.892510318949011</v>
      </c>
      <c r="CQ81">
        <v>2.2028121294154879</v>
      </c>
      <c r="CR81">
        <v>-1</v>
      </c>
      <c r="CS81">
        <v>17.080355000000001</v>
      </c>
      <c r="CT81">
        <v>2.1213388367729258</v>
      </c>
      <c r="CU81">
        <v>0.20433854378212599</v>
      </c>
      <c r="CV81">
        <v>-1</v>
      </c>
      <c r="CW81">
        <v>0</v>
      </c>
      <c r="CX81">
        <v>0</v>
      </c>
      <c r="CY81" t="s">
        <v>333</v>
      </c>
      <c r="CZ81">
        <v>2.3648600000000002</v>
      </c>
      <c r="DA81">
        <v>2.71374</v>
      </c>
      <c r="DB81">
        <v>0.106306</v>
      </c>
      <c r="DC81">
        <v>0.14669599999999999</v>
      </c>
      <c r="DD81">
        <v>0.11643000000000001</v>
      </c>
      <c r="DE81">
        <v>4.5752599999999997E-2</v>
      </c>
      <c r="DF81">
        <v>32622.400000000001</v>
      </c>
      <c r="DG81">
        <v>27458.1</v>
      </c>
      <c r="DH81">
        <v>31160.3</v>
      </c>
      <c r="DI81">
        <v>28037.200000000001</v>
      </c>
      <c r="DJ81">
        <v>37366</v>
      </c>
      <c r="DK81">
        <v>38025.699999999997</v>
      </c>
      <c r="DL81">
        <v>44336.6</v>
      </c>
      <c r="DM81">
        <v>42470.7</v>
      </c>
      <c r="DN81">
        <v>1.48685</v>
      </c>
      <c r="DO81">
        <v>2.0784199999999999</v>
      </c>
      <c r="DP81">
        <v>8.1025100000000003E-2</v>
      </c>
      <c r="DQ81">
        <v>0.20133000000000001</v>
      </c>
      <c r="DR81">
        <v>25.608000000000001</v>
      </c>
      <c r="DS81">
        <v>25.265499999999999</v>
      </c>
      <c r="DT81">
        <v>66.900000000000006</v>
      </c>
      <c r="DU81">
        <v>24.7</v>
      </c>
      <c r="DV81">
        <v>21.0365</v>
      </c>
      <c r="DW81">
        <v>62.321399999999997</v>
      </c>
      <c r="DX81">
        <v>36.9071</v>
      </c>
      <c r="DY81">
        <v>1</v>
      </c>
      <c r="DZ81">
        <v>-0.14102100000000001</v>
      </c>
      <c r="EA81">
        <v>-0.87918300000000005</v>
      </c>
      <c r="EB81">
        <v>20.188099999999999</v>
      </c>
      <c r="EC81">
        <v>5.2426000000000004</v>
      </c>
      <c r="ED81">
        <v>12.039899999999999</v>
      </c>
      <c r="EE81">
        <v>5.0168999999999997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1.8687400000000001</v>
      </c>
      <c r="EL81">
        <v>1.8644400000000001</v>
      </c>
      <c r="EM81">
        <v>1.8690500000000001</v>
      </c>
      <c r="EN81">
        <v>1.86707</v>
      </c>
      <c r="EO81">
        <v>1.8632500000000001</v>
      </c>
      <c r="EP81">
        <v>1.86425</v>
      </c>
      <c r="EQ81">
        <v>1.87008</v>
      </c>
      <c r="ER81">
        <v>1.8692299999999999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-1.0269999999999999</v>
      </c>
      <c r="FG81">
        <v>0.19109999999999999</v>
      </c>
      <c r="FH81">
        <v>-0.68620417327404271</v>
      </c>
      <c r="FI81">
        <v>-6.1462078757559423E-4</v>
      </c>
      <c r="FJ81">
        <v>-1.8861989874597051E-7</v>
      </c>
      <c r="FK81">
        <v>1.1980462299894961E-10</v>
      </c>
      <c r="FL81">
        <v>0.1911242781723908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17</v>
      </c>
      <c r="FU81">
        <v>16.899999999999999</v>
      </c>
      <c r="FV81">
        <v>1.7687999999999999</v>
      </c>
      <c r="FW81">
        <v>2.5659200000000002</v>
      </c>
      <c r="FX81">
        <v>1.5490699999999999</v>
      </c>
      <c r="FY81">
        <v>2.34131</v>
      </c>
      <c r="FZ81">
        <v>1.50146</v>
      </c>
      <c r="GA81">
        <v>2.3315399999999999</v>
      </c>
      <c r="GB81">
        <v>30.350899999999999</v>
      </c>
      <c r="GC81">
        <v>23.973700000000001</v>
      </c>
      <c r="GD81">
        <v>19</v>
      </c>
      <c r="GE81">
        <v>284.61</v>
      </c>
      <c r="GF81">
        <v>610.74900000000002</v>
      </c>
      <c r="GG81">
        <v>25.917999999999999</v>
      </c>
      <c r="GH81">
        <v>25.636600000000001</v>
      </c>
      <c r="GI81">
        <v>30.0001</v>
      </c>
      <c r="GJ81">
        <v>25.721499999999999</v>
      </c>
      <c r="GK81">
        <v>25.674800000000001</v>
      </c>
      <c r="GL81">
        <v>35.3735</v>
      </c>
      <c r="GM81">
        <v>66.766099999999994</v>
      </c>
      <c r="GN81">
        <v>81.477999999999994</v>
      </c>
      <c r="GO81">
        <v>25.960799999999999</v>
      </c>
      <c r="GP81">
        <v>800</v>
      </c>
      <c r="GQ81">
        <v>6.9909499999999998</v>
      </c>
      <c r="GR81">
        <v>99.689800000000005</v>
      </c>
      <c r="GS81">
        <v>99.376000000000005</v>
      </c>
    </row>
    <row r="82" spans="1:201" x14ac:dyDescent="0.25">
      <c r="A82">
        <v>66</v>
      </c>
      <c r="B82">
        <v>1690287290.0999999</v>
      </c>
      <c r="C82">
        <v>751.5</v>
      </c>
      <c r="D82" t="s">
        <v>465</v>
      </c>
      <c r="E82" t="s">
        <v>466</v>
      </c>
      <c r="F82" t="s">
        <v>330</v>
      </c>
      <c r="H82">
        <v>1690287290.0999999</v>
      </c>
      <c r="I82">
        <f t="shared" si="30"/>
        <v>1.8778274392600954E-3</v>
      </c>
      <c r="J82">
        <f t="shared" si="31"/>
        <v>1.8778274392600953</v>
      </c>
      <c r="K82">
        <f t="shared" si="32"/>
        <v>30.393978556653366</v>
      </c>
      <c r="L82">
        <f t="shared" si="33"/>
        <v>496.27499999999998</v>
      </c>
      <c r="M82">
        <f t="shared" si="34"/>
        <v>124.56280451414767</v>
      </c>
      <c r="N82">
        <f t="shared" si="35"/>
        <v>12.385600962595946</v>
      </c>
      <c r="O82">
        <f t="shared" si="36"/>
        <v>49.345903391362505</v>
      </c>
      <c r="P82">
        <f t="shared" si="37"/>
        <v>0.13710160097621363</v>
      </c>
      <c r="Q82">
        <f t="shared" si="38"/>
        <v>2.3048993717831818</v>
      </c>
      <c r="R82">
        <f t="shared" si="39"/>
        <v>0.13272681589725696</v>
      </c>
      <c r="S82">
        <f t="shared" si="40"/>
        <v>8.3335688377100092E-2</v>
      </c>
      <c r="T82">
        <f t="shared" si="41"/>
        <v>276.11417084586208</v>
      </c>
      <c r="U82">
        <f t="shared" si="42"/>
        <v>28.075941908885909</v>
      </c>
      <c r="V82">
        <f t="shared" si="43"/>
        <v>28.075941908885909</v>
      </c>
      <c r="W82">
        <f t="shared" si="44"/>
        <v>3.8116724940456539</v>
      </c>
      <c r="X82">
        <f t="shared" si="45"/>
        <v>69.839346555724063</v>
      </c>
      <c r="Y82">
        <f t="shared" si="46"/>
        <v>2.4491835252122001</v>
      </c>
      <c r="Z82">
        <f t="shared" si="47"/>
        <v>3.5068820743590767</v>
      </c>
      <c r="AA82">
        <f t="shared" si="48"/>
        <v>1.3624889688334538</v>
      </c>
      <c r="AB82">
        <f t="shared" si="49"/>
        <v>-82.81219007137021</v>
      </c>
      <c r="AC82">
        <f t="shared" si="50"/>
        <v>-176.80480413151705</v>
      </c>
      <c r="AD82">
        <f t="shared" si="51"/>
        <v>-16.615049276175139</v>
      </c>
      <c r="AE82">
        <f t="shared" si="52"/>
        <v>-0.11787263320027819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52764.586288719642</v>
      </c>
      <c r="AK82">
        <f t="shared" si="56"/>
        <v>1799.99</v>
      </c>
      <c r="AL82">
        <f t="shared" si="57"/>
        <v>1499.10253580631</v>
      </c>
      <c r="AM82">
        <f t="shared" si="58"/>
        <v>0.832839369</v>
      </c>
      <c r="AN82">
        <f t="shared" si="59"/>
        <v>0.15339761379</v>
      </c>
      <c r="AO82">
        <v>29.1</v>
      </c>
      <c r="AP82">
        <v>0.5</v>
      </c>
      <c r="AQ82" t="s">
        <v>331</v>
      </c>
      <c r="AR82">
        <v>2</v>
      </c>
      <c r="AS82">
        <v>1690287290.0999999</v>
      </c>
      <c r="AT82">
        <v>496.27499999999998</v>
      </c>
      <c r="AU82">
        <v>800.03899999999999</v>
      </c>
      <c r="AV82">
        <v>24.631599999999999</v>
      </c>
      <c r="AW82">
        <v>6.8710199999999997</v>
      </c>
      <c r="AX82">
        <v>497.298</v>
      </c>
      <c r="AY82">
        <v>24.4405</v>
      </c>
      <c r="AZ82">
        <v>300.096</v>
      </c>
      <c r="BA82">
        <v>99.332700000000003</v>
      </c>
      <c r="BB82">
        <v>9.9879499999999996E-2</v>
      </c>
      <c r="BC82">
        <v>26.653099999999998</v>
      </c>
      <c r="BD82">
        <v>26.978999999999999</v>
      </c>
      <c r="BE82">
        <v>28.5824</v>
      </c>
      <c r="BF82">
        <v>0</v>
      </c>
      <c r="BG82">
        <v>0</v>
      </c>
      <c r="BH82">
        <v>10035.6</v>
      </c>
      <c r="BI82">
        <v>1085.55</v>
      </c>
      <c r="BJ82">
        <v>1.3455900000000001</v>
      </c>
      <c r="BK82">
        <v>-303.76400000000001</v>
      </c>
      <c r="BL82">
        <v>508.80700000000002</v>
      </c>
      <c r="BM82">
        <v>805.57399999999996</v>
      </c>
      <c r="BN82">
        <v>17.7606</v>
      </c>
      <c r="BO82">
        <v>800.03899999999999</v>
      </c>
      <c r="BP82">
        <v>6.8710199999999997</v>
      </c>
      <c r="BQ82">
        <v>2.44672</v>
      </c>
      <c r="BR82">
        <v>0.68251700000000004</v>
      </c>
      <c r="BS82">
        <v>20.676400000000001</v>
      </c>
      <c r="BT82">
        <v>1.4733700000000001</v>
      </c>
      <c r="BU82">
        <v>1799.99</v>
      </c>
      <c r="BV82">
        <v>0.90998999999999997</v>
      </c>
      <c r="BW82">
        <v>3.39999E-2</v>
      </c>
      <c r="BX82">
        <v>2.20022E-2</v>
      </c>
      <c r="BY82">
        <v>3.4007900000000001E-2</v>
      </c>
      <c r="BZ82">
        <v>24.833300000000001</v>
      </c>
      <c r="CA82">
        <v>33528.199999999997</v>
      </c>
      <c r="CB82">
        <v>1690286268.5999999</v>
      </c>
      <c r="CC82" t="s">
        <v>332</v>
      </c>
      <c r="CD82">
        <v>1690286261.0999999</v>
      </c>
      <c r="CE82">
        <v>1690286268.5999999</v>
      </c>
      <c r="CF82">
        <v>1</v>
      </c>
      <c r="CG82">
        <v>-0.89900000000000002</v>
      </c>
      <c r="CH82">
        <v>3.4000000000000002E-2</v>
      </c>
      <c r="CI82">
        <v>-1.2370000000000001</v>
      </c>
      <c r="CJ82">
        <v>8.5999999999999993E-2</v>
      </c>
      <c r="CK82">
        <v>799</v>
      </c>
      <c r="CL82">
        <v>16</v>
      </c>
      <c r="CM82">
        <v>0.28999999999999998</v>
      </c>
      <c r="CN82">
        <v>0.09</v>
      </c>
      <c r="CO82">
        <v>-299.58552500000002</v>
      </c>
      <c r="CP82">
        <v>-22.633227016884501</v>
      </c>
      <c r="CQ82">
        <v>2.1776628410695258</v>
      </c>
      <c r="CR82">
        <v>-1</v>
      </c>
      <c r="CS82">
        <v>17.387907500000001</v>
      </c>
      <c r="CT82">
        <v>2.0325602251407382</v>
      </c>
      <c r="CU82">
        <v>0.19602273642042159</v>
      </c>
      <c r="CV82">
        <v>-1</v>
      </c>
      <c r="CW82">
        <v>0</v>
      </c>
      <c r="CX82">
        <v>0</v>
      </c>
      <c r="CY82" t="s">
        <v>333</v>
      </c>
      <c r="CZ82">
        <v>2.3649800000000001</v>
      </c>
      <c r="DA82">
        <v>2.7136999999999998</v>
      </c>
      <c r="DB82">
        <v>0.105725</v>
      </c>
      <c r="DC82">
        <v>0.14669399999999999</v>
      </c>
      <c r="DD82">
        <v>0.116461</v>
      </c>
      <c r="DE82">
        <v>4.4221299999999998E-2</v>
      </c>
      <c r="DF82">
        <v>32644.400000000001</v>
      </c>
      <c r="DG82">
        <v>27458.2</v>
      </c>
      <c r="DH82">
        <v>31161.1</v>
      </c>
      <c r="DI82">
        <v>28037.200000000001</v>
      </c>
      <c r="DJ82">
        <v>37365.599999999999</v>
      </c>
      <c r="DK82">
        <v>38087</v>
      </c>
      <c r="DL82">
        <v>44337.8</v>
      </c>
      <c r="DM82">
        <v>42470.8</v>
      </c>
      <c r="DN82">
        <v>1.4869699999999999</v>
      </c>
      <c r="DO82">
        <v>2.0779800000000002</v>
      </c>
      <c r="DP82">
        <v>8.3707299999999998E-2</v>
      </c>
      <c r="DQ82">
        <v>0.20266300000000001</v>
      </c>
      <c r="DR82">
        <v>25.608499999999999</v>
      </c>
      <c r="DS82">
        <v>25.267600000000002</v>
      </c>
      <c r="DT82">
        <v>66.7</v>
      </c>
      <c r="DU82">
        <v>24.7</v>
      </c>
      <c r="DV82">
        <v>20.970700000000001</v>
      </c>
      <c r="DW82">
        <v>61.711399999999998</v>
      </c>
      <c r="DX82">
        <v>36.406199999999998</v>
      </c>
      <c r="DY82">
        <v>1</v>
      </c>
      <c r="DZ82">
        <v>-0.14129800000000001</v>
      </c>
      <c r="EA82">
        <v>-0.907497</v>
      </c>
      <c r="EB82">
        <v>20.188199999999998</v>
      </c>
      <c r="EC82">
        <v>5.2428999999999997</v>
      </c>
      <c r="ED82">
        <v>12.039899999999999</v>
      </c>
      <c r="EE82">
        <v>5.0169499999999996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1.8687499999999999</v>
      </c>
      <c r="EL82">
        <v>1.86443</v>
      </c>
      <c r="EM82">
        <v>1.8690500000000001</v>
      </c>
      <c r="EN82">
        <v>1.86707</v>
      </c>
      <c r="EO82">
        <v>1.8632500000000001</v>
      </c>
      <c r="EP82">
        <v>1.8642399999999999</v>
      </c>
      <c r="EQ82">
        <v>1.8701000000000001</v>
      </c>
      <c r="ER82">
        <v>1.86927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-1.0229999999999999</v>
      </c>
      <c r="FG82">
        <v>0.19109999999999999</v>
      </c>
      <c r="FH82">
        <v>-0.68620417327404271</v>
      </c>
      <c r="FI82">
        <v>-6.1462078757559423E-4</v>
      </c>
      <c r="FJ82">
        <v>-1.8861989874597051E-7</v>
      </c>
      <c r="FK82">
        <v>1.1980462299894961E-10</v>
      </c>
      <c r="FL82">
        <v>0.1911242781723908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17.100000000000001</v>
      </c>
      <c r="FU82">
        <v>17</v>
      </c>
      <c r="FV82">
        <v>1.7687999999999999</v>
      </c>
      <c r="FW82">
        <v>2.5561500000000001</v>
      </c>
      <c r="FX82">
        <v>1.5490699999999999</v>
      </c>
      <c r="FY82">
        <v>2.34131</v>
      </c>
      <c r="FZ82">
        <v>1.50146</v>
      </c>
      <c r="GA82">
        <v>2.2900399999999999</v>
      </c>
      <c r="GB82">
        <v>30.350899999999999</v>
      </c>
      <c r="GC82">
        <v>23.982399999999998</v>
      </c>
      <c r="GD82">
        <v>19</v>
      </c>
      <c r="GE82">
        <v>284.66300000000001</v>
      </c>
      <c r="GF82">
        <v>610.36500000000001</v>
      </c>
      <c r="GG82">
        <v>25.9955</v>
      </c>
      <c r="GH82">
        <v>25.634399999999999</v>
      </c>
      <c r="GI82">
        <v>30</v>
      </c>
      <c r="GJ82">
        <v>25.721499999999999</v>
      </c>
      <c r="GK82">
        <v>25.674800000000001</v>
      </c>
      <c r="GL82">
        <v>35.3658</v>
      </c>
      <c r="GM82">
        <v>67.950599999999994</v>
      </c>
      <c r="GN82">
        <v>80.688100000000006</v>
      </c>
      <c r="GO82">
        <v>26.004300000000001</v>
      </c>
      <c r="GP82">
        <v>800</v>
      </c>
      <c r="GQ82">
        <v>6.6681100000000004</v>
      </c>
      <c r="GR82">
        <v>99.692499999999995</v>
      </c>
      <c r="GS82">
        <v>99.376199999999997</v>
      </c>
    </row>
    <row r="83" spans="1:201" x14ac:dyDescent="0.25">
      <c r="A83">
        <v>67</v>
      </c>
      <c r="B83">
        <v>1690287300.0999999</v>
      </c>
      <c r="C83">
        <v>761.5</v>
      </c>
      <c r="D83" t="s">
        <v>467</v>
      </c>
      <c r="E83" t="s">
        <v>468</v>
      </c>
      <c r="F83" t="s">
        <v>330</v>
      </c>
      <c r="H83">
        <v>1690287300.0999999</v>
      </c>
      <c r="I83">
        <f t="shared" si="30"/>
        <v>1.9152540581950125E-3</v>
      </c>
      <c r="J83">
        <f t="shared" si="31"/>
        <v>1.9152540581950126</v>
      </c>
      <c r="K83">
        <f t="shared" si="32"/>
        <v>30.788338220587569</v>
      </c>
      <c r="L83">
        <f t="shared" si="33"/>
        <v>492.53399999999999</v>
      </c>
      <c r="M83">
        <f t="shared" si="34"/>
        <v>123.88239848016237</v>
      </c>
      <c r="N83">
        <f t="shared" si="35"/>
        <v>12.318131045079639</v>
      </c>
      <c r="O83">
        <f t="shared" si="36"/>
        <v>48.974660085619803</v>
      </c>
      <c r="P83">
        <f t="shared" si="37"/>
        <v>0.14011922256595422</v>
      </c>
      <c r="Q83">
        <f t="shared" si="38"/>
        <v>2.3036690787593184</v>
      </c>
      <c r="R83">
        <f t="shared" si="39"/>
        <v>0.13555083762674075</v>
      </c>
      <c r="S83">
        <f t="shared" si="40"/>
        <v>8.5117316988686909E-2</v>
      </c>
      <c r="T83">
        <f t="shared" si="41"/>
        <v>276.1139221952435</v>
      </c>
      <c r="U83">
        <f t="shared" si="42"/>
        <v>28.074967500075836</v>
      </c>
      <c r="V83">
        <f t="shared" si="43"/>
        <v>28.074967500075836</v>
      </c>
      <c r="W83">
        <f t="shared" si="44"/>
        <v>3.8114561007553522</v>
      </c>
      <c r="X83">
        <f t="shared" si="45"/>
        <v>69.840864753390562</v>
      </c>
      <c r="Y83">
        <f t="shared" si="46"/>
        <v>2.4507515158959001</v>
      </c>
      <c r="Z83">
        <f t="shared" si="47"/>
        <v>3.5090509325014101</v>
      </c>
      <c r="AA83">
        <f t="shared" si="48"/>
        <v>1.3607045848594521</v>
      </c>
      <c r="AB83">
        <f t="shared" si="49"/>
        <v>-84.462703966400056</v>
      </c>
      <c r="AC83">
        <f t="shared" si="50"/>
        <v>-175.28536162644471</v>
      </c>
      <c r="AD83">
        <f t="shared" si="51"/>
        <v>-16.481840907036954</v>
      </c>
      <c r="AE83">
        <f t="shared" si="52"/>
        <v>-0.11598430463820364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52716.115141634014</v>
      </c>
      <c r="AK83">
        <f t="shared" si="56"/>
        <v>1799.99</v>
      </c>
      <c r="AL83">
        <f t="shared" si="57"/>
        <v>1499.1037975992999</v>
      </c>
      <c r="AM83">
        <f t="shared" si="58"/>
        <v>0.83284006999999993</v>
      </c>
      <c r="AN83">
        <f t="shared" si="59"/>
        <v>0.15339747565</v>
      </c>
      <c r="AO83">
        <v>29.1</v>
      </c>
      <c r="AP83">
        <v>0.5</v>
      </c>
      <c r="AQ83" t="s">
        <v>331</v>
      </c>
      <c r="AR83">
        <v>2</v>
      </c>
      <c r="AS83">
        <v>1690287300.0999999</v>
      </c>
      <c r="AT83">
        <v>492.53399999999999</v>
      </c>
      <c r="AU83">
        <v>800.12199999999996</v>
      </c>
      <c r="AV83">
        <v>24.646999999999998</v>
      </c>
      <c r="AW83">
        <v>6.5392400000000004</v>
      </c>
      <c r="AX83">
        <v>493.55500000000001</v>
      </c>
      <c r="AY83">
        <v>24.4559</v>
      </c>
      <c r="AZ83">
        <v>300.20400000000001</v>
      </c>
      <c r="BA83">
        <v>99.334100000000007</v>
      </c>
      <c r="BB83">
        <v>9.9969699999999995E-2</v>
      </c>
      <c r="BC83">
        <v>26.663599999999999</v>
      </c>
      <c r="BD83">
        <v>27.007100000000001</v>
      </c>
      <c r="BE83">
        <v>28.5824</v>
      </c>
      <c r="BF83">
        <v>0</v>
      </c>
      <c r="BG83">
        <v>0</v>
      </c>
      <c r="BH83">
        <v>10026.200000000001</v>
      </c>
      <c r="BI83">
        <v>1085.6500000000001</v>
      </c>
      <c r="BJ83">
        <v>1.3455900000000001</v>
      </c>
      <c r="BK83">
        <v>-307.58800000000002</v>
      </c>
      <c r="BL83">
        <v>504.98</v>
      </c>
      <c r="BM83">
        <v>805.38800000000003</v>
      </c>
      <c r="BN83">
        <v>18.107700000000001</v>
      </c>
      <c r="BO83">
        <v>800.12199999999996</v>
      </c>
      <c r="BP83">
        <v>6.5392400000000004</v>
      </c>
      <c r="BQ83">
        <v>2.4482900000000001</v>
      </c>
      <c r="BR83">
        <v>0.64956999999999998</v>
      </c>
      <c r="BS83">
        <v>20.686699999999998</v>
      </c>
      <c r="BT83">
        <v>0.78576000000000001</v>
      </c>
      <c r="BU83">
        <v>1799.99</v>
      </c>
      <c r="BV83">
        <v>0.90999699999999994</v>
      </c>
      <c r="BW83">
        <v>3.3997399999999997E-2</v>
      </c>
      <c r="BX83">
        <v>2.2000499999999999E-2</v>
      </c>
      <c r="BY83">
        <v>3.4005300000000002E-2</v>
      </c>
      <c r="BZ83">
        <v>24.916699999999999</v>
      </c>
      <c r="CA83">
        <v>33528.199999999997</v>
      </c>
      <c r="CB83">
        <v>1690286268.5999999</v>
      </c>
      <c r="CC83" t="s">
        <v>332</v>
      </c>
      <c r="CD83">
        <v>1690286261.0999999</v>
      </c>
      <c r="CE83">
        <v>1690286268.5999999</v>
      </c>
      <c r="CF83">
        <v>1</v>
      </c>
      <c r="CG83">
        <v>-0.89900000000000002</v>
      </c>
      <c r="CH83">
        <v>3.4000000000000002E-2</v>
      </c>
      <c r="CI83">
        <v>-1.2370000000000001</v>
      </c>
      <c r="CJ83">
        <v>8.5999999999999993E-2</v>
      </c>
      <c r="CK83">
        <v>799</v>
      </c>
      <c r="CL83">
        <v>16</v>
      </c>
      <c r="CM83">
        <v>0.28999999999999998</v>
      </c>
      <c r="CN83">
        <v>0.09</v>
      </c>
      <c r="CO83">
        <v>-303.35559999999998</v>
      </c>
      <c r="CP83">
        <v>-22.81150469043093</v>
      </c>
      <c r="CQ83">
        <v>2.1950544617389309</v>
      </c>
      <c r="CR83">
        <v>-1</v>
      </c>
      <c r="CS83">
        <v>17.725004999999999</v>
      </c>
      <c r="CT83">
        <v>1.994877298311418</v>
      </c>
      <c r="CU83">
        <v>0.19214094819949259</v>
      </c>
      <c r="CV83">
        <v>-1</v>
      </c>
      <c r="CW83">
        <v>0</v>
      </c>
      <c r="CX83">
        <v>0</v>
      </c>
      <c r="CY83" t="s">
        <v>333</v>
      </c>
      <c r="CZ83">
        <v>2.3653200000000001</v>
      </c>
      <c r="DA83">
        <v>2.7137799999999999</v>
      </c>
      <c r="DB83">
        <v>0.105143</v>
      </c>
      <c r="DC83">
        <v>0.146699</v>
      </c>
      <c r="DD83">
        <v>0.11651400000000001</v>
      </c>
      <c r="DE83">
        <v>4.2492099999999998E-2</v>
      </c>
      <c r="DF83">
        <v>32665.599999999999</v>
      </c>
      <c r="DG83">
        <v>27459</v>
      </c>
      <c r="DH83">
        <v>31161</v>
      </c>
      <c r="DI83">
        <v>28038.2</v>
      </c>
      <c r="DJ83">
        <v>37363.1</v>
      </c>
      <c r="DK83">
        <v>38157.4</v>
      </c>
      <c r="DL83">
        <v>44337.599999999999</v>
      </c>
      <c r="DM83">
        <v>42472.3</v>
      </c>
      <c r="DN83">
        <v>1.4873000000000001</v>
      </c>
      <c r="DO83">
        <v>2.0775999999999999</v>
      </c>
      <c r="DP83">
        <v>8.5227200000000003E-2</v>
      </c>
      <c r="DQ83">
        <v>0.202406</v>
      </c>
      <c r="DR83">
        <v>25.611699999999999</v>
      </c>
      <c r="DS83">
        <v>25.271799999999999</v>
      </c>
      <c r="DT83">
        <v>66.400000000000006</v>
      </c>
      <c r="DU83">
        <v>24.7</v>
      </c>
      <c r="DV83">
        <v>20.875399999999999</v>
      </c>
      <c r="DW83">
        <v>61.611400000000003</v>
      </c>
      <c r="DX83">
        <v>35.837299999999999</v>
      </c>
      <c r="DY83">
        <v>1</v>
      </c>
      <c r="DZ83">
        <v>-0.14127999999999999</v>
      </c>
      <c r="EA83">
        <v>-0.83557199999999998</v>
      </c>
      <c r="EB83">
        <v>20.188600000000001</v>
      </c>
      <c r="EC83">
        <v>5.24275</v>
      </c>
      <c r="ED83">
        <v>12.039899999999999</v>
      </c>
      <c r="EE83">
        <v>5.0168499999999998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1.8687400000000001</v>
      </c>
      <c r="EL83">
        <v>1.8644499999999999</v>
      </c>
      <c r="EM83">
        <v>1.8690500000000001</v>
      </c>
      <c r="EN83">
        <v>1.86707</v>
      </c>
      <c r="EO83">
        <v>1.8632500000000001</v>
      </c>
      <c r="EP83">
        <v>1.86422</v>
      </c>
      <c r="EQ83">
        <v>1.8700699999999999</v>
      </c>
      <c r="ER83">
        <v>1.8692800000000001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-1.0209999999999999</v>
      </c>
      <c r="FG83">
        <v>0.19109999999999999</v>
      </c>
      <c r="FH83">
        <v>-0.68620417327404271</v>
      </c>
      <c r="FI83">
        <v>-6.1462078757559423E-4</v>
      </c>
      <c r="FJ83">
        <v>-1.8861989874597051E-7</v>
      </c>
      <c r="FK83">
        <v>1.1980462299894961E-10</v>
      </c>
      <c r="FL83">
        <v>0.1911242781723908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17.3</v>
      </c>
      <c r="FU83">
        <v>17.2</v>
      </c>
      <c r="FV83">
        <v>1.7687999999999999</v>
      </c>
      <c r="FW83">
        <v>2.5610400000000002</v>
      </c>
      <c r="FX83">
        <v>1.5490699999999999</v>
      </c>
      <c r="FY83">
        <v>2.34131</v>
      </c>
      <c r="FZ83">
        <v>1.50146</v>
      </c>
      <c r="GA83">
        <v>2.3803700000000001</v>
      </c>
      <c r="GB83">
        <v>30.350899999999999</v>
      </c>
      <c r="GC83">
        <v>23.991199999999999</v>
      </c>
      <c r="GD83">
        <v>19</v>
      </c>
      <c r="GE83">
        <v>284.80200000000002</v>
      </c>
      <c r="GF83">
        <v>610.07000000000005</v>
      </c>
      <c r="GG83">
        <v>26.023900000000001</v>
      </c>
      <c r="GH83">
        <v>25.632300000000001</v>
      </c>
      <c r="GI83">
        <v>30</v>
      </c>
      <c r="GJ83">
        <v>25.721499999999999</v>
      </c>
      <c r="GK83">
        <v>25.6769</v>
      </c>
      <c r="GL83">
        <v>35.3551</v>
      </c>
      <c r="GM83">
        <v>68.7834</v>
      </c>
      <c r="GN83">
        <v>79.934399999999997</v>
      </c>
      <c r="GO83">
        <v>26.022200000000002</v>
      </c>
      <c r="GP83">
        <v>800</v>
      </c>
      <c r="GQ83">
        <v>6.3369200000000001</v>
      </c>
      <c r="GR83">
        <v>99.692099999999996</v>
      </c>
      <c r="GS83">
        <v>99.379599999999996</v>
      </c>
    </row>
    <row r="84" spans="1:201" x14ac:dyDescent="0.25">
      <c r="A84">
        <v>68</v>
      </c>
      <c r="B84">
        <v>1690287310.0999999</v>
      </c>
      <c r="C84">
        <v>771.5</v>
      </c>
      <c r="D84" t="s">
        <v>469</v>
      </c>
      <c r="E84" t="s">
        <v>470</v>
      </c>
      <c r="F84" t="s">
        <v>330</v>
      </c>
      <c r="H84">
        <v>1690287310.0999999</v>
      </c>
      <c r="I84">
        <f t="shared" si="30"/>
        <v>1.9492193537199612E-3</v>
      </c>
      <c r="J84">
        <f t="shared" si="31"/>
        <v>1.9492193537199611</v>
      </c>
      <c r="K84">
        <f t="shared" si="32"/>
        <v>31.132133974473948</v>
      </c>
      <c r="L84">
        <f t="shared" si="33"/>
        <v>488.82100000000003</v>
      </c>
      <c r="M84">
        <f t="shared" si="34"/>
        <v>123.52160585289495</v>
      </c>
      <c r="N84">
        <f t="shared" si="35"/>
        <v>12.282149589025723</v>
      </c>
      <c r="O84">
        <f t="shared" si="36"/>
        <v>48.605040412178496</v>
      </c>
      <c r="P84">
        <f t="shared" si="37"/>
        <v>0.14307194756773844</v>
      </c>
      <c r="Q84">
        <f t="shared" si="38"/>
        <v>2.3014235804748839</v>
      </c>
      <c r="R84">
        <f t="shared" si="39"/>
        <v>0.13830803708179626</v>
      </c>
      <c r="S84">
        <f t="shared" si="40"/>
        <v>8.6857327200807466E-2</v>
      </c>
      <c r="T84">
        <f t="shared" si="41"/>
        <v>276.11349768560189</v>
      </c>
      <c r="U84">
        <f t="shared" si="42"/>
        <v>28.064084534086625</v>
      </c>
      <c r="V84">
        <f t="shared" si="43"/>
        <v>28.064084534086625</v>
      </c>
      <c r="W84">
        <f t="shared" si="44"/>
        <v>3.8090399780609601</v>
      </c>
      <c r="X84">
        <f t="shared" si="45"/>
        <v>69.875671926918429</v>
      </c>
      <c r="Y84">
        <f t="shared" si="46"/>
        <v>2.4518141118721499</v>
      </c>
      <c r="Z84">
        <f t="shared" si="47"/>
        <v>3.5088236638875596</v>
      </c>
      <c r="AA84">
        <f t="shared" si="48"/>
        <v>1.3572258661888101</v>
      </c>
      <c r="AB84">
        <f t="shared" si="49"/>
        <v>-85.960573499050284</v>
      </c>
      <c r="AC84">
        <f t="shared" si="50"/>
        <v>-173.90068733258011</v>
      </c>
      <c r="AD84">
        <f t="shared" si="51"/>
        <v>-16.36661550307808</v>
      </c>
      <c r="AE84">
        <f t="shared" si="52"/>
        <v>-0.11437864910658391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52631.198052109998</v>
      </c>
      <c r="AK84">
        <f t="shared" si="56"/>
        <v>1799.99</v>
      </c>
      <c r="AL84">
        <f t="shared" si="57"/>
        <v>1499.10496039284</v>
      </c>
      <c r="AM84">
        <f t="shared" si="58"/>
        <v>0.83284071599999998</v>
      </c>
      <c r="AN84">
        <f t="shared" si="59"/>
        <v>0.15339723981</v>
      </c>
      <c r="AO84">
        <v>29.1</v>
      </c>
      <c r="AP84">
        <v>0.5</v>
      </c>
      <c r="AQ84" t="s">
        <v>331</v>
      </c>
      <c r="AR84">
        <v>2</v>
      </c>
      <c r="AS84">
        <v>1690287310.0999999</v>
      </c>
      <c r="AT84">
        <v>488.82100000000003</v>
      </c>
      <c r="AU84">
        <v>799.98800000000006</v>
      </c>
      <c r="AV84">
        <v>24.657900000000001</v>
      </c>
      <c r="AW84">
        <v>6.2200699999999998</v>
      </c>
      <c r="AX84">
        <v>489.839</v>
      </c>
      <c r="AY84">
        <v>24.466799999999999</v>
      </c>
      <c r="AZ84">
        <v>300.05500000000001</v>
      </c>
      <c r="BA84">
        <v>99.333299999999994</v>
      </c>
      <c r="BB84">
        <v>9.9908499999999997E-2</v>
      </c>
      <c r="BC84">
        <v>26.662500000000001</v>
      </c>
      <c r="BD84">
        <v>26.9739</v>
      </c>
      <c r="BE84">
        <v>28.593599999999999</v>
      </c>
      <c r="BF84">
        <v>0</v>
      </c>
      <c r="BG84">
        <v>0</v>
      </c>
      <c r="BH84">
        <v>10009.4</v>
      </c>
      <c r="BI84">
        <v>1085.76</v>
      </c>
      <c r="BJ84">
        <v>1.3455900000000001</v>
      </c>
      <c r="BK84">
        <v>-311.16699999999997</v>
      </c>
      <c r="BL84">
        <v>501.17899999999997</v>
      </c>
      <c r="BM84">
        <v>804.995</v>
      </c>
      <c r="BN84">
        <v>18.437799999999999</v>
      </c>
      <c r="BO84">
        <v>799.98800000000006</v>
      </c>
      <c r="BP84">
        <v>6.2200699999999998</v>
      </c>
      <c r="BQ84">
        <v>2.4493499999999999</v>
      </c>
      <c r="BR84">
        <v>0.61785999999999996</v>
      </c>
      <c r="BS84">
        <v>20.6938</v>
      </c>
      <c r="BT84">
        <v>9.4175400000000006E-2</v>
      </c>
      <c r="BU84">
        <v>1799.99</v>
      </c>
      <c r="BV84">
        <v>0.91000599999999998</v>
      </c>
      <c r="BW84">
        <v>3.3993900000000001E-2</v>
      </c>
      <c r="BX84">
        <v>2.1998299999999998E-2</v>
      </c>
      <c r="BY84">
        <v>3.4001900000000002E-2</v>
      </c>
      <c r="BZ84">
        <v>25</v>
      </c>
      <c r="CA84">
        <v>33528.300000000003</v>
      </c>
      <c r="CB84">
        <v>1690286268.5999999</v>
      </c>
      <c r="CC84" t="s">
        <v>332</v>
      </c>
      <c r="CD84">
        <v>1690286261.0999999</v>
      </c>
      <c r="CE84">
        <v>1690286268.5999999</v>
      </c>
      <c r="CF84">
        <v>1</v>
      </c>
      <c r="CG84">
        <v>-0.89900000000000002</v>
      </c>
      <c r="CH84">
        <v>3.4000000000000002E-2</v>
      </c>
      <c r="CI84">
        <v>-1.2370000000000001</v>
      </c>
      <c r="CJ84">
        <v>8.5999999999999993E-2</v>
      </c>
      <c r="CK84">
        <v>799</v>
      </c>
      <c r="CL84">
        <v>16</v>
      </c>
      <c r="CM84">
        <v>0.28999999999999998</v>
      </c>
      <c r="CN84">
        <v>0.09</v>
      </c>
      <c r="CO84">
        <v>-307.125225</v>
      </c>
      <c r="CP84">
        <v>-22.560641651032231</v>
      </c>
      <c r="CQ84">
        <v>2.171437294598904</v>
      </c>
      <c r="CR84">
        <v>-1</v>
      </c>
      <c r="CS84">
        <v>18.0614475</v>
      </c>
      <c r="CT84">
        <v>2.03531369606003</v>
      </c>
      <c r="CU84">
        <v>0.19585400683608711</v>
      </c>
      <c r="CV84">
        <v>-1</v>
      </c>
      <c r="CW84">
        <v>0</v>
      </c>
      <c r="CX84">
        <v>0</v>
      </c>
      <c r="CY84" t="s">
        <v>333</v>
      </c>
      <c r="CZ84">
        <v>2.36483</v>
      </c>
      <c r="DA84">
        <v>2.7137099999999998</v>
      </c>
      <c r="DB84">
        <v>0.104562</v>
      </c>
      <c r="DC84">
        <v>0.146675</v>
      </c>
      <c r="DD84">
        <v>0.11655</v>
      </c>
      <c r="DE84">
        <v>4.08023E-2</v>
      </c>
      <c r="DF84">
        <v>32687.1</v>
      </c>
      <c r="DG84">
        <v>27460</v>
      </c>
      <c r="DH84">
        <v>31161.4</v>
      </c>
      <c r="DI84">
        <v>28038.400000000001</v>
      </c>
      <c r="DJ84">
        <v>37362</v>
      </c>
      <c r="DK84">
        <v>38225.199999999997</v>
      </c>
      <c r="DL84">
        <v>44338.2</v>
      </c>
      <c r="DM84">
        <v>42472.5</v>
      </c>
      <c r="DN84">
        <v>1.4874000000000001</v>
      </c>
      <c r="DO84">
        <v>2.0768200000000001</v>
      </c>
      <c r="DP84">
        <v>8.30293E-2</v>
      </c>
      <c r="DQ84">
        <v>0.20286799999999999</v>
      </c>
      <c r="DR84">
        <v>25.6145</v>
      </c>
      <c r="DS84">
        <v>25.275600000000001</v>
      </c>
      <c r="DT84">
        <v>66.099999999999994</v>
      </c>
      <c r="DU84">
        <v>24.7</v>
      </c>
      <c r="DV84">
        <v>20.782900000000001</v>
      </c>
      <c r="DW84">
        <v>62.051400000000001</v>
      </c>
      <c r="DX84">
        <v>36.638599999999997</v>
      </c>
      <c r="DY84">
        <v>1</v>
      </c>
      <c r="DZ84">
        <v>-0.141509</v>
      </c>
      <c r="EA84">
        <v>-0.77665300000000004</v>
      </c>
      <c r="EB84">
        <v>20.1892</v>
      </c>
      <c r="EC84">
        <v>5.2421499999999996</v>
      </c>
      <c r="ED84">
        <v>12.039899999999999</v>
      </c>
      <c r="EE84">
        <v>5.0169499999999996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1.8687400000000001</v>
      </c>
      <c r="EL84">
        <v>1.8644400000000001</v>
      </c>
      <c r="EM84">
        <v>1.8690500000000001</v>
      </c>
      <c r="EN84">
        <v>1.86707</v>
      </c>
      <c r="EO84">
        <v>1.8632500000000001</v>
      </c>
      <c r="EP84">
        <v>1.86425</v>
      </c>
      <c r="EQ84">
        <v>1.8700699999999999</v>
      </c>
      <c r="ER84">
        <v>1.86931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-1.018</v>
      </c>
      <c r="FG84">
        <v>0.19109999999999999</v>
      </c>
      <c r="FH84">
        <v>-0.68620417327404271</v>
      </c>
      <c r="FI84">
        <v>-6.1462078757559423E-4</v>
      </c>
      <c r="FJ84">
        <v>-1.8861989874597051E-7</v>
      </c>
      <c r="FK84">
        <v>1.1980462299894961E-10</v>
      </c>
      <c r="FL84">
        <v>0.1911242781723908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17.5</v>
      </c>
      <c r="FU84">
        <v>17.399999999999999</v>
      </c>
      <c r="FV84">
        <v>1.7675799999999999</v>
      </c>
      <c r="FW84">
        <v>2.5659200000000002</v>
      </c>
      <c r="FX84">
        <v>1.5490699999999999</v>
      </c>
      <c r="FY84">
        <v>2.34009</v>
      </c>
      <c r="FZ84">
        <v>1.50146</v>
      </c>
      <c r="GA84">
        <v>2.34741</v>
      </c>
      <c r="GB84">
        <v>30.372399999999999</v>
      </c>
      <c r="GC84">
        <v>23.982399999999998</v>
      </c>
      <c r="GD84">
        <v>19</v>
      </c>
      <c r="GE84">
        <v>284.84399999999999</v>
      </c>
      <c r="GF84">
        <v>609.40899999999999</v>
      </c>
      <c r="GG84">
        <v>26.0276</v>
      </c>
      <c r="GH84">
        <v>25.6311</v>
      </c>
      <c r="GI84">
        <v>29.9999</v>
      </c>
      <c r="GJ84">
        <v>25.721499999999999</v>
      </c>
      <c r="GK84">
        <v>25.6769</v>
      </c>
      <c r="GL84">
        <v>35.345700000000001</v>
      </c>
      <c r="GM84">
        <v>69.941100000000006</v>
      </c>
      <c r="GN84">
        <v>78.7774</v>
      </c>
      <c r="GO84">
        <v>26.032399999999999</v>
      </c>
      <c r="GP84">
        <v>800</v>
      </c>
      <c r="GQ84">
        <v>6.0074899999999998</v>
      </c>
      <c r="GR84">
        <v>99.693299999999994</v>
      </c>
      <c r="GS84">
        <v>99.380300000000005</v>
      </c>
    </row>
    <row r="85" spans="1:201" x14ac:dyDescent="0.25">
      <c r="A85">
        <v>69</v>
      </c>
      <c r="B85">
        <v>1690287320.0999999</v>
      </c>
      <c r="C85">
        <v>781.5</v>
      </c>
      <c r="D85" t="s">
        <v>471</v>
      </c>
      <c r="E85" t="s">
        <v>472</v>
      </c>
      <c r="F85" t="s">
        <v>330</v>
      </c>
      <c r="H85">
        <v>1690287320.0999999</v>
      </c>
      <c r="I85">
        <f t="shared" si="30"/>
        <v>1.978114702413871E-3</v>
      </c>
      <c r="J85">
        <f t="shared" si="31"/>
        <v>1.978114702413871</v>
      </c>
      <c r="K85">
        <f t="shared" si="32"/>
        <v>31.506005338962666</v>
      </c>
      <c r="L85">
        <f t="shared" si="33"/>
        <v>485.23700000000002</v>
      </c>
      <c r="M85">
        <f t="shared" si="34"/>
        <v>120.63927670868166</v>
      </c>
      <c r="N85">
        <f t="shared" si="35"/>
        <v>11.995231685614112</v>
      </c>
      <c r="O85">
        <f t="shared" si="36"/>
        <v>48.247390039379006</v>
      </c>
      <c r="P85">
        <f t="shared" si="37"/>
        <v>0.14512259702986921</v>
      </c>
      <c r="Q85">
        <f t="shared" si="38"/>
        <v>2.2928742948035534</v>
      </c>
      <c r="R85">
        <f t="shared" si="39"/>
        <v>0.14020606129729488</v>
      </c>
      <c r="S85">
        <f t="shared" si="40"/>
        <v>8.8056643454986039E-2</v>
      </c>
      <c r="T85">
        <f t="shared" si="41"/>
        <v>276.11322745310321</v>
      </c>
      <c r="U85">
        <f t="shared" si="42"/>
        <v>28.072120559278883</v>
      </c>
      <c r="V85">
        <f t="shared" si="43"/>
        <v>28.072120559278883</v>
      </c>
      <c r="W85">
        <f t="shared" si="44"/>
        <v>3.8108239235303345</v>
      </c>
      <c r="X85">
        <f t="shared" si="45"/>
        <v>69.833762994414784</v>
      </c>
      <c r="Y85">
        <f t="shared" si="46"/>
        <v>2.4521765294673998</v>
      </c>
      <c r="Z85">
        <f t="shared" si="47"/>
        <v>3.5114483658334747</v>
      </c>
      <c r="AA85">
        <f t="shared" si="48"/>
        <v>1.3586473940629347</v>
      </c>
      <c r="AB85">
        <f t="shared" si="49"/>
        <v>-87.234858376451712</v>
      </c>
      <c r="AC85">
        <f t="shared" si="50"/>
        <v>-172.67815431635199</v>
      </c>
      <c r="AD85">
        <f t="shared" si="51"/>
        <v>-16.313841890733485</v>
      </c>
      <c r="AE85">
        <f t="shared" si="52"/>
        <v>-0.11362713043399708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52305.623859552274</v>
      </c>
      <c r="AK85">
        <f t="shared" si="56"/>
        <v>1799.99</v>
      </c>
      <c r="AL85">
        <f t="shared" si="57"/>
        <v>1499.1061339863199</v>
      </c>
      <c r="AM85">
        <f t="shared" si="58"/>
        <v>0.83284136799999997</v>
      </c>
      <c r="AN85">
        <f t="shared" si="59"/>
        <v>0.15339708968000001</v>
      </c>
      <c r="AO85">
        <v>29.1</v>
      </c>
      <c r="AP85">
        <v>0.5</v>
      </c>
      <c r="AQ85" t="s">
        <v>331</v>
      </c>
      <c r="AR85">
        <v>2</v>
      </c>
      <c r="AS85">
        <v>1690287320.0999999</v>
      </c>
      <c r="AT85">
        <v>485.23700000000002</v>
      </c>
      <c r="AU85">
        <v>800.053</v>
      </c>
      <c r="AV85">
        <v>24.662199999999999</v>
      </c>
      <c r="AW85">
        <v>5.9538099999999998</v>
      </c>
      <c r="AX85">
        <v>486.25299999999999</v>
      </c>
      <c r="AY85">
        <v>24.4711</v>
      </c>
      <c r="AZ85">
        <v>300.09800000000001</v>
      </c>
      <c r="BA85">
        <v>99.330500000000001</v>
      </c>
      <c r="BB85">
        <v>0.100067</v>
      </c>
      <c r="BC85">
        <v>26.6752</v>
      </c>
      <c r="BD85">
        <v>26.990400000000001</v>
      </c>
      <c r="BE85">
        <v>28.604800000000001</v>
      </c>
      <c r="BF85">
        <v>0</v>
      </c>
      <c r="BG85">
        <v>0</v>
      </c>
      <c r="BH85">
        <v>9945.6200000000008</v>
      </c>
      <c r="BI85">
        <v>1085.92</v>
      </c>
      <c r="BJ85">
        <v>1.3455900000000001</v>
      </c>
      <c r="BK85">
        <v>-314.81700000000001</v>
      </c>
      <c r="BL85">
        <v>497.50599999999997</v>
      </c>
      <c r="BM85">
        <v>804.84500000000003</v>
      </c>
      <c r="BN85">
        <v>18.708400000000001</v>
      </c>
      <c r="BO85">
        <v>800.053</v>
      </c>
      <c r="BP85">
        <v>5.9538099999999998</v>
      </c>
      <c r="BQ85">
        <v>2.4497100000000001</v>
      </c>
      <c r="BR85">
        <v>0.591395</v>
      </c>
      <c r="BS85">
        <v>20.696200000000001</v>
      </c>
      <c r="BT85">
        <v>-0.50753099999999995</v>
      </c>
      <c r="BU85">
        <v>1799.99</v>
      </c>
      <c r="BV85">
        <v>0.91001299999999996</v>
      </c>
      <c r="BW85">
        <v>3.3991899999999999E-2</v>
      </c>
      <c r="BX85">
        <v>2.1996399999999999E-2</v>
      </c>
      <c r="BY85">
        <v>3.3999000000000001E-2</v>
      </c>
      <c r="BZ85">
        <v>25</v>
      </c>
      <c r="CA85">
        <v>33528.300000000003</v>
      </c>
      <c r="CB85">
        <v>1690286268.5999999</v>
      </c>
      <c r="CC85" t="s">
        <v>332</v>
      </c>
      <c r="CD85">
        <v>1690286261.0999999</v>
      </c>
      <c r="CE85">
        <v>1690286268.5999999</v>
      </c>
      <c r="CF85">
        <v>1</v>
      </c>
      <c r="CG85">
        <v>-0.89900000000000002</v>
      </c>
      <c r="CH85">
        <v>3.4000000000000002E-2</v>
      </c>
      <c r="CI85">
        <v>-1.2370000000000001</v>
      </c>
      <c r="CJ85">
        <v>8.5999999999999993E-2</v>
      </c>
      <c r="CK85">
        <v>799</v>
      </c>
      <c r="CL85">
        <v>16</v>
      </c>
      <c r="CM85">
        <v>0.28999999999999998</v>
      </c>
      <c r="CN85">
        <v>0.09</v>
      </c>
      <c r="CO85">
        <v>-310.801625</v>
      </c>
      <c r="CP85">
        <v>-21.7334746716691</v>
      </c>
      <c r="CQ85">
        <v>2.091469563339373</v>
      </c>
      <c r="CR85">
        <v>-1</v>
      </c>
      <c r="CS85">
        <v>18.392990000000001</v>
      </c>
      <c r="CT85">
        <v>1.941937711069373</v>
      </c>
      <c r="CU85">
        <v>0.18696433055532299</v>
      </c>
      <c r="CV85">
        <v>-1</v>
      </c>
      <c r="CW85">
        <v>0</v>
      </c>
      <c r="CX85">
        <v>0</v>
      </c>
      <c r="CY85" t="s">
        <v>333</v>
      </c>
      <c r="CZ85">
        <v>2.3649499999999999</v>
      </c>
      <c r="DA85">
        <v>2.7138100000000001</v>
      </c>
      <c r="DB85">
        <v>0.10399600000000001</v>
      </c>
      <c r="DC85">
        <v>0.146673</v>
      </c>
      <c r="DD85">
        <v>0.116561</v>
      </c>
      <c r="DE85">
        <v>3.9371999999999997E-2</v>
      </c>
      <c r="DF85">
        <v>32708</v>
      </c>
      <c r="DG85">
        <v>27460.1</v>
      </c>
      <c r="DH85">
        <v>31161.5</v>
      </c>
      <c r="DI85">
        <v>28038.5</v>
      </c>
      <c r="DJ85">
        <v>37361.9</v>
      </c>
      <c r="DK85">
        <v>38282.6</v>
      </c>
      <c r="DL85">
        <v>44338.7</v>
      </c>
      <c r="DM85">
        <v>42472.800000000003</v>
      </c>
      <c r="DN85">
        <v>1.4878</v>
      </c>
      <c r="DO85">
        <v>2.0760800000000001</v>
      </c>
      <c r="DP85">
        <v>8.4038799999999997E-2</v>
      </c>
      <c r="DQ85">
        <v>0.20355000000000001</v>
      </c>
      <c r="DR85">
        <v>25.6145</v>
      </c>
      <c r="DS85">
        <v>25.275600000000001</v>
      </c>
      <c r="DT85">
        <v>65.8</v>
      </c>
      <c r="DU85">
        <v>24.7</v>
      </c>
      <c r="DV85">
        <v>20.690999999999999</v>
      </c>
      <c r="DW85">
        <v>62.311399999999999</v>
      </c>
      <c r="DX85">
        <v>36.951099999999997</v>
      </c>
      <c r="DY85">
        <v>1</v>
      </c>
      <c r="DZ85">
        <v>-0.14180599999999999</v>
      </c>
      <c r="EA85">
        <v>-0.79922899999999997</v>
      </c>
      <c r="EB85">
        <v>20.188700000000001</v>
      </c>
      <c r="EC85">
        <v>5.2421499999999996</v>
      </c>
      <c r="ED85">
        <v>12.039899999999999</v>
      </c>
      <c r="EE85">
        <v>5.0166500000000003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1.8687400000000001</v>
      </c>
      <c r="EL85">
        <v>1.86443</v>
      </c>
      <c r="EM85">
        <v>1.86907</v>
      </c>
      <c r="EN85">
        <v>1.86707</v>
      </c>
      <c r="EO85">
        <v>1.8632500000000001</v>
      </c>
      <c r="EP85">
        <v>1.86429</v>
      </c>
      <c r="EQ85">
        <v>1.87009</v>
      </c>
      <c r="ER85">
        <v>1.8692899999999999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-1.016</v>
      </c>
      <c r="FG85">
        <v>0.19109999999999999</v>
      </c>
      <c r="FH85">
        <v>-0.68620417327404271</v>
      </c>
      <c r="FI85">
        <v>-6.1462078757559423E-4</v>
      </c>
      <c r="FJ85">
        <v>-1.8861989874597051E-7</v>
      </c>
      <c r="FK85">
        <v>1.1980462299894961E-10</v>
      </c>
      <c r="FL85">
        <v>0.1911242781723908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17.600000000000001</v>
      </c>
      <c r="FU85">
        <v>17.5</v>
      </c>
      <c r="FV85">
        <v>1.7675799999999999</v>
      </c>
      <c r="FW85">
        <v>2.5695800000000002</v>
      </c>
      <c r="FX85">
        <v>1.5490699999999999</v>
      </c>
      <c r="FY85">
        <v>2.34009</v>
      </c>
      <c r="FZ85">
        <v>1.50146</v>
      </c>
      <c r="GA85">
        <v>2.2875999999999999</v>
      </c>
      <c r="GB85">
        <v>30.372399999999999</v>
      </c>
      <c r="GC85">
        <v>23.973700000000001</v>
      </c>
      <c r="GD85">
        <v>19</v>
      </c>
      <c r="GE85">
        <v>285.01499999999999</v>
      </c>
      <c r="GF85">
        <v>608.77</v>
      </c>
      <c r="GG85">
        <v>26.037800000000001</v>
      </c>
      <c r="GH85">
        <v>25.63</v>
      </c>
      <c r="GI85">
        <v>29.9999</v>
      </c>
      <c r="GJ85">
        <v>25.721499999999999</v>
      </c>
      <c r="GK85">
        <v>25.6769</v>
      </c>
      <c r="GL85">
        <v>35.338999999999999</v>
      </c>
      <c r="GM85">
        <v>70.532300000000006</v>
      </c>
      <c r="GN85">
        <v>77.987099999999998</v>
      </c>
      <c r="GO85">
        <v>26.0412</v>
      </c>
      <c r="GP85">
        <v>800</v>
      </c>
      <c r="GQ85">
        <v>5.7782799999999996</v>
      </c>
      <c r="GR85">
        <v>99.694199999999995</v>
      </c>
      <c r="GS85">
        <v>99.380899999999997</v>
      </c>
    </row>
    <row r="86" spans="1:201" x14ac:dyDescent="0.25">
      <c r="A86">
        <v>70</v>
      </c>
      <c r="B86">
        <v>1690287330.0999999</v>
      </c>
      <c r="C86">
        <v>791.5</v>
      </c>
      <c r="D86" t="s">
        <v>473</v>
      </c>
      <c r="E86" t="s">
        <v>474</v>
      </c>
      <c r="F86" t="s">
        <v>330</v>
      </c>
      <c r="H86">
        <v>1690287330.0999999</v>
      </c>
      <c r="I86">
        <f t="shared" si="30"/>
        <v>2.0079637792987147E-3</v>
      </c>
      <c r="J86">
        <f t="shared" si="31"/>
        <v>2.0079637792987146</v>
      </c>
      <c r="K86">
        <f t="shared" si="32"/>
        <v>31.888448931949782</v>
      </c>
      <c r="L86">
        <f t="shared" si="33"/>
        <v>481.73599999999999</v>
      </c>
      <c r="M86">
        <f t="shared" si="34"/>
        <v>119.13045454824075</v>
      </c>
      <c r="N86">
        <f t="shared" si="35"/>
        <v>11.84531478793431</v>
      </c>
      <c r="O86">
        <f t="shared" si="36"/>
        <v>47.899712851087997</v>
      </c>
      <c r="P86">
        <f t="shared" si="37"/>
        <v>0.14773694086731412</v>
      </c>
      <c r="Q86">
        <f t="shared" si="38"/>
        <v>2.3017308406604942</v>
      </c>
      <c r="R86">
        <f t="shared" si="39"/>
        <v>0.14266388218830259</v>
      </c>
      <c r="S86">
        <f t="shared" si="40"/>
        <v>8.9606208117787051E-2</v>
      </c>
      <c r="T86">
        <f t="shared" si="41"/>
        <v>276.11306117002698</v>
      </c>
      <c r="U86">
        <f t="shared" si="42"/>
        <v>28.061098178247107</v>
      </c>
      <c r="V86">
        <f t="shared" si="43"/>
        <v>28.061098178247107</v>
      </c>
      <c r="W86">
        <f t="shared" si="44"/>
        <v>3.8083772121428474</v>
      </c>
      <c r="X86">
        <f t="shared" si="45"/>
        <v>69.84138809884405</v>
      </c>
      <c r="Y86">
        <f t="shared" si="46"/>
        <v>2.4529641257141996</v>
      </c>
      <c r="Z86">
        <f t="shared" si="47"/>
        <v>3.5121926875831937</v>
      </c>
      <c r="AA86">
        <f t="shared" si="48"/>
        <v>1.3554130864286478</v>
      </c>
      <c r="AB86">
        <f t="shared" si="49"/>
        <v>-88.551202667073326</v>
      </c>
      <c r="AC86">
        <f t="shared" si="50"/>
        <v>-171.53064308983835</v>
      </c>
      <c r="AD86">
        <f t="shared" si="51"/>
        <v>-16.142475243598749</v>
      </c>
      <c r="AE86">
        <f t="shared" si="52"/>
        <v>-0.11125983048344779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52639.932501718991</v>
      </c>
      <c r="AK86">
        <f t="shared" si="56"/>
        <v>1799.99</v>
      </c>
      <c r="AL86">
        <f t="shared" si="57"/>
        <v>1499.1015026120501</v>
      </c>
      <c r="AM86">
        <f t="shared" si="58"/>
        <v>0.83283879500000002</v>
      </c>
      <c r="AN86">
        <f t="shared" si="59"/>
        <v>0.15339699729999998</v>
      </c>
      <c r="AO86">
        <v>29.1</v>
      </c>
      <c r="AP86">
        <v>0.5</v>
      </c>
      <c r="AQ86" t="s">
        <v>331</v>
      </c>
      <c r="AR86">
        <v>2</v>
      </c>
      <c r="AS86">
        <v>1690287330.0999999</v>
      </c>
      <c r="AT86">
        <v>481.73599999999999</v>
      </c>
      <c r="AU86">
        <v>800.19799999999998</v>
      </c>
      <c r="AV86">
        <v>24.669899999999998</v>
      </c>
      <c r="AW86">
        <v>5.6873899999999997</v>
      </c>
      <c r="AX86">
        <v>482.74900000000002</v>
      </c>
      <c r="AY86">
        <v>24.4788</v>
      </c>
      <c r="AZ86">
        <v>300.22500000000002</v>
      </c>
      <c r="BA86">
        <v>99.331400000000002</v>
      </c>
      <c r="BB86">
        <v>0.10005799999999999</v>
      </c>
      <c r="BC86">
        <v>26.678799999999999</v>
      </c>
      <c r="BD86">
        <v>26.984400000000001</v>
      </c>
      <c r="BE86">
        <v>28.578800000000001</v>
      </c>
      <c r="BF86">
        <v>0</v>
      </c>
      <c r="BG86">
        <v>0</v>
      </c>
      <c r="BH86">
        <v>10011.9</v>
      </c>
      <c r="BI86">
        <v>1086.06</v>
      </c>
      <c r="BJ86">
        <v>1.3455900000000001</v>
      </c>
      <c r="BK86">
        <v>-318.46199999999999</v>
      </c>
      <c r="BL86">
        <v>493.92099999999999</v>
      </c>
      <c r="BM86">
        <v>804.77499999999998</v>
      </c>
      <c r="BN86">
        <v>18.982600000000001</v>
      </c>
      <c r="BO86">
        <v>800.19799999999998</v>
      </c>
      <c r="BP86">
        <v>5.6873899999999997</v>
      </c>
      <c r="BQ86">
        <v>2.4504999999999999</v>
      </c>
      <c r="BR86">
        <v>0.56493599999999999</v>
      </c>
      <c r="BS86">
        <v>20.7014</v>
      </c>
      <c r="BT86">
        <v>-1.1334299999999999</v>
      </c>
      <c r="BU86">
        <v>1799.99</v>
      </c>
      <c r="BV86">
        <v>0.91000099999999995</v>
      </c>
      <c r="BW86">
        <v>3.4008200000000002E-2</v>
      </c>
      <c r="BX86">
        <v>2.19945E-2</v>
      </c>
      <c r="BY86">
        <v>3.3995999999999998E-2</v>
      </c>
      <c r="BZ86">
        <v>25</v>
      </c>
      <c r="CA86">
        <v>33528.199999999997</v>
      </c>
      <c r="CB86">
        <v>1690286268.5999999</v>
      </c>
      <c r="CC86" t="s">
        <v>332</v>
      </c>
      <c r="CD86">
        <v>1690286261.0999999</v>
      </c>
      <c r="CE86">
        <v>1690286268.5999999</v>
      </c>
      <c r="CF86">
        <v>1</v>
      </c>
      <c r="CG86">
        <v>-0.89900000000000002</v>
      </c>
      <c r="CH86">
        <v>3.4000000000000002E-2</v>
      </c>
      <c r="CI86">
        <v>-1.2370000000000001</v>
      </c>
      <c r="CJ86">
        <v>8.5999999999999993E-2</v>
      </c>
      <c r="CK86">
        <v>799</v>
      </c>
      <c r="CL86">
        <v>16</v>
      </c>
      <c r="CM86">
        <v>0.28999999999999998</v>
      </c>
      <c r="CN86">
        <v>0.09</v>
      </c>
      <c r="CO86">
        <v>-314.4769756097561</v>
      </c>
      <c r="CP86">
        <v>-21.680466898955579</v>
      </c>
      <c r="CQ86">
        <v>2.1385079194046348</v>
      </c>
      <c r="CR86">
        <v>-1</v>
      </c>
      <c r="CS86">
        <v>18.685370731707319</v>
      </c>
      <c r="CT86">
        <v>1.539821602787486</v>
      </c>
      <c r="CU86">
        <v>0.1523606076160213</v>
      </c>
      <c r="CV86">
        <v>-1</v>
      </c>
      <c r="CW86">
        <v>0</v>
      </c>
      <c r="CX86">
        <v>0</v>
      </c>
      <c r="CY86" t="s">
        <v>333</v>
      </c>
      <c r="CZ86">
        <v>2.3653300000000002</v>
      </c>
      <c r="DA86">
        <v>2.7138599999999999</v>
      </c>
      <c r="DB86">
        <v>0.103446</v>
      </c>
      <c r="DC86">
        <v>0.14668700000000001</v>
      </c>
      <c r="DD86">
        <v>0.116587</v>
      </c>
      <c r="DE86">
        <v>3.79228E-2</v>
      </c>
      <c r="DF86">
        <v>32728.1</v>
      </c>
      <c r="DG86">
        <v>27460.3</v>
      </c>
      <c r="DH86">
        <v>31161.5</v>
      </c>
      <c r="DI86">
        <v>28039.200000000001</v>
      </c>
      <c r="DJ86">
        <v>37360.5</v>
      </c>
      <c r="DK86">
        <v>38341.599999999999</v>
      </c>
      <c r="DL86">
        <v>44338.400000000001</v>
      </c>
      <c r="DM86">
        <v>42474</v>
      </c>
      <c r="DN86">
        <v>1.4882</v>
      </c>
      <c r="DO86">
        <v>2.0753300000000001</v>
      </c>
      <c r="DP86">
        <v>8.3673700000000004E-2</v>
      </c>
      <c r="DQ86">
        <v>0.20195199999999999</v>
      </c>
      <c r="DR86">
        <v>25.6145</v>
      </c>
      <c r="DS86">
        <v>25.275600000000001</v>
      </c>
      <c r="DT86">
        <v>65.400000000000006</v>
      </c>
      <c r="DU86">
        <v>24.8</v>
      </c>
      <c r="DV86">
        <v>20.690200000000001</v>
      </c>
      <c r="DW86">
        <v>61.881399999999999</v>
      </c>
      <c r="DX86">
        <v>36.4223</v>
      </c>
      <c r="DY86">
        <v>1</v>
      </c>
      <c r="DZ86">
        <v>-0.14174300000000001</v>
      </c>
      <c r="EA86">
        <v>-0.79205099999999995</v>
      </c>
      <c r="EB86">
        <v>20.1889</v>
      </c>
      <c r="EC86">
        <v>5.2423000000000002</v>
      </c>
      <c r="ED86">
        <v>12.039899999999999</v>
      </c>
      <c r="EE86">
        <v>5.0172499999999998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1.8687400000000001</v>
      </c>
      <c r="EL86">
        <v>1.8644400000000001</v>
      </c>
      <c r="EM86">
        <v>1.8690500000000001</v>
      </c>
      <c r="EN86">
        <v>1.86707</v>
      </c>
      <c r="EO86">
        <v>1.8632500000000001</v>
      </c>
      <c r="EP86">
        <v>1.86425</v>
      </c>
      <c r="EQ86">
        <v>1.87009</v>
      </c>
      <c r="ER86">
        <v>1.8692899999999999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-1.0129999999999999</v>
      </c>
      <c r="FG86">
        <v>0.19109999999999999</v>
      </c>
      <c r="FH86">
        <v>-0.68620417327404271</v>
      </c>
      <c r="FI86">
        <v>-6.1462078757559423E-4</v>
      </c>
      <c r="FJ86">
        <v>-1.8861989874597051E-7</v>
      </c>
      <c r="FK86">
        <v>1.1980462299894961E-10</v>
      </c>
      <c r="FL86">
        <v>0.1911242781723908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17.8</v>
      </c>
      <c r="FU86">
        <v>17.7</v>
      </c>
      <c r="FV86">
        <v>1.7663599999999999</v>
      </c>
      <c r="FW86">
        <v>2.5634800000000002</v>
      </c>
      <c r="FX86">
        <v>1.5490699999999999</v>
      </c>
      <c r="FY86">
        <v>2.33887</v>
      </c>
      <c r="FZ86">
        <v>1.50146</v>
      </c>
      <c r="GA86">
        <v>2.2753899999999998</v>
      </c>
      <c r="GB86">
        <v>30.393899999999999</v>
      </c>
      <c r="GC86">
        <v>23.982399999999998</v>
      </c>
      <c r="GD86">
        <v>19</v>
      </c>
      <c r="GE86">
        <v>285.185</v>
      </c>
      <c r="GF86">
        <v>608.13099999999997</v>
      </c>
      <c r="GG86">
        <v>26.044899999999998</v>
      </c>
      <c r="GH86">
        <v>25.6279</v>
      </c>
      <c r="GI86">
        <v>30</v>
      </c>
      <c r="GJ86">
        <v>25.721499999999999</v>
      </c>
      <c r="GK86">
        <v>25.6769</v>
      </c>
      <c r="GL86">
        <v>35.327599999999997</v>
      </c>
      <c r="GM86">
        <v>71.727999999999994</v>
      </c>
      <c r="GN86">
        <v>76.798699999999997</v>
      </c>
      <c r="GO86">
        <v>26.054600000000001</v>
      </c>
      <c r="GP86">
        <v>800</v>
      </c>
      <c r="GQ86">
        <v>5.4661799999999996</v>
      </c>
      <c r="GR86">
        <v>99.693899999999999</v>
      </c>
      <c r="GS86">
        <v>99.383499999999998</v>
      </c>
    </row>
    <row r="87" spans="1:201" x14ac:dyDescent="0.25">
      <c r="A87">
        <v>71</v>
      </c>
      <c r="B87">
        <v>1690287340.0999999</v>
      </c>
      <c r="C87">
        <v>801.5</v>
      </c>
      <c r="D87" t="s">
        <v>475</v>
      </c>
      <c r="E87" t="s">
        <v>476</v>
      </c>
      <c r="F87" t="s">
        <v>330</v>
      </c>
      <c r="H87">
        <v>1690287340.0999999</v>
      </c>
      <c r="I87">
        <f t="shared" si="30"/>
        <v>2.0430379456660209E-3</v>
      </c>
      <c r="J87">
        <f t="shared" si="31"/>
        <v>2.043037945666021</v>
      </c>
      <c r="K87">
        <f t="shared" si="32"/>
        <v>32.236232836539429</v>
      </c>
      <c r="L87">
        <f t="shared" si="33"/>
        <v>478.20800000000003</v>
      </c>
      <c r="M87">
        <f t="shared" si="34"/>
        <v>118.8762916228895</v>
      </c>
      <c r="N87">
        <f t="shared" si="35"/>
        <v>11.81999443673196</v>
      </c>
      <c r="O87">
        <f t="shared" si="36"/>
        <v>47.548723319296002</v>
      </c>
      <c r="P87">
        <f t="shared" si="37"/>
        <v>0.1508050889260121</v>
      </c>
      <c r="Q87">
        <f t="shared" si="38"/>
        <v>2.2999758233931731</v>
      </c>
      <c r="R87">
        <f t="shared" si="39"/>
        <v>0.14551930587909417</v>
      </c>
      <c r="S87">
        <f t="shared" si="40"/>
        <v>9.1409037953147892E-2</v>
      </c>
      <c r="T87">
        <f t="shared" si="41"/>
        <v>276.11290032292061</v>
      </c>
      <c r="U87">
        <f t="shared" si="42"/>
        <v>28.05444970227876</v>
      </c>
      <c r="V87">
        <f t="shared" si="43"/>
        <v>28.05444970227876</v>
      </c>
      <c r="W87">
        <f t="shared" si="44"/>
        <v>3.8069020683424966</v>
      </c>
      <c r="X87">
        <f t="shared" si="45"/>
        <v>69.880387922892496</v>
      </c>
      <c r="Y87">
        <f t="shared" si="46"/>
        <v>2.4548830104203496</v>
      </c>
      <c r="Z87">
        <f t="shared" si="47"/>
        <v>3.5129785099778208</v>
      </c>
      <c r="AA87">
        <f t="shared" si="48"/>
        <v>1.3520190579221469</v>
      </c>
      <c r="AB87">
        <f t="shared" si="49"/>
        <v>-90.097973403871521</v>
      </c>
      <c r="AC87">
        <f t="shared" si="50"/>
        <v>-170.10428256172028</v>
      </c>
      <c r="AD87">
        <f t="shared" si="51"/>
        <v>-16.020228799054152</v>
      </c>
      <c r="AE87">
        <f t="shared" si="52"/>
        <v>-0.10958444172536019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52572.800828114072</v>
      </c>
      <c r="AK87">
        <f t="shared" si="56"/>
        <v>1799.99</v>
      </c>
      <c r="AL87">
        <f t="shared" si="57"/>
        <v>1499.1034718011099</v>
      </c>
      <c r="AM87">
        <f t="shared" si="58"/>
        <v>0.83283988899999994</v>
      </c>
      <c r="AN87">
        <f t="shared" si="59"/>
        <v>0.15339690793999999</v>
      </c>
      <c r="AO87">
        <v>29.1</v>
      </c>
      <c r="AP87">
        <v>0.5</v>
      </c>
      <c r="AQ87" t="s">
        <v>331</v>
      </c>
      <c r="AR87">
        <v>2</v>
      </c>
      <c r="AS87">
        <v>1690287340.0999999</v>
      </c>
      <c r="AT87">
        <v>478.20800000000003</v>
      </c>
      <c r="AU87">
        <v>800.18100000000004</v>
      </c>
      <c r="AV87">
        <v>24.689299999999999</v>
      </c>
      <c r="AW87">
        <v>5.3728300000000004</v>
      </c>
      <c r="AX87">
        <v>479.21899999999999</v>
      </c>
      <c r="AY87">
        <v>24.498100000000001</v>
      </c>
      <c r="AZ87">
        <v>300.18200000000002</v>
      </c>
      <c r="BA87">
        <v>99.331100000000006</v>
      </c>
      <c r="BB87">
        <v>9.9949499999999997E-2</v>
      </c>
      <c r="BC87">
        <v>26.682600000000001</v>
      </c>
      <c r="BD87">
        <v>26.979800000000001</v>
      </c>
      <c r="BE87">
        <v>28.556699999999999</v>
      </c>
      <c r="BF87">
        <v>0</v>
      </c>
      <c r="BG87">
        <v>0</v>
      </c>
      <c r="BH87">
        <v>9998.75</v>
      </c>
      <c r="BI87">
        <v>1086.3399999999999</v>
      </c>
      <c r="BJ87">
        <v>1.3455900000000001</v>
      </c>
      <c r="BK87">
        <v>-321.97300000000001</v>
      </c>
      <c r="BL87">
        <v>490.31400000000002</v>
      </c>
      <c r="BM87">
        <v>804.50400000000002</v>
      </c>
      <c r="BN87">
        <v>19.316400000000002</v>
      </c>
      <c r="BO87">
        <v>800.18100000000004</v>
      </c>
      <c r="BP87">
        <v>5.3728300000000004</v>
      </c>
      <c r="BQ87">
        <v>2.45241</v>
      </c>
      <c r="BR87">
        <v>0.53368899999999997</v>
      </c>
      <c r="BS87">
        <v>20.714099999999998</v>
      </c>
      <c r="BT87">
        <v>-1.9069799999999999</v>
      </c>
      <c r="BU87">
        <v>1799.99</v>
      </c>
      <c r="BV87">
        <v>0.91000899999999996</v>
      </c>
      <c r="BW87">
        <v>3.4005399999999998E-2</v>
      </c>
      <c r="BX87">
        <v>2.19927E-2</v>
      </c>
      <c r="BY87">
        <v>3.3993200000000001E-2</v>
      </c>
      <c r="BZ87">
        <v>25</v>
      </c>
      <c r="CA87">
        <v>33528.400000000001</v>
      </c>
      <c r="CB87">
        <v>1690286268.5999999</v>
      </c>
      <c r="CC87" t="s">
        <v>332</v>
      </c>
      <c r="CD87">
        <v>1690286261.0999999</v>
      </c>
      <c r="CE87">
        <v>1690286268.5999999</v>
      </c>
      <c r="CF87">
        <v>1</v>
      </c>
      <c r="CG87">
        <v>-0.89900000000000002</v>
      </c>
      <c r="CH87">
        <v>3.4000000000000002E-2</v>
      </c>
      <c r="CI87">
        <v>-1.2370000000000001</v>
      </c>
      <c r="CJ87">
        <v>8.5999999999999993E-2</v>
      </c>
      <c r="CK87">
        <v>799</v>
      </c>
      <c r="CL87">
        <v>16</v>
      </c>
      <c r="CM87">
        <v>0.28999999999999998</v>
      </c>
      <c r="CN87">
        <v>0.09</v>
      </c>
      <c r="CO87">
        <v>-318.31965000000002</v>
      </c>
      <c r="CP87">
        <v>-21.461853658536189</v>
      </c>
      <c r="CQ87">
        <v>2.0648793857027101</v>
      </c>
      <c r="CR87">
        <v>-1</v>
      </c>
      <c r="CS87">
        <v>18.984537499999998</v>
      </c>
      <c r="CT87">
        <v>1.8697924953095379</v>
      </c>
      <c r="CU87">
        <v>0.18003337008385401</v>
      </c>
      <c r="CV87">
        <v>-1</v>
      </c>
      <c r="CW87">
        <v>0</v>
      </c>
      <c r="CX87">
        <v>0</v>
      </c>
      <c r="CY87" t="s">
        <v>333</v>
      </c>
      <c r="CZ87">
        <v>2.3651800000000001</v>
      </c>
      <c r="DA87">
        <v>2.71374</v>
      </c>
      <c r="DB87">
        <v>0.10288799999999999</v>
      </c>
      <c r="DC87">
        <v>0.146678</v>
      </c>
      <c r="DD87">
        <v>0.116651</v>
      </c>
      <c r="DE87">
        <v>3.6185700000000001E-2</v>
      </c>
      <c r="DF87">
        <v>32748.400000000001</v>
      </c>
      <c r="DG87">
        <v>27460.5</v>
      </c>
      <c r="DH87">
        <v>31161.5</v>
      </c>
      <c r="DI87">
        <v>28039.1</v>
      </c>
      <c r="DJ87">
        <v>37357.800000000003</v>
      </c>
      <c r="DK87">
        <v>38410.9</v>
      </c>
      <c r="DL87">
        <v>44338.5</v>
      </c>
      <c r="DM87">
        <v>42473.9</v>
      </c>
      <c r="DN87">
        <v>1.48773</v>
      </c>
      <c r="DO87">
        <v>2.0747</v>
      </c>
      <c r="DP87">
        <v>8.3394300000000005E-2</v>
      </c>
      <c r="DQ87">
        <v>0.200599</v>
      </c>
      <c r="DR87">
        <v>25.6145</v>
      </c>
      <c r="DS87">
        <v>25.275600000000001</v>
      </c>
      <c r="DT87">
        <v>65.099999999999994</v>
      </c>
      <c r="DU87">
        <v>24.8</v>
      </c>
      <c r="DV87">
        <v>20.592099999999999</v>
      </c>
      <c r="DW87">
        <v>62.081400000000002</v>
      </c>
      <c r="DX87">
        <v>35.989600000000003</v>
      </c>
      <c r="DY87">
        <v>1</v>
      </c>
      <c r="DZ87">
        <v>-0.14178099999999999</v>
      </c>
      <c r="EA87">
        <v>-0.82064300000000001</v>
      </c>
      <c r="EB87">
        <v>20.188700000000001</v>
      </c>
      <c r="EC87">
        <v>5.2424499999999998</v>
      </c>
      <c r="ED87">
        <v>12.039899999999999</v>
      </c>
      <c r="EE87">
        <v>5.0170500000000002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1.8687400000000001</v>
      </c>
      <c r="EL87">
        <v>1.8644499999999999</v>
      </c>
      <c r="EM87">
        <v>1.8690500000000001</v>
      </c>
      <c r="EN87">
        <v>1.86707</v>
      </c>
      <c r="EO87">
        <v>1.8632500000000001</v>
      </c>
      <c r="EP87">
        <v>1.8642700000000001</v>
      </c>
      <c r="EQ87">
        <v>1.8700600000000001</v>
      </c>
      <c r="ER87">
        <v>1.8692800000000001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-1.0109999999999999</v>
      </c>
      <c r="FG87">
        <v>0.19120000000000001</v>
      </c>
      <c r="FH87">
        <v>-0.68620417327404271</v>
      </c>
      <c r="FI87">
        <v>-6.1462078757559423E-4</v>
      </c>
      <c r="FJ87">
        <v>-1.8861989874597051E-7</v>
      </c>
      <c r="FK87">
        <v>1.1980462299894961E-10</v>
      </c>
      <c r="FL87">
        <v>0.1911242781723908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18</v>
      </c>
      <c r="FU87">
        <v>17.899999999999999</v>
      </c>
      <c r="FV87">
        <v>1.7663599999999999</v>
      </c>
      <c r="FW87">
        <v>2.5610400000000002</v>
      </c>
      <c r="FX87">
        <v>1.5490699999999999</v>
      </c>
      <c r="FY87">
        <v>2.34009</v>
      </c>
      <c r="FZ87">
        <v>1.50146</v>
      </c>
      <c r="GA87">
        <v>2.3547400000000001</v>
      </c>
      <c r="GB87">
        <v>30.393899999999999</v>
      </c>
      <c r="GC87">
        <v>23.991199999999999</v>
      </c>
      <c r="GD87">
        <v>19</v>
      </c>
      <c r="GE87">
        <v>284.983</v>
      </c>
      <c r="GF87">
        <v>607.59900000000005</v>
      </c>
      <c r="GG87">
        <v>26.061399999999999</v>
      </c>
      <c r="GH87">
        <v>25.625800000000002</v>
      </c>
      <c r="GI87">
        <v>30.0001</v>
      </c>
      <c r="GJ87">
        <v>25.721499999999999</v>
      </c>
      <c r="GK87">
        <v>25.6769</v>
      </c>
      <c r="GL87">
        <v>35.316200000000002</v>
      </c>
      <c r="GM87">
        <v>72.903099999999995</v>
      </c>
      <c r="GN87">
        <v>75.992400000000004</v>
      </c>
      <c r="GO87">
        <v>26.0657</v>
      </c>
      <c r="GP87">
        <v>800</v>
      </c>
      <c r="GQ87">
        <v>5.1455299999999999</v>
      </c>
      <c r="GR87">
        <v>99.694000000000003</v>
      </c>
      <c r="GS87">
        <v>99.383200000000002</v>
      </c>
    </row>
    <row r="88" spans="1:201" x14ac:dyDescent="0.25">
      <c r="A88">
        <v>72</v>
      </c>
      <c r="B88">
        <v>1690287350.0999999</v>
      </c>
      <c r="C88">
        <v>811.5</v>
      </c>
      <c r="D88" t="s">
        <v>477</v>
      </c>
      <c r="E88" t="s">
        <v>478</v>
      </c>
      <c r="F88" t="s">
        <v>330</v>
      </c>
      <c r="H88">
        <v>1690287350.0999999</v>
      </c>
      <c r="I88">
        <f t="shared" si="30"/>
        <v>2.0776928220069312E-3</v>
      </c>
      <c r="J88">
        <f t="shared" si="31"/>
        <v>2.0776928220069313</v>
      </c>
      <c r="K88">
        <f t="shared" si="32"/>
        <v>32.553554018604572</v>
      </c>
      <c r="L88">
        <f t="shared" si="33"/>
        <v>474.96100000000001</v>
      </c>
      <c r="M88">
        <f t="shared" si="34"/>
        <v>118.65117038571658</v>
      </c>
      <c r="N88">
        <f t="shared" si="35"/>
        <v>11.79791586329328</v>
      </c>
      <c r="O88">
        <f t="shared" si="36"/>
        <v>47.227093488664003</v>
      </c>
      <c r="P88">
        <f t="shared" si="37"/>
        <v>0.15367044111243552</v>
      </c>
      <c r="Q88">
        <f t="shared" si="38"/>
        <v>2.3009217005228653</v>
      </c>
      <c r="R88">
        <f t="shared" si="39"/>
        <v>0.14818798421806531</v>
      </c>
      <c r="S88">
        <f t="shared" si="40"/>
        <v>9.3093771584257329E-2</v>
      </c>
      <c r="T88">
        <f t="shared" si="41"/>
        <v>276.11236927187093</v>
      </c>
      <c r="U88">
        <f t="shared" si="42"/>
        <v>28.051353186722132</v>
      </c>
      <c r="V88">
        <f t="shared" si="43"/>
        <v>28.051353186722132</v>
      </c>
      <c r="W88">
        <f t="shared" si="44"/>
        <v>3.8062151929767376</v>
      </c>
      <c r="X88">
        <f t="shared" si="45"/>
        <v>69.876119655973568</v>
      </c>
      <c r="Y88">
        <f t="shared" si="46"/>
        <v>2.4559906260752</v>
      </c>
      <c r="Z88">
        <f t="shared" si="47"/>
        <v>3.5147782077295737</v>
      </c>
      <c r="AA88">
        <f t="shared" si="48"/>
        <v>1.3502245669015376</v>
      </c>
      <c r="AB88">
        <f t="shared" si="49"/>
        <v>-91.626253450505672</v>
      </c>
      <c r="AC88">
        <f t="shared" si="50"/>
        <v>-168.71091304606352</v>
      </c>
      <c r="AD88">
        <f t="shared" si="51"/>
        <v>-15.882914109790566</v>
      </c>
      <c r="AE88">
        <f t="shared" si="52"/>
        <v>-0.10771133448884029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52607.140039078455</v>
      </c>
      <c r="AK88">
        <f t="shared" si="56"/>
        <v>1799.99</v>
      </c>
      <c r="AL88">
        <f t="shared" si="57"/>
        <v>1499.1035114008901</v>
      </c>
      <c r="AM88">
        <f t="shared" si="58"/>
        <v>0.83283991099999999</v>
      </c>
      <c r="AN88">
        <f t="shared" si="59"/>
        <v>0.15339661291000001</v>
      </c>
      <c r="AO88">
        <v>29.1</v>
      </c>
      <c r="AP88">
        <v>0.5</v>
      </c>
      <c r="AQ88" t="s">
        <v>331</v>
      </c>
      <c r="AR88">
        <v>2</v>
      </c>
      <c r="AS88">
        <v>1690287350.0999999</v>
      </c>
      <c r="AT88">
        <v>474.96100000000001</v>
      </c>
      <c r="AU88">
        <v>800.06100000000004</v>
      </c>
      <c r="AV88">
        <v>24.6998</v>
      </c>
      <c r="AW88">
        <v>5.0585699999999996</v>
      </c>
      <c r="AX88">
        <v>475.96899999999999</v>
      </c>
      <c r="AY88">
        <v>24.508700000000001</v>
      </c>
      <c r="AZ88">
        <v>300.22300000000001</v>
      </c>
      <c r="BA88">
        <v>99.333600000000004</v>
      </c>
      <c r="BB88">
        <v>0.100024</v>
      </c>
      <c r="BC88">
        <v>26.691299999999998</v>
      </c>
      <c r="BD88">
        <v>27.025200000000002</v>
      </c>
      <c r="BE88">
        <v>28.572099999999999</v>
      </c>
      <c r="BF88">
        <v>0</v>
      </c>
      <c r="BG88">
        <v>0</v>
      </c>
      <c r="BH88">
        <v>10005.6</v>
      </c>
      <c r="BI88">
        <v>1086.26</v>
      </c>
      <c r="BJ88">
        <v>1.3455900000000001</v>
      </c>
      <c r="BK88">
        <v>-325.10000000000002</v>
      </c>
      <c r="BL88">
        <v>486.98899999999998</v>
      </c>
      <c r="BM88">
        <v>804.12800000000004</v>
      </c>
      <c r="BN88">
        <v>19.641300000000001</v>
      </c>
      <c r="BO88">
        <v>800.06100000000004</v>
      </c>
      <c r="BP88">
        <v>5.0585699999999996</v>
      </c>
      <c r="BQ88">
        <v>2.4535200000000001</v>
      </c>
      <c r="BR88">
        <v>0.50248499999999996</v>
      </c>
      <c r="BS88">
        <v>20.721399999999999</v>
      </c>
      <c r="BT88">
        <v>-2.7206100000000002</v>
      </c>
      <c r="BU88">
        <v>1799.99</v>
      </c>
      <c r="BV88">
        <v>0.91001600000000005</v>
      </c>
      <c r="BW88">
        <v>3.4002499999999998E-2</v>
      </c>
      <c r="BX88">
        <v>2.1990800000000001E-2</v>
      </c>
      <c r="BY88">
        <v>3.3990300000000001E-2</v>
      </c>
      <c r="BZ88">
        <v>25</v>
      </c>
      <c r="CA88">
        <v>33528.300000000003</v>
      </c>
      <c r="CB88">
        <v>1690286268.5999999</v>
      </c>
      <c r="CC88" t="s">
        <v>332</v>
      </c>
      <c r="CD88">
        <v>1690286261.0999999</v>
      </c>
      <c r="CE88">
        <v>1690286268.5999999</v>
      </c>
      <c r="CF88">
        <v>1</v>
      </c>
      <c r="CG88">
        <v>-0.89900000000000002</v>
      </c>
      <c r="CH88">
        <v>3.4000000000000002E-2</v>
      </c>
      <c r="CI88">
        <v>-1.2370000000000001</v>
      </c>
      <c r="CJ88">
        <v>8.5999999999999993E-2</v>
      </c>
      <c r="CK88">
        <v>799</v>
      </c>
      <c r="CL88">
        <v>16</v>
      </c>
      <c r="CM88">
        <v>0.28999999999999998</v>
      </c>
      <c r="CN88">
        <v>0.09</v>
      </c>
      <c r="CO88">
        <v>-321.43737499999997</v>
      </c>
      <c r="CP88">
        <v>-20.158142589117521</v>
      </c>
      <c r="CQ88">
        <v>1.9398482761223901</v>
      </c>
      <c r="CR88">
        <v>-1</v>
      </c>
      <c r="CS88">
        <v>19.275020000000001</v>
      </c>
      <c r="CT88">
        <v>1.989061913695984</v>
      </c>
      <c r="CU88">
        <v>0.19139459004893511</v>
      </c>
      <c r="CV88">
        <v>-1</v>
      </c>
      <c r="CW88">
        <v>0</v>
      </c>
      <c r="CX88">
        <v>0</v>
      </c>
      <c r="CY88" t="s">
        <v>333</v>
      </c>
      <c r="CZ88">
        <v>2.3652899999999999</v>
      </c>
      <c r="DA88">
        <v>2.7138200000000001</v>
      </c>
      <c r="DB88">
        <v>0.10237599999999999</v>
      </c>
      <c r="DC88">
        <v>0.14666000000000001</v>
      </c>
      <c r="DD88">
        <v>0.116689</v>
      </c>
      <c r="DE88">
        <v>3.4422399999999999E-2</v>
      </c>
      <c r="DF88">
        <v>32767.599999999999</v>
      </c>
      <c r="DG88">
        <v>27461.3</v>
      </c>
      <c r="DH88">
        <v>31162</v>
      </c>
      <c r="DI88">
        <v>28039.4</v>
      </c>
      <c r="DJ88">
        <v>37356.5</v>
      </c>
      <c r="DK88">
        <v>38481.800000000003</v>
      </c>
      <c r="DL88">
        <v>44339</v>
      </c>
      <c r="DM88">
        <v>42474.400000000001</v>
      </c>
      <c r="DN88">
        <v>1.48837</v>
      </c>
      <c r="DO88">
        <v>2.0741999999999998</v>
      </c>
      <c r="DP88">
        <v>8.6166000000000006E-2</v>
      </c>
      <c r="DQ88">
        <v>0.201546</v>
      </c>
      <c r="DR88">
        <v>25.6145</v>
      </c>
      <c r="DS88">
        <v>25.275600000000001</v>
      </c>
      <c r="DT88">
        <v>64.8</v>
      </c>
      <c r="DU88">
        <v>24.8</v>
      </c>
      <c r="DV88">
        <v>20.4939</v>
      </c>
      <c r="DW88">
        <v>62.011400000000002</v>
      </c>
      <c r="DX88">
        <v>36.025599999999997</v>
      </c>
      <c r="DY88">
        <v>1</v>
      </c>
      <c r="DZ88">
        <v>-0.14124700000000001</v>
      </c>
      <c r="EA88">
        <v>-0.83838000000000001</v>
      </c>
      <c r="EB88">
        <v>20.188700000000001</v>
      </c>
      <c r="EC88">
        <v>5.2424499999999998</v>
      </c>
      <c r="ED88">
        <v>12.039899999999999</v>
      </c>
      <c r="EE88">
        <v>5.0170000000000003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1.86873</v>
      </c>
      <c r="EL88">
        <v>1.8644400000000001</v>
      </c>
      <c r="EM88">
        <v>1.8690599999999999</v>
      </c>
      <c r="EN88">
        <v>1.8670800000000001</v>
      </c>
      <c r="EO88">
        <v>1.8632500000000001</v>
      </c>
      <c r="EP88">
        <v>1.8642799999999999</v>
      </c>
      <c r="EQ88">
        <v>1.87009</v>
      </c>
      <c r="ER88">
        <v>1.8693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-1.008</v>
      </c>
      <c r="FG88">
        <v>0.19109999999999999</v>
      </c>
      <c r="FH88">
        <v>-0.68620417327404271</v>
      </c>
      <c r="FI88">
        <v>-6.1462078757559423E-4</v>
      </c>
      <c r="FJ88">
        <v>-1.8861989874597051E-7</v>
      </c>
      <c r="FK88">
        <v>1.1980462299894961E-10</v>
      </c>
      <c r="FL88">
        <v>0.1911242781723908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18.100000000000001</v>
      </c>
      <c r="FU88">
        <v>18</v>
      </c>
      <c r="FV88">
        <v>1.7663599999999999</v>
      </c>
      <c r="FW88">
        <v>2.5598100000000001</v>
      </c>
      <c r="FX88">
        <v>1.5490699999999999</v>
      </c>
      <c r="FY88">
        <v>2.33887</v>
      </c>
      <c r="FZ88">
        <v>1.50146</v>
      </c>
      <c r="GA88">
        <v>2.3901400000000002</v>
      </c>
      <c r="GB88">
        <v>30.415400000000002</v>
      </c>
      <c r="GC88">
        <v>23.991199999999999</v>
      </c>
      <c r="GD88">
        <v>19</v>
      </c>
      <c r="GE88">
        <v>285.26</v>
      </c>
      <c r="GF88">
        <v>607.17399999999998</v>
      </c>
      <c r="GG88">
        <v>26.076599999999999</v>
      </c>
      <c r="GH88">
        <v>25.6236</v>
      </c>
      <c r="GI88">
        <v>30</v>
      </c>
      <c r="GJ88">
        <v>25.721499999999999</v>
      </c>
      <c r="GK88">
        <v>25.6769</v>
      </c>
      <c r="GL88">
        <v>35.310600000000001</v>
      </c>
      <c r="GM88">
        <v>74.398499999999999</v>
      </c>
      <c r="GN88">
        <v>74.762</v>
      </c>
      <c r="GO88">
        <v>25.570900000000002</v>
      </c>
      <c r="GP88">
        <v>800</v>
      </c>
      <c r="GQ88">
        <v>4.8290600000000001</v>
      </c>
      <c r="GR88">
        <v>99.695300000000003</v>
      </c>
      <c r="GS88">
        <v>99.384299999999996</v>
      </c>
    </row>
    <row r="89" spans="1:201" x14ac:dyDescent="0.25">
      <c r="A89">
        <v>73</v>
      </c>
      <c r="B89">
        <v>1690287360.0999999</v>
      </c>
      <c r="C89">
        <v>821.5</v>
      </c>
      <c r="D89" t="s">
        <v>479</v>
      </c>
      <c r="E89" t="s">
        <v>480</v>
      </c>
      <c r="F89" t="s">
        <v>330</v>
      </c>
      <c r="H89">
        <v>1690287360.0999999</v>
      </c>
      <c r="I89">
        <f t="shared" si="30"/>
        <v>2.1082781228740407E-3</v>
      </c>
      <c r="J89">
        <f t="shared" si="31"/>
        <v>2.1082781228740406</v>
      </c>
      <c r="K89">
        <f t="shared" si="32"/>
        <v>32.888670492407741</v>
      </c>
      <c r="L89">
        <f t="shared" si="33"/>
        <v>471.572</v>
      </c>
      <c r="M89">
        <f t="shared" si="34"/>
        <v>118.50004535460575</v>
      </c>
      <c r="N89">
        <f t="shared" si="35"/>
        <v>11.782891205273677</v>
      </c>
      <c r="O89">
        <f t="shared" si="36"/>
        <v>46.890121896796003</v>
      </c>
      <c r="P89">
        <f t="shared" si="37"/>
        <v>0.15676766165422376</v>
      </c>
      <c r="Q89">
        <f t="shared" si="38"/>
        <v>2.3011746718916655</v>
      </c>
      <c r="R89">
        <f t="shared" si="39"/>
        <v>0.15106699309868415</v>
      </c>
      <c r="S89">
        <f t="shared" si="40"/>
        <v>9.4911782268671918E-2</v>
      </c>
      <c r="T89">
        <f t="shared" si="41"/>
        <v>276.11490464778541</v>
      </c>
      <c r="U89">
        <f t="shared" si="42"/>
        <v>28.013724436409625</v>
      </c>
      <c r="V89">
        <f t="shared" si="43"/>
        <v>28.013724436409625</v>
      </c>
      <c r="W89">
        <f t="shared" si="44"/>
        <v>3.7978769432573669</v>
      </c>
      <c r="X89">
        <f t="shared" si="45"/>
        <v>69.927712584720979</v>
      </c>
      <c r="Y89">
        <f t="shared" si="46"/>
        <v>2.4538134985897</v>
      </c>
      <c r="Z89">
        <f t="shared" si="47"/>
        <v>3.509071593921766</v>
      </c>
      <c r="AA89">
        <f t="shared" si="48"/>
        <v>1.3440634446676669</v>
      </c>
      <c r="AB89">
        <f t="shared" si="49"/>
        <v>-92.9750652187452</v>
      </c>
      <c r="AC89">
        <f t="shared" si="50"/>
        <v>-167.48528563355916</v>
      </c>
      <c r="AD89">
        <f t="shared" si="51"/>
        <v>-15.760660621473075</v>
      </c>
      <c r="AE89">
        <f t="shared" si="52"/>
        <v>-0.10610682599201482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52621.566051295216</v>
      </c>
      <c r="AK89">
        <f t="shared" si="56"/>
        <v>1799.99</v>
      </c>
      <c r="AL89">
        <f t="shared" si="57"/>
        <v>1499.1060403868398</v>
      </c>
      <c r="AM89">
        <f t="shared" si="58"/>
        <v>0.83284131599999989</v>
      </c>
      <c r="AN89">
        <f t="shared" si="59"/>
        <v>0.15339802146000001</v>
      </c>
      <c r="AO89">
        <v>29.1</v>
      </c>
      <c r="AP89">
        <v>0.5</v>
      </c>
      <c r="AQ89" t="s">
        <v>331</v>
      </c>
      <c r="AR89">
        <v>2</v>
      </c>
      <c r="AS89">
        <v>1690287360.0999999</v>
      </c>
      <c r="AT89">
        <v>471.572</v>
      </c>
      <c r="AU89">
        <v>800.04100000000005</v>
      </c>
      <c r="AV89">
        <v>24.677900000000001</v>
      </c>
      <c r="AW89">
        <v>4.7441000000000004</v>
      </c>
      <c r="AX89">
        <v>472.57799999999997</v>
      </c>
      <c r="AY89">
        <v>24.486799999999999</v>
      </c>
      <c r="AZ89">
        <v>300.178</v>
      </c>
      <c r="BA89">
        <v>99.333600000000004</v>
      </c>
      <c r="BB89">
        <v>0.10004300000000001</v>
      </c>
      <c r="BC89">
        <v>26.663699999999999</v>
      </c>
      <c r="BD89">
        <v>26.972100000000001</v>
      </c>
      <c r="BE89">
        <v>28.5718</v>
      </c>
      <c r="BF89">
        <v>0</v>
      </c>
      <c r="BG89">
        <v>0</v>
      </c>
      <c r="BH89">
        <v>10007.5</v>
      </c>
      <c r="BI89">
        <v>1086.4100000000001</v>
      </c>
      <c r="BJ89">
        <v>1.3582000000000001</v>
      </c>
      <c r="BK89">
        <v>-328.46899999999999</v>
      </c>
      <c r="BL89">
        <v>483.50400000000002</v>
      </c>
      <c r="BM89">
        <v>803.85500000000002</v>
      </c>
      <c r="BN89">
        <v>19.933800000000002</v>
      </c>
      <c r="BO89">
        <v>800.04100000000005</v>
      </c>
      <c r="BP89">
        <v>4.7441000000000004</v>
      </c>
      <c r="BQ89">
        <v>2.4513500000000001</v>
      </c>
      <c r="BR89">
        <v>0.471248</v>
      </c>
      <c r="BS89">
        <v>20.707000000000001</v>
      </c>
      <c r="BT89">
        <v>-3.5813199999999998</v>
      </c>
      <c r="BU89">
        <v>1799.99</v>
      </c>
      <c r="BV89">
        <v>0.91000300000000001</v>
      </c>
      <c r="BW89">
        <v>3.3999599999999998E-2</v>
      </c>
      <c r="BX89">
        <v>2.20098E-2</v>
      </c>
      <c r="BY89">
        <v>3.3987400000000001E-2</v>
      </c>
      <c r="BZ89">
        <v>25</v>
      </c>
      <c r="CA89">
        <v>33528</v>
      </c>
      <c r="CB89">
        <v>1690286268.5999999</v>
      </c>
      <c r="CC89" t="s">
        <v>332</v>
      </c>
      <c r="CD89">
        <v>1690286261.0999999</v>
      </c>
      <c r="CE89">
        <v>1690286268.5999999</v>
      </c>
      <c r="CF89">
        <v>1</v>
      </c>
      <c r="CG89">
        <v>-0.89900000000000002</v>
      </c>
      <c r="CH89">
        <v>3.4000000000000002E-2</v>
      </c>
      <c r="CI89">
        <v>-1.2370000000000001</v>
      </c>
      <c r="CJ89">
        <v>8.5999999999999993E-2</v>
      </c>
      <c r="CK89">
        <v>799</v>
      </c>
      <c r="CL89">
        <v>16</v>
      </c>
      <c r="CM89">
        <v>0.28999999999999998</v>
      </c>
      <c r="CN89">
        <v>0.09</v>
      </c>
      <c r="CO89">
        <v>-324.84541463414632</v>
      </c>
      <c r="CP89">
        <v>-19.73487804878113</v>
      </c>
      <c r="CQ89">
        <v>1.9466416481025219</v>
      </c>
      <c r="CR89">
        <v>-1</v>
      </c>
      <c r="CS89">
        <v>19.60914146341463</v>
      </c>
      <c r="CT89">
        <v>1.9047679442508849</v>
      </c>
      <c r="CU89">
        <v>0.18790248895093431</v>
      </c>
      <c r="CV89">
        <v>-1</v>
      </c>
      <c r="CW89">
        <v>0</v>
      </c>
      <c r="CX89">
        <v>0</v>
      </c>
      <c r="CY89" t="s">
        <v>333</v>
      </c>
      <c r="CZ89">
        <v>2.3651399999999998</v>
      </c>
      <c r="DA89">
        <v>2.7138399999999998</v>
      </c>
      <c r="DB89">
        <v>0.101837</v>
      </c>
      <c r="DC89">
        <v>0.146652</v>
      </c>
      <c r="DD89">
        <v>0.116617</v>
      </c>
      <c r="DE89">
        <v>3.2626200000000001E-2</v>
      </c>
      <c r="DF89">
        <v>32787.699999999997</v>
      </c>
      <c r="DG89">
        <v>27462.2</v>
      </c>
      <c r="DH89">
        <v>31162.400000000001</v>
      </c>
      <c r="DI89">
        <v>28040.1</v>
      </c>
      <c r="DJ89">
        <v>37360.1</v>
      </c>
      <c r="DK89">
        <v>38554.5</v>
      </c>
      <c r="DL89">
        <v>44339.7</v>
      </c>
      <c r="DM89">
        <v>42475.4</v>
      </c>
      <c r="DN89">
        <v>1.4881800000000001</v>
      </c>
      <c r="DO89">
        <v>2.0737199999999998</v>
      </c>
      <c r="DP89">
        <v>8.2653000000000004E-2</v>
      </c>
      <c r="DQ89">
        <v>0.20152300000000001</v>
      </c>
      <c r="DR89">
        <v>25.6188</v>
      </c>
      <c r="DS89">
        <v>25.275600000000001</v>
      </c>
      <c r="DT89">
        <v>64.400000000000006</v>
      </c>
      <c r="DU89">
        <v>24.8</v>
      </c>
      <c r="DV89">
        <v>20.369399999999999</v>
      </c>
      <c r="DW89">
        <v>62.031399999999998</v>
      </c>
      <c r="DX89">
        <v>36.674700000000001</v>
      </c>
      <c r="DY89">
        <v>1</v>
      </c>
      <c r="DZ89">
        <v>-0.140569</v>
      </c>
      <c r="EA89">
        <v>0.11854000000000001</v>
      </c>
      <c r="EB89">
        <v>20.1907</v>
      </c>
      <c r="EC89">
        <v>5.24275</v>
      </c>
      <c r="ED89">
        <v>12.039899999999999</v>
      </c>
      <c r="EE89">
        <v>5.01675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1.8687400000000001</v>
      </c>
      <c r="EL89">
        <v>1.86446</v>
      </c>
      <c r="EM89">
        <v>1.8690500000000001</v>
      </c>
      <c r="EN89">
        <v>1.86707</v>
      </c>
      <c r="EO89">
        <v>1.8632500000000001</v>
      </c>
      <c r="EP89">
        <v>1.86429</v>
      </c>
      <c r="EQ89">
        <v>1.87008</v>
      </c>
      <c r="ER89">
        <v>1.86927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-1.006</v>
      </c>
      <c r="FG89">
        <v>0.19109999999999999</v>
      </c>
      <c r="FH89">
        <v>-0.68620417327404271</v>
      </c>
      <c r="FI89">
        <v>-6.1462078757559423E-4</v>
      </c>
      <c r="FJ89">
        <v>-1.8861989874597051E-7</v>
      </c>
      <c r="FK89">
        <v>1.1980462299894961E-10</v>
      </c>
      <c r="FL89">
        <v>0.1911242781723908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18.3</v>
      </c>
      <c r="FU89">
        <v>18.2</v>
      </c>
      <c r="FV89">
        <v>1.7663599999999999</v>
      </c>
      <c r="FW89">
        <v>2.5634800000000002</v>
      </c>
      <c r="FX89">
        <v>1.5490699999999999</v>
      </c>
      <c r="FY89">
        <v>2.33887</v>
      </c>
      <c r="FZ89">
        <v>1.50146</v>
      </c>
      <c r="GA89">
        <v>2.35229</v>
      </c>
      <c r="GB89">
        <v>30.415400000000002</v>
      </c>
      <c r="GC89">
        <v>23.982399999999998</v>
      </c>
      <c r="GD89">
        <v>19</v>
      </c>
      <c r="GE89">
        <v>285.16500000000002</v>
      </c>
      <c r="GF89">
        <v>606.77</v>
      </c>
      <c r="GG89">
        <v>25.524000000000001</v>
      </c>
      <c r="GH89">
        <v>25.622499999999999</v>
      </c>
      <c r="GI89">
        <v>29.9998</v>
      </c>
      <c r="GJ89">
        <v>25.7194</v>
      </c>
      <c r="GK89">
        <v>25.6769</v>
      </c>
      <c r="GL89">
        <v>35.305199999999999</v>
      </c>
      <c r="GM89">
        <v>75.571100000000001</v>
      </c>
      <c r="GN89">
        <v>73.927999999999997</v>
      </c>
      <c r="GO89">
        <v>25.547499999999999</v>
      </c>
      <c r="GP89">
        <v>800</v>
      </c>
      <c r="GQ89">
        <v>4.54373</v>
      </c>
      <c r="GR89">
        <v>99.696700000000007</v>
      </c>
      <c r="GS89">
        <v>99.386700000000005</v>
      </c>
    </row>
    <row r="90" spans="1:201" x14ac:dyDescent="0.25">
      <c r="A90">
        <v>74</v>
      </c>
      <c r="B90">
        <v>1690287370.0999999</v>
      </c>
      <c r="C90">
        <v>831.5</v>
      </c>
      <c r="D90" t="s">
        <v>481</v>
      </c>
      <c r="E90" t="s">
        <v>482</v>
      </c>
      <c r="F90" t="s">
        <v>330</v>
      </c>
      <c r="H90">
        <v>1690287370.0999999</v>
      </c>
      <c r="I90">
        <f t="shared" si="30"/>
        <v>2.1351426387363937E-3</v>
      </c>
      <c r="J90">
        <f t="shared" si="31"/>
        <v>2.1351426387363936</v>
      </c>
      <c r="K90">
        <f t="shared" si="32"/>
        <v>33.205056090603556</v>
      </c>
      <c r="L90">
        <f t="shared" si="33"/>
        <v>468.39800000000002</v>
      </c>
      <c r="M90">
        <f t="shared" si="34"/>
        <v>118.16042528726949</v>
      </c>
      <c r="N90">
        <f t="shared" si="35"/>
        <v>11.74881652542069</v>
      </c>
      <c r="O90">
        <f t="shared" si="36"/>
        <v>46.573310391316809</v>
      </c>
      <c r="P90">
        <f t="shared" si="37"/>
        <v>0.15963474353078097</v>
      </c>
      <c r="Q90">
        <f t="shared" si="38"/>
        <v>2.3032166892821588</v>
      </c>
      <c r="R90">
        <f t="shared" si="39"/>
        <v>0.15373290694897762</v>
      </c>
      <c r="S90">
        <f t="shared" si="40"/>
        <v>9.6595144225524218E-2</v>
      </c>
      <c r="T90">
        <f t="shared" si="41"/>
        <v>276.11620509599999</v>
      </c>
      <c r="U90">
        <f t="shared" si="42"/>
        <v>27.968353933734672</v>
      </c>
      <c r="V90">
        <f t="shared" si="43"/>
        <v>27.968353933734672</v>
      </c>
      <c r="W90">
        <f t="shared" si="44"/>
        <v>3.7878443746606552</v>
      </c>
      <c r="X90">
        <f t="shared" si="45"/>
        <v>69.97127472781834</v>
      </c>
      <c r="Y90">
        <f t="shared" si="46"/>
        <v>2.45020010615952</v>
      </c>
      <c r="Z90">
        <f t="shared" si="47"/>
        <v>3.5017228365362323</v>
      </c>
      <c r="AA90">
        <f t="shared" si="48"/>
        <v>1.3376442685011352</v>
      </c>
      <c r="AB90">
        <f t="shared" si="49"/>
        <v>-94.159790368274955</v>
      </c>
      <c r="AC90">
        <f t="shared" si="50"/>
        <v>-166.42069553483441</v>
      </c>
      <c r="AD90">
        <f t="shared" si="51"/>
        <v>-15.640268647554995</v>
      </c>
      <c r="AE90">
        <f t="shared" si="52"/>
        <v>-0.10454945466437948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52705.14376910383</v>
      </c>
      <c r="AK90">
        <f t="shared" si="56"/>
        <v>1800</v>
      </c>
      <c r="AL90">
        <f t="shared" si="57"/>
        <v>1499.1137946000001</v>
      </c>
      <c r="AM90">
        <f t="shared" si="58"/>
        <v>0.83284099700000003</v>
      </c>
      <c r="AN90">
        <f t="shared" si="59"/>
        <v>0.15339789171999998</v>
      </c>
      <c r="AO90">
        <v>29.1</v>
      </c>
      <c r="AP90">
        <v>0.5</v>
      </c>
      <c r="AQ90" t="s">
        <v>331</v>
      </c>
      <c r="AR90">
        <v>2</v>
      </c>
      <c r="AS90">
        <v>1690287370.0999999</v>
      </c>
      <c r="AT90">
        <v>468.39800000000002</v>
      </c>
      <c r="AU90">
        <v>800.09400000000005</v>
      </c>
      <c r="AV90">
        <v>24.642199999999999</v>
      </c>
      <c r="AW90">
        <v>4.4474</v>
      </c>
      <c r="AX90">
        <v>469.40100000000001</v>
      </c>
      <c r="AY90">
        <v>24.4511</v>
      </c>
      <c r="AZ90">
        <v>300.08499999999998</v>
      </c>
      <c r="BA90">
        <v>99.331100000000006</v>
      </c>
      <c r="BB90">
        <v>9.9961599999999998E-2</v>
      </c>
      <c r="BC90">
        <v>26.6281</v>
      </c>
      <c r="BD90">
        <v>26.944600000000001</v>
      </c>
      <c r="BE90">
        <v>28.502800000000001</v>
      </c>
      <c r="BF90">
        <v>0</v>
      </c>
      <c r="BG90">
        <v>0</v>
      </c>
      <c r="BH90">
        <v>10023.1</v>
      </c>
      <c r="BI90">
        <v>1086.33</v>
      </c>
      <c r="BJ90">
        <v>1.3455900000000001</v>
      </c>
      <c r="BK90">
        <v>-331.697</v>
      </c>
      <c r="BL90">
        <v>480.23200000000003</v>
      </c>
      <c r="BM90">
        <v>803.66800000000001</v>
      </c>
      <c r="BN90">
        <v>20.194800000000001</v>
      </c>
      <c r="BO90">
        <v>800.09400000000005</v>
      </c>
      <c r="BP90">
        <v>4.4474</v>
      </c>
      <c r="BQ90">
        <v>2.44774</v>
      </c>
      <c r="BR90">
        <v>0.44176599999999999</v>
      </c>
      <c r="BS90">
        <v>20.6831</v>
      </c>
      <c r="BT90">
        <v>-4.4414400000000001</v>
      </c>
      <c r="BU90">
        <v>1800</v>
      </c>
      <c r="BV90">
        <v>0.91000099999999995</v>
      </c>
      <c r="BW90">
        <v>3.3996800000000001E-2</v>
      </c>
      <c r="BX90">
        <v>2.2008099999999999E-2</v>
      </c>
      <c r="BY90">
        <v>3.3993799999999998E-2</v>
      </c>
      <c r="BZ90">
        <v>25</v>
      </c>
      <c r="CA90">
        <v>33528.199999999997</v>
      </c>
      <c r="CB90">
        <v>1690286268.5999999</v>
      </c>
      <c r="CC90" t="s">
        <v>332</v>
      </c>
      <c r="CD90">
        <v>1690286261.0999999</v>
      </c>
      <c r="CE90">
        <v>1690286268.5999999</v>
      </c>
      <c r="CF90">
        <v>1</v>
      </c>
      <c r="CG90">
        <v>-0.89900000000000002</v>
      </c>
      <c r="CH90">
        <v>3.4000000000000002E-2</v>
      </c>
      <c r="CI90">
        <v>-1.2370000000000001</v>
      </c>
      <c r="CJ90">
        <v>8.5999999999999993E-2</v>
      </c>
      <c r="CK90">
        <v>799</v>
      </c>
      <c r="CL90">
        <v>16</v>
      </c>
      <c r="CM90">
        <v>0.28999999999999998</v>
      </c>
      <c r="CN90">
        <v>0.09</v>
      </c>
      <c r="CO90">
        <v>-328.39355</v>
      </c>
      <c r="CP90">
        <v>-19.747857410881171</v>
      </c>
      <c r="CQ90">
        <v>1.900317630687038</v>
      </c>
      <c r="CR90">
        <v>-1</v>
      </c>
      <c r="CS90">
        <v>19.922682500000001</v>
      </c>
      <c r="CT90">
        <v>1.597027767354563</v>
      </c>
      <c r="CU90">
        <v>0.15386013922959371</v>
      </c>
      <c r="CV90">
        <v>-1</v>
      </c>
      <c r="CW90">
        <v>0</v>
      </c>
      <c r="CX90">
        <v>0</v>
      </c>
      <c r="CY90" t="s">
        <v>333</v>
      </c>
      <c r="CZ90">
        <v>2.3648400000000001</v>
      </c>
      <c r="DA90">
        <v>2.7137699999999998</v>
      </c>
      <c r="DB90">
        <v>0.101327</v>
      </c>
      <c r="DC90">
        <v>0.146649</v>
      </c>
      <c r="DD90">
        <v>0.116495</v>
      </c>
      <c r="DE90">
        <v>3.0901100000000001E-2</v>
      </c>
      <c r="DF90">
        <v>32807.1</v>
      </c>
      <c r="DG90">
        <v>27463.200000000001</v>
      </c>
      <c r="DH90">
        <v>31163.200000000001</v>
      </c>
      <c r="DI90">
        <v>28040.9</v>
      </c>
      <c r="DJ90">
        <v>37366.400000000001</v>
      </c>
      <c r="DK90">
        <v>38624.699999999997</v>
      </c>
      <c r="DL90">
        <v>44341</v>
      </c>
      <c r="DM90">
        <v>42476.800000000003</v>
      </c>
      <c r="DN90">
        <v>1.4885999999999999</v>
      </c>
      <c r="DO90">
        <v>2.0733000000000001</v>
      </c>
      <c r="DP90">
        <v>8.0842499999999998E-2</v>
      </c>
      <c r="DQ90">
        <v>0.19739200000000001</v>
      </c>
      <c r="DR90">
        <v>25.620999999999999</v>
      </c>
      <c r="DS90">
        <v>25.274100000000001</v>
      </c>
      <c r="DT90">
        <v>64.099999999999994</v>
      </c>
      <c r="DU90">
        <v>24.8</v>
      </c>
      <c r="DV90">
        <v>20.276900000000001</v>
      </c>
      <c r="DW90">
        <v>62.051400000000001</v>
      </c>
      <c r="DX90">
        <v>37.087299999999999</v>
      </c>
      <c r="DY90">
        <v>1</v>
      </c>
      <c r="DZ90">
        <v>-0.14150699999999999</v>
      </c>
      <c r="EA90">
        <v>-0.50306600000000001</v>
      </c>
      <c r="EB90">
        <v>20.1906</v>
      </c>
      <c r="EC90">
        <v>5.2438000000000002</v>
      </c>
      <c r="ED90">
        <v>12.039899999999999</v>
      </c>
      <c r="EE90">
        <v>5.0172999999999996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1.8687400000000001</v>
      </c>
      <c r="EL90">
        <v>1.86446</v>
      </c>
      <c r="EM90">
        <v>1.86907</v>
      </c>
      <c r="EN90">
        <v>1.8670800000000001</v>
      </c>
      <c r="EO90">
        <v>1.8632500000000001</v>
      </c>
      <c r="EP90">
        <v>1.8643099999999999</v>
      </c>
      <c r="EQ90">
        <v>1.8700600000000001</v>
      </c>
      <c r="ER90">
        <v>1.8692899999999999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-1.0029999999999999</v>
      </c>
      <c r="FG90">
        <v>0.19109999999999999</v>
      </c>
      <c r="FH90">
        <v>-0.68620417327404271</v>
      </c>
      <c r="FI90">
        <v>-6.1462078757559423E-4</v>
      </c>
      <c r="FJ90">
        <v>-1.8861989874597051E-7</v>
      </c>
      <c r="FK90">
        <v>1.1980462299894961E-10</v>
      </c>
      <c r="FL90">
        <v>0.1911242781723908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18.5</v>
      </c>
      <c r="FU90">
        <v>18.399999999999999</v>
      </c>
      <c r="FV90">
        <v>1.7651399999999999</v>
      </c>
      <c r="FW90">
        <v>2.5647000000000002</v>
      </c>
      <c r="FX90">
        <v>1.5490699999999999</v>
      </c>
      <c r="FY90">
        <v>2.34009</v>
      </c>
      <c r="FZ90">
        <v>1.50146</v>
      </c>
      <c r="GA90">
        <v>2.2973599999999998</v>
      </c>
      <c r="GB90">
        <v>30.415400000000002</v>
      </c>
      <c r="GC90">
        <v>23.982399999999998</v>
      </c>
      <c r="GD90">
        <v>19</v>
      </c>
      <c r="GE90">
        <v>285.346</v>
      </c>
      <c r="GF90">
        <v>606.40899999999999</v>
      </c>
      <c r="GG90">
        <v>25.5063</v>
      </c>
      <c r="GH90">
        <v>25.621500000000001</v>
      </c>
      <c r="GI90">
        <v>29.9999</v>
      </c>
      <c r="GJ90">
        <v>25.7194</v>
      </c>
      <c r="GK90">
        <v>25.6769</v>
      </c>
      <c r="GL90">
        <v>35.297400000000003</v>
      </c>
      <c r="GM90">
        <v>76.463800000000006</v>
      </c>
      <c r="GN90">
        <v>72.674400000000006</v>
      </c>
      <c r="GO90">
        <v>25.596599999999999</v>
      </c>
      <c r="GP90">
        <v>800</v>
      </c>
      <c r="GQ90">
        <v>4.2624500000000003</v>
      </c>
      <c r="GR90">
        <v>99.6995</v>
      </c>
      <c r="GS90">
        <v>99.389799999999994</v>
      </c>
    </row>
    <row r="91" spans="1:201" x14ac:dyDescent="0.25">
      <c r="A91">
        <v>75</v>
      </c>
      <c r="B91">
        <v>1690287380.0999999</v>
      </c>
      <c r="C91">
        <v>841.5</v>
      </c>
      <c r="D91" t="s">
        <v>483</v>
      </c>
      <c r="E91" t="s">
        <v>484</v>
      </c>
      <c r="F91" t="s">
        <v>330</v>
      </c>
      <c r="H91">
        <v>1690287380.0999999</v>
      </c>
      <c r="I91">
        <f t="shared" si="30"/>
        <v>2.1658519269613969E-3</v>
      </c>
      <c r="J91">
        <f t="shared" si="31"/>
        <v>2.1658519269613969</v>
      </c>
      <c r="K91">
        <f t="shared" si="32"/>
        <v>33.535647298501011</v>
      </c>
      <c r="L91">
        <f t="shared" si="33"/>
        <v>465.30900000000003</v>
      </c>
      <c r="M91">
        <f t="shared" si="34"/>
        <v>117.70942371128423</v>
      </c>
      <c r="N91">
        <f t="shared" si="35"/>
        <v>11.704187920886783</v>
      </c>
      <c r="O91">
        <f t="shared" si="36"/>
        <v>46.267017589330202</v>
      </c>
      <c r="P91">
        <f t="shared" si="37"/>
        <v>0.16254493222163019</v>
      </c>
      <c r="Q91">
        <f t="shared" si="38"/>
        <v>2.2995829104812828</v>
      </c>
      <c r="R91">
        <f t="shared" si="39"/>
        <v>0.1564211122863875</v>
      </c>
      <c r="S91">
        <f t="shared" si="40"/>
        <v>9.8294173576168209E-2</v>
      </c>
      <c r="T91">
        <f t="shared" si="41"/>
        <v>276.11305739905157</v>
      </c>
      <c r="U91">
        <f t="shared" si="42"/>
        <v>27.946893003001222</v>
      </c>
      <c r="V91">
        <f t="shared" si="43"/>
        <v>27.946893003001222</v>
      </c>
      <c r="W91">
        <f t="shared" si="44"/>
        <v>3.7831068794891376</v>
      </c>
      <c r="X91">
        <f t="shared" si="45"/>
        <v>70.005925323382641</v>
      </c>
      <c r="Y91">
        <f t="shared" si="46"/>
        <v>2.4494794745090993</v>
      </c>
      <c r="Z91">
        <f t="shared" si="47"/>
        <v>3.4989602140019853</v>
      </c>
      <c r="AA91">
        <f t="shared" si="48"/>
        <v>1.3336274049800383</v>
      </c>
      <c r="AB91">
        <f t="shared" si="49"/>
        <v>-95.514069978997597</v>
      </c>
      <c r="AC91">
        <f t="shared" si="50"/>
        <v>-165.15877924371657</v>
      </c>
      <c r="AD91">
        <f t="shared" si="51"/>
        <v>-15.543492715328348</v>
      </c>
      <c r="AE91">
        <f t="shared" si="52"/>
        <v>-0.10328453899094825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52569.878238505604</v>
      </c>
      <c r="AK91">
        <f t="shared" si="56"/>
        <v>1799.98</v>
      </c>
      <c r="AL91">
        <f t="shared" si="57"/>
        <v>1499.0948518054599</v>
      </c>
      <c r="AM91">
        <f t="shared" si="58"/>
        <v>0.83283972699999997</v>
      </c>
      <c r="AN91">
        <f t="shared" si="59"/>
        <v>0.15339784741999998</v>
      </c>
      <c r="AO91">
        <v>29.1</v>
      </c>
      <c r="AP91">
        <v>0.5</v>
      </c>
      <c r="AQ91" t="s">
        <v>331</v>
      </c>
      <c r="AR91">
        <v>2</v>
      </c>
      <c r="AS91">
        <v>1690287380.0999999</v>
      </c>
      <c r="AT91">
        <v>465.30900000000003</v>
      </c>
      <c r="AU91">
        <v>800.12699999999995</v>
      </c>
      <c r="AV91">
        <v>24.634499999999999</v>
      </c>
      <c r="AW91">
        <v>4.1587699999999996</v>
      </c>
      <c r="AX91">
        <v>466.31099999999998</v>
      </c>
      <c r="AY91">
        <v>24.4434</v>
      </c>
      <c r="AZ91">
        <v>300.22699999999998</v>
      </c>
      <c r="BA91">
        <v>99.332899999999995</v>
      </c>
      <c r="BB91">
        <v>9.9987800000000002E-2</v>
      </c>
      <c r="BC91">
        <v>26.614699999999999</v>
      </c>
      <c r="BD91">
        <v>26.920999999999999</v>
      </c>
      <c r="BE91">
        <v>28.457100000000001</v>
      </c>
      <c r="BF91">
        <v>0</v>
      </c>
      <c r="BG91">
        <v>0</v>
      </c>
      <c r="BH91">
        <v>9995.6200000000008</v>
      </c>
      <c r="BI91">
        <v>1086.25</v>
      </c>
      <c r="BJ91">
        <v>1.361</v>
      </c>
      <c r="BK91">
        <v>-334.81799999999998</v>
      </c>
      <c r="BL91">
        <v>477.06099999999998</v>
      </c>
      <c r="BM91">
        <v>803.46799999999996</v>
      </c>
      <c r="BN91">
        <v>20.4757</v>
      </c>
      <c r="BO91">
        <v>800.12699999999995</v>
      </c>
      <c r="BP91">
        <v>4.1587699999999996</v>
      </c>
      <c r="BQ91">
        <v>2.4470200000000002</v>
      </c>
      <c r="BR91">
        <v>0.413103</v>
      </c>
      <c r="BS91">
        <v>20.6783</v>
      </c>
      <c r="BT91">
        <v>-5.3279699999999997</v>
      </c>
      <c r="BU91">
        <v>1799.98</v>
      </c>
      <c r="BV91">
        <v>0.90998699999999999</v>
      </c>
      <c r="BW91">
        <v>3.3993700000000002E-2</v>
      </c>
      <c r="BX91">
        <v>2.2006100000000001E-2</v>
      </c>
      <c r="BY91">
        <v>3.4013000000000002E-2</v>
      </c>
      <c r="BZ91">
        <v>25</v>
      </c>
      <c r="CA91">
        <v>33528</v>
      </c>
      <c r="CB91">
        <v>1690286268.5999999</v>
      </c>
      <c r="CC91" t="s">
        <v>332</v>
      </c>
      <c r="CD91">
        <v>1690286261.0999999</v>
      </c>
      <c r="CE91">
        <v>1690286268.5999999</v>
      </c>
      <c r="CF91">
        <v>1</v>
      </c>
      <c r="CG91">
        <v>-0.89900000000000002</v>
      </c>
      <c r="CH91">
        <v>3.4000000000000002E-2</v>
      </c>
      <c r="CI91">
        <v>-1.2370000000000001</v>
      </c>
      <c r="CJ91">
        <v>8.5999999999999993E-2</v>
      </c>
      <c r="CK91">
        <v>799</v>
      </c>
      <c r="CL91">
        <v>16</v>
      </c>
      <c r="CM91">
        <v>0.28999999999999998</v>
      </c>
      <c r="CN91">
        <v>0.09</v>
      </c>
      <c r="CO91">
        <v>-331.28772500000002</v>
      </c>
      <c r="CP91">
        <v>-18.778908067541249</v>
      </c>
      <c r="CQ91">
        <v>1.8073201983530729</v>
      </c>
      <c r="CR91">
        <v>-1</v>
      </c>
      <c r="CS91">
        <v>20.161792500000001</v>
      </c>
      <c r="CT91">
        <v>1.6021609756096751</v>
      </c>
      <c r="CU91">
        <v>0.154241240249649</v>
      </c>
      <c r="CV91">
        <v>-1</v>
      </c>
      <c r="CW91">
        <v>0</v>
      </c>
      <c r="CX91">
        <v>0</v>
      </c>
      <c r="CY91" t="s">
        <v>333</v>
      </c>
      <c r="CZ91">
        <v>2.3653200000000001</v>
      </c>
      <c r="DA91">
        <v>2.7137799999999999</v>
      </c>
      <c r="DB91">
        <v>0.10083499999999999</v>
      </c>
      <c r="DC91">
        <v>0.146649</v>
      </c>
      <c r="DD91">
        <v>0.11647200000000001</v>
      </c>
      <c r="DE91">
        <v>2.9194899999999999E-2</v>
      </c>
      <c r="DF91">
        <v>32825.599999999999</v>
      </c>
      <c r="DG91">
        <v>27463.9</v>
      </c>
      <c r="DH91">
        <v>31163.599999999999</v>
      </c>
      <c r="DI91">
        <v>28041.7</v>
      </c>
      <c r="DJ91">
        <v>37367.800000000003</v>
      </c>
      <c r="DK91">
        <v>38693.9</v>
      </c>
      <c r="DL91">
        <v>44341.599999999999</v>
      </c>
      <c r="DM91">
        <v>42477.8</v>
      </c>
      <c r="DN91">
        <v>1.48925</v>
      </c>
      <c r="DO91">
        <v>2.0728800000000001</v>
      </c>
      <c r="DP91">
        <v>7.9531199999999996E-2</v>
      </c>
      <c r="DQ91">
        <v>0.19475400000000001</v>
      </c>
      <c r="DR91">
        <v>25.6188</v>
      </c>
      <c r="DS91">
        <v>25.2713</v>
      </c>
      <c r="DT91">
        <v>63.7</v>
      </c>
      <c r="DU91">
        <v>24.8</v>
      </c>
      <c r="DV91">
        <v>20.148199999999999</v>
      </c>
      <c r="DW91">
        <v>62.071399999999997</v>
      </c>
      <c r="DX91">
        <v>36.8309</v>
      </c>
      <c r="DY91">
        <v>1</v>
      </c>
      <c r="DZ91">
        <v>-0.14228399999999999</v>
      </c>
      <c r="EA91">
        <v>-0.75990500000000005</v>
      </c>
      <c r="EB91">
        <v>20.189399999999999</v>
      </c>
      <c r="EC91">
        <v>5.2436499999999997</v>
      </c>
      <c r="ED91">
        <v>12.039899999999999</v>
      </c>
      <c r="EE91">
        <v>5.0168999999999997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1.8687400000000001</v>
      </c>
      <c r="EL91">
        <v>1.8644499999999999</v>
      </c>
      <c r="EM91">
        <v>1.8690599999999999</v>
      </c>
      <c r="EN91">
        <v>1.8670800000000001</v>
      </c>
      <c r="EO91">
        <v>1.8632500000000001</v>
      </c>
      <c r="EP91">
        <v>1.86425</v>
      </c>
      <c r="EQ91">
        <v>1.8700600000000001</v>
      </c>
      <c r="ER91">
        <v>1.8692899999999999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-1.002</v>
      </c>
      <c r="FG91">
        <v>0.19109999999999999</v>
      </c>
      <c r="FH91">
        <v>-0.68620417327404271</v>
      </c>
      <c r="FI91">
        <v>-6.1462078757559423E-4</v>
      </c>
      <c r="FJ91">
        <v>-1.8861989874597051E-7</v>
      </c>
      <c r="FK91">
        <v>1.1980462299894961E-10</v>
      </c>
      <c r="FL91">
        <v>0.1911242781723908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18.600000000000001</v>
      </c>
      <c r="FU91">
        <v>18.5</v>
      </c>
      <c r="FV91">
        <v>1.7651399999999999</v>
      </c>
      <c r="FW91">
        <v>2.5622600000000002</v>
      </c>
      <c r="FX91">
        <v>1.5490699999999999</v>
      </c>
      <c r="FY91">
        <v>2.33887</v>
      </c>
      <c r="FZ91">
        <v>1.50146</v>
      </c>
      <c r="GA91">
        <v>2.2863799999999999</v>
      </c>
      <c r="GB91">
        <v>30.436900000000001</v>
      </c>
      <c r="GC91">
        <v>23.982399999999998</v>
      </c>
      <c r="GD91">
        <v>19</v>
      </c>
      <c r="GE91">
        <v>285.62400000000002</v>
      </c>
      <c r="GF91">
        <v>606.048</v>
      </c>
      <c r="GG91">
        <v>25.622499999999999</v>
      </c>
      <c r="GH91">
        <v>25.619299999999999</v>
      </c>
      <c r="GI91">
        <v>29.9998</v>
      </c>
      <c r="GJ91">
        <v>25.7194</v>
      </c>
      <c r="GK91">
        <v>25.6769</v>
      </c>
      <c r="GL91">
        <v>35.290799999999997</v>
      </c>
      <c r="GM91">
        <v>77.295900000000003</v>
      </c>
      <c r="GN91">
        <v>71.549800000000005</v>
      </c>
      <c r="GO91">
        <v>25.695399999999999</v>
      </c>
      <c r="GP91">
        <v>800</v>
      </c>
      <c r="GQ91">
        <v>3.9632800000000001</v>
      </c>
      <c r="GR91">
        <v>99.700800000000001</v>
      </c>
      <c r="GS91">
        <v>99.392399999999995</v>
      </c>
    </row>
    <row r="92" spans="1:201" x14ac:dyDescent="0.25">
      <c r="A92">
        <v>76</v>
      </c>
      <c r="B92">
        <v>1690287390.0999999</v>
      </c>
      <c r="C92">
        <v>851.5</v>
      </c>
      <c r="D92" t="s">
        <v>485</v>
      </c>
      <c r="E92" t="s">
        <v>486</v>
      </c>
      <c r="F92" t="s">
        <v>330</v>
      </c>
      <c r="H92">
        <v>1690287390.0999999</v>
      </c>
      <c r="I92">
        <f t="shared" si="30"/>
        <v>2.1964586153446638E-3</v>
      </c>
      <c r="J92">
        <f t="shared" si="31"/>
        <v>2.1964586153446639</v>
      </c>
      <c r="K92">
        <f t="shared" si="32"/>
        <v>33.837354526714961</v>
      </c>
      <c r="L92">
        <f t="shared" si="33"/>
        <v>462.27300000000002</v>
      </c>
      <c r="M92">
        <f t="shared" si="34"/>
        <v>117.10305575926246</v>
      </c>
      <c r="N92">
        <f t="shared" si="35"/>
        <v>11.643863175737332</v>
      </c>
      <c r="O92">
        <f t="shared" si="36"/>
        <v>45.965013696168</v>
      </c>
      <c r="P92">
        <f t="shared" si="37"/>
        <v>0.16524898748340192</v>
      </c>
      <c r="Q92">
        <f t="shared" si="38"/>
        <v>2.2987471345435306</v>
      </c>
      <c r="R92">
        <f t="shared" si="39"/>
        <v>0.15892178326897433</v>
      </c>
      <c r="S92">
        <f t="shared" si="40"/>
        <v>9.9874403511998319E-2</v>
      </c>
      <c r="T92">
        <f t="shared" si="41"/>
        <v>276.11583811200001</v>
      </c>
      <c r="U92">
        <f t="shared" si="42"/>
        <v>27.939793925052133</v>
      </c>
      <c r="V92">
        <f t="shared" si="43"/>
        <v>27.939793925052133</v>
      </c>
      <c r="W92">
        <f t="shared" si="44"/>
        <v>3.7815408980627838</v>
      </c>
      <c r="X92">
        <f t="shared" si="45"/>
        <v>70.020842542868351</v>
      </c>
      <c r="Y92">
        <f t="shared" si="46"/>
        <v>2.4503477858727996</v>
      </c>
      <c r="Z92">
        <f t="shared" si="47"/>
        <v>3.4994548721298822</v>
      </c>
      <c r="AA92">
        <f t="shared" si="48"/>
        <v>1.3311931121899843</v>
      </c>
      <c r="AB92">
        <f t="shared" si="49"/>
        <v>-96.863824936699672</v>
      </c>
      <c r="AC92">
        <f t="shared" si="50"/>
        <v>-163.92153156438502</v>
      </c>
      <c r="AD92">
        <f t="shared" si="51"/>
        <v>-15.432297957957967</v>
      </c>
      <c r="AE92">
        <f t="shared" si="52"/>
        <v>-0.1018163470426714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52537.815773987299</v>
      </c>
      <c r="AK92">
        <f t="shared" si="56"/>
        <v>1800</v>
      </c>
      <c r="AL92">
        <f t="shared" si="57"/>
        <v>1499.1129251999998</v>
      </c>
      <c r="AM92">
        <f t="shared" si="58"/>
        <v>0.83284051399999992</v>
      </c>
      <c r="AN92">
        <f t="shared" si="59"/>
        <v>0.15339768783999999</v>
      </c>
      <c r="AO92">
        <v>29.1</v>
      </c>
      <c r="AP92">
        <v>0.5</v>
      </c>
      <c r="AQ92" t="s">
        <v>331</v>
      </c>
      <c r="AR92">
        <v>2</v>
      </c>
      <c r="AS92">
        <v>1690287390.0999999</v>
      </c>
      <c r="AT92">
        <v>462.27300000000002</v>
      </c>
      <c r="AU92">
        <v>800.08199999999999</v>
      </c>
      <c r="AV92">
        <v>24.6433</v>
      </c>
      <c r="AW92">
        <v>3.8788200000000002</v>
      </c>
      <c r="AX92">
        <v>463.27300000000002</v>
      </c>
      <c r="AY92">
        <v>24.452200000000001</v>
      </c>
      <c r="AZ92">
        <v>300.233</v>
      </c>
      <c r="BA92">
        <v>99.332599999999999</v>
      </c>
      <c r="BB92">
        <v>0.10001599999999999</v>
      </c>
      <c r="BC92">
        <v>26.617100000000001</v>
      </c>
      <c r="BD92">
        <v>26.930599999999998</v>
      </c>
      <c r="BE92">
        <v>28.452100000000002</v>
      </c>
      <c r="BF92">
        <v>0</v>
      </c>
      <c r="BG92">
        <v>0</v>
      </c>
      <c r="BH92">
        <v>9989.3799999999992</v>
      </c>
      <c r="BI92">
        <v>1086.2</v>
      </c>
      <c r="BJ92">
        <v>1.3582000000000001</v>
      </c>
      <c r="BK92">
        <v>-337.80900000000003</v>
      </c>
      <c r="BL92">
        <v>473.95299999999997</v>
      </c>
      <c r="BM92">
        <v>803.19799999999998</v>
      </c>
      <c r="BN92">
        <v>20.764500000000002</v>
      </c>
      <c r="BO92">
        <v>800.08199999999999</v>
      </c>
      <c r="BP92">
        <v>3.8788200000000002</v>
      </c>
      <c r="BQ92">
        <v>2.4478800000000001</v>
      </c>
      <c r="BR92">
        <v>0.385293</v>
      </c>
      <c r="BS92">
        <v>20.684100000000001</v>
      </c>
      <c r="BT92">
        <v>-6.2419799999999999</v>
      </c>
      <c r="BU92">
        <v>1800</v>
      </c>
      <c r="BV92">
        <v>0.909995</v>
      </c>
      <c r="BW92">
        <v>3.3990800000000002E-2</v>
      </c>
      <c r="BX92">
        <v>2.2004200000000002E-2</v>
      </c>
      <c r="BY92">
        <v>3.4009999999999999E-2</v>
      </c>
      <c r="BZ92">
        <v>25</v>
      </c>
      <c r="CA92">
        <v>33528.300000000003</v>
      </c>
      <c r="CB92">
        <v>1690286268.5999999</v>
      </c>
      <c r="CC92" t="s">
        <v>332</v>
      </c>
      <c r="CD92">
        <v>1690286261.0999999</v>
      </c>
      <c r="CE92">
        <v>1690286268.5999999</v>
      </c>
      <c r="CF92">
        <v>1</v>
      </c>
      <c r="CG92">
        <v>-0.89900000000000002</v>
      </c>
      <c r="CH92">
        <v>3.4000000000000002E-2</v>
      </c>
      <c r="CI92">
        <v>-1.2370000000000001</v>
      </c>
      <c r="CJ92">
        <v>8.5999999999999993E-2</v>
      </c>
      <c r="CK92">
        <v>799</v>
      </c>
      <c r="CL92">
        <v>16</v>
      </c>
      <c r="CM92">
        <v>0.28999999999999998</v>
      </c>
      <c r="CN92">
        <v>0.09</v>
      </c>
      <c r="CO92">
        <v>-334.48104878048792</v>
      </c>
      <c r="CP92">
        <v>-18.387449477352689</v>
      </c>
      <c r="CQ92">
        <v>1.8139166753016951</v>
      </c>
      <c r="CR92">
        <v>-1</v>
      </c>
      <c r="CS92">
        <v>20.448251219512191</v>
      </c>
      <c r="CT92">
        <v>1.7435059233449759</v>
      </c>
      <c r="CU92">
        <v>0.17196601780293869</v>
      </c>
      <c r="CV92">
        <v>-1</v>
      </c>
      <c r="CW92">
        <v>0</v>
      </c>
      <c r="CX92">
        <v>0</v>
      </c>
      <c r="CY92" t="s">
        <v>333</v>
      </c>
      <c r="CZ92">
        <v>2.3653400000000002</v>
      </c>
      <c r="DA92">
        <v>2.7138</v>
      </c>
      <c r="DB92">
        <v>0.10034700000000001</v>
      </c>
      <c r="DC92">
        <v>0.14663799999999999</v>
      </c>
      <c r="DD92">
        <v>0.11650099999999999</v>
      </c>
      <c r="DE92">
        <v>2.75105E-2</v>
      </c>
      <c r="DF92">
        <v>32843.699999999997</v>
      </c>
      <c r="DG92">
        <v>27464.7</v>
      </c>
      <c r="DH92">
        <v>31163.9</v>
      </c>
      <c r="DI92">
        <v>28042.2</v>
      </c>
      <c r="DJ92">
        <v>37366.9</v>
      </c>
      <c r="DK92">
        <v>38761.9</v>
      </c>
      <c r="DL92">
        <v>44342.1</v>
      </c>
      <c r="DM92">
        <v>42478.6</v>
      </c>
      <c r="DN92">
        <v>1.4893000000000001</v>
      </c>
      <c r="DO92">
        <v>2.0724499999999999</v>
      </c>
      <c r="DP92">
        <v>8.0250199999999994E-2</v>
      </c>
      <c r="DQ92">
        <v>0.19470599999999999</v>
      </c>
      <c r="DR92">
        <v>25.616700000000002</v>
      </c>
      <c r="DS92">
        <v>25.267099999999999</v>
      </c>
      <c r="DT92">
        <v>63.3</v>
      </c>
      <c r="DU92">
        <v>24.8</v>
      </c>
      <c r="DV92">
        <v>20.023299999999999</v>
      </c>
      <c r="DW92">
        <v>62.331400000000002</v>
      </c>
      <c r="DX92">
        <v>36.145800000000001</v>
      </c>
      <c r="DY92">
        <v>1</v>
      </c>
      <c r="DZ92">
        <v>-0.14195099999999999</v>
      </c>
      <c r="EA92">
        <v>-0.838279</v>
      </c>
      <c r="EB92">
        <v>20.188600000000001</v>
      </c>
      <c r="EC92">
        <v>5.24275</v>
      </c>
      <c r="ED92">
        <v>12.039899999999999</v>
      </c>
      <c r="EE92">
        <v>5.01715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1.8687400000000001</v>
      </c>
      <c r="EL92">
        <v>1.86446</v>
      </c>
      <c r="EM92">
        <v>1.8690599999999999</v>
      </c>
      <c r="EN92">
        <v>1.8670800000000001</v>
      </c>
      <c r="EO92">
        <v>1.8632500000000001</v>
      </c>
      <c r="EP92">
        <v>1.8642799999999999</v>
      </c>
      <c r="EQ92">
        <v>1.87009</v>
      </c>
      <c r="ER92">
        <v>1.8693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-1</v>
      </c>
      <c r="FG92">
        <v>0.19109999999999999</v>
      </c>
      <c r="FH92">
        <v>-0.68620417327404271</v>
      </c>
      <c r="FI92">
        <v>-6.1462078757559423E-4</v>
      </c>
      <c r="FJ92">
        <v>-1.8861989874597051E-7</v>
      </c>
      <c r="FK92">
        <v>1.1980462299894961E-10</v>
      </c>
      <c r="FL92">
        <v>0.1911242781723908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18.8</v>
      </c>
      <c r="FU92">
        <v>18.7</v>
      </c>
      <c r="FV92">
        <v>1.7639199999999999</v>
      </c>
      <c r="FW92">
        <v>2.5598100000000001</v>
      </c>
      <c r="FX92">
        <v>1.5490699999999999</v>
      </c>
      <c r="FY92">
        <v>2.34009</v>
      </c>
      <c r="FZ92">
        <v>1.50146</v>
      </c>
      <c r="GA92">
        <v>2.3290999999999999</v>
      </c>
      <c r="GB92">
        <v>30.436900000000001</v>
      </c>
      <c r="GC92">
        <v>23.991199999999999</v>
      </c>
      <c r="GD92">
        <v>19</v>
      </c>
      <c r="GE92">
        <v>285.64499999999998</v>
      </c>
      <c r="GF92">
        <v>605.68700000000001</v>
      </c>
      <c r="GG92">
        <v>25.746300000000002</v>
      </c>
      <c r="GH92">
        <v>25.619299999999999</v>
      </c>
      <c r="GI92">
        <v>30.000299999999999</v>
      </c>
      <c r="GJ92">
        <v>25.7194</v>
      </c>
      <c r="GK92">
        <v>25.6769</v>
      </c>
      <c r="GL92">
        <v>35.281599999999997</v>
      </c>
      <c r="GM92">
        <v>78.505300000000005</v>
      </c>
      <c r="GN92">
        <v>70.418599999999998</v>
      </c>
      <c r="GO92">
        <v>25.8032</v>
      </c>
      <c r="GP92">
        <v>800</v>
      </c>
      <c r="GQ92">
        <v>3.65665</v>
      </c>
      <c r="GR92">
        <v>99.701800000000006</v>
      </c>
      <c r="GS92">
        <v>99.394199999999998</v>
      </c>
    </row>
    <row r="93" spans="1:201" x14ac:dyDescent="0.25">
      <c r="A93">
        <v>77</v>
      </c>
      <c r="B93">
        <v>1690287400.0999999</v>
      </c>
      <c r="C93">
        <v>861.5</v>
      </c>
      <c r="D93" t="s">
        <v>487</v>
      </c>
      <c r="E93" t="s">
        <v>488</v>
      </c>
      <c r="F93" t="s">
        <v>330</v>
      </c>
      <c r="H93">
        <v>1690287400.0999999</v>
      </c>
      <c r="I93">
        <f t="shared" si="30"/>
        <v>2.2302062030390142E-3</v>
      </c>
      <c r="J93">
        <f t="shared" si="31"/>
        <v>2.2302062030390144</v>
      </c>
      <c r="K93">
        <f t="shared" si="32"/>
        <v>34.152170056924078</v>
      </c>
      <c r="L93">
        <f t="shared" si="33"/>
        <v>459.27</v>
      </c>
      <c r="M93">
        <f t="shared" si="34"/>
        <v>116.40531389921956</v>
      </c>
      <c r="N93">
        <f t="shared" si="35"/>
        <v>11.574775192153426</v>
      </c>
      <c r="O93">
        <f t="shared" si="36"/>
        <v>45.667562969699993</v>
      </c>
      <c r="P93">
        <f t="shared" si="37"/>
        <v>0.16799790879196705</v>
      </c>
      <c r="Q93">
        <f t="shared" si="38"/>
        <v>2.2989446319609921</v>
      </c>
      <c r="R93">
        <f t="shared" si="39"/>
        <v>0.16146346205056689</v>
      </c>
      <c r="S93">
        <f t="shared" si="40"/>
        <v>0.10148058051885245</v>
      </c>
      <c r="T93">
        <f t="shared" si="41"/>
        <v>276.11434882887329</v>
      </c>
      <c r="U93">
        <f t="shared" si="42"/>
        <v>27.941583519951379</v>
      </c>
      <c r="V93">
        <f t="shared" si="43"/>
        <v>27.941583519951379</v>
      </c>
      <c r="W93">
        <f t="shared" si="44"/>
        <v>3.7819356104233584</v>
      </c>
      <c r="X93">
        <f t="shared" si="45"/>
        <v>70.001784991880939</v>
      </c>
      <c r="Y93">
        <f t="shared" si="46"/>
        <v>2.4515428065169997</v>
      </c>
      <c r="Z93">
        <f t="shared" si="47"/>
        <v>3.5021147057912008</v>
      </c>
      <c r="AA93">
        <f t="shared" si="48"/>
        <v>1.3303928039063586</v>
      </c>
      <c r="AB93">
        <f t="shared" si="49"/>
        <v>-98.352093554020527</v>
      </c>
      <c r="AC93">
        <f t="shared" si="50"/>
        <v>-162.55858350373401</v>
      </c>
      <c r="AD93">
        <f t="shared" si="51"/>
        <v>-15.303790956913602</v>
      </c>
      <c r="AE93">
        <f t="shared" si="52"/>
        <v>-0.10011918579485268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52543.079679194518</v>
      </c>
      <c r="AK93">
        <f t="shared" si="56"/>
        <v>1799.99</v>
      </c>
      <c r="AL93">
        <f t="shared" si="57"/>
        <v>1499.1002462190299</v>
      </c>
      <c r="AM93">
        <f t="shared" si="58"/>
        <v>0.832838097</v>
      </c>
      <c r="AN93">
        <f t="shared" si="59"/>
        <v>0.15339771266999999</v>
      </c>
      <c r="AO93">
        <v>29.1</v>
      </c>
      <c r="AP93">
        <v>0.5</v>
      </c>
      <c r="AQ93" t="s">
        <v>331</v>
      </c>
      <c r="AR93">
        <v>2</v>
      </c>
      <c r="AS93">
        <v>1690287400.0999999</v>
      </c>
      <c r="AT93">
        <v>459.27</v>
      </c>
      <c r="AU93">
        <v>800.16099999999994</v>
      </c>
      <c r="AV93">
        <v>24.654699999999998</v>
      </c>
      <c r="AW93">
        <v>3.5748700000000002</v>
      </c>
      <c r="AX93">
        <v>460.267</v>
      </c>
      <c r="AY93">
        <v>24.4636</v>
      </c>
      <c r="AZ93">
        <v>300.28199999999998</v>
      </c>
      <c r="BA93">
        <v>99.334999999999994</v>
      </c>
      <c r="BB93">
        <v>0.10011</v>
      </c>
      <c r="BC93">
        <v>26.63</v>
      </c>
      <c r="BD93">
        <v>26.936299999999999</v>
      </c>
      <c r="BE93">
        <v>28.4528</v>
      </c>
      <c r="BF93">
        <v>0</v>
      </c>
      <c r="BG93">
        <v>0</v>
      </c>
      <c r="BH93">
        <v>9990.6200000000008</v>
      </c>
      <c r="BI93">
        <v>1086.3599999999999</v>
      </c>
      <c r="BJ93">
        <v>1.3862300000000001</v>
      </c>
      <c r="BK93">
        <v>-340.89100000000002</v>
      </c>
      <c r="BL93">
        <v>470.87900000000002</v>
      </c>
      <c r="BM93">
        <v>803.03200000000004</v>
      </c>
      <c r="BN93">
        <v>21.079899999999999</v>
      </c>
      <c r="BO93">
        <v>800.16099999999994</v>
      </c>
      <c r="BP93">
        <v>3.5748700000000002</v>
      </c>
      <c r="BQ93">
        <v>2.4490799999999999</v>
      </c>
      <c r="BR93">
        <v>0.35510999999999998</v>
      </c>
      <c r="BS93">
        <v>20.692</v>
      </c>
      <c r="BT93">
        <v>-7.3028899999999997</v>
      </c>
      <c r="BU93">
        <v>1799.99</v>
      </c>
      <c r="BV93">
        <v>0.90998100000000004</v>
      </c>
      <c r="BW93">
        <v>3.40086E-2</v>
      </c>
      <c r="BX93">
        <v>2.2002600000000001E-2</v>
      </c>
      <c r="BY93">
        <v>3.4007700000000002E-2</v>
      </c>
      <c r="BZ93">
        <v>25</v>
      </c>
      <c r="CA93">
        <v>33528.199999999997</v>
      </c>
      <c r="CB93">
        <v>1690286268.5999999</v>
      </c>
      <c r="CC93" t="s">
        <v>332</v>
      </c>
      <c r="CD93">
        <v>1690286261.0999999</v>
      </c>
      <c r="CE93">
        <v>1690286268.5999999</v>
      </c>
      <c r="CF93">
        <v>1</v>
      </c>
      <c r="CG93">
        <v>-0.89900000000000002</v>
      </c>
      <c r="CH93">
        <v>3.4000000000000002E-2</v>
      </c>
      <c r="CI93">
        <v>-1.2370000000000001</v>
      </c>
      <c r="CJ93">
        <v>8.5999999999999993E-2</v>
      </c>
      <c r="CK93">
        <v>799</v>
      </c>
      <c r="CL93">
        <v>16</v>
      </c>
      <c r="CM93">
        <v>0.28999999999999998</v>
      </c>
      <c r="CN93">
        <v>0.09</v>
      </c>
      <c r="CO93">
        <v>-337.47607499999998</v>
      </c>
      <c r="CP93">
        <v>-18.228821763601239</v>
      </c>
      <c r="CQ93">
        <v>1.7543684531406221</v>
      </c>
      <c r="CR93">
        <v>-1</v>
      </c>
      <c r="CS93">
        <v>20.735365000000002</v>
      </c>
      <c r="CT93">
        <v>1.7995677298311099</v>
      </c>
      <c r="CU93">
        <v>0.17316214735039509</v>
      </c>
      <c r="CV93">
        <v>-1</v>
      </c>
      <c r="CW93">
        <v>0</v>
      </c>
      <c r="CX93">
        <v>0</v>
      </c>
      <c r="CY93" t="s">
        <v>333</v>
      </c>
      <c r="CZ93">
        <v>2.36551</v>
      </c>
      <c r="DA93">
        <v>2.7139000000000002</v>
      </c>
      <c r="DB93">
        <v>9.9865399999999993E-2</v>
      </c>
      <c r="DC93">
        <v>0.146645</v>
      </c>
      <c r="DD93">
        <v>0.11654200000000001</v>
      </c>
      <c r="DE93">
        <v>2.5648299999999999E-2</v>
      </c>
      <c r="DF93">
        <v>32861.300000000003</v>
      </c>
      <c r="DG93">
        <v>27465.200000000001</v>
      </c>
      <c r="DH93">
        <v>31163.9</v>
      </c>
      <c r="DI93">
        <v>28042.9</v>
      </c>
      <c r="DJ93">
        <v>37365</v>
      </c>
      <c r="DK93">
        <v>38837.199999999997</v>
      </c>
      <c r="DL93">
        <v>44342</v>
      </c>
      <c r="DM93">
        <v>42479.5</v>
      </c>
      <c r="DN93">
        <v>1.4898499999999999</v>
      </c>
      <c r="DO93">
        <v>2.0718999999999999</v>
      </c>
      <c r="DP93">
        <v>8.0596699999999993E-2</v>
      </c>
      <c r="DQ93">
        <v>0.194881</v>
      </c>
      <c r="DR93">
        <v>25.616700000000002</v>
      </c>
      <c r="DS93">
        <v>25.265000000000001</v>
      </c>
      <c r="DT93">
        <v>62.9</v>
      </c>
      <c r="DU93">
        <v>24.8</v>
      </c>
      <c r="DV93">
        <v>19.894100000000002</v>
      </c>
      <c r="DW93">
        <v>62.081400000000002</v>
      </c>
      <c r="DX93">
        <v>35.885399999999997</v>
      </c>
      <c r="DY93">
        <v>1</v>
      </c>
      <c r="DZ93">
        <v>-0.142652</v>
      </c>
      <c r="EA93">
        <v>-0.89362699999999995</v>
      </c>
      <c r="EB93">
        <v>20.187999999999999</v>
      </c>
      <c r="EC93">
        <v>5.2428999999999997</v>
      </c>
      <c r="ED93">
        <v>12.039899999999999</v>
      </c>
      <c r="EE93">
        <v>5.0171999999999999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1.8687400000000001</v>
      </c>
      <c r="EL93">
        <v>1.8644499999999999</v>
      </c>
      <c r="EM93">
        <v>1.86907</v>
      </c>
      <c r="EN93">
        <v>1.86707</v>
      </c>
      <c r="EO93">
        <v>1.8632500000000001</v>
      </c>
      <c r="EP93">
        <v>1.86425</v>
      </c>
      <c r="EQ93">
        <v>1.87008</v>
      </c>
      <c r="ER93">
        <v>1.8693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-0.997</v>
      </c>
      <c r="FG93">
        <v>0.19109999999999999</v>
      </c>
      <c r="FH93">
        <v>-0.68620417327404271</v>
      </c>
      <c r="FI93">
        <v>-6.1462078757559423E-4</v>
      </c>
      <c r="FJ93">
        <v>-1.8861989874597051E-7</v>
      </c>
      <c r="FK93">
        <v>1.1980462299894961E-10</v>
      </c>
      <c r="FL93">
        <v>0.1911242781723908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19</v>
      </c>
      <c r="FU93">
        <v>18.899999999999999</v>
      </c>
      <c r="FV93">
        <v>1.7639199999999999</v>
      </c>
      <c r="FW93">
        <v>2.5622600000000002</v>
      </c>
      <c r="FX93">
        <v>1.5490699999999999</v>
      </c>
      <c r="FY93">
        <v>2.34009</v>
      </c>
      <c r="FZ93">
        <v>1.50146</v>
      </c>
      <c r="GA93">
        <v>2.3706100000000001</v>
      </c>
      <c r="GB93">
        <v>30.458400000000001</v>
      </c>
      <c r="GC93">
        <v>23.982399999999998</v>
      </c>
      <c r="GD93">
        <v>19</v>
      </c>
      <c r="GE93">
        <v>285.88</v>
      </c>
      <c r="GF93">
        <v>605.221</v>
      </c>
      <c r="GG93">
        <v>25.857399999999998</v>
      </c>
      <c r="GH93">
        <v>25.619299999999999</v>
      </c>
      <c r="GI93">
        <v>30</v>
      </c>
      <c r="GJ93">
        <v>25.7194</v>
      </c>
      <c r="GK93">
        <v>25.6769</v>
      </c>
      <c r="GL93">
        <v>35.275199999999998</v>
      </c>
      <c r="GM93">
        <v>79.974900000000005</v>
      </c>
      <c r="GN93">
        <v>69.265600000000006</v>
      </c>
      <c r="GO93">
        <v>25.901700000000002</v>
      </c>
      <c r="GP93">
        <v>800</v>
      </c>
      <c r="GQ93">
        <v>3.34639</v>
      </c>
      <c r="GR93">
        <v>99.701700000000002</v>
      </c>
      <c r="GS93">
        <v>99.396500000000003</v>
      </c>
    </row>
    <row r="94" spans="1:201" x14ac:dyDescent="0.25">
      <c r="A94">
        <v>78</v>
      </c>
      <c r="B94">
        <v>1690287410.0999999</v>
      </c>
      <c r="C94">
        <v>871.5</v>
      </c>
      <c r="D94" t="s">
        <v>489</v>
      </c>
      <c r="E94" t="s">
        <v>490</v>
      </c>
      <c r="F94" t="s">
        <v>330</v>
      </c>
      <c r="H94">
        <v>1690287410.0999999</v>
      </c>
      <c r="I94">
        <f t="shared" si="30"/>
        <v>2.2607753560586401E-3</v>
      </c>
      <c r="J94">
        <f t="shared" si="31"/>
        <v>2.2607753560586401</v>
      </c>
      <c r="K94">
        <f t="shared" si="32"/>
        <v>34.410843904353463</v>
      </c>
      <c r="L94">
        <f t="shared" si="33"/>
        <v>456.33499999999998</v>
      </c>
      <c r="M94">
        <f t="shared" si="34"/>
        <v>115.77891956316104</v>
      </c>
      <c r="N94">
        <f t="shared" si="35"/>
        <v>11.512557796227693</v>
      </c>
      <c r="O94">
        <f t="shared" si="36"/>
        <v>45.375989703164997</v>
      </c>
      <c r="P94">
        <f t="shared" si="37"/>
        <v>0.17049921917004152</v>
      </c>
      <c r="Q94">
        <f t="shared" si="38"/>
        <v>2.3001227833251296</v>
      </c>
      <c r="R94">
        <f t="shared" si="39"/>
        <v>0.16377623049652712</v>
      </c>
      <c r="S94">
        <f t="shared" si="40"/>
        <v>0.1029420892573335</v>
      </c>
      <c r="T94">
        <f t="shared" si="41"/>
        <v>276.11408032436498</v>
      </c>
      <c r="U94">
        <f t="shared" si="42"/>
        <v>27.943910769874478</v>
      </c>
      <c r="V94">
        <f t="shared" si="43"/>
        <v>27.943910769874478</v>
      </c>
      <c r="W94">
        <f t="shared" si="44"/>
        <v>3.7824489615351262</v>
      </c>
      <c r="X94">
        <f t="shared" si="45"/>
        <v>69.986488903370898</v>
      </c>
      <c r="Y94">
        <f t="shared" si="46"/>
        <v>2.4528698793621002</v>
      </c>
      <c r="Z94">
        <f t="shared" si="47"/>
        <v>3.5047763043931726</v>
      </c>
      <c r="AA94">
        <f t="shared" si="48"/>
        <v>1.329579082173026</v>
      </c>
      <c r="AB94">
        <f t="shared" si="49"/>
        <v>-99.700193202186028</v>
      </c>
      <c r="AC94">
        <f t="shared" si="50"/>
        <v>-161.3308250723849</v>
      </c>
      <c r="AD94">
        <f t="shared" si="51"/>
        <v>-15.181579762882617</v>
      </c>
      <c r="AE94">
        <f t="shared" si="52"/>
        <v>-9.8517713088568826E-2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52585.431895185502</v>
      </c>
      <c r="AK94">
        <f t="shared" si="56"/>
        <v>1799.99</v>
      </c>
      <c r="AL94">
        <f t="shared" si="57"/>
        <v>1499.1020786088498</v>
      </c>
      <c r="AM94">
        <f t="shared" si="58"/>
        <v>0.83283911499999985</v>
      </c>
      <c r="AN94">
        <f t="shared" si="59"/>
        <v>0.15339756349999997</v>
      </c>
      <c r="AO94">
        <v>29.1</v>
      </c>
      <c r="AP94">
        <v>0.5</v>
      </c>
      <c r="AQ94" t="s">
        <v>331</v>
      </c>
      <c r="AR94">
        <v>2</v>
      </c>
      <c r="AS94">
        <v>1690287410.0999999</v>
      </c>
      <c r="AT94">
        <v>456.33499999999998</v>
      </c>
      <c r="AU94">
        <v>800.14</v>
      </c>
      <c r="AV94">
        <v>24.667899999999999</v>
      </c>
      <c r="AW94">
        <v>3.2785500000000001</v>
      </c>
      <c r="AX94">
        <v>457.33</v>
      </c>
      <c r="AY94">
        <v>24.476800000000001</v>
      </c>
      <c r="AZ94">
        <v>299.98899999999998</v>
      </c>
      <c r="BA94">
        <v>99.335800000000006</v>
      </c>
      <c r="BB94">
        <v>9.9899000000000002E-2</v>
      </c>
      <c r="BC94">
        <v>26.642900000000001</v>
      </c>
      <c r="BD94">
        <v>26.960599999999999</v>
      </c>
      <c r="BE94">
        <v>28.473600000000001</v>
      </c>
      <c r="BF94">
        <v>0</v>
      </c>
      <c r="BG94">
        <v>0</v>
      </c>
      <c r="BH94">
        <v>9999.3799999999992</v>
      </c>
      <c r="BI94">
        <v>1086.31</v>
      </c>
      <c r="BJ94">
        <v>1.3736200000000001</v>
      </c>
      <c r="BK94">
        <v>-343.80500000000001</v>
      </c>
      <c r="BL94">
        <v>467.87599999999998</v>
      </c>
      <c r="BM94">
        <v>802.77200000000005</v>
      </c>
      <c r="BN94">
        <v>21.389399999999998</v>
      </c>
      <c r="BO94">
        <v>800.14</v>
      </c>
      <c r="BP94">
        <v>3.2785500000000001</v>
      </c>
      <c r="BQ94">
        <v>2.4504100000000002</v>
      </c>
      <c r="BR94">
        <v>0.32567800000000002</v>
      </c>
      <c r="BS94">
        <v>20.700800000000001</v>
      </c>
      <c r="BT94">
        <v>-8.4176500000000001</v>
      </c>
      <c r="BU94">
        <v>1799.99</v>
      </c>
      <c r="BV94">
        <v>0.90998999999999997</v>
      </c>
      <c r="BW94">
        <v>3.4005399999999998E-2</v>
      </c>
      <c r="BX94">
        <v>2.2000499999999999E-2</v>
      </c>
      <c r="BY94">
        <v>3.4004399999999997E-2</v>
      </c>
      <c r="BZ94">
        <v>25</v>
      </c>
      <c r="CA94">
        <v>33528.199999999997</v>
      </c>
      <c r="CB94">
        <v>1690286268.5999999</v>
      </c>
      <c r="CC94" t="s">
        <v>332</v>
      </c>
      <c r="CD94">
        <v>1690286261.0999999</v>
      </c>
      <c r="CE94">
        <v>1690286268.5999999</v>
      </c>
      <c r="CF94">
        <v>1</v>
      </c>
      <c r="CG94">
        <v>-0.89900000000000002</v>
      </c>
      <c r="CH94">
        <v>3.4000000000000002E-2</v>
      </c>
      <c r="CI94">
        <v>-1.2370000000000001</v>
      </c>
      <c r="CJ94">
        <v>8.5999999999999993E-2</v>
      </c>
      <c r="CK94">
        <v>799</v>
      </c>
      <c r="CL94">
        <v>16</v>
      </c>
      <c r="CM94">
        <v>0.28999999999999998</v>
      </c>
      <c r="CN94">
        <v>0.09</v>
      </c>
      <c r="CO94">
        <v>-340.5476585365854</v>
      </c>
      <c r="CP94">
        <v>-17.803066202090651</v>
      </c>
      <c r="CQ94">
        <v>1.756264975421002</v>
      </c>
      <c r="CR94">
        <v>-1</v>
      </c>
      <c r="CS94">
        <v>21.04805609756097</v>
      </c>
      <c r="CT94">
        <v>1.8814515679442469</v>
      </c>
      <c r="CU94">
        <v>0.18553415180825869</v>
      </c>
      <c r="CV94">
        <v>-1</v>
      </c>
      <c r="CW94">
        <v>0</v>
      </c>
      <c r="CX94">
        <v>0</v>
      </c>
      <c r="CY94" t="s">
        <v>333</v>
      </c>
      <c r="CZ94">
        <v>2.36456</v>
      </c>
      <c r="DA94">
        <v>2.7136900000000002</v>
      </c>
      <c r="DB94">
        <v>9.9392499999999995E-2</v>
      </c>
      <c r="DC94">
        <v>0.14663699999999999</v>
      </c>
      <c r="DD94">
        <v>0.116587</v>
      </c>
      <c r="DE94">
        <v>2.37962E-2</v>
      </c>
      <c r="DF94">
        <v>32878.400000000001</v>
      </c>
      <c r="DG94">
        <v>27464.9</v>
      </c>
      <c r="DH94">
        <v>31163.8</v>
      </c>
      <c r="DI94">
        <v>28042.400000000001</v>
      </c>
      <c r="DJ94">
        <v>37363</v>
      </c>
      <c r="DK94">
        <v>38910.800000000003</v>
      </c>
      <c r="DL94">
        <v>44341.9</v>
      </c>
      <c r="DM94">
        <v>42479</v>
      </c>
      <c r="DN94">
        <v>1.4891300000000001</v>
      </c>
      <c r="DO94">
        <v>2.0712999999999999</v>
      </c>
      <c r="DP94">
        <v>8.1952700000000003E-2</v>
      </c>
      <c r="DQ94">
        <v>0.19615099999999999</v>
      </c>
      <c r="DR94">
        <v>25.6188</v>
      </c>
      <c r="DS94">
        <v>25.265000000000001</v>
      </c>
      <c r="DT94">
        <v>62.4</v>
      </c>
      <c r="DU94">
        <v>24.9</v>
      </c>
      <c r="DV94">
        <v>19.856000000000002</v>
      </c>
      <c r="DW94">
        <v>62.071399999999997</v>
      </c>
      <c r="DX94">
        <v>36.582500000000003</v>
      </c>
      <c r="DY94">
        <v>1</v>
      </c>
      <c r="DZ94">
        <v>-0.14243600000000001</v>
      </c>
      <c r="EA94">
        <v>-0.87624500000000005</v>
      </c>
      <c r="EB94">
        <v>20.187999999999999</v>
      </c>
      <c r="EC94">
        <v>5.2428999999999997</v>
      </c>
      <c r="ED94">
        <v>12.039899999999999</v>
      </c>
      <c r="EE94">
        <v>5.0160499999999999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1.8687400000000001</v>
      </c>
      <c r="EL94">
        <v>1.8644400000000001</v>
      </c>
      <c r="EM94">
        <v>1.8690599999999999</v>
      </c>
      <c r="EN94">
        <v>1.86707</v>
      </c>
      <c r="EO94">
        <v>1.8632500000000001</v>
      </c>
      <c r="EP94">
        <v>1.8642700000000001</v>
      </c>
      <c r="EQ94">
        <v>1.8701000000000001</v>
      </c>
      <c r="ER94">
        <v>1.8693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-0.995</v>
      </c>
      <c r="FG94">
        <v>0.19109999999999999</v>
      </c>
      <c r="FH94">
        <v>-0.68620417327404271</v>
      </c>
      <c r="FI94">
        <v>-6.1462078757559423E-4</v>
      </c>
      <c r="FJ94">
        <v>-1.8861989874597051E-7</v>
      </c>
      <c r="FK94">
        <v>1.1980462299894961E-10</v>
      </c>
      <c r="FL94">
        <v>0.1911242781723908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19.100000000000001</v>
      </c>
      <c r="FU94">
        <v>19</v>
      </c>
      <c r="FV94">
        <v>1.7639199999999999</v>
      </c>
      <c r="FW94">
        <v>2.5634800000000002</v>
      </c>
      <c r="FX94">
        <v>1.5490699999999999</v>
      </c>
      <c r="FY94">
        <v>2.34009</v>
      </c>
      <c r="FZ94">
        <v>1.50146</v>
      </c>
      <c r="GA94">
        <v>2.3303199999999999</v>
      </c>
      <c r="GB94">
        <v>30.458400000000001</v>
      </c>
      <c r="GC94">
        <v>23.982399999999998</v>
      </c>
      <c r="GD94">
        <v>19</v>
      </c>
      <c r="GE94">
        <v>285.56099999999998</v>
      </c>
      <c r="GF94">
        <v>604.71199999999999</v>
      </c>
      <c r="GG94">
        <v>25.942499999999999</v>
      </c>
      <c r="GH94">
        <v>25.6172</v>
      </c>
      <c r="GI94">
        <v>30.0002</v>
      </c>
      <c r="GJ94">
        <v>25.717199999999998</v>
      </c>
      <c r="GK94">
        <v>25.6769</v>
      </c>
      <c r="GL94">
        <v>35.268599999999999</v>
      </c>
      <c r="GM94">
        <v>81.521799999999999</v>
      </c>
      <c r="GN94">
        <v>68.479799999999997</v>
      </c>
      <c r="GO94">
        <v>25.967400000000001</v>
      </c>
      <c r="GP94">
        <v>800</v>
      </c>
      <c r="GQ94">
        <v>3.03261</v>
      </c>
      <c r="GR94">
        <v>99.701499999999996</v>
      </c>
      <c r="GS94">
        <v>99.395099999999999</v>
      </c>
    </row>
    <row r="95" spans="1:201" x14ac:dyDescent="0.25">
      <c r="A95">
        <v>79</v>
      </c>
      <c r="B95">
        <v>1690287420.0999999</v>
      </c>
      <c r="C95">
        <v>881.5</v>
      </c>
      <c r="D95" t="s">
        <v>491</v>
      </c>
      <c r="E95" t="s">
        <v>492</v>
      </c>
      <c r="F95" t="s">
        <v>330</v>
      </c>
      <c r="H95">
        <v>1690287420.0999999</v>
      </c>
      <c r="I95">
        <f t="shared" si="30"/>
        <v>2.2938883919092191E-3</v>
      </c>
      <c r="J95">
        <f t="shared" si="31"/>
        <v>2.2938883919092192</v>
      </c>
      <c r="K95">
        <f t="shared" si="32"/>
        <v>34.723751432252193</v>
      </c>
      <c r="L95">
        <f t="shared" si="33"/>
        <v>453.452</v>
      </c>
      <c r="M95">
        <f t="shared" si="34"/>
        <v>114.74298574893716</v>
      </c>
      <c r="N95">
        <f t="shared" si="35"/>
        <v>11.409512275537164</v>
      </c>
      <c r="O95">
        <f t="shared" si="36"/>
        <v>45.089171478307996</v>
      </c>
      <c r="P95">
        <f t="shared" si="37"/>
        <v>0.17307500142495283</v>
      </c>
      <c r="Q95">
        <f t="shared" si="38"/>
        <v>2.2989486543921145</v>
      </c>
      <c r="R95">
        <f t="shared" si="39"/>
        <v>0.16614839753717089</v>
      </c>
      <c r="S95">
        <f t="shared" si="40"/>
        <v>0.10444197787752396</v>
      </c>
      <c r="T95">
        <f t="shared" si="41"/>
        <v>276.11367890859509</v>
      </c>
      <c r="U95">
        <f t="shared" si="42"/>
        <v>27.947126329719129</v>
      </c>
      <c r="V95">
        <f t="shared" si="43"/>
        <v>27.947126329719129</v>
      </c>
      <c r="W95">
        <f t="shared" si="44"/>
        <v>3.78315835849466</v>
      </c>
      <c r="X95">
        <f t="shared" si="45"/>
        <v>69.945802363657378</v>
      </c>
      <c r="Y95">
        <f t="shared" si="46"/>
        <v>2.4533790496049002</v>
      </c>
      <c r="Z95">
        <f t="shared" si="47"/>
        <v>3.5075429356710526</v>
      </c>
      <c r="AA95">
        <f t="shared" si="48"/>
        <v>1.3297793088897598</v>
      </c>
      <c r="AB95">
        <f t="shared" si="49"/>
        <v>-101.16047808319657</v>
      </c>
      <c r="AC95">
        <f t="shared" si="50"/>
        <v>-159.9862026792008</v>
      </c>
      <c r="AD95">
        <f t="shared" si="51"/>
        <v>-15.06398594933375</v>
      </c>
      <c r="AE95">
        <f t="shared" si="52"/>
        <v>-9.6987803136016737E-2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52538.626789795715</v>
      </c>
      <c r="AK95">
        <f t="shared" si="56"/>
        <v>1799.99</v>
      </c>
      <c r="AL95">
        <f t="shared" si="57"/>
        <v>1499.10199580931</v>
      </c>
      <c r="AM95">
        <f t="shared" si="58"/>
        <v>0.83283906899999993</v>
      </c>
      <c r="AN95">
        <f t="shared" si="59"/>
        <v>0.15339734049000001</v>
      </c>
      <c r="AO95">
        <v>29.1</v>
      </c>
      <c r="AP95">
        <v>0.5</v>
      </c>
      <c r="AQ95" t="s">
        <v>331</v>
      </c>
      <c r="AR95">
        <v>2</v>
      </c>
      <c r="AS95">
        <v>1690287420.0999999</v>
      </c>
      <c r="AT95">
        <v>453.452</v>
      </c>
      <c r="AU95">
        <v>800.154</v>
      </c>
      <c r="AV95">
        <v>24.673100000000002</v>
      </c>
      <c r="AW95">
        <v>2.9843899999999999</v>
      </c>
      <c r="AX95">
        <v>454.44600000000003</v>
      </c>
      <c r="AY95">
        <v>24.481999999999999</v>
      </c>
      <c r="AZ95">
        <v>300.18</v>
      </c>
      <c r="BA95">
        <v>99.335300000000004</v>
      </c>
      <c r="BB95">
        <v>0.100079</v>
      </c>
      <c r="BC95">
        <v>26.656300000000002</v>
      </c>
      <c r="BD95">
        <v>26.957699999999999</v>
      </c>
      <c r="BE95">
        <v>28.464400000000001</v>
      </c>
      <c r="BF95">
        <v>0</v>
      </c>
      <c r="BG95">
        <v>0</v>
      </c>
      <c r="BH95">
        <v>9990.6200000000008</v>
      </c>
      <c r="BI95">
        <v>1086.3399999999999</v>
      </c>
      <c r="BJ95">
        <v>1.3455900000000001</v>
      </c>
      <c r="BK95">
        <v>-346.702</v>
      </c>
      <c r="BL95">
        <v>464.923</v>
      </c>
      <c r="BM95">
        <v>802.54899999999998</v>
      </c>
      <c r="BN95">
        <v>21.688700000000001</v>
      </c>
      <c r="BO95">
        <v>800.154</v>
      </c>
      <c r="BP95">
        <v>2.9843899999999999</v>
      </c>
      <c r="BQ95">
        <v>2.4509099999999999</v>
      </c>
      <c r="BR95">
        <v>0.29645500000000002</v>
      </c>
      <c r="BS95">
        <v>20.7041</v>
      </c>
      <c r="BT95">
        <v>-9.6169600000000006</v>
      </c>
      <c r="BU95">
        <v>1799.99</v>
      </c>
      <c r="BV95">
        <v>0.909995</v>
      </c>
      <c r="BW95">
        <v>3.4003199999999997E-2</v>
      </c>
      <c r="BX95">
        <v>2.19992E-2</v>
      </c>
      <c r="BY95">
        <v>3.4002299999999999E-2</v>
      </c>
      <c r="BZ95">
        <v>25</v>
      </c>
      <c r="CA95">
        <v>33528.199999999997</v>
      </c>
      <c r="CB95">
        <v>1690286268.5999999</v>
      </c>
      <c r="CC95" t="s">
        <v>332</v>
      </c>
      <c r="CD95">
        <v>1690286261.0999999</v>
      </c>
      <c r="CE95">
        <v>1690286268.5999999</v>
      </c>
      <c r="CF95">
        <v>1</v>
      </c>
      <c r="CG95">
        <v>-0.89900000000000002</v>
      </c>
      <c r="CH95">
        <v>3.4000000000000002E-2</v>
      </c>
      <c r="CI95">
        <v>-1.2370000000000001</v>
      </c>
      <c r="CJ95">
        <v>8.5999999999999993E-2</v>
      </c>
      <c r="CK95">
        <v>799</v>
      </c>
      <c r="CL95">
        <v>16</v>
      </c>
      <c r="CM95">
        <v>0.28999999999999998</v>
      </c>
      <c r="CN95">
        <v>0.09</v>
      </c>
      <c r="CO95">
        <v>-343.72177499999998</v>
      </c>
      <c r="CP95">
        <v>-17.64917448405177</v>
      </c>
      <c r="CQ95">
        <v>1.698695374213687</v>
      </c>
      <c r="CR95">
        <v>-1</v>
      </c>
      <c r="CS95">
        <v>21.378982499999999</v>
      </c>
      <c r="CT95">
        <v>1.8280243902438771</v>
      </c>
      <c r="CU95">
        <v>0.17589140099433531</v>
      </c>
      <c r="CV95">
        <v>-1</v>
      </c>
      <c r="CW95">
        <v>0</v>
      </c>
      <c r="CX95">
        <v>0</v>
      </c>
      <c r="CY95" t="s">
        <v>333</v>
      </c>
      <c r="CZ95">
        <v>2.3652000000000002</v>
      </c>
      <c r="DA95">
        <v>2.7138599999999999</v>
      </c>
      <c r="DB95">
        <v>9.8924899999999996E-2</v>
      </c>
      <c r="DC95">
        <v>0.14663200000000001</v>
      </c>
      <c r="DD95">
        <v>0.116604</v>
      </c>
      <c r="DE95">
        <v>2.1919500000000001E-2</v>
      </c>
      <c r="DF95">
        <v>32896.300000000003</v>
      </c>
      <c r="DG95">
        <v>27465.200000000001</v>
      </c>
      <c r="DH95">
        <v>31164.5</v>
      </c>
      <c r="DI95">
        <v>28042.5</v>
      </c>
      <c r="DJ95">
        <v>37363</v>
      </c>
      <c r="DK95">
        <v>38985.9</v>
      </c>
      <c r="DL95">
        <v>44342.9</v>
      </c>
      <c r="DM95">
        <v>42479.1</v>
      </c>
      <c r="DN95">
        <v>1.49007</v>
      </c>
      <c r="DO95">
        <v>2.07043</v>
      </c>
      <c r="DP95">
        <v>8.1904199999999996E-2</v>
      </c>
      <c r="DQ95">
        <v>0.195719</v>
      </c>
      <c r="DR95">
        <v>25.616700000000002</v>
      </c>
      <c r="DS95">
        <v>25.262799999999999</v>
      </c>
      <c r="DT95">
        <v>61.9</v>
      </c>
      <c r="DU95">
        <v>24.9</v>
      </c>
      <c r="DV95">
        <v>19.695699999999999</v>
      </c>
      <c r="DW95">
        <v>61.671399999999998</v>
      </c>
      <c r="DX95">
        <v>37.0593</v>
      </c>
      <c r="DY95">
        <v>1</v>
      </c>
      <c r="DZ95">
        <v>-0.14254600000000001</v>
      </c>
      <c r="EA95">
        <v>-0.87914800000000004</v>
      </c>
      <c r="EB95">
        <v>20.187999999999999</v>
      </c>
      <c r="EC95">
        <v>5.2428999999999997</v>
      </c>
      <c r="ED95">
        <v>12.039899999999999</v>
      </c>
      <c r="EE95">
        <v>5.0168499999999998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1.8687400000000001</v>
      </c>
      <c r="EL95">
        <v>1.8644499999999999</v>
      </c>
      <c r="EM95">
        <v>1.8690500000000001</v>
      </c>
      <c r="EN95">
        <v>1.86707</v>
      </c>
      <c r="EO95">
        <v>1.8632500000000001</v>
      </c>
      <c r="EP95">
        <v>1.8642700000000001</v>
      </c>
      <c r="EQ95">
        <v>1.8701000000000001</v>
      </c>
      <c r="ER95">
        <v>1.8692899999999999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-0.99399999999999999</v>
      </c>
      <c r="FG95">
        <v>0.19109999999999999</v>
      </c>
      <c r="FH95">
        <v>-0.68620417327404271</v>
      </c>
      <c r="FI95">
        <v>-6.1462078757559423E-4</v>
      </c>
      <c r="FJ95">
        <v>-1.8861989874597051E-7</v>
      </c>
      <c r="FK95">
        <v>1.1980462299894961E-10</v>
      </c>
      <c r="FL95">
        <v>0.1911242781723908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19.3</v>
      </c>
      <c r="FU95">
        <v>19.2</v>
      </c>
      <c r="FV95">
        <v>1.7639199999999999</v>
      </c>
      <c r="FW95">
        <v>2.5671400000000002</v>
      </c>
      <c r="FX95">
        <v>1.5490699999999999</v>
      </c>
      <c r="FY95">
        <v>2.34009</v>
      </c>
      <c r="FZ95">
        <v>1.50146</v>
      </c>
      <c r="GA95">
        <v>2.2851599999999999</v>
      </c>
      <c r="GB95">
        <v>30.48</v>
      </c>
      <c r="GC95">
        <v>23.973700000000001</v>
      </c>
      <c r="GD95">
        <v>19</v>
      </c>
      <c r="GE95">
        <v>285.96699999999998</v>
      </c>
      <c r="GF95">
        <v>603.971</v>
      </c>
      <c r="GG95">
        <v>26.002099999999999</v>
      </c>
      <c r="GH95">
        <v>25.616</v>
      </c>
      <c r="GI95">
        <v>30.0001</v>
      </c>
      <c r="GJ95">
        <v>25.717199999999998</v>
      </c>
      <c r="GK95">
        <v>25.6769</v>
      </c>
      <c r="GL95">
        <v>35.252499999999998</v>
      </c>
      <c r="GM95">
        <v>83.172399999999996</v>
      </c>
      <c r="GN95">
        <v>67.291300000000007</v>
      </c>
      <c r="GO95">
        <v>26.0337</v>
      </c>
      <c r="GP95">
        <v>800</v>
      </c>
      <c r="GQ95">
        <v>2.72295</v>
      </c>
      <c r="GR95">
        <v>99.703699999999998</v>
      </c>
      <c r="GS95">
        <v>99.395399999999995</v>
      </c>
    </row>
    <row r="96" spans="1:201" x14ac:dyDescent="0.25">
      <c r="A96">
        <v>80</v>
      </c>
      <c r="B96">
        <v>1690287430.0999999</v>
      </c>
      <c r="C96">
        <v>891.5</v>
      </c>
      <c r="D96" t="s">
        <v>493</v>
      </c>
      <c r="E96" t="s">
        <v>494</v>
      </c>
      <c r="F96" t="s">
        <v>330</v>
      </c>
      <c r="H96">
        <v>1690287430.0999999</v>
      </c>
      <c r="I96">
        <f t="shared" si="30"/>
        <v>2.3272228488284926E-3</v>
      </c>
      <c r="J96">
        <f t="shared" si="31"/>
        <v>2.3272228488284927</v>
      </c>
      <c r="K96">
        <f t="shared" si="32"/>
        <v>34.999893761163889</v>
      </c>
      <c r="L96">
        <f t="shared" si="33"/>
        <v>450.58800000000002</v>
      </c>
      <c r="M96">
        <f t="shared" si="34"/>
        <v>115.04562601937005</v>
      </c>
      <c r="N96">
        <f t="shared" si="35"/>
        <v>11.439448273203181</v>
      </c>
      <c r="O96">
        <f t="shared" si="36"/>
        <v>44.803773049644008</v>
      </c>
      <c r="P96">
        <f t="shared" si="37"/>
        <v>0.17619566100721407</v>
      </c>
      <c r="Q96">
        <f t="shared" si="38"/>
        <v>2.3055808345820146</v>
      </c>
      <c r="R96">
        <f t="shared" si="39"/>
        <v>0.16904232173776104</v>
      </c>
      <c r="S96">
        <f t="shared" si="40"/>
        <v>0.10626995060984858</v>
      </c>
      <c r="T96">
        <f t="shared" si="41"/>
        <v>276.11340127813753</v>
      </c>
      <c r="U96">
        <f t="shared" si="42"/>
        <v>27.934308749550421</v>
      </c>
      <c r="V96">
        <f t="shared" si="43"/>
        <v>27.934308749550421</v>
      </c>
      <c r="W96">
        <f t="shared" si="44"/>
        <v>3.7803313137706414</v>
      </c>
      <c r="X96">
        <f t="shared" si="45"/>
        <v>69.967138541175629</v>
      </c>
      <c r="Y96">
        <f t="shared" si="46"/>
        <v>2.4543297428790001</v>
      </c>
      <c r="Z96">
        <f t="shared" si="47"/>
        <v>3.5078320966843997</v>
      </c>
      <c r="AA96">
        <f t="shared" si="48"/>
        <v>1.3260015708916413</v>
      </c>
      <c r="AB96">
        <f t="shared" si="49"/>
        <v>-102.63052763333653</v>
      </c>
      <c r="AC96">
        <f t="shared" si="50"/>
        <v>-158.68051940542338</v>
      </c>
      <c r="AD96">
        <f t="shared" si="51"/>
        <v>-14.897215185047832</v>
      </c>
      <c r="AE96">
        <f t="shared" si="52"/>
        <v>-9.4860945670234287E-2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52789.65667939611</v>
      </c>
      <c r="AK96">
        <f t="shared" si="56"/>
        <v>1799.99</v>
      </c>
      <c r="AL96">
        <f t="shared" si="57"/>
        <v>1499.1031316030001</v>
      </c>
      <c r="AM96">
        <f t="shared" si="58"/>
        <v>0.83283970000000007</v>
      </c>
      <c r="AN96">
        <f t="shared" si="59"/>
        <v>0.15339718625000001</v>
      </c>
      <c r="AO96">
        <v>29.1</v>
      </c>
      <c r="AP96">
        <v>0.5</v>
      </c>
      <c r="AQ96" t="s">
        <v>331</v>
      </c>
      <c r="AR96">
        <v>2</v>
      </c>
      <c r="AS96">
        <v>1690287430.0999999</v>
      </c>
      <c r="AT96">
        <v>450.58800000000002</v>
      </c>
      <c r="AU96">
        <v>800.17700000000002</v>
      </c>
      <c r="AV96">
        <v>24.683</v>
      </c>
      <c r="AW96">
        <v>2.6712699999999998</v>
      </c>
      <c r="AX96">
        <v>451.57900000000001</v>
      </c>
      <c r="AY96">
        <v>24.491900000000001</v>
      </c>
      <c r="AZ96">
        <v>300.07</v>
      </c>
      <c r="BA96">
        <v>99.334000000000003</v>
      </c>
      <c r="BB96">
        <v>0.100013</v>
      </c>
      <c r="BC96">
        <v>26.657699999999998</v>
      </c>
      <c r="BD96">
        <v>26.9636</v>
      </c>
      <c r="BE96">
        <v>28.461400000000001</v>
      </c>
      <c r="BF96">
        <v>0</v>
      </c>
      <c r="BG96">
        <v>0</v>
      </c>
      <c r="BH96">
        <v>10040.6</v>
      </c>
      <c r="BI96">
        <v>1086.3900000000001</v>
      </c>
      <c r="BJ96">
        <v>1.3455900000000001</v>
      </c>
      <c r="BK96">
        <v>-349.589</v>
      </c>
      <c r="BL96">
        <v>461.99099999999999</v>
      </c>
      <c r="BM96">
        <v>802.32</v>
      </c>
      <c r="BN96">
        <v>22.011700000000001</v>
      </c>
      <c r="BO96">
        <v>800.17700000000002</v>
      </c>
      <c r="BP96">
        <v>2.6712699999999998</v>
      </c>
      <c r="BQ96">
        <v>2.4518599999999999</v>
      </c>
      <c r="BR96">
        <v>0.26534799999999997</v>
      </c>
      <c r="BS96">
        <v>20.7104</v>
      </c>
      <c r="BT96">
        <v>-11.0153</v>
      </c>
      <c r="BU96">
        <v>1799.99</v>
      </c>
      <c r="BV96">
        <v>0.91000199999999998</v>
      </c>
      <c r="BW96">
        <v>3.4000599999999999E-2</v>
      </c>
      <c r="BX96">
        <v>2.19975E-2</v>
      </c>
      <c r="BY96">
        <v>3.3999700000000001E-2</v>
      </c>
      <c r="BZ96">
        <v>25</v>
      </c>
      <c r="CA96">
        <v>33528.199999999997</v>
      </c>
      <c r="CB96">
        <v>1690286268.5999999</v>
      </c>
      <c r="CC96" t="s">
        <v>332</v>
      </c>
      <c r="CD96">
        <v>1690286261.0999999</v>
      </c>
      <c r="CE96">
        <v>1690286268.5999999</v>
      </c>
      <c r="CF96">
        <v>1</v>
      </c>
      <c r="CG96">
        <v>-0.89900000000000002</v>
      </c>
      <c r="CH96">
        <v>3.4000000000000002E-2</v>
      </c>
      <c r="CI96">
        <v>-1.2370000000000001</v>
      </c>
      <c r="CJ96">
        <v>8.5999999999999993E-2</v>
      </c>
      <c r="CK96">
        <v>799</v>
      </c>
      <c r="CL96">
        <v>16</v>
      </c>
      <c r="CM96">
        <v>0.28999999999999998</v>
      </c>
      <c r="CN96">
        <v>0.09</v>
      </c>
      <c r="CO96">
        <v>-346.33055000000002</v>
      </c>
      <c r="CP96">
        <v>-17.032142589117608</v>
      </c>
      <c r="CQ96">
        <v>1.639231953538002</v>
      </c>
      <c r="CR96">
        <v>-1</v>
      </c>
      <c r="CS96">
        <v>21.655090000000001</v>
      </c>
      <c r="CT96">
        <v>1.849449906191303</v>
      </c>
      <c r="CU96">
        <v>0.17793201763595021</v>
      </c>
      <c r="CV96">
        <v>-1</v>
      </c>
      <c r="CW96">
        <v>0</v>
      </c>
      <c r="CX96">
        <v>0</v>
      </c>
      <c r="CY96" t="s">
        <v>333</v>
      </c>
      <c r="CZ96">
        <v>2.36483</v>
      </c>
      <c r="DA96">
        <v>2.7138399999999998</v>
      </c>
      <c r="DB96">
        <v>9.8458199999999996E-2</v>
      </c>
      <c r="DC96">
        <v>0.14662700000000001</v>
      </c>
      <c r="DD96">
        <v>0.116635</v>
      </c>
      <c r="DE96">
        <v>1.9877599999999999E-2</v>
      </c>
      <c r="DF96">
        <v>32913</v>
      </c>
      <c r="DG96">
        <v>27466.2</v>
      </c>
      <c r="DH96">
        <v>31164.2</v>
      </c>
      <c r="DI96">
        <v>28043.4</v>
      </c>
      <c r="DJ96">
        <v>37361.4</v>
      </c>
      <c r="DK96">
        <v>39068.6</v>
      </c>
      <c r="DL96">
        <v>44342.6</v>
      </c>
      <c r="DM96">
        <v>42480.3</v>
      </c>
      <c r="DN96">
        <v>1.4898800000000001</v>
      </c>
      <c r="DO96">
        <v>2.0700500000000002</v>
      </c>
      <c r="DP96">
        <v>8.2269300000000004E-2</v>
      </c>
      <c r="DQ96">
        <v>0.195406</v>
      </c>
      <c r="DR96">
        <v>25.616700000000002</v>
      </c>
      <c r="DS96">
        <v>25.265000000000001</v>
      </c>
      <c r="DT96">
        <v>61.5</v>
      </c>
      <c r="DU96">
        <v>24.9</v>
      </c>
      <c r="DV96">
        <v>19.568999999999999</v>
      </c>
      <c r="DW96">
        <v>62.0214</v>
      </c>
      <c r="DX96">
        <v>37.1875</v>
      </c>
      <c r="DY96">
        <v>1</v>
      </c>
      <c r="DZ96">
        <v>-0.142622</v>
      </c>
      <c r="EA96">
        <v>-0.90589299999999995</v>
      </c>
      <c r="EB96">
        <v>20.187899999999999</v>
      </c>
      <c r="EC96">
        <v>5.2426000000000004</v>
      </c>
      <c r="ED96">
        <v>12.039899999999999</v>
      </c>
      <c r="EE96">
        <v>5.0167999999999999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1.86873</v>
      </c>
      <c r="EL96">
        <v>1.86442</v>
      </c>
      <c r="EM96">
        <v>1.8690599999999999</v>
      </c>
      <c r="EN96">
        <v>1.86707</v>
      </c>
      <c r="EO96">
        <v>1.8632500000000001</v>
      </c>
      <c r="EP96">
        <v>1.86426</v>
      </c>
      <c r="EQ96">
        <v>1.87008</v>
      </c>
      <c r="ER96">
        <v>1.8693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-0.99099999999999999</v>
      </c>
      <c r="FG96">
        <v>0.19109999999999999</v>
      </c>
      <c r="FH96">
        <v>-0.68620417327404271</v>
      </c>
      <c r="FI96">
        <v>-6.1462078757559423E-4</v>
      </c>
      <c r="FJ96">
        <v>-1.8861989874597051E-7</v>
      </c>
      <c r="FK96">
        <v>1.1980462299894961E-10</v>
      </c>
      <c r="FL96">
        <v>0.1911242781723908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19.5</v>
      </c>
      <c r="FU96">
        <v>19.399999999999999</v>
      </c>
      <c r="FV96">
        <v>1.7626999999999999</v>
      </c>
      <c r="FW96">
        <v>2.5671400000000002</v>
      </c>
      <c r="FX96">
        <v>1.5490699999999999</v>
      </c>
      <c r="FY96">
        <v>2.34009</v>
      </c>
      <c r="FZ96">
        <v>1.50146</v>
      </c>
      <c r="GA96">
        <v>2.2509800000000002</v>
      </c>
      <c r="GB96">
        <v>30.48</v>
      </c>
      <c r="GC96">
        <v>23.982399999999998</v>
      </c>
      <c r="GD96">
        <v>19</v>
      </c>
      <c r="GE96">
        <v>285.88099999999997</v>
      </c>
      <c r="GF96">
        <v>603.65300000000002</v>
      </c>
      <c r="GG96">
        <v>26.063700000000001</v>
      </c>
      <c r="GH96">
        <v>25.614999999999998</v>
      </c>
      <c r="GI96">
        <v>30</v>
      </c>
      <c r="GJ96">
        <v>25.717199999999998</v>
      </c>
      <c r="GK96">
        <v>25.6769</v>
      </c>
      <c r="GL96">
        <v>35.244500000000002</v>
      </c>
      <c r="GM96">
        <v>84.705399999999997</v>
      </c>
      <c r="GN96">
        <v>66.094700000000003</v>
      </c>
      <c r="GO96">
        <v>26.089099999999998</v>
      </c>
      <c r="GP96">
        <v>800</v>
      </c>
      <c r="GQ96">
        <v>2.41025</v>
      </c>
      <c r="GR96">
        <v>99.7029</v>
      </c>
      <c r="GS96">
        <v>99.398300000000006</v>
      </c>
    </row>
    <row r="97" spans="1:201" x14ac:dyDescent="0.25">
      <c r="A97">
        <v>81</v>
      </c>
      <c r="B97">
        <v>1690287440.0999999</v>
      </c>
      <c r="C97">
        <v>901.5</v>
      </c>
      <c r="D97" t="s">
        <v>495</v>
      </c>
      <c r="E97" t="s">
        <v>496</v>
      </c>
      <c r="F97" t="s">
        <v>330</v>
      </c>
      <c r="H97">
        <v>1690287440.0999999</v>
      </c>
      <c r="I97">
        <f t="shared" si="30"/>
        <v>2.3628122699477327E-3</v>
      </c>
      <c r="J97">
        <f t="shared" si="31"/>
        <v>2.3628122699477325</v>
      </c>
      <c r="K97">
        <f t="shared" si="32"/>
        <v>35.289869034049943</v>
      </c>
      <c r="L97">
        <f t="shared" si="33"/>
        <v>447.76499999999999</v>
      </c>
      <c r="M97">
        <f t="shared" si="34"/>
        <v>114.50477601154958</v>
      </c>
      <c r="N97">
        <f t="shared" si="35"/>
        <v>11.386021259671194</v>
      </c>
      <c r="O97">
        <f t="shared" si="36"/>
        <v>44.524446812790003</v>
      </c>
      <c r="P97">
        <f t="shared" si="37"/>
        <v>0.17899485785289371</v>
      </c>
      <c r="Q97">
        <f t="shared" si="38"/>
        <v>2.2981393520613009</v>
      </c>
      <c r="R97">
        <f t="shared" si="39"/>
        <v>0.17159471519744321</v>
      </c>
      <c r="S97">
        <f t="shared" si="40"/>
        <v>0.10788607643193088</v>
      </c>
      <c r="T97">
        <f t="shared" si="41"/>
        <v>276.11466786000005</v>
      </c>
      <c r="U97">
        <f t="shared" si="42"/>
        <v>27.938601278524516</v>
      </c>
      <c r="V97">
        <f t="shared" si="43"/>
        <v>27.938601278524516</v>
      </c>
      <c r="W97">
        <f t="shared" si="44"/>
        <v>3.7812778683631856</v>
      </c>
      <c r="X97">
        <f t="shared" si="45"/>
        <v>69.93618192331266</v>
      </c>
      <c r="Y97">
        <f t="shared" si="46"/>
        <v>2.4549922725454003</v>
      </c>
      <c r="Z97">
        <f t="shared" si="47"/>
        <v>3.5103321414334294</v>
      </c>
      <c r="AA97">
        <f t="shared" si="48"/>
        <v>1.3262855958177853</v>
      </c>
      <c r="AB97">
        <f t="shared" si="49"/>
        <v>-104.20002110469501</v>
      </c>
      <c r="AC97">
        <f t="shared" si="50"/>
        <v>-157.20103836960095</v>
      </c>
      <c r="AD97">
        <f t="shared" si="51"/>
        <v>-14.807318510537741</v>
      </c>
      <c r="AE97">
        <f t="shared" si="52"/>
        <v>-9.3710124833648933E-2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52505.675985411239</v>
      </c>
      <c r="AK97">
        <f t="shared" si="56"/>
        <v>1800</v>
      </c>
      <c r="AL97">
        <f t="shared" si="57"/>
        <v>1499.112306</v>
      </c>
      <c r="AM97">
        <f t="shared" si="58"/>
        <v>0.83284016999999999</v>
      </c>
      <c r="AN97">
        <f t="shared" si="59"/>
        <v>0.15339703770000004</v>
      </c>
      <c r="AO97">
        <v>29.1</v>
      </c>
      <c r="AP97">
        <v>0.5</v>
      </c>
      <c r="AQ97" t="s">
        <v>331</v>
      </c>
      <c r="AR97">
        <v>2</v>
      </c>
      <c r="AS97">
        <v>1690287440.0999999</v>
      </c>
      <c r="AT97">
        <v>447.76499999999999</v>
      </c>
      <c r="AU97">
        <v>800.05499999999995</v>
      </c>
      <c r="AV97">
        <v>24.6889</v>
      </c>
      <c r="AW97">
        <v>2.3534899999999999</v>
      </c>
      <c r="AX97">
        <v>448.75400000000002</v>
      </c>
      <c r="AY97">
        <v>24.497800000000002</v>
      </c>
      <c r="AZ97">
        <v>300.24200000000002</v>
      </c>
      <c r="BA97">
        <v>99.337000000000003</v>
      </c>
      <c r="BB97">
        <v>0.10008599999999999</v>
      </c>
      <c r="BC97">
        <v>26.669799999999999</v>
      </c>
      <c r="BD97">
        <v>26.979199999999999</v>
      </c>
      <c r="BE97">
        <v>28.475300000000001</v>
      </c>
      <c r="BF97">
        <v>0</v>
      </c>
      <c r="BG97">
        <v>0</v>
      </c>
      <c r="BH97">
        <v>9984.3799999999992</v>
      </c>
      <c r="BI97">
        <v>1086.54</v>
      </c>
      <c r="BJ97">
        <v>1.361</v>
      </c>
      <c r="BK97">
        <v>-352.29</v>
      </c>
      <c r="BL97">
        <v>459.1</v>
      </c>
      <c r="BM97">
        <v>801.94200000000001</v>
      </c>
      <c r="BN97">
        <v>22.3354</v>
      </c>
      <c r="BO97">
        <v>800.05499999999995</v>
      </c>
      <c r="BP97">
        <v>2.3534899999999999</v>
      </c>
      <c r="BQ97">
        <v>2.4525199999999998</v>
      </c>
      <c r="BR97">
        <v>0.233788</v>
      </c>
      <c r="BS97">
        <v>20.7148</v>
      </c>
      <c r="BT97">
        <v>-12.5921</v>
      </c>
      <c r="BU97">
        <v>1800</v>
      </c>
      <c r="BV97">
        <v>0.91000800000000004</v>
      </c>
      <c r="BW97">
        <v>3.3998399999999998E-2</v>
      </c>
      <c r="BX97">
        <v>2.1996000000000002E-2</v>
      </c>
      <c r="BY97">
        <v>3.3997399999999997E-2</v>
      </c>
      <c r="BZ97">
        <v>25</v>
      </c>
      <c r="CA97">
        <v>33528.400000000001</v>
      </c>
      <c r="CB97">
        <v>1690286268.5999999</v>
      </c>
      <c r="CC97" t="s">
        <v>332</v>
      </c>
      <c r="CD97">
        <v>1690286261.0999999</v>
      </c>
      <c r="CE97">
        <v>1690286268.5999999</v>
      </c>
      <c r="CF97">
        <v>1</v>
      </c>
      <c r="CG97">
        <v>-0.89900000000000002</v>
      </c>
      <c r="CH97">
        <v>3.4000000000000002E-2</v>
      </c>
      <c r="CI97">
        <v>-1.2370000000000001</v>
      </c>
      <c r="CJ97">
        <v>8.5999999999999993E-2</v>
      </c>
      <c r="CK97">
        <v>799</v>
      </c>
      <c r="CL97">
        <v>16</v>
      </c>
      <c r="CM97">
        <v>0.28999999999999998</v>
      </c>
      <c r="CN97">
        <v>0.09</v>
      </c>
      <c r="CO97">
        <v>-349.23678048780488</v>
      </c>
      <c r="CP97">
        <v>-16.908209059233279</v>
      </c>
      <c r="CQ97">
        <v>1.668273088602662</v>
      </c>
      <c r="CR97">
        <v>-1</v>
      </c>
      <c r="CS97">
        <v>21.98079756097561</v>
      </c>
      <c r="CT97">
        <v>1.9500271777003191</v>
      </c>
      <c r="CU97">
        <v>0.19230075845239969</v>
      </c>
      <c r="CV97">
        <v>-1</v>
      </c>
      <c r="CW97">
        <v>0</v>
      </c>
      <c r="CX97">
        <v>0</v>
      </c>
      <c r="CY97" t="s">
        <v>333</v>
      </c>
      <c r="CZ97">
        <v>2.3654099999999998</v>
      </c>
      <c r="DA97">
        <v>2.71387</v>
      </c>
      <c r="DB97">
        <v>9.8001000000000005E-2</v>
      </c>
      <c r="DC97">
        <v>0.14661099999999999</v>
      </c>
      <c r="DD97">
        <v>0.116658</v>
      </c>
      <c r="DE97">
        <v>1.7756899999999999E-2</v>
      </c>
      <c r="DF97">
        <v>32929.5</v>
      </c>
      <c r="DG97">
        <v>27467.1</v>
      </c>
      <c r="DH97">
        <v>31164.1</v>
      </c>
      <c r="DI97">
        <v>28043.8</v>
      </c>
      <c r="DJ97">
        <v>37360.199999999997</v>
      </c>
      <c r="DK97">
        <v>39153.9</v>
      </c>
      <c r="DL97">
        <v>44342.5</v>
      </c>
      <c r="DM97">
        <v>42480.800000000003</v>
      </c>
      <c r="DN97">
        <v>1.4902500000000001</v>
      </c>
      <c r="DO97">
        <v>2.0696500000000002</v>
      </c>
      <c r="DP97">
        <v>8.3353399999999994E-2</v>
      </c>
      <c r="DQ97">
        <v>0.19625899999999999</v>
      </c>
      <c r="DR97">
        <v>25.6145</v>
      </c>
      <c r="DS97">
        <v>25.265000000000001</v>
      </c>
      <c r="DT97">
        <v>61</v>
      </c>
      <c r="DU97">
        <v>24.9</v>
      </c>
      <c r="DV97">
        <v>19.408000000000001</v>
      </c>
      <c r="DW97">
        <v>62.071399999999997</v>
      </c>
      <c r="DX97">
        <v>36.338099999999997</v>
      </c>
      <c r="DY97">
        <v>1</v>
      </c>
      <c r="DZ97">
        <v>-0.142924</v>
      </c>
      <c r="EA97">
        <v>-0.86466799999999999</v>
      </c>
      <c r="EB97">
        <v>20.188300000000002</v>
      </c>
      <c r="EC97">
        <v>5.2421499999999996</v>
      </c>
      <c r="ED97">
        <v>12.039899999999999</v>
      </c>
      <c r="EE97">
        <v>5.0165499999999996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1.8687400000000001</v>
      </c>
      <c r="EL97">
        <v>1.8644400000000001</v>
      </c>
      <c r="EM97">
        <v>1.8690500000000001</v>
      </c>
      <c r="EN97">
        <v>1.86707</v>
      </c>
      <c r="EO97">
        <v>1.8632500000000001</v>
      </c>
      <c r="EP97">
        <v>1.86429</v>
      </c>
      <c r="EQ97">
        <v>1.87005</v>
      </c>
      <c r="ER97">
        <v>1.8692599999999999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-0.98899999999999999</v>
      </c>
      <c r="FG97">
        <v>0.19109999999999999</v>
      </c>
      <c r="FH97">
        <v>-0.68620417327404271</v>
      </c>
      <c r="FI97">
        <v>-6.1462078757559423E-4</v>
      </c>
      <c r="FJ97">
        <v>-1.8861989874597051E-7</v>
      </c>
      <c r="FK97">
        <v>1.1980462299894961E-10</v>
      </c>
      <c r="FL97">
        <v>0.1911242781723908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19.600000000000001</v>
      </c>
      <c r="FU97">
        <v>19.5</v>
      </c>
      <c r="FV97">
        <v>1.7614700000000001</v>
      </c>
      <c r="FW97">
        <v>2.5647000000000002</v>
      </c>
      <c r="FX97">
        <v>1.5490699999999999</v>
      </c>
      <c r="FY97">
        <v>2.34009</v>
      </c>
      <c r="FZ97">
        <v>1.50024</v>
      </c>
      <c r="GA97">
        <v>2.3046899999999999</v>
      </c>
      <c r="GB97">
        <v>30.5015</v>
      </c>
      <c r="GC97">
        <v>23.982399999999998</v>
      </c>
      <c r="GD97">
        <v>19</v>
      </c>
      <c r="GE97">
        <v>286.04199999999997</v>
      </c>
      <c r="GF97">
        <v>603.28899999999999</v>
      </c>
      <c r="GG97">
        <v>26.1065</v>
      </c>
      <c r="GH97">
        <v>25.6129</v>
      </c>
      <c r="GI97">
        <v>30.0001</v>
      </c>
      <c r="GJ97">
        <v>25.717199999999998</v>
      </c>
      <c r="GK97">
        <v>25.674800000000001</v>
      </c>
      <c r="GL97">
        <v>35.2346</v>
      </c>
      <c r="GM97">
        <v>86.262</v>
      </c>
      <c r="GN97">
        <v>64.883499999999998</v>
      </c>
      <c r="GO97">
        <v>26.116499999999998</v>
      </c>
      <c r="GP97">
        <v>800</v>
      </c>
      <c r="GQ97">
        <v>2.09782</v>
      </c>
      <c r="GR97">
        <v>99.702600000000004</v>
      </c>
      <c r="GS97">
        <v>99.399600000000007</v>
      </c>
    </row>
    <row r="98" spans="1:201" x14ac:dyDescent="0.25">
      <c r="A98">
        <v>82</v>
      </c>
      <c r="B98">
        <v>1690287450.0999999</v>
      </c>
      <c r="C98">
        <v>911.5</v>
      </c>
      <c r="D98" t="s">
        <v>497</v>
      </c>
      <c r="E98" t="s">
        <v>498</v>
      </c>
      <c r="F98" t="s">
        <v>330</v>
      </c>
      <c r="H98">
        <v>1690287450.0999999</v>
      </c>
      <c r="I98">
        <f t="shared" si="30"/>
        <v>2.3931159667759899E-3</v>
      </c>
      <c r="J98">
        <f t="shared" si="31"/>
        <v>2.3931159667759898</v>
      </c>
      <c r="K98">
        <f t="shared" si="32"/>
        <v>35.553339667598131</v>
      </c>
      <c r="L98">
        <f t="shared" si="33"/>
        <v>445.05799999999999</v>
      </c>
      <c r="M98">
        <f t="shared" si="34"/>
        <v>113.58361237390913</v>
      </c>
      <c r="N98">
        <f t="shared" si="35"/>
        <v>11.294109021017654</v>
      </c>
      <c r="O98">
        <f t="shared" si="36"/>
        <v>44.254038655938196</v>
      </c>
      <c r="P98">
        <f t="shared" si="37"/>
        <v>0.18138544783323929</v>
      </c>
      <c r="Q98">
        <f t="shared" si="38"/>
        <v>2.2979364260108235</v>
      </c>
      <c r="R98">
        <f t="shared" si="39"/>
        <v>0.17379018633328527</v>
      </c>
      <c r="S98">
        <f t="shared" si="40"/>
        <v>0.10927476782790141</v>
      </c>
      <c r="T98">
        <f t="shared" si="41"/>
        <v>276.11435163600004</v>
      </c>
      <c r="U98">
        <f t="shared" si="42"/>
        <v>27.938127435509102</v>
      </c>
      <c r="V98">
        <f t="shared" si="43"/>
        <v>27.938127435509102</v>
      </c>
      <c r="W98">
        <f t="shared" si="44"/>
        <v>3.7811733700909209</v>
      </c>
      <c r="X98">
        <f t="shared" si="45"/>
        <v>69.894821211762192</v>
      </c>
      <c r="Y98">
        <f t="shared" si="46"/>
        <v>2.45488415747415</v>
      </c>
      <c r="Z98">
        <f t="shared" si="47"/>
        <v>3.512254720613023</v>
      </c>
      <c r="AA98">
        <f t="shared" si="48"/>
        <v>1.3262892126167709</v>
      </c>
      <c r="AB98">
        <f t="shared" si="49"/>
        <v>-105.53641413482116</v>
      </c>
      <c r="AC98">
        <f t="shared" si="50"/>
        <v>-155.97631177130611</v>
      </c>
      <c r="AD98">
        <f t="shared" si="51"/>
        <v>-14.69390139205013</v>
      </c>
      <c r="AE98">
        <f t="shared" si="52"/>
        <v>-9.2275662177343065E-2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52496.314862805586</v>
      </c>
      <c r="AK98">
        <f t="shared" si="56"/>
        <v>1800</v>
      </c>
      <c r="AL98">
        <f t="shared" si="57"/>
        <v>1499.1135965999999</v>
      </c>
      <c r="AM98">
        <f t="shared" si="58"/>
        <v>0.83284088699999992</v>
      </c>
      <c r="AN98">
        <f t="shared" si="59"/>
        <v>0.15339686202000002</v>
      </c>
      <c r="AO98">
        <v>29.1</v>
      </c>
      <c r="AP98">
        <v>0.5</v>
      </c>
      <c r="AQ98" t="s">
        <v>331</v>
      </c>
      <c r="AR98">
        <v>2</v>
      </c>
      <c r="AS98">
        <v>1690287450.0999999</v>
      </c>
      <c r="AT98">
        <v>445.05799999999999</v>
      </c>
      <c r="AU98">
        <v>800.04600000000005</v>
      </c>
      <c r="AV98">
        <v>24.688500000000001</v>
      </c>
      <c r="AW98">
        <v>2.0617999999999999</v>
      </c>
      <c r="AX98">
        <v>446.04599999999999</v>
      </c>
      <c r="AY98">
        <v>24.497399999999999</v>
      </c>
      <c r="AZ98">
        <v>300.178</v>
      </c>
      <c r="BA98">
        <v>99.334400000000002</v>
      </c>
      <c r="BB98">
        <v>9.9917900000000004E-2</v>
      </c>
      <c r="BC98">
        <v>26.679099999999998</v>
      </c>
      <c r="BD98">
        <v>26.9651</v>
      </c>
      <c r="BE98">
        <v>28.4741</v>
      </c>
      <c r="BF98">
        <v>0</v>
      </c>
      <c r="BG98">
        <v>0</v>
      </c>
      <c r="BH98">
        <v>9983.1200000000008</v>
      </c>
      <c r="BI98">
        <v>1086.46</v>
      </c>
      <c r="BJ98">
        <v>1.3469899999999999</v>
      </c>
      <c r="BK98">
        <v>-354.988</v>
      </c>
      <c r="BL98">
        <v>456.32400000000001</v>
      </c>
      <c r="BM98">
        <v>801.69899999999996</v>
      </c>
      <c r="BN98">
        <v>22.6267</v>
      </c>
      <c r="BO98">
        <v>800.04600000000005</v>
      </c>
      <c r="BP98">
        <v>2.0617999999999999</v>
      </c>
      <c r="BQ98">
        <v>2.45241</v>
      </c>
      <c r="BR98">
        <v>0.20480699999999999</v>
      </c>
      <c r="BS98">
        <v>20.714099999999998</v>
      </c>
      <c r="BT98">
        <v>-14.2171</v>
      </c>
      <c r="BU98">
        <v>1800</v>
      </c>
      <c r="BV98">
        <v>0.91001600000000005</v>
      </c>
      <c r="BW98">
        <v>3.3995400000000002E-2</v>
      </c>
      <c r="BX98">
        <v>2.1994099999999999E-2</v>
      </c>
      <c r="BY98">
        <v>3.3994400000000001E-2</v>
      </c>
      <c r="BZ98">
        <v>25</v>
      </c>
      <c r="CA98">
        <v>33528.5</v>
      </c>
      <c r="CB98">
        <v>1690286268.5999999</v>
      </c>
      <c r="CC98" t="s">
        <v>332</v>
      </c>
      <c r="CD98">
        <v>1690286261.0999999</v>
      </c>
      <c r="CE98">
        <v>1690286268.5999999</v>
      </c>
      <c r="CF98">
        <v>1</v>
      </c>
      <c r="CG98">
        <v>-0.89900000000000002</v>
      </c>
      <c r="CH98">
        <v>3.4000000000000002E-2</v>
      </c>
      <c r="CI98">
        <v>-1.2370000000000001</v>
      </c>
      <c r="CJ98">
        <v>8.5999999999999993E-2</v>
      </c>
      <c r="CK98">
        <v>799</v>
      </c>
      <c r="CL98">
        <v>16</v>
      </c>
      <c r="CM98">
        <v>0.28999999999999998</v>
      </c>
      <c r="CN98">
        <v>0.09</v>
      </c>
      <c r="CO98">
        <v>-352.01892682926831</v>
      </c>
      <c r="CP98">
        <v>-16.27032752613237</v>
      </c>
      <c r="CQ98">
        <v>1.604703580108146</v>
      </c>
      <c r="CR98">
        <v>-1</v>
      </c>
      <c r="CS98">
        <v>22.299492682926829</v>
      </c>
      <c r="CT98">
        <v>1.8684418118466859</v>
      </c>
      <c r="CU98">
        <v>0.18428939118288379</v>
      </c>
      <c r="CV98">
        <v>-1</v>
      </c>
      <c r="CW98">
        <v>0</v>
      </c>
      <c r="CX98">
        <v>0</v>
      </c>
      <c r="CY98" t="s">
        <v>333</v>
      </c>
      <c r="CZ98">
        <v>2.3652299999999999</v>
      </c>
      <c r="DA98">
        <v>2.7136999999999998</v>
      </c>
      <c r="DB98">
        <v>9.7556100000000007E-2</v>
      </c>
      <c r="DC98">
        <v>0.14660000000000001</v>
      </c>
      <c r="DD98">
        <v>0.11665399999999999</v>
      </c>
      <c r="DE98">
        <v>1.57617E-2</v>
      </c>
      <c r="DF98">
        <v>32946.300000000003</v>
      </c>
      <c r="DG98">
        <v>27467.8</v>
      </c>
      <c r="DH98">
        <v>31164.6</v>
      </c>
      <c r="DI98">
        <v>28044.2</v>
      </c>
      <c r="DJ98">
        <v>37360.9</v>
      </c>
      <c r="DK98">
        <v>39234.300000000003</v>
      </c>
      <c r="DL98">
        <v>44343.1</v>
      </c>
      <c r="DM98">
        <v>42481.5</v>
      </c>
      <c r="DN98">
        <v>1.4902</v>
      </c>
      <c r="DO98">
        <v>2.0693000000000001</v>
      </c>
      <c r="DP98">
        <v>8.2623199999999994E-2</v>
      </c>
      <c r="DQ98">
        <v>0.19618099999999999</v>
      </c>
      <c r="DR98">
        <v>25.612300000000001</v>
      </c>
      <c r="DS98">
        <v>25.265000000000001</v>
      </c>
      <c r="DT98">
        <v>60.4</v>
      </c>
      <c r="DU98">
        <v>24.9</v>
      </c>
      <c r="DV98">
        <v>19.220300000000002</v>
      </c>
      <c r="DW98">
        <v>62.001399999999997</v>
      </c>
      <c r="DX98">
        <v>36.037700000000001</v>
      </c>
      <c r="DY98">
        <v>1</v>
      </c>
      <c r="DZ98">
        <v>-0.14261399999999999</v>
      </c>
      <c r="EA98">
        <v>-0.88425399999999998</v>
      </c>
      <c r="EB98">
        <v>20.187999999999999</v>
      </c>
      <c r="EC98">
        <v>5.2424499999999998</v>
      </c>
      <c r="ED98">
        <v>12.039899999999999</v>
      </c>
      <c r="EE98">
        <v>5.0167999999999999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1.8687400000000001</v>
      </c>
      <c r="EL98">
        <v>1.86443</v>
      </c>
      <c r="EM98">
        <v>1.8690500000000001</v>
      </c>
      <c r="EN98">
        <v>1.86707</v>
      </c>
      <c r="EO98">
        <v>1.8632500000000001</v>
      </c>
      <c r="EP98">
        <v>1.8642700000000001</v>
      </c>
      <c r="EQ98">
        <v>1.87005</v>
      </c>
      <c r="ER98">
        <v>1.86927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-0.98799999999999999</v>
      </c>
      <c r="FG98">
        <v>0.19109999999999999</v>
      </c>
      <c r="FH98">
        <v>-0.68620417327404271</v>
      </c>
      <c r="FI98">
        <v>-6.1462078757559423E-4</v>
      </c>
      <c r="FJ98">
        <v>-1.8861989874597051E-7</v>
      </c>
      <c r="FK98">
        <v>1.1980462299894961E-10</v>
      </c>
      <c r="FL98">
        <v>0.1911242781723908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19.8</v>
      </c>
      <c r="FU98">
        <v>19.7</v>
      </c>
      <c r="FV98">
        <v>1.7614700000000001</v>
      </c>
      <c r="FW98">
        <v>2.5610400000000002</v>
      </c>
      <c r="FX98">
        <v>1.5490699999999999</v>
      </c>
      <c r="FY98">
        <v>2.34009</v>
      </c>
      <c r="FZ98">
        <v>1.50146</v>
      </c>
      <c r="GA98">
        <v>2.3803700000000001</v>
      </c>
      <c r="GB98">
        <v>30.5015</v>
      </c>
      <c r="GC98">
        <v>23.991199999999999</v>
      </c>
      <c r="GD98">
        <v>19</v>
      </c>
      <c r="GE98">
        <v>286.01600000000002</v>
      </c>
      <c r="GF98">
        <v>602.99400000000003</v>
      </c>
      <c r="GG98">
        <v>26.134</v>
      </c>
      <c r="GH98">
        <v>25.6128</v>
      </c>
      <c r="GI98">
        <v>30</v>
      </c>
      <c r="GJ98">
        <v>25.716100000000001</v>
      </c>
      <c r="GK98">
        <v>25.674800000000001</v>
      </c>
      <c r="GL98">
        <v>35.227200000000003</v>
      </c>
      <c r="GM98">
        <v>88.195800000000006</v>
      </c>
      <c r="GN98">
        <v>63.660400000000003</v>
      </c>
      <c r="GO98">
        <v>26.1569</v>
      </c>
      <c r="GP98">
        <v>800</v>
      </c>
      <c r="GQ98">
        <v>1.7896300000000001</v>
      </c>
      <c r="GR98">
        <v>99.7042</v>
      </c>
      <c r="GS98">
        <v>99.401200000000003</v>
      </c>
    </row>
    <row r="99" spans="1:201" x14ac:dyDescent="0.25">
      <c r="A99">
        <v>83</v>
      </c>
      <c r="B99">
        <v>1690287460.0999999</v>
      </c>
      <c r="C99">
        <v>921.5</v>
      </c>
      <c r="D99" t="s">
        <v>499</v>
      </c>
      <c r="E99" t="s">
        <v>500</v>
      </c>
      <c r="F99" t="s">
        <v>330</v>
      </c>
      <c r="H99">
        <v>1690287460.0999999</v>
      </c>
      <c r="I99">
        <f t="shared" si="30"/>
        <v>2.4233429808030705E-3</v>
      </c>
      <c r="J99">
        <f t="shared" si="31"/>
        <v>2.4233429808030706</v>
      </c>
      <c r="K99">
        <f t="shared" si="32"/>
        <v>35.83070727932067</v>
      </c>
      <c r="L99">
        <f t="shared" si="33"/>
        <v>442.32799999999997</v>
      </c>
      <c r="M99">
        <f t="shared" si="34"/>
        <v>113.03206828693577</v>
      </c>
      <c r="N99">
        <f t="shared" si="35"/>
        <v>11.239321668858141</v>
      </c>
      <c r="O99">
        <f t="shared" si="36"/>
        <v>43.982798426039999</v>
      </c>
      <c r="P99">
        <f t="shared" si="37"/>
        <v>0.1840952448263086</v>
      </c>
      <c r="Q99">
        <f t="shared" si="38"/>
        <v>2.3012706447745339</v>
      </c>
      <c r="R99">
        <f t="shared" si="39"/>
        <v>0.1762874204555239</v>
      </c>
      <c r="S99">
        <f t="shared" si="40"/>
        <v>0.11085354456422271</v>
      </c>
      <c r="T99">
        <f t="shared" si="41"/>
        <v>276.1126476943241</v>
      </c>
      <c r="U99">
        <f t="shared" si="42"/>
        <v>27.929218032661741</v>
      </c>
      <c r="V99">
        <f t="shared" si="43"/>
        <v>27.929218032661741</v>
      </c>
      <c r="W99">
        <f t="shared" si="44"/>
        <v>3.7792090170563588</v>
      </c>
      <c r="X99">
        <f t="shared" si="45"/>
        <v>69.892391434291852</v>
      </c>
      <c r="Y99">
        <f t="shared" si="46"/>
        <v>2.4551746006965001</v>
      </c>
      <c r="Z99">
        <f t="shared" si="47"/>
        <v>3.5127923802760295</v>
      </c>
      <c r="AA99">
        <f t="shared" si="48"/>
        <v>1.3240344163598587</v>
      </c>
      <c r="AB99">
        <f t="shared" si="49"/>
        <v>-106.8694254534154</v>
      </c>
      <c r="AC99">
        <f t="shared" si="50"/>
        <v>-154.77470073592212</v>
      </c>
      <c r="AD99">
        <f t="shared" si="51"/>
        <v>-14.559117053760454</v>
      </c>
      <c r="AE99">
        <f t="shared" si="52"/>
        <v>-9.0595548773904966E-2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52622.066296928802</v>
      </c>
      <c r="AK99">
        <f t="shared" si="56"/>
        <v>1799.99</v>
      </c>
      <c r="AL99">
        <f t="shared" si="57"/>
        <v>1499.1065407840601</v>
      </c>
      <c r="AM99">
        <f t="shared" si="58"/>
        <v>0.83284159400000002</v>
      </c>
      <c r="AN99">
        <f t="shared" si="59"/>
        <v>0.15339676758999998</v>
      </c>
      <c r="AO99">
        <v>29.1</v>
      </c>
      <c r="AP99">
        <v>0.5</v>
      </c>
      <c r="AQ99" t="s">
        <v>331</v>
      </c>
      <c r="AR99">
        <v>2</v>
      </c>
      <c r="AS99">
        <v>1690287460.0999999</v>
      </c>
      <c r="AT99">
        <v>442.32799999999997</v>
      </c>
      <c r="AU99">
        <v>800.06399999999996</v>
      </c>
      <c r="AV99">
        <v>24.691299999999998</v>
      </c>
      <c r="AW99">
        <v>1.7793300000000001</v>
      </c>
      <c r="AX99">
        <v>443.31299999999999</v>
      </c>
      <c r="AY99">
        <v>24.5001</v>
      </c>
      <c r="AZ99">
        <v>300.18400000000003</v>
      </c>
      <c r="BA99">
        <v>99.334800000000001</v>
      </c>
      <c r="BB99">
        <v>0.100005</v>
      </c>
      <c r="BC99">
        <v>26.681699999999999</v>
      </c>
      <c r="BD99">
        <v>26.994199999999999</v>
      </c>
      <c r="BE99">
        <v>28.455500000000001</v>
      </c>
      <c r="BF99">
        <v>0</v>
      </c>
      <c r="BG99">
        <v>0</v>
      </c>
      <c r="BH99">
        <v>10008.1</v>
      </c>
      <c r="BI99">
        <v>1086.54</v>
      </c>
      <c r="BJ99">
        <v>1.3595999999999999</v>
      </c>
      <c r="BK99">
        <v>-357.73599999999999</v>
      </c>
      <c r="BL99">
        <v>453.52600000000001</v>
      </c>
      <c r="BM99">
        <v>801.49</v>
      </c>
      <c r="BN99">
        <v>22.911899999999999</v>
      </c>
      <c r="BO99">
        <v>800.06399999999996</v>
      </c>
      <c r="BP99">
        <v>1.7793300000000001</v>
      </c>
      <c r="BQ99">
        <v>2.4527000000000001</v>
      </c>
      <c r="BR99">
        <v>0.17674999999999999</v>
      </c>
      <c r="BS99">
        <v>20.716000000000001</v>
      </c>
      <c r="BT99">
        <v>-15.9992</v>
      </c>
      <c r="BU99">
        <v>1799.99</v>
      </c>
      <c r="BV99">
        <v>0.910022</v>
      </c>
      <c r="BW99">
        <v>3.3993200000000001E-2</v>
      </c>
      <c r="BX99">
        <v>2.19927E-2</v>
      </c>
      <c r="BY99">
        <v>3.3992300000000003E-2</v>
      </c>
      <c r="BZ99">
        <v>25</v>
      </c>
      <c r="CA99">
        <v>33528.5</v>
      </c>
      <c r="CB99">
        <v>1690286268.5999999</v>
      </c>
      <c r="CC99" t="s">
        <v>332</v>
      </c>
      <c r="CD99">
        <v>1690286261.0999999</v>
      </c>
      <c r="CE99">
        <v>1690286268.5999999</v>
      </c>
      <c r="CF99">
        <v>1</v>
      </c>
      <c r="CG99">
        <v>-0.89900000000000002</v>
      </c>
      <c r="CH99">
        <v>3.4000000000000002E-2</v>
      </c>
      <c r="CI99">
        <v>-1.2370000000000001</v>
      </c>
      <c r="CJ99">
        <v>8.5999999999999993E-2</v>
      </c>
      <c r="CK99">
        <v>799</v>
      </c>
      <c r="CL99">
        <v>16</v>
      </c>
      <c r="CM99">
        <v>0.28999999999999998</v>
      </c>
      <c r="CN99">
        <v>0.09</v>
      </c>
      <c r="CO99">
        <v>-354.971</v>
      </c>
      <c r="CP99">
        <v>-16.498514071292959</v>
      </c>
      <c r="CQ99">
        <v>1.58763229370028</v>
      </c>
      <c r="CR99">
        <v>-1</v>
      </c>
      <c r="CS99">
        <v>22.621122499999998</v>
      </c>
      <c r="CT99">
        <v>1.7301039399623941</v>
      </c>
      <c r="CU99">
        <v>0.16644638248922711</v>
      </c>
      <c r="CV99">
        <v>-1</v>
      </c>
      <c r="CW99">
        <v>0</v>
      </c>
      <c r="CX99">
        <v>0</v>
      </c>
      <c r="CY99" t="s">
        <v>333</v>
      </c>
      <c r="CZ99">
        <v>2.3652500000000001</v>
      </c>
      <c r="DA99">
        <v>2.7138</v>
      </c>
      <c r="DB99">
        <v>9.7109200000000007E-2</v>
      </c>
      <c r="DC99">
        <v>0.14659700000000001</v>
      </c>
      <c r="DD99">
        <v>0.116664</v>
      </c>
      <c r="DE99">
        <v>1.3783699999999999E-2</v>
      </c>
      <c r="DF99">
        <v>32963.1</v>
      </c>
      <c r="DG99">
        <v>27468.3</v>
      </c>
      <c r="DH99">
        <v>31165</v>
      </c>
      <c r="DI99">
        <v>28044.6</v>
      </c>
      <c r="DJ99">
        <v>37361</v>
      </c>
      <c r="DK99">
        <v>39313.599999999999</v>
      </c>
      <c r="DL99">
        <v>44343.8</v>
      </c>
      <c r="DM99">
        <v>42481.7</v>
      </c>
      <c r="DN99">
        <v>1.4907300000000001</v>
      </c>
      <c r="DO99">
        <v>2.0687500000000001</v>
      </c>
      <c r="DP99">
        <v>8.4400199999999995E-2</v>
      </c>
      <c r="DQ99">
        <v>0.19491800000000001</v>
      </c>
      <c r="DR99">
        <v>25.612300000000001</v>
      </c>
      <c r="DS99">
        <v>25.267099999999999</v>
      </c>
      <c r="DT99">
        <v>60</v>
      </c>
      <c r="DU99">
        <v>24.9</v>
      </c>
      <c r="DV99">
        <v>19.093599999999999</v>
      </c>
      <c r="DW99">
        <v>62.231400000000001</v>
      </c>
      <c r="DX99">
        <v>36.610599999999998</v>
      </c>
      <c r="DY99">
        <v>1</v>
      </c>
      <c r="DZ99">
        <v>-0.14329500000000001</v>
      </c>
      <c r="EA99">
        <v>-0.92327099999999995</v>
      </c>
      <c r="EB99">
        <v>20.1876</v>
      </c>
      <c r="EC99">
        <v>5.242</v>
      </c>
      <c r="ED99">
        <v>12.039899999999999</v>
      </c>
      <c r="EE99">
        <v>5.01675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1.8687400000000001</v>
      </c>
      <c r="EL99">
        <v>1.8644400000000001</v>
      </c>
      <c r="EM99">
        <v>1.8690500000000001</v>
      </c>
      <c r="EN99">
        <v>1.86707</v>
      </c>
      <c r="EO99">
        <v>1.8632500000000001</v>
      </c>
      <c r="EP99">
        <v>1.86426</v>
      </c>
      <c r="EQ99">
        <v>1.8701000000000001</v>
      </c>
      <c r="ER99">
        <v>1.8692599999999999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-0.98499999999999999</v>
      </c>
      <c r="FG99">
        <v>0.19120000000000001</v>
      </c>
      <c r="FH99">
        <v>-0.68620417327404271</v>
      </c>
      <c r="FI99">
        <v>-6.1462078757559423E-4</v>
      </c>
      <c r="FJ99">
        <v>-1.8861989874597051E-7</v>
      </c>
      <c r="FK99">
        <v>1.1980462299894961E-10</v>
      </c>
      <c r="FL99">
        <v>0.1911242781723908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20</v>
      </c>
      <c r="FU99">
        <v>19.899999999999999</v>
      </c>
      <c r="FV99">
        <v>1.7614700000000001</v>
      </c>
      <c r="FW99">
        <v>2.5622600000000002</v>
      </c>
      <c r="FX99">
        <v>1.5490699999999999</v>
      </c>
      <c r="FY99">
        <v>2.34009</v>
      </c>
      <c r="FZ99">
        <v>1.50146</v>
      </c>
      <c r="GA99">
        <v>2.32544</v>
      </c>
      <c r="GB99">
        <v>30.523099999999999</v>
      </c>
      <c r="GC99">
        <v>23.982399999999998</v>
      </c>
      <c r="GD99">
        <v>19</v>
      </c>
      <c r="GE99">
        <v>286.23500000000001</v>
      </c>
      <c r="GF99">
        <v>602.529</v>
      </c>
      <c r="GG99">
        <v>26.1754</v>
      </c>
      <c r="GH99">
        <v>25.610700000000001</v>
      </c>
      <c r="GI99">
        <v>29.9999</v>
      </c>
      <c r="GJ99">
        <v>25.7151</v>
      </c>
      <c r="GK99">
        <v>25.674800000000001</v>
      </c>
      <c r="GL99">
        <v>35.2194</v>
      </c>
      <c r="GM99">
        <v>90.114999999999995</v>
      </c>
      <c r="GN99">
        <v>62.426299999999998</v>
      </c>
      <c r="GO99">
        <v>26.178699999999999</v>
      </c>
      <c r="GP99">
        <v>800</v>
      </c>
      <c r="GQ99">
        <v>1.4782</v>
      </c>
      <c r="GR99">
        <v>99.705500000000001</v>
      </c>
      <c r="GS99">
        <v>99.402000000000001</v>
      </c>
    </row>
    <row r="100" spans="1:201" x14ac:dyDescent="0.25">
      <c r="A100">
        <v>84</v>
      </c>
      <c r="B100">
        <v>1690287470.0999999</v>
      </c>
      <c r="C100">
        <v>931.5</v>
      </c>
      <c r="D100" t="s">
        <v>501</v>
      </c>
      <c r="E100" t="s">
        <v>502</v>
      </c>
      <c r="F100" t="s">
        <v>330</v>
      </c>
      <c r="H100">
        <v>1690287470.0999999</v>
      </c>
      <c r="I100">
        <f t="shared" si="30"/>
        <v>2.4506226637546684E-3</v>
      </c>
      <c r="J100">
        <f t="shared" si="31"/>
        <v>2.4506226637546682</v>
      </c>
      <c r="K100">
        <f t="shared" si="32"/>
        <v>36.080749187964997</v>
      </c>
      <c r="L100">
        <f t="shared" si="33"/>
        <v>439.70299999999997</v>
      </c>
      <c r="M100">
        <f t="shared" si="34"/>
        <v>111.77492449393256</v>
      </c>
      <c r="N100">
        <f t="shared" si="35"/>
        <v>11.114831762046732</v>
      </c>
      <c r="O100">
        <f t="shared" si="36"/>
        <v>43.723803817308998</v>
      </c>
      <c r="P100">
        <f t="shared" si="37"/>
        <v>0.18621414580428658</v>
      </c>
      <c r="Q100">
        <f t="shared" si="38"/>
        <v>2.3038332393862486</v>
      </c>
      <c r="R100">
        <f t="shared" si="39"/>
        <v>0.17823821647397078</v>
      </c>
      <c r="S100">
        <f t="shared" si="40"/>
        <v>0.11208702176964878</v>
      </c>
      <c r="T100">
        <f t="shared" si="41"/>
        <v>276.11242006758874</v>
      </c>
      <c r="U100">
        <f t="shared" si="42"/>
        <v>27.933273476337487</v>
      </c>
      <c r="V100">
        <f t="shared" si="43"/>
        <v>27.933273476337487</v>
      </c>
      <c r="W100">
        <f t="shared" si="44"/>
        <v>3.7801030544418706</v>
      </c>
      <c r="X100">
        <f t="shared" si="45"/>
        <v>69.850795494412125</v>
      </c>
      <c r="Y100">
        <f t="shared" si="46"/>
        <v>2.4557654404283005</v>
      </c>
      <c r="Z100">
        <f t="shared" si="47"/>
        <v>3.5157300973397723</v>
      </c>
      <c r="AA100">
        <f t="shared" si="48"/>
        <v>1.3243376140135701</v>
      </c>
      <c r="AB100">
        <f t="shared" si="49"/>
        <v>-108.07245947158087</v>
      </c>
      <c r="AC100">
        <f t="shared" si="50"/>
        <v>-153.68705400464515</v>
      </c>
      <c r="AD100">
        <f t="shared" si="51"/>
        <v>-14.442041147504552</v>
      </c>
      <c r="AE100">
        <f t="shared" si="52"/>
        <v>-8.913455614182908E-2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52716.773502304219</v>
      </c>
      <c r="AK100">
        <f t="shared" si="56"/>
        <v>1799.99</v>
      </c>
      <c r="AL100">
        <f t="shared" si="57"/>
        <v>1499.1046039948201</v>
      </c>
      <c r="AM100">
        <f t="shared" si="58"/>
        <v>0.83284051800000003</v>
      </c>
      <c r="AN100">
        <f t="shared" si="59"/>
        <v>0.15339664113000004</v>
      </c>
      <c r="AO100">
        <v>29.1</v>
      </c>
      <c r="AP100">
        <v>0.5</v>
      </c>
      <c r="AQ100" t="s">
        <v>331</v>
      </c>
      <c r="AR100">
        <v>2</v>
      </c>
      <c r="AS100">
        <v>1690287470.0999999</v>
      </c>
      <c r="AT100">
        <v>439.70299999999997</v>
      </c>
      <c r="AU100">
        <v>800.07600000000002</v>
      </c>
      <c r="AV100">
        <v>24.696100000000001</v>
      </c>
      <c r="AW100">
        <v>1.51613</v>
      </c>
      <c r="AX100">
        <v>440.68700000000001</v>
      </c>
      <c r="AY100">
        <v>24.504899999999999</v>
      </c>
      <c r="AZ100">
        <v>300.05200000000002</v>
      </c>
      <c r="BA100">
        <v>99.339399999999998</v>
      </c>
      <c r="BB100">
        <v>0.10000299999999999</v>
      </c>
      <c r="BC100">
        <v>26.695900000000002</v>
      </c>
      <c r="BD100">
        <v>26.991099999999999</v>
      </c>
      <c r="BE100">
        <v>28.474799999999998</v>
      </c>
      <c r="BF100">
        <v>0</v>
      </c>
      <c r="BG100">
        <v>0</v>
      </c>
      <c r="BH100">
        <v>10026.9</v>
      </c>
      <c r="BI100">
        <v>1086.6500000000001</v>
      </c>
      <c r="BJ100">
        <v>1.361</v>
      </c>
      <c r="BK100">
        <v>-360.37200000000001</v>
      </c>
      <c r="BL100">
        <v>450.83699999999999</v>
      </c>
      <c r="BM100">
        <v>801.29100000000005</v>
      </c>
      <c r="BN100">
        <v>23.1799</v>
      </c>
      <c r="BO100">
        <v>800.07600000000002</v>
      </c>
      <c r="BP100">
        <v>1.51613</v>
      </c>
      <c r="BQ100">
        <v>2.45329</v>
      </c>
      <c r="BR100">
        <v>0.150612</v>
      </c>
      <c r="BS100">
        <v>20.719899999999999</v>
      </c>
      <c r="BT100">
        <v>-17.903400000000001</v>
      </c>
      <c r="BU100">
        <v>1799.99</v>
      </c>
      <c r="BV100">
        <v>0.91001900000000002</v>
      </c>
      <c r="BW100">
        <v>3.4000500000000003E-2</v>
      </c>
      <c r="BX100">
        <v>2.1990900000000001E-2</v>
      </c>
      <c r="BY100">
        <v>3.3989499999999999E-2</v>
      </c>
      <c r="BZ100">
        <v>25</v>
      </c>
      <c r="CA100">
        <v>33528.400000000001</v>
      </c>
      <c r="CB100">
        <v>1690286268.5999999</v>
      </c>
      <c r="CC100" t="s">
        <v>332</v>
      </c>
      <c r="CD100">
        <v>1690286261.0999999</v>
      </c>
      <c r="CE100">
        <v>1690286268.5999999</v>
      </c>
      <c r="CF100">
        <v>1</v>
      </c>
      <c r="CG100">
        <v>-0.89900000000000002</v>
      </c>
      <c r="CH100">
        <v>3.4000000000000002E-2</v>
      </c>
      <c r="CI100">
        <v>-1.2370000000000001</v>
      </c>
      <c r="CJ100">
        <v>8.5999999999999993E-2</v>
      </c>
      <c r="CK100">
        <v>799</v>
      </c>
      <c r="CL100">
        <v>16</v>
      </c>
      <c r="CM100">
        <v>0.28999999999999998</v>
      </c>
      <c r="CN100">
        <v>0.09</v>
      </c>
      <c r="CO100">
        <v>-357.69637499999999</v>
      </c>
      <c r="CP100">
        <v>-16.07188367729761</v>
      </c>
      <c r="CQ100">
        <v>1.546651927349842</v>
      </c>
      <c r="CR100">
        <v>-1</v>
      </c>
      <c r="CS100">
        <v>22.9014375</v>
      </c>
      <c r="CT100">
        <v>1.644133958724147</v>
      </c>
      <c r="CU100">
        <v>0.15818335514127249</v>
      </c>
      <c r="CV100">
        <v>-1</v>
      </c>
      <c r="CW100">
        <v>0</v>
      </c>
      <c r="CX100">
        <v>0</v>
      </c>
      <c r="CY100" t="s">
        <v>333</v>
      </c>
      <c r="CZ100">
        <v>2.36483</v>
      </c>
      <c r="DA100">
        <v>2.7138200000000001</v>
      </c>
      <c r="DB100">
        <v>9.6682100000000007E-2</v>
      </c>
      <c r="DC100">
        <v>0.14660000000000001</v>
      </c>
      <c r="DD100">
        <v>0.116685</v>
      </c>
      <c r="DE100">
        <v>1.18966E-2</v>
      </c>
      <c r="DF100">
        <v>32978.199999999997</v>
      </c>
      <c r="DG100">
        <v>27468</v>
      </c>
      <c r="DH100">
        <v>31164.6</v>
      </c>
      <c r="DI100">
        <v>28044.400000000001</v>
      </c>
      <c r="DJ100">
        <v>37359.599999999999</v>
      </c>
      <c r="DK100">
        <v>39388.800000000003</v>
      </c>
      <c r="DL100">
        <v>44343.3</v>
      </c>
      <c r="DM100">
        <v>42481.4</v>
      </c>
      <c r="DN100">
        <v>1.4905999999999999</v>
      </c>
      <c r="DO100">
        <v>2.0686499999999999</v>
      </c>
      <c r="DP100">
        <v>8.4184099999999998E-2</v>
      </c>
      <c r="DQ100">
        <v>0.19603599999999999</v>
      </c>
      <c r="DR100">
        <v>25.6128</v>
      </c>
      <c r="DS100">
        <v>25.2681</v>
      </c>
      <c r="DT100">
        <v>59.4</v>
      </c>
      <c r="DU100">
        <v>24.9</v>
      </c>
      <c r="DV100">
        <v>18.899799999999999</v>
      </c>
      <c r="DW100">
        <v>61.9514</v>
      </c>
      <c r="DX100">
        <v>37.267600000000002</v>
      </c>
      <c r="DY100">
        <v>1</v>
      </c>
      <c r="DZ100">
        <v>-0.14332800000000001</v>
      </c>
      <c r="EA100">
        <v>-0.86873900000000004</v>
      </c>
      <c r="EB100">
        <v>20.187999999999999</v>
      </c>
      <c r="EC100">
        <v>5.2415500000000002</v>
      </c>
      <c r="ED100">
        <v>12.039899999999999</v>
      </c>
      <c r="EE100">
        <v>5.0166500000000003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1.8687400000000001</v>
      </c>
      <c r="EL100">
        <v>1.86443</v>
      </c>
      <c r="EM100">
        <v>1.8690500000000001</v>
      </c>
      <c r="EN100">
        <v>1.86707</v>
      </c>
      <c r="EO100">
        <v>1.86324</v>
      </c>
      <c r="EP100">
        <v>1.8642700000000001</v>
      </c>
      <c r="EQ100">
        <v>1.87008</v>
      </c>
      <c r="ER100">
        <v>1.8692800000000001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-0.98399999999999999</v>
      </c>
      <c r="FG100">
        <v>0.19120000000000001</v>
      </c>
      <c r="FH100">
        <v>-0.68620417327404271</v>
      </c>
      <c r="FI100">
        <v>-6.1462078757559423E-4</v>
      </c>
      <c r="FJ100">
        <v>-1.8861989874597051E-7</v>
      </c>
      <c r="FK100">
        <v>1.1980462299894961E-10</v>
      </c>
      <c r="FL100">
        <v>0.1911242781723908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20.100000000000001</v>
      </c>
      <c r="FU100">
        <v>20</v>
      </c>
      <c r="FV100">
        <v>1.7614700000000001</v>
      </c>
      <c r="FW100">
        <v>2.5647000000000002</v>
      </c>
      <c r="FX100">
        <v>1.5490699999999999</v>
      </c>
      <c r="FY100">
        <v>2.34131</v>
      </c>
      <c r="FZ100">
        <v>1.50146</v>
      </c>
      <c r="GA100">
        <v>2.2924799999999999</v>
      </c>
      <c r="GB100">
        <v>30.523099999999999</v>
      </c>
      <c r="GC100">
        <v>23.982399999999998</v>
      </c>
      <c r="GD100">
        <v>19</v>
      </c>
      <c r="GE100">
        <v>286.18200000000002</v>
      </c>
      <c r="GF100">
        <v>602.44399999999996</v>
      </c>
      <c r="GG100">
        <v>26.1889</v>
      </c>
      <c r="GH100">
        <v>25.6096</v>
      </c>
      <c r="GI100">
        <v>29.9999</v>
      </c>
      <c r="GJ100">
        <v>25.7151</v>
      </c>
      <c r="GK100">
        <v>25.674800000000001</v>
      </c>
      <c r="GL100">
        <v>35.211500000000001</v>
      </c>
      <c r="GM100">
        <v>93.005200000000002</v>
      </c>
      <c r="GN100">
        <v>61.180100000000003</v>
      </c>
      <c r="GO100">
        <v>26.197700000000001</v>
      </c>
      <c r="GP100">
        <v>800</v>
      </c>
      <c r="GQ100">
        <v>1.1661300000000001</v>
      </c>
      <c r="GR100">
        <v>99.704300000000003</v>
      </c>
      <c r="GS100">
        <v>99.401300000000006</v>
      </c>
    </row>
    <row r="101" spans="1:201" x14ac:dyDescent="0.25">
      <c r="A101">
        <v>85</v>
      </c>
      <c r="B101">
        <v>1690287480.0999999</v>
      </c>
      <c r="C101">
        <v>941.5</v>
      </c>
      <c r="D101" t="s">
        <v>503</v>
      </c>
      <c r="E101" t="s">
        <v>504</v>
      </c>
      <c r="F101" t="s">
        <v>330</v>
      </c>
      <c r="H101">
        <v>1690287480.0999999</v>
      </c>
      <c r="I101">
        <f t="shared" si="30"/>
        <v>2.4803594420901884E-3</v>
      </c>
      <c r="J101">
        <f t="shared" si="31"/>
        <v>2.4803594420901884</v>
      </c>
      <c r="K101">
        <f t="shared" si="32"/>
        <v>36.366101307502149</v>
      </c>
      <c r="L101">
        <f t="shared" si="33"/>
        <v>437.08800000000002</v>
      </c>
      <c r="M101">
        <f t="shared" si="34"/>
        <v>111.51025222917157</v>
      </c>
      <c r="N101">
        <f t="shared" si="35"/>
        <v>11.088259848681831</v>
      </c>
      <c r="O101">
        <f t="shared" si="36"/>
        <v>43.462777850956805</v>
      </c>
      <c r="P101">
        <f t="shared" si="37"/>
        <v>0.18914969062211906</v>
      </c>
      <c r="Q101">
        <f t="shared" si="38"/>
        <v>2.303218748829559</v>
      </c>
      <c r="R101">
        <f t="shared" si="39"/>
        <v>0.18092418629194715</v>
      </c>
      <c r="S101">
        <f t="shared" si="40"/>
        <v>0.11378683582820978</v>
      </c>
      <c r="T101">
        <f t="shared" si="41"/>
        <v>276.11641519199998</v>
      </c>
      <c r="U101">
        <f t="shared" si="42"/>
        <v>27.918651512426006</v>
      </c>
      <c r="V101">
        <f t="shared" si="43"/>
        <v>27.918651512426006</v>
      </c>
      <c r="W101">
        <f t="shared" si="44"/>
        <v>3.7768804555371585</v>
      </c>
      <c r="X101">
        <f t="shared" si="45"/>
        <v>69.890236213437646</v>
      </c>
      <c r="Y101">
        <f t="shared" si="46"/>
        <v>2.4563855676074398</v>
      </c>
      <c r="Z101">
        <f t="shared" si="47"/>
        <v>3.5146333746904062</v>
      </c>
      <c r="AA101">
        <f t="shared" si="48"/>
        <v>1.3204948879297187</v>
      </c>
      <c r="AB101">
        <f t="shared" si="49"/>
        <v>-109.38385139617731</v>
      </c>
      <c r="AC101">
        <f t="shared" si="50"/>
        <v>-152.48854299761655</v>
      </c>
      <c r="AD101">
        <f t="shared" si="51"/>
        <v>-14.331812472264668</v>
      </c>
      <c r="AE101">
        <f t="shared" si="52"/>
        <v>-8.7791674058564695E-2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52694.364288307232</v>
      </c>
      <c r="AK101">
        <f t="shared" si="56"/>
        <v>1800</v>
      </c>
      <c r="AL101">
        <f t="shared" si="57"/>
        <v>1499.1127002000001</v>
      </c>
      <c r="AM101">
        <f t="shared" si="58"/>
        <v>0.83284038900000001</v>
      </c>
      <c r="AN101">
        <f t="shared" si="59"/>
        <v>0.15339800843999998</v>
      </c>
      <c r="AO101">
        <v>29.1</v>
      </c>
      <c r="AP101">
        <v>0.5</v>
      </c>
      <c r="AQ101" t="s">
        <v>331</v>
      </c>
      <c r="AR101">
        <v>2</v>
      </c>
      <c r="AS101">
        <v>1690287480.0999999</v>
      </c>
      <c r="AT101">
        <v>437.08800000000002</v>
      </c>
      <c r="AU101">
        <v>800.12900000000002</v>
      </c>
      <c r="AV101">
        <v>24.7029</v>
      </c>
      <c r="AW101">
        <v>1.25237</v>
      </c>
      <c r="AX101">
        <v>438.07</v>
      </c>
      <c r="AY101">
        <v>24.511700000000001</v>
      </c>
      <c r="AZ101">
        <v>300.18700000000001</v>
      </c>
      <c r="BA101">
        <v>99.337199999999996</v>
      </c>
      <c r="BB101">
        <v>9.9933599999999997E-2</v>
      </c>
      <c r="BC101">
        <v>26.6906</v>
      </c>
      <c r="BD101">
        <v>27.020099999999999</v>
      </c>
      <c r="BE101">
        <v>28.459199999999999</v>
      </c>
      <c r="BF101">
        <v>0</v>
      </c>
      <c r="BG101">
        <v>0</v>
      </c>
      <c r="BH101">
        <v>10022.5</v>
      </c>
      <c r="BI101">
        <v>1086.77</v>
      </c>
      <c r="BJ101">
        <v>1.3736200000000001</v>
      </c>
      <c r="BK101">
        <v>-363.041</v>
      </c>
      <c r="BL101">
        <v>448.15899999999999</v>
      </c>
      <c r="BM101">
        <v>801.13199999999995</v>
      </c>
      <c r="BN101">
        <v>23.450500000000002</v>
      </c>
      <c r="BO101">
        <v>800.12900000000002</v>
      </c>
      <c r="BP101">
        <v>1.25237</v>
      </c>
      <c r="BQ101">
        <v>2.45391</v>
      </c>
      <c r="BR101">
        <v>0.124407</v>
      </c>
      <c r="BS101">
        <v>20.724</v>
      </c>
      <c r="BT101">
        <v>-20.135999999999999</v>
      </c>
      <c r="BU101">
        <v>1800</v>
      </c>
      <c r="BV101">
        <v>0.90999699999999994</v>
      </c>
      <c r="BW101">
        <v>3.4008299999999998E-2</v>
      </c>
      <c r="BX101">
        <v>2.2007700000000002E-2</v>
      </c>
      <c r="BY101">
        <v>3.3987200000000002E-2</v>
      </c>
      <c r="BZ101">
        <v>25</v>
      </c>
      <c r="CA101">
        <v>33528.199999999997</v>
      </c>
      <c r="CB101">
        <v>1690286268.5999999</v>
      </c>
      <c r="CC101" t="s">
        <v>332</v>
      </c>
      <c r="CD101">
        <v>1690286261.0999999</v>
      </c>
      <c r="CE101">
        <v>1690286268.5999999</v>
      </c>
      <c r="CF101">
        <v>1</v>
      </c>
      <c r="CG101">
        <v>-0.89900000000000002</v>
      </c>
      <c r="CH101">
        <v>3.4000000000000002E-2</v>
      </c>
      <c r="CI101">
        <v>-1.2370000000000001</v>
      </c>
      <c r="CJ101">
        <v>8.5999999999999993E-2</v>
      </c>
      <c r="CK101">
        <v>799</v>
      </c>
      <c r="CL101">
        <v>16</v>
      </c>
      <c r="CM101">
        <v>0.28999999999999998</v>
      </c>
      <c r="CN101">
        <v>0.09</v>
      </c>
      <c r="CO101">
        <v>-360.33929999999998</v>
      </c>
      <c r="CP101">
        <v>-15.480900562851909</v>
      </c>
      <c r="CQ101">
        <v>1.490491365288648</v>
      </c>
      <c r="CR101">
        <v>-1</v>
      </c>
      <c r="CS101">
        <v>23.174365000000002</v>
      </c>
      <c r="CT101">
        <v>1.635530206378869</v>
      </c>
      <c r="CU101">
        <v>0.15733773792386871</v>
      </c>
      <c r="CV101">
        <v>-1</v>
      </c>
      <c r="CW101">
        <v>0</v>
      </c>
      <c r="CX101">
        <v>0</v>
      </c>
      <c r="CY101" t="s">
        <v>333</v>
      </c>
      <c r="CZ101">
        <v>2.3652799999999998</v>
      </c>
      <c r="DA101">
        <v>2.71374</v>
      </c>
      <c r="DB101">
        <v>9.6249000000000001E-2</v>
      </c>
      <c r="DC101">
        <v>0.14659800000000001</v>
      </c>
      <c r="DD101">
        <v>0.116705</v>
      </c>
      <c r="DE101">
        <v>9.9585699999999999E-3</v>
      </c>
      <c r="DF101">
        <v>32993.199999999997</v>
      </c>
      <c r="DG101">
        <v>27468.3</v>
      </c>
      <c r="DH101">
        <v>31163.8</v>
      </c>
      <c r="DI101">
        <v>28044.7</v>
      </c>
      <c r="DJ101">
        <v>37358</v>
      </c>
      <c r="DK101">
        <v>39466.699999999997</v>
      </c>
      <c r="DL101">
        <v>44342.5</v>
      </c>
      <c r="DM101">
        <v>42481.9</v>
      </c>
      <c r="DN101">
        <v>1.4902299999999999</v>
      </c>
      <c r="DO101">
        <v>2.06813</v>
      </c>
      <c r="DP101">
        <v>8.5726399999999994E-2</v>
      </c>
      <c r="DQ101">
        <v>0.19500799999999999</v>
      </c>
      <c r="DR101">
        <v>25.616599999999998</v>
      </c>
      <c r="DS101">
        <v>25.269300000000001</v>
      </c>
      <c r="DT101">
        <v>58.9</v>
      </c>
      <c r="DU101">
        <v>24.9</v>
      </c>
      <c r="DV101">
        <v>18.737400000000001</v>
      </c>
      <c r="DW101">
        <v>62.211399999999998</v>
      </c>
      <c r="DX101">
        <v>36.322099999999999</v>
      </c>
      <c r="DY101">
        <v>1</v>
      </c>
      <c r="DZ101">
        <v>-0.14225399999999999</v>
      </c>
      <c r="EA101">
        <v>0.31621500000000002</v>
      </c>
      <c r="EB101">
        <v>20.189599999999999</v>
      </c>
      <c r="EC101">
        <v>5.2413999999999996</v>
      </c>
      <c r="ED101">
        <v>12.039899999999999</v>
      </c>
      <c r="EE101">
        <v>5.0165499999999996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1.8687400000000001</v>
      </c>
      <c r="EL101">
        <v>1.86446</v>
      </c>
      <c r="EM101">
        <v>1.8690500000000001</v>
      </c>
      <c r="EN101">
        <v>1.86707</v>
      </c>
      <c r="EO101">
        <v>1.8632500000000001</v>
      </c>
      <c r="EP101">
        <v>1.8642799999999999</v>
      </c>
      <c r="EQ101">
        <v>1.8701000000000001</v>
      </c>
      <c r="ER101">
        <v>1.86927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-0.98199999999999998</v>
      </c>
      <c r="FG101">
        <v>0.19120000000000001</v>
      </c>
      <c r="FH101">
        <v>-0.68620417327404271</v>
      </c>
      <c r="FI101">
        <v>-6.1462078757559423E-4</v>
      </c>
      <c r="FJ101">
        <v>-1.8861989874597051E-7</v>
      </c>
      <c r="FK101">
        <v>1.1980462299894961E-10</v>
      </c>
      <c r="FL101">
        <v>0.1911242781723908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20.3</v>
      </c>
      <c r="FU101">
        <v>20.2</v>
      </c>
      <c r="FV101">
        <v>1.7602500000000001</v>
      </c>
      <c r="FW101">
        <v>2.5610400000000002</v>
      </c>
      <c r="FX101">
        <v>1.5490699999999999</v>
      </c>
      <c r="FY101">
        <v>2.34131</v>
      </c>
      <c r="FZ101">
        <v>1.50146</v>
      </c>
      <c r="GA101">
        <v>2.36206</v>
      </c>
      <c r="GB101">
        <v>30.544599999999999</v>
      </c>
      <c r="GC101">
        <v>23.982399999999998</v>
      </c>
      <c r="GD101">
        <v>19</v>
      </c>
      <c r="GE101">
        <v>286.02100000000002</v>
      </c>
      <c r="GF101">
        <v>602</v>
      </c>
      <c r="GG101">
        <v>25.9969</v>
      </c>
      <c r="GH101">
        <v>25.608599999999999</v>
      </c>
      <c r="GI101">
        <v>30.000800000000002</v>
      </c>
      <c r="GJ101">
        <v>25.7151</v>
      </c>
      <c r="GK101">
        <v>25.674800000000001</v>
      </c>
      <c r="GL101">
        <v>35.201300000000003</v>
      </c>
      <c r="GM101">
        <v>96.168400000000005</v>
      </c>
      <c r="GN101">
        <v>60.338500000000003</v>
      </c>
      <c r="GO101">
        <v>25.860600000000002</v>
      </c>
      <c r="GP101">
        <v>800</v>
      </c>
      <c r="GQ101">
        <v>0.85026199999999996</v>
      </c>
      <c r="GR101">
        <v>99.702299999999994</v>
      </c>
      <c r="GS101">
        <v>99.4024</v>
      </c>
    </row>
    <row r="102" spans="1:201" x14ac:dyDescent="0.25">
      <c r="A102">
        <v>86</v>
      </c>
      <c r="B102">
        <v>1690287490.0999999</v>
      </c>
      <c r="C102">
        <v>951.5</v>
      </c>
      <c r="D102" t="s">
        <v>505</v>
      </c>
      <c r="E102" t="s">
        <v>506</v>
      </c>
      <c r="F102" t="s">
        <v>330</v>
      </c>
      <c r="H102">
        <v>1690287490.0999999</v>
      </c>
      <c r="I102">
        <f t="shared" si="30"/>
        <v>2.4976782181475843E-3</v>
      </c>
      <c r="J102">
        <f t="shared" si="31"/>
        <v>2.4976782181475845</v>
      </c>
      <c r="K102">
        <f t="shared" si="32"/>
        <v>36.628997964161869</v>
      </c>
      <c r="L102">
        <f t="shared" si="33"/>
        <v>434.51499999999999</v>
      </c>
      <c r="M102">
        <f t="shared" si="34"/>
        <v>109.57593619092728</v>
      </c>
      <c r="N102">
        <f t="shared" si="35"/>
        <v>10.896348943745181</v>
      </c>
      <c r="O102">
        <f t="shared" si="36"/>
        <v>43.2086389208825</v>
      </c>
      <c r="P102">
        <f t="shared" si="37"/>
        <v>0.19093939449399239</v>
      </c>
      <c r="Q102">
        <f t="shared" si="38"/>
        <v>2.3000259882283172</v>
      </c>
      <c r="R102">
        <f t="shared" si="39"/>
        <v>0.18255012192031225</v>
      </c>
      <c r="S102">
        <f t="shared" si="40"/>
        <v>0.11481685078680273</v>
      </c>
      <c r="T102">
        <f t="shared" si="41"/>
        <v>276.11480824032105</v>
      </c>
      <c r="U102">
        <f t="shared" si="42"/>
        <v>27.894087513606824</v>
      </c>
      <c r="V102">
        <f t="shared" si="43"/>
        <v>27.894087513606824</v>
      </c>
      <c r="W102">
        <f t="shared" si="44"/>
        <v>3.7714720834801962</v>
      </c>
      <c r="X102">
        <f t="shared" si="45"/>
        <v>69.892145033102864</v>
      </c>
      <c r="Y102">
        <f t="shared" si="46"/>
        <v>2.4534897675964</v>
      </c>
      <c r="Z102">
        <f t="shared" si="47"/>
        <v>3.5103941457718304</v>
      </c>
      <c r="AA102">
        <f t="shared" si="48"/>
        <v>1.3179823158837962</v>
      </c>
      <c r="AB102">
        <f t="shared" si="49"/>
        <v>-110.14760942030847</v>
      </c>
      <c r="AC102">
        <f t="shared" si="50"/>
        <v>-151.7732290184137</v>
      </c>
      <c r="AD102">
        <f t="shared" si="51"/>
        <v>-14.281168675637081</v>
      </c>
      <c r="AE102">
        <f t="shared" si="52"/>
        <v>-8.7198874038222129E-2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52577.108985657913</v>
      </c>
      <c r="AK102">
        <f t="shared" si="56"/>
        <v>1799.99</v>
      </c>
      <c r="AL102">
        <f t="shared" si="57"/>
        <v>1499.1042115969999</v>
      </c>
      <c r="AM102">
        <f t="shared" si="58"/>
        <v>0.83284029999999998</v>
      </c>
      <c r="AN102">
        <f t="shared" si="59"/>
        <v>0.15339796790000002</v>
      </c>
      <c r="AO102">
        <v>29.1</v>
      </c>
      <c r="AP102">
        <v>0.5</v>
      </c>
      <c r="AQ102" t="s">
        <v>331</v>
      </c>
      <c r="AR102">
        <v>2</v>
      </c>
      <c r="AS102">
        <v>1690287490.0999999</v>
      </c>
      <c r="AT102">
        <v>434.51499999999999</v>
      </c>
      <c r="AU102">
        <v>800.31299999999999</v>
      </c>
      <c r="AV102">
        <v>24.672799999999999</v>
      </c>
      <c r="AW102">
        <v>1.04505</v>
      </c>
      <c r="AX102">
        <v>435.49400000000003</v>
      </c>
      <c r="AY102">
        <v>24.4817</v>
      </c>
      <c r="AZ102">
        <v>300.02499999999998</v>
      </c>
      <c r="BA102">
        <v>99.341099999999997</v>
      </c>
      <c r="BB102">
        <v>9.9975499999999995E-2</v>
      </c>
      <c r="BC102">
        <v>26.670100000000001</v>
      </c>
      <c r="BD102">
        <v>26.973199999999999</v>
      </c>
      <c r="BE102">
        <v>28.408899999999999</v>
      </c>
      <c r="BF102">
        <v>0</v>
      </c>
      <c r="BG102">
        <v>0</v>
      </c>
      <c r="BH102">
        <v>9998.1200000000008</v>
      </c>
      <c r="BI102">
        <v>1086.76</v>
      </c>
      <c r="BJ102">
        <v>1.3736200000000001</v>
      </c>
      <c r="BK102">
        <v>-365.79899999999998</v>
      </c>
      <c r="BL102">
        <v>445.50599999999997</v>
      </c>
      <c r="BM102">
        <v>801.15</v>
      </c>
      <c r="BN102">
        <v>23.627800000000001</v>
      </c>
      <c r="BO102">
        <v>800.31299999999999</v>
      </c>
      <c r="BP102">
        <v>1.04505</v>
      </c>
      <c r="BQ102">
        <v>2.4510299999999998</v>
      </c>
      <c r="BR102">
        <v>0.10381600000000001</v>
      </c>
      <c r="BS102">
        <v>20.704899999999999</v>
      </c>
      <c r="BT102">
        <v>-22.2087</v>
      </c>
      <c r="BU102">
        <v>1799.99</v>
      </c>
      <c r="BV102">
        <v>0.909999</v>
      </c>
      <c r="BW102">
        <v>3.4006300000000003E-2</v>
      </c>
      <c r="BX102">
        <v>2.2009000000000001E-2</v>
      </c>
      <c r="BY102">
        <v>3.39852E-2</v>
      </c>
      <c r="BZ102">
        <v>25</v>
      </c>
      <c r="CA102">
        <v>33528</v>
      </c>
      <c r="CB102">
        <v>1690286268.5999999</v>
      </c>
      <c r="CC102" t="s">
        <v>332</v>
      </c>
      <c r="CD102">
        <v>1690286261.0999999</v>
      </c>
      <c r="CE102">
        <v>1690286268.5999999</v>
      </c>
      <c r="CF102">
        <v>1</v>
      </c>
      <c r="CG102">
        <v>-0.89900000000000002</v>
      </c>
      <c r="CH102">
        <v>3.4000000000000002E-2</v>
      </c>
      <c r="CI102">
        <v>-1.2370000000000001</v>
      </c>
      <c r="CJ102">
        <v>8.5999999999999993E-2</v>
      </c>
      <c r="CK102">
        <v>799</v>
      </c>
      <c r="CL102">
        <v>16</v>
      </c>
      <c r="CM102">
        <v>0.28999999999999998</v>
      </c>
      <c r="CN102">
        <v>0.09</v>
      </c>
      <c r="CO102">
        <v>-362.65215000000001</v>
      </c>
      <c r="CP102">
        <v>-15.11662288930548</v>
      </c>
      <c r="CQ102">
        <v>1.4552992570258469</v>
      </c>
      <c r="CR102">
        <v>-1</v>
      </c>
      <c r="CS102">
        <v>23.398790000000002</v>
      </c>
      <c r="CT102">
        <v>1.3565876172607441</v>
      </c>
      <c r="CU102">
        <v>0.13205482914304989</v>
      </c>
      <c r="CV102">
        <v>-1</v>
      </c>
      <c r="CW102">
        <v>0</v>
      </c>
      <c r="CX102">
        <v>0</v>
      </c>
      <c r="CY102" t="s">
        <v>333</v>
      </c>
      <c r="CZ102">
        <v>2.3647900000000002</v>
      </c>
      <c r="DA102">
        <v>2.7137600000000002</v>
      </c>
      <c r="DB102">
        <v>9.5827499999999996E-2</v>
      </c>
      <c r="DC102">
        <v>0.146622</v>
      </c>
      <c r="DD102">
        <v>0.11661100000000001</v>
      </c>
      <c r="DE102">
        <v>8.3987200000000001E-3</v>
      </c>
      <c r="DF102">
        <v>33009</v>
      </c>
      <c r="DG102">
        <v>27467</v>
      </c>
      <c r="DH102">
        <v>31164.2</v>
      </c>
      <c r="DI102">
        <v>28044.2</v>
      </c>
      <c r="DJ102">
        <v>37362.5</v>
      </c>
      <c r="DK102">
        <v>39528.6</v>
      </c>
      <c r="DL102">
        <v>44343</v>
      </c>
      <c r="DM102">
        <v>42481.3</v>
      </c>
      <c r="DN102">
        <v>1.4902500000000001</v>
      </c>
      <c r="DO102">
        <v>2.0670000000000002</v>
      </c>
      <c r="DP102">
        <v>8.27238E-2</v>
      </c>
      <c r="DQ102">
        <v>0.19193099999999999</v>
      </c>
      <c r="DR102">
        <v>25.6188</v>
      </c>
      <c r="DS102">
        <v>25.269300000000001</v>
      </c>
      <c r="DT102">
        <v>58.4</v>
      </c>
      <c r="DU102">
        <v>25</v>
      </c>
      <c r="DV102">
        <v>18.6905</v>
      </c>
      <c r="DW102">
        <v>62.0214</v>
      </c>
      <c r="DX102">
        <v>36.983199999999997</v>
      </c>
      <c r="DY102">
        <v>1</v>
      </c>
      <c r="DZ102">
        <v>-0.14312800000000001</v>
      </c>
      <c r="EA102">
        <v>-0.50814000000000004</v>
      </c>
      <c r="EB102">
        <v>20.190300000000001</v>
      </c>
      <c r="EC102">
        <v>5.2418500000000003</v>
      </c>
      <c r="ED102">
        <v>12.039899999999999</v>
      </c>
      <c r="EE102">
        <v>5.0168999999999997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1.8687400000000001</v>
      </c>
      <c r="EL102">
        <v>1.8644499999999999</v>
      </c>
      <c r="EM102">
        <v>1.8690599999999999</v>
      </c>
      <c r="EN102">
        <v>1.8670800000000001</v>
      </c>
      <c r="EO102">
        <v>1.8632500000000001</v>
      </c>
      <c r="EP102">
        <v>1.8642799999999999</v>
      </c>
      <c r="EQ102">
        <v>1.87008</v>
      </c>
      <c r="ER102">
        <v>1.86931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-0.97899999999999998</v>
      </c>
      <c r="FG102">
        <v>0.19109999999999999</v>
      </c>
      <c r="FH102">
        <v>-0.68620417327404271</v>
      </c>
      <c r="FI102">
        <v>-6.1462078757559423E-4</v>
      </c>
      <c r="FJ102">
        <v>-1.8861989874597051E-7</v>
      </c>
      <c r="FK102">
        <v>1.1980462299894961E-10</v>
      </c>
      <c r="FL102">
        <v>0.1911242781723908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20.5</v>
      </c>
      <c r="FU102">
        <v>20.399999999999999</v>
      </c>
      <c r="FV102">
        <v>1.7602500000000001</v>
      </c>
      <c r="FW102">
        <v>2.5647000000000002</v>
      </c>
      <c r="FX102">
        <v>1.5490699999999999</v>
      </c>
      <c r="FY102">
        <v>2.34131</v>
      </c>
      <c r="FZ102">
        <v>1.50146</v>
      </c>
      <c r="GA102">
        <v>2.36084</v>
      </c>
      <c r="GB102">
        <v>30.544599999999999</v>
      </c>
      <c r="GC102">
        <v>23.973700000000001</v>
      </c>
      <c r="GD102">
        <v>19</v>
      </c>
      <c r="GE102">
        <v>286.02199999999999</v>
      </c>
      <c r="GF102">
        <v>601.05200000000002</v>
      </c>
      <c r="GG102">
        <v>25.814599999999999</v>
      </c>
      <c r="GH102">
        <v>25.608499999999999</v>
      </c>
      <c r="GI102">
        <v>30</v>
      </c>
      <c r="GJ102">
        <v>25.712900000000001</v>
      </c>
      <c r="GK102">
        <v>25.674800000000001</v>
      </c>
      <c r="GL102">
        <v>35.188400000000001</v>
      </c>
      <c r="GM102">
        <v>100</v>
      </c>
      <c r="GN102">
        <v>59.112299999999998</v>
      </c>
      <c r="GO102">
        <v>25.843499999999999</v>
      </c>
      <c r="GP102">
        <v>800</v>
      </c>
      <c r="GQ102">
        <v>0.56361899999999998</v>
      </c>
      <c r="GR102">
        <v>99.703500000000005</v>
      </c>
      <c r="GS102">
        <v>99.400899999999993</v>
      </c>
    </row>
    <row r="103" spans="1:201" x14ac:dyDescent="0.25">
      <c r="A103">
        <v>87</v>
      </c>
      <c r="B103">
        <v>1690287500.0999999</v>
      </c>
      <c r="C103">
        <v>961.5</v>
      </c>
      <c r="D103" t="s">
        <v>507</v>
      </c>
      <c r="E103" t="s">
        <v>508</v>
      </c>
      <c r="F103" t="s">
        <v>330</v>
      </c>
      <c r="H103">
        <v>1690287500.0999999</v>
      </c>
      <c r="I103">
        <f t="shared" si="30"/>
        <v>2.5583061876264307E-3</v>
      </c>
      <c r="J103">
        <f t="shared" si="31"/>
        <v>2.5583061876264308</v>
      </c>
      <c r="K103">
        <f t="shared" si="32"/>
        <v>36.833235538655252</v>
      </c>
      <c r="L103">
        <f t="shared" si="33"/>
        <v>432.21300000000002</v>
      </c>
      <c r="M103">
        <f t="shared" si="34"/>
        <v>114.39514635729985</v>
      </c>
      <c r="N103">
        <f t="shared" si="35"/>
        <v>11.375350512533322</v>
      </c>
      <c r="O103">
        <f t="shared" si="36"/>
        <v>42.978872160512999</v>
      </c>
      <c r="P103">
        <f t="shared" si="37"/>
        <v>0.19660844020022669</v>
      </c>
      <c r="Q103">
        <f t="shared" si="38"/>
        <v>2.3004081408025305</v>
      </c>
      <c r="R103">
        <f t="shared" si="39"/>
        <v>0.18772747100140666</v>
      </c>
      <c r="S103">
        <f t="shared" si="40"/>
        <v>0.11809415553591499</v>
      </c>
      <c r="T103">
        <f t="shared" si="41"/>
        <v>276.11490081380668</v>
      </c>
      <c r="U103">
        <f t="shared" si="42"/>
        <v>27.859102651246086</v>
      </c>
      <c r="V103">
        <f t="shared" si="43"/>
        <v>27.859102651246086</v>
      </c>
      <c r="W103">
        <f t="shared" si="44"/>
        <v>3.763780966047805</v>
      </c>
      <c r="X103">
        <f t="shared" si="45"/>
        <v>69.883178115988358</v>
      </c>
      <c r="Y103">
        <f t="shared" si="46"/>
        <v>2.4509948492681999</v>
      </c>
      <c r="Z103">
        <f t="shared" si="47"/>
        <v>3.5072744476505768</v>
      </c>
      <c r="AA103">
        <f t="shared" si="48"/>
        <v>1.3127861167796051</v>
      </c>
      <c r="AB103">
        <f t="shared" si="49"/>
        <v>-112.8213028743256</v>
      </c>
      <c r="AC103">
        <f t="shared" si="50"/>
        <v>-149.33233360594051</v>
      </c>
      <c r="AD103">
        <f t="shared" si="51"/>
        <v>-14.045640738803423</v>
      </c>
      <c r="AE103">
        <f t="shared" si="52"/>
        <v>-8.4376405262815979E-2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52594.182191884087</v>
      </c>
      <c r="AK103">
        <f t="shared" si="56"/>
        <v>1799.99</v>
      </c>
      <c r="AL103">
        <f t="shared" si="57"/>
        <v>1499.1007970159701</v>
      </c>
      <c r="AM103">
        <f t="shared" si="58"/>
        <v>0.832838403</v>
      </c>
      <c r="AN103">
        <f t="shared" si="59"/>
        <v>0.15339801933</v>
      </c>
      <c r="AO103">
        <v>29.1</v>
      </c>
      <c r="AP103">
        <v>0.5</v>
      </c>
      <c r="AQ103" t="s">
        <v>331</v>
      </c>
      <c r="AR103">
        <v>2</v>
      </c>
      <c r="AS103">
        <v>1690287500.0999999</v>
      </c>
      <c r="AT103">
        <v>432.21300000000002</v>
      </c>
      <c r="AU103">
        <v>800.00400000000002</v>
      </c>
      <c r="AV103">
        <v>24.648199999999999</v>
      </c>
      <c r="AW103">
        <v>0.458561</v>
      </c>
      <c r="AX103">
        <v>433.19099999999997</v>
      </c>
      <c r="AY103">
        <v>24.457100000000001</v>
      </c>
      <c r="AZ103">
        <v>300.17700000000002</v>
      </c>
      <c r="BA103">
        <v>99.338999999999999</v>
      </c>
      <c r="BB103">
        <v>0.100101</v>
      </c>
      <c r="BC103">
        <v>26.655000000000001</v>
      </c>
      <c r="BD103">
        <v>26.9635</v>
      </c>
      <c r="BE103">
        <v>28.416399999999999</v>
      </c>
      <c r="BF103">
        <v>0</v>
      </c>
      <c r="BG103">
        <v>0</v>
      </c>
      <c r="BH103">
        <v>10001.200000000001</v>
      </c>
      <c r="BI103">
        <v>1086.71</v>
      </c>
      <c r="BJ103">
        <v>1.361</v>
      </c>
      <c r="BK103">
        <v>-367.791</v>
      </c>
      <c r="BL103">
        <v>443.13600000000002</v>
      </c>
      <c r="BM103">
        <v>800.37099999999998</v>
      </c>
      <c r="BN103">
        <v>24.189699999999998</v>
      </c>
      <c r="BO103">
        <v>800.00400000000002</v>
      </c>
      <c r="BP103">
        <v>0.458561</v>
      </c>
      <c r="BQ103">
        <v>2.4485299999999999</v>
      </c>
      <c r="BR103">
        <v>4.5553000000000003E-2</v>
      </c>
      <c r="BS103">
        <v>20.688400000000001</v>
      </c>
      <c r="BT103">
        <v>-31.172899999999998</v>
      </c>
      <c r="BU103">
        <v>1799.99</v>
      </c>
      <c r="BV103">
        <v>0.90997700000000004</v>
      </c>
      <c r="BW103">
        <v>3.4003800000000001E-2</v>
      </c>
      <c r="BX103">
        <v>2.20074E-2</v>
      </c>
      <c r="BY103">
        <v>3.40115E-2</v>
      </c>
      <c r="BZ103">
        <v>25</v>
      </c>
      <c r="CA103">
        <v>33528</v>
      </c>
      <c r="CB103">
        <v>1690286268.5999999</v>
      </c>
      <c r="CC103" t="s">
        <v>332</v>
      </c>
      <c r="CD103">
        <v>1690286261.0999999</v>
      </c>
      <c r="CE103">
        <v>1690286268.5999999</v>
      </c>
      <c r="CF103">
        <v>1</v>
      </c>
      <c r="CG103">
        <v>-0.89900000000000002</v>
      </c>
      <c r="CH103">
        <v>3.4000000000000002E-2</v>
      </c>
      <c r="CI103">
        <v>-1.2370000000000001</v>
      </c>
      <c r="CJ103">
        <v>8.5999999999999993E-2</v>
      </c>
      <c r="CK103">
        <v>799</v>
      </c>
      <c r="CL103">
        <v>16</v>
      </c>
      <c r="CM103">
        <v>0.28999999999999998</v>
      </c>
      <c r="CN103">
        <v>0.09</v>
      </c>
      <c r="CO103">
        <v>-365.26987804878041</v>
      </c>
      <c r="CP103">
        <v>-14.79194425087152</v>
      </c>
      <c r="CQ103">
        <v>1.467444388693617</v>
      </c>
      <c r="CR103">
        <v>-1</v>
      </c>
      <c r="CS103">
        <v>23.737814634146339</v>
      </c>
      <c r="CT103">
        <v>2.563356794425061</v>
      </c>
      <c r="CU103">
        <v>0.26717907629571569</v>
      </c>
      <c r="CV103">
        <v>-1</v>
      </c>
      <c r="CW103">
        <v>0</v>
      </c>
      <c r="CX103">
        <v>0</v>
      </c>
      <c r="CY103" t="s">
        <v>333</v>
      </c>
      <c r="CZ103">
        <v>2.36531</v>
      </c>
      <c r="DA103">
        <v>2.7138900000000001</v>
      </c>
      <c r="DB103">
        <v>9.5443899999999998E-2</v>
      </c>
      <c r="DC103">
        <v>0.14657000000000001</v>
      </c>
      <c r="DD103">
        <v>0.116526</v>
      </c>
      <c r="DE103">
        <v>3.8090200000000002E-3</v>
      </c>
      <c r="DF103">
        <v>33023.199999999997</v>
      </c>
      <c r="DG103">
        <v>27469</v>
      </c>
      <c r="DH103">
        <v>31164.400000000001</v>
      </c>
      <c r="DI103">
        <v>28044.6</v>
      </c>
      <c r="DJ103">
        <v>37366.400000000001</v>
      </c>
      <c r="DK103">
        <v>39712.5</v>
      </c>
      <c r="DL103">
        <v>44343.5</v>
      </c>
      <c r="DM103">
        <v>42481.8</v>
      </c>
      <c r="DN103">
        <v>1.49125</v>
      </c>
      <c r="DO103">
        <v>2.06725</v>
      </c>
      <c r="DP103">
        <v>8.2001099999999993E-2</v>
      </c>
      <c r="DQ103">
        <v>0.19251599999999999</v>
      </c>
      <c r="DR103">
        <v>25.620999999999999</v>
      </c>
      <c r="DS103">
        <v>25.267099999999999</v>
      </c>
      <c r="DT103">
        <v>57.9</v>
      </c>
      <c r="DU103">
        <v>25</v>
      </c>
      <c r="DV103">
        <v>18.531400000000001</v>
      </c>
      <c r="DW103">
        <v>62.1614</v>
      </c>
      <c r="DX103">
        <v>36.810899999999997</v>
      </c>
      <c r="DY103">
        <v>1</v>
      </c>
      <c r="DZ103">
        <v>-0.143237</v>
      </c>
      <c r="EA103">
        <v>-0.75661500000000004</v>
      </c>
      <c r="EB103">
        <v>20.1892</v>
      </c>
      <c r="EC103">
        <v>5.2421499999999996</v>
      </c>
      <c r="ED103">
        <v>12.039899999999999</v>
      </c>
      <c r="EE103">
        <v>5.0169499999999996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1.8687400000000001</v>
      </c>
      <c r="EL103">
        <v>1.8644499999999999</v>
      </c>
      <c r="EM103">
        <v>1.8690599999999999</v>
      </c>
      <c r="EN103">
        <v>1.86707</v>
      </c>
      <c r="EO103">
        <v>1.8632500000000001</v>
      </c>
      <c r="EP103">
        <v>1.86429</v>
      </c>
      <c r="EQ103">
        <v>1.87009</v>
      </c>
      <c r="ER103">
        <v>1.86931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-0.97799999999999998</v>
      </c>
      <c r="FG103">
        <v>0.19109999999999999</v>
      </c>
      <c r="FH103">
        <v>-0.68620417327404271</v>
      </c>
      <c r="FI103">
        <v>-6.1462078757559423E-4</v>
      </c>
      <c r="FJ103">
        <v>-1.8861989874597051E-7</v>
      </c>
      <c r="FK103">
        <v>1.1980462299894961E-10</v>
      </c>
      <c r="FL103">
        <v>0.1911242781723908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20.6</v>
      </c>
      <c r="FU103">
        <v>20.5</v>
      </c>
      <c r="FV103">
        <v>1.7602500000000001</v>
      </c>
      <c r="FW103">
        <v>2.5659200000000002</v>
      </c>
      <c r="FX103">
        <v>1.5490699999999999</v>
      </c>
      <c r="FY103">
        <v>2.34253</v>
      </c>
      <c r="FZ103">
        <v>1.50146</v>
      </c>
      <c r="GA103">
        <v>2.2863799999999999</v>
      </c>
      <c r="GB103">
        <v>30.544599999999999</v>
      </c>
      <c r="GC103">
        <v>23.991199999999999</v>
      </c>
      <c r="GD103">
        <v>19</v>
      </c>
      <c r="GE103">
        <v>286.44900000000001</v>
      </c>
      <c r="GF103">
        <v>601.21100000000001</v>
      </c>
      <c r="GG103">
        <v>25.844899999999999</v>
      </c>
      <c r="GH103">
        <v>25.606400000000001</v>
      </c>
      <c r="GI103">
        <v>30</v>
      </c>
      <c r="GJ103">
        <v>25.712900000000001</v>
      </c>
      <c r="GK103">
        <v>25.670500000000001</v>
      </c>
      <c r="GL103">
        <v>35.190600000000003</v>
      </c>
      <c r="GM103">
        <v>100</v>
      </c>
      <c r="GN103">
        <v>57.886499999999998</v>
      </c>
      <c r="GO103">
        <v>25.902999999999999</v>
      </c>
      <c r="GP103">
        <v>800</v>
      </c>
      <c r="GQ103">
        <v>0.28231600000000001</v>
      </c>
      <c r="GR103">
        <v>99.704300000000003</v>
      </c>
      <c r="GS103">
        <v>99.402000000000001</v>
      </c>
    </row>
    <row r="104" spans="1:201" x14ac:dyDescent="0.25">
      <c r="A104">
        <v>88</v>
      </c>
      <c r="B104">
        <v>1690287510.0999999</v>
      </c>
      <c r="C104">
        <v>971.5</v>
      </c>
      <c r="D104" t="s">
        <v>509</v>
      </c>
      <c r="E104" t="s">
        <v>510</v>
      </c>
      <c r="F104" t="s">
        <v>330</v>
      </c>
      <c r="H104">
        <v>1690287510.0999999</v>
      </c>
      <c r="I104">
        <f t="shared" si="30"/>
        <v>2.5617593355645781E-3</v>
      </c>
      <c r="J104">
        <f t="shared" si="31"/>
        <v>2.5617593355645782</v>
      </c>
      <c r="K104">
        <f t="shared" si="32"/>
        <v>37.090332559653724</v>
      </c>
      <c r="L104">
        <f t="shared" si="33"/>
        <v>429.83300000000003</v>
      </c>
      <c r="M104">
        <f t="shared" si="34"/>
        <v>109.9187712573891</v>
      </c>
      <c r="N104">
        <f t="shared" si="35"/>
        <v>10.929997584028165</v>
      </c>
      <c r="O104">
        <f t="shared" si="36"/>
        <v>42.741322503819006</v>
      </c>
      <c r="P104">
        <f t="shared" si="37"/>
        <v>0.1966162058035556</v>
      </c>
      <c r="Q104">
        <f t="shared" si="38"/>
        <v>2.3008075087144149</v>
      </c>
      <c r="R104">
        <f t="shared" si="39"/>
        <v>0.18773601888090027</v>
      </c>
      <c r="S104">
        <f t="shared" si="40"/>
        <v>0.11809943489417063</v>
      </c>
      <c r="T104">
        <f t="shared" si="41"/>
        <v>276.11471791682283</v>
      </c>
      <c r="U104">
        <f t="shared" si="42"/>
        <v>27.851394012538364</v>
      </c>
      <c r="V104">
        <f t="shared" si="43"/>
        <v>27.851394012538364</v>
      </c>
      <c r="W104">
        <f t="shared" si="44"/>
        <v>3.7620881300160378</v>
      </c>
      <c r="X104">
        <f t="shared" si="45"/>
        <v>69.812208139267526</v>
      </c>
      <c r="Y104">
        <f t="shared" si="46"/>
        <v>2.4475831512191997</v>
      </c>
      <c r="Z104">
        <f t="shared" si="47"/>
        <v>3.5059529220685093</v>
      </c>
      <c r="AA104">
        <f t="shared" si="48"/>
        <v>1.3145049787968381</v>
      </c>
      <c r="AB104">
        <f t="shared" si="49"/>
        <v>-112.9735866983979</v>
      </c>
      <c r="AC104">
        <f t="shared" si="50"/>
        <v>-149.19593377658799</v>
      </c>
      <c r="AD104">
        <f t="shared" si="51"/>
        <v>-14.029386706937254</v>
      </c>
      <c r="AE104">
        <f t="shared" si="52"/>
        <v>-8.4189265100320654E-2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52610.38569917807</v>
      </c>
      <c r="AK104">
        <f t="shared" si="56"/>
        <v>1799.99</v>
      </c>
      <c r="AL104">
        <f t="shared" si="57"/>
        <v>1499.1020012092799</v>
      </c>
      <c r="AM104">
        <f t="shared" si="58"/>
        <v>0.83283907199999996</v>
      </c>
      <c r="AN104">
        <f t="shared" si="59"/>
        <v>0.15339791772</v>
      </c>
      <c r="AO104">
        <v>29.1</v>
      </c>
      <c r="AP104">
        <v>0.5</v>
      </c>
      <c r="AQ104" t="s">
        <v>331</v>
      </c>
      <c r="AR104">
        <v>2</v>
      </c>
      <c r="AS104">
        <v>1690287510.0999999</v>
      </c>
      <c r="AT104">
        <v>429.83300000000003</v>
      </c>
      <c r="AU104">
        <v>800.05200000000002</v>
      </c>
      <c r="AV104">
        <v>24.6144</v>
      </c>
      <c r="AW104">
        <v>0.39256200000000002</v>
      </c>
      <c r="AX104">
        <v>430.80900000000003</v>
      </c>
      <c r="AY104">
        <v>24.423300000000001</v>
      </c>
      <c r="AZ104">
        <v>300.19299999999998</v>
      </c>
      <c r="BA104">
        <v>99.337000000000003</v>
      </c>
      <c r="BB104">
        <v>0.10004300000000001</v>
      </c>
      <c r="BC104">
        <v>26.648599999999998</v>
      </c>
      <c r="BD104">
        <v>26.9679</v>
      </c>
      <c r="BE104">
        <v>28.3903</v>
      </c>
      <c r="BF104">
        <v>0</v>
      </c>
      <c r="BG104">
        <v>0</v>
      </c>
      <c r="BH104">
        <v>10004.4</v>
      </c>
      <c r="BI104">
        <v>1086.73</v>
      </c>
      <c r="BJ104">
        <v>1.3736200000000001</v>
      </c>
      <c r="BK104">
        <v>-370.21899999999999</v>
      </c>
      <c r="BL104">
        <v>440.68</v>
      </c>
      <c r="BM104">
        <v>800.36599999999999</v>
      </c>
      <c r="BN104">
        <v>24.221900000000002</v>
      </c>
      <c r="BO104">
        <v>800.05200000000002</v>
      </c>
      <c r="BP104">
        <v>0.39256200000000002</v>
      </c>
      <c r="BQ104">
        <v>2.4451200000000002</v>
      </c>
      <c r="BR104">
        <v>3.89959E-2</v>
      </c>
      <c r="BS104">
        <v>20.665700000000001</v>
      </c>
      <c r="BT104">
        <v>-32.782400000000003</v>
      </c>
      <c r="BU104">
        <v>1799.99</v>
      </c>
      <c r="BV104">
        <v>0.90998199999999996</v>
      </c>
      <c r="BW104">
        <v>3.4001099999999999E-2</v>
      </c>
      <c r="BX104">
        <v>2.20056E-2</v>
      </c>
      <c r="BY104">
        <v>3.4011399999999997E-2</v>
      </c>
      <c r="BZ104">
        <v>25</v>
      </c>
      <c r="CA104">
        <v>33528.199999999997</v>
      </c>
      <c r="CB104">
        <v>1690286268.5999999</v>
      </c>
      <c r="CC104" t="s">
        <v>332</v>
      </c>
      <c r="CD104">
        <v>1690286261.0999999</v>
      </c>
      <c r="CE104">
        <v>1690286268.5999999</v>
      </c>
      <c r="CF104">
        <v>1</v>
      </c>
      <c r="CG104">
        <v>-0.89900000000000002</v>
      </c>
      <c r="CH104">
        <v>3.4000000000000002E-2</v>
      </c>
      <c r="CI104">
        <v>-1.2370000000000001</v>
      </c>
      <c r="CJ104">
        <v>8.5999999999999993E-2</v>
      </c>
      <c r="CK104">
        <v>799</v>
      </c>
      <c r="CL104">
        <v>16</v>
      </c>
      <c r="CM104">
        <v>0.28999999999999998</v>
      </c>
      <c r="CN104">
        <v>0.09</v>
      </c>
      <c r="CO104">
        <v>-367.68858536585373</v>
      </c>
      <c r="CP104">
        <v>-13.458689895470741</v>
      </c>
      <c r="CQ104">
        <v>1.333333727196057</v>
      </c>
      <c r="CR104">
        <v>-1</v>
      </c>
      <c r="CS104">
        <v>24.074741463414629</v>
      </c>
      <c r="CT104">
        <v>1.6763999999999779</v>
      </c>
      <c r="CU104">
        <v>0.19714075072865689</v>
      </c>
      <c r="CV104">
        <v>-1</v>
      </c>
      <c r="CW104">
        <v>0</v>
      </c>
      <c r="CX104">
        <v>0</v>
      </c>
      <c r="CY104" t="s">
        <v>333</v>
      </c>
      <c r="CZ104">
        <v>2.3653300000000002</v>
      </c>
      <c r="DA104">
        <v>2.7138399999999998</v>
      </c>
      <c r="DB104">
        <v>9.5046699999999998E-2</v>
      </c>
      <c r="DC104">
        <v>0.14657100000000001</v>
      </c>
      <c r="DD104">
        <v>0.116412</v>
      </c>
      <c r="DE104">
        <v>3.2734999999999999E-3</v>
      </c>
      <c r="DF104">
        <v>33037.699999999997</v>
      </c>
      <c r="DG104">
        <v>27469.599999999999</v>
      </c>
      <c r="DH104">
        <v>31164.400000000001</v>
      </c>
      <c r="DI104">
        <v>28045.3</v>
      </c>
      <c r="DJ104">
        <v>37371.199999999997</v>
      </c>
      <c r="DK104">
        <v>39734.699999999997</v>
      </c>
      <c r="DL104">
        <v>44343.4</v>
      </c>
      <c r="DM104">
        <v>42482.6</v>
      </c>
      <c r="DN104">
        <v>1.4912300000000001</v>
      </c>
      <c r="DO104">
        <v>2.0669499999999998</v>
      </c>
      <c r="DP104">
        <v>8.2261899999999999E-2</v>
      </c>
      <c r="DQ104">
        <v>0.19104399999999999</v>
      </c>
      <c r="DR104">
        <v>25.620999999999999</v>
      </c>
      <c r="DS104">
        <v>25.265000000000001</v>
      </c>
      <c r="DT104">
        <v>57.4</v>
      </c>
      <c r="DU104">
        <v>25</v>
      </c>
      <c r="DV104">
        <v>18.372800000000002</v>
      </c>
      <c r="DW104">
        <v>62.331400000000002</v>
      </c>
      <c r="DX104">
        <v>36.358199999999997</v>
      </c>
      <c r="DY104">
        <v>1</v>
      </c>
      <c r="DZ104">
        <v>-0.143209</v>
      </c>
      <c r="EA104">
        <v>-0.79972500000000002</v>
      </c>
      <c r="EB104">
        <v>20.188700000000001</v>
      </c>
      <c r="EC104">
        <v>5.2413999999999996</v>
      </c>
      <c r="ED104">
        <v>12.039899999999999</v>
      </c>
      <c r="EE104">
        <v>5.0171000000000001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1.8687400000000001</v>
      </c>
      <c r="EL104">
        <v>1.8644499999999999</v>
      </c>
      <c r="EM104">
        <v>1.8690500000000001</v>
      </c>
      <c r="EN104">
        <v>1.86707</v>
      </c>
      <c r="EO104">
        <v>1.8632500000000001</v>
      </c>
      <c r="EP104">
        <v>1.86429</v>
      </c>
      <c r="EQ104">
        <v>1.87009</v>
      </c>
      <c r="ER104">
        <v>1.8692899999999999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-0.97599999999999998</v>
      </c>
      <c r="FG104">
        <v>0.19109999999999999</v>
      </c>
      <c r="FH104">
        <v>-0.68620417327404271</v>
      </c>
      <c r="FI104">
        <v>-6.1462078757559423E-4</v>
      </c>
      <c r="FJ104">
        <v>-1.8861989874597051E-7</v>
      </c>
      <c r="FK104">
        <v>1.1980462299894961E-10</v>
      </c>
      <c r="FL104">
        <v>0.1911242781723908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20.8</v>
      </c>
      <c r="FU104">
        <v>20.7</v>
      </c>
      <c r="FV104">
        <v>1.7602500000000001</v>
      </c>
      <c r="FW104">
        <v>2.5634800000000002</v>
      </c>
      <c r="FX104">
        <v>1.5490699999999999</v>
      </c>
      <c r="FY104">
        <v>2.34253</v>
      </c>
      <c r="FZ104">
        <v>1.50146</v>
      </c>
      <c r="GA104">
        <v>2.3901400000000002</v>
      </c>
      <c r="GB104">
        <v>30.566199999999998</v>
      </c>
      <c r="GC104">
        <v>23.982399999999998</v>
      </c>
      <c r="GD104">
        <v>19</v>
      </c>
      <c r="GE104">
        <v>286.42899999999997</v>
      </c>
      <c r="GF104">
        <v>600.98299999999995</v>
      </c>
      <c r="GG104">
        <v>25.921199999999999</v>
      </c>
      <c r="GH104">
        <v>25.606400000000001</v>
      </c>
      <c r="GI104">
        <v>30</v>
      </c>
      <c r="GJ104">
        <v>25.710799999999999</v>
      </c>
      <c r="GK104">
        <v>25.672599999999999</v>
      </c>
      <c r="GL104">
        <v>35.183199999999999</v>
      </c>
      <c r="GM104">
        <v>100</v>
      </c>
      <c r="GN104">
        <v>56.280700000000003</v>
      </c>
      <c r="GO104">
        <v>25.944600000000001</v>
      </c>
      <c r="GP104">
        <v>800</v>
      </c>
      <c r="GQ104">
        <v>4.9209600000000003E-4</v>
      </c>
      <c r="GR104">
        <v>99.7042</v>
      </c>
      <c r="GS104">
        <v>99.404300000000006</v>
      </c>
    </row>
    <row r="105" spans="1:201" x14ac:dyDescent="0.25">
      <c r="A105">
        <v>89</v>
      </c>
      <c r="B105">
        <v>1690287520.0999999</v>
      </c>
      <c r="C105">
        <v>981.5</v>
      </c>
      <c r="D105" t="s">
        <v>511</v>
      </c>
      <c r="E105" t="s">
        <v>512</v>
      </c>
      <c r="F105" t="s">
        <v>330</v>
      </c>
      <c r="H105">
        <v>1690287520.0999999</v>
      </c>
      <c r="I105">
        <f t="shared" si="30"/>
        <v>2.5658463275956864E-3</v>
      </c>
      <c r="J105">
        <f t="shared" si="31"/>
        <v>2.5658463275956862</v>
      </c>
      <c r="K105">
        <f t="shared" si="32"/>
        <v>37.323531576338702</v>
      </c>
      <c r="L105">
        <f t="shared" si="33"/>
        <v>427.435</v>
      </c>
      <c r="M105">
        <f t="shared" si="34"/>
        <v>106.28608955263009</v>
      </c>
      <c r="N105">
        <f t="shared" si="35"/>
        <v>10.568833020782071</v>
      </c>
      <c r="O105">
        <f t="shared" si="36"/>
        <v>42.503107991389996</v>
      </c>
      <c r="P105">
        <f t="shared" si="37"/>
        <v>0.19705983499536953</v>
      </c>
      <c r="Q105">
        <f t="shared" si="38"/>
        <v>2.2984808182735268</v>
      </c>
      <c r="R105">
        <f t="shared" si="39"/>
        <v>0.18813191754065381</v>
      </c>
      <c r="S105">
        <f t="shared" si="40"/>
        <v>0.11835087552433721</v>
      </c>
      <c r="T105">
        <f t="shared" si="41"/>
        <v>276.11451959392463</v>
      </c>
      <c r="U105">
        <f t="shared" si="42"/>
        <v>27.85617071990648</v>
      </c>
      <c r="V105">
        <f t="shared" si="43"/>
        <v>27.85617071990648</v>
      </c>
      <c r="W105">
        <f t="shared" si="44"/>
        <v>3.763137028406589</v>
      </c>
      <c r="X105">
        <f t="shared" si="45"/>
        <v>69.84109586748508</v>
      </c>
      <c r="Y105">
        <f t="shared" si="46"/>
        <v>2.4493169841297995</v>
      </c>
      <c r="Z105">
        <f t="shared" si="47"/>
        <v>3.5069853267724755</v>
      </c>
      <c r="AA105">
        <f t="shared" si="48"/>
        <v>1.3138200442767896</v>
      </c>
      <c r="AB105">
        <f t="shared" si="49"/>
        <v>-113.15382304696976</v>
      </c>
      <c r="AC105">
        <f t="shared" si="50"/>
        <v>-149.01739000096677</v>
      </c>
      <c r="AD105">
        <f t="shared" si="51"/>
        <v>-14.027467318409956</v>
      </c>
      <c r="AE105">
        <f t="shared" si="52"/>
        <v>-8.416077242185338E-2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52521.446573108718</v>
      </c>
      <c r="AK105">
        <f t="shared" si="56"/>
        <v>1799.99</v>
      </c>
      <c r="AL105">
        <f t="shared" si="57"/>
        <v>1499.1031388029596</v>
      </c>
      <c r="AM105">
        <f t="shared" si="58"/>
        <v>0.83283970399999985</v>
      </c>
      <c r="AN105">
        <f t="shared" si="59"/>
        <v>0.15339780754000001</v>
      </c>
      <c r="AO105">
        <v>29.1</v>
      </c>
      <c r="AP105">
        <v>0.5</v>
      </c>
      <c r="AQ105" t="s">
        <v>331</v>
      </c>
      <c r="AR105">
        <v>2</v>
      </c>
      <c r="AS105">
        <v>1690287520.0999999</v>
      </c>
      <c r="AT105">
        <v>427.435</v>
      </c>
      <c r="AU105">
        <v>800.00599999999997</v>
      </c>
      <c r="AV105">
        <v>24.631699999999999</v>
      </c>
      <c r="AW105">
        <v>0.36291800000000002</v>
      </c>
      <c r="AX105">
        <v>428.41</v>
      </c>
      <c r="AY105">
        <v>24.4406</v>
      </c>
      <c r="AZ105">
        <v>300.08499999999998</v>
      </c>
      <c r="BA105">
        <v>99.337599999999995</v>
      </c>
      <c r="BB105">
        <v>9.9994E-2</v>
      </c>
      <c r="BC105">
        <v>26.653600000000001</v>
      </c>
      <c r="BD105">
        <v>26.955400000000001</v>
      </c>
      <c r="BE105">
        <v>28.365200000000002</v>
      </c>
      <c r="BF105">
        <v>0</v>
      </c>
      <c r="BG105">
        <v>0</v>
      </c>
      <c r="BH105">
        <v>9986.8799999999992</v>
      </c>
      <c r="BI105">
        <v>1086.73</v>
      </c>
      <c r="BJ105">
        <v>1.40025</v>
      </c>
      <c r="BK105">
        <v>-372.57100000000003</v>
      </c>
      <c r="BL105">
        <v>438.23</v>
      </c>
      <c r="BM105">
        <v>800.29700000000003</v>
      </c>
      <c r="BN105">
        <v>24.268799999999999</v>
      </c>
      <c r="BO105">
        <v>800.00599999999997</v>
      </c>
      <c r="BP105">
        <v>0.36291800000000002</v>
      </c>
      <c r="BQ105">
        <v>2.44686</v>
      </c>
      <c r="BR105">
        <v>3.6051399999999997E-2</v>
      </c>
      <c r="BS105">
        <v>20.677299999999999</v>
      </c>
      <c r="BT105">
        <v>-33.586199999999998</v>
      </c>
      <c r="BU105">
        <v>1799.99</v>
      </c>
      <c r="BV105">
        <v>0.90998800000000002</v>
      </c>
      <c r="BW105">
        <v>3.3998899999999999E-2</v>
      </c>
      <c r="BX105">
        <v>2.2004200000000002E-2</v>
      </c>
      <c r="BY105">
        <v>3.4009200000000003E-2</v>
      </c>
      <c r="BZ105">
        <v>25</v>
      </c>
      <c r="CA105">
        <v>33528.199999999997</v>
      </c>
      <c r="CB105">
        <v>1690286268.5999999</v>
      </c>
      <c r="CC105" t="s">
        <v>332</v>
      </c>
      <c r="CD105">
        <v>1690286261.0999999</v>
      </c>
      <c r="CE105">
        <v>1690286268.5999999</v>
      </c>
      <c r="CF105">
        <v>1</v>
      </c>
      <c r="CG105">
        <v>-0.89900000000000002</v>
      </c>
      <c r="CH105">
        <v>3.4000000000000002E-2</v>
      </c>
      <c r="CI105">
        <v>-1.2370000000000001</v>
      </c>
      <c r="CJ105">
        <v>8.5999999999999993E-2</v>
      </c>
      <c r="CK105">
        <v>799</v>
      </c>
      <c r="CL105">
        <v>16</v>
      </c>
      <c r="CM105">
        <v>0.28999999999999998</v>
      </c>
      <c r="CN105">
        <v>0.09</v>
      </c>
      <c r="CO105">
        <v>-369.94569999999999</v>
      </c>
      <c r="CP105">
        <v>-14.317373358348521</v>
      </c>
      <c r="CQ105">
        <v>1.3779097067660091</v>
      </c>
      <c r="CR105">
        <v>-1</v>
      </c>
      <c r="CS105">
        <v>24.220105</v>
      </c>
      <c r="CT105">
        <v>0.21207354596613279</v>
      </c>
      <c r="CU105">
        <v>2.056509117412347E-2</v>
      </c>
      <c r="CV105">
        <v>-1</v>
      </c>
      <c r="CW105">
        <v>0</v>
      </c>
      <c r="CX105">
        <v>0</v>
      </c>
      <c r="CY105" t="s">
        <v>333</v>
      </c>
      <c r="CZ105">
        <v>2.3650000000000002</v>
      </c>
      <c r="DA105">
        <v>2.7137699999999998</v>
      </c>
      <c r="DB105">
        <v>9.4647599999999998E-2</v>
      </c>
      <c r="DC105">
        <v>0.146566</v>
      </c>
      <c r="DD105">
        <v>0.11647</v>
      </c>
      <c r="DE105">
        <v>3.0316599999999998E-3</v>
      </c>
      <c r="DF105">
        <v>33052.699999999997</v>
      </c>
      <c r="DG105">
        <v>27469.7</v>
      </c>
      <c r="DH105">
        <v>31164.7</v>
      </c>
      <c r="DI105">
        <v>28045.200000000001</v>
      </c>
      <c r="DJ105">
        <v>37369.1</v>
      </c>
      <c r="DK105">
        <v>39744.1</v>
      </c>
      <c r="DL105">
        <v>44343.8</v>
      </c>
      <c r="DM105">
        <v>42482.3</v>
      </c>
      <c r="DN105">
        <v>1.4914700000000001</v>
      </c>
      <c r="DO105">
        <v>2.0666500000000001</v>
      </c>
      <c r="DP105">
        <v>8.14386E-2</v>
      </c>
      <c r="DQ105">
        <v>0.18951299999999999</v>
      </c>
      <c r="DR105">
        <v>25.6221</v>
      </c>
      <c r="DS105">
        <v>25.265000000000001</v>
      </c>
      <c r="DT105">
        <v>57</v>
      </c>
      <c r="DU105">
        <v>25</v>
      </c>
      <c r="DV105">
        <v>18.2455</v>
      </c>
      <c r="DW105">
        <v>62.561399999999999</v>
      </c>
      <c r="DX105">
        <v>37.271599999999999</v>
      </c>
      <c r="DY105">
        <v>1</v>
      </c>
      <c r="DZ105">
        <v>-0.14366899999999999</v>
      </c>
      <c r="EA105">
        <v>-0.861792</v>
      </c>
      <c r="EB105">
        <v>20.188199999999998</v>
      </c>
      <c r="EC105">
        <v>5.2411000000000003</v>
      </c>
      <c r="ED105">
        <v>12.039899999999999</v>
      </c>
      <c r="EE105">
        <v>5.0170500000000002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1.8687400000000001</v>
      </c>
      <c r="EL105">
        <v>1.8644499999999999</v>
      </c>
      <c r="EM105">
        <v>1.86907</v>
      </c>
      <c r="EN105">
        <v>1.8670800000000001</v>
      </c>
      <c r="EO105">
        <v>1.8632500000000001</v>
      </c>
      <c r="EP105">
        <v>1.8642799999999999</v>
      </c>
      <c r="EQ105">
        <v>1.8701000000000001</v>
      </c>
      <c r="ER105">
        <v>1.8692899999999999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-0.97499999999999998</v>
      </c>
      <c r="FG105">
        <v>0.19109999999999999</v>
      </c>
      <c r="FH105">
        <v>-0.68620417327404271</v>
      </c>
      <c r="FI105">
        <v>-6.1462078757559423E-4</v>
      </c>
      <c r="FJ105">
        <v>-1.8861989874597051E-7</v>
      </c>
      <c r="FK105">
        <v>1.1980462299894961E-10</v>
      </c>
      <c r="FL105">
        <v>0.1911242781723908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21</v>
      </c>
      <c r="FU105">
        <v>20.9</v>
      </c>
      <c r="FV105">
        <v>1.7590300000000001</v>
      </c>
      <c r="FW105">
        <v>2.5634800000000002</v>
      </c>
      <c r="FX105">
        <v>1.5490699999999999</v>
      </c>
      <c r="FY105">
        <v>2.34253</v>
      </c>
      <c r="FZ105">
        <v>1.50146</v>
      </c>
      <c r="GA105">
        <v>2.2399900000000001</v>
      </c>
      <c r="GB105">
        <v>30.566199999999998</v>
      </c>
      <c r="GC105">
        <v>23.982399999999998</v>
      </c>
      <c r="GD105">
        <v>19</v>
      </c>
      <c r="GE105">
        <v>286.54599999999999</v>
      </c>
      <c r="GF105">
        <v>600.74099999999999</v>
      </c>
      <c r="GG105">
        <v>25.977499999999999</v>
      </c>
      <c r="GH105">
        <v>25.606400000000001</v>
      </c>
      <c r="GI105">
        <v>30.0001</v>
      </c>
      <c r="GJ105">
        <v>25.712900000000001</v>
      </c>
      <c r="GK105">
        <v>25.6736</v>
      </c>
      <c r="GL105">
        <v>35.181199999999997</v>
      </c>
      <c r="GM105">
        <v>100</v>
      </c>
      <c r="GN105">
        <v>55.459000000000003</v>
      </c>
      <c r="GO105">
        <v>26.0106</v>
      </c>
      <c r="GP105">
        <v>800</v>
      </c>
      <c r="GQ105">
        <v>0</v>
      </c>
      <c r="GR105">
        <v>99.705299999999994</v>
      </c>
      <c r="GS105">
        <v>99.403599999999997</v>
      </c>
    </row>
    <row r="106" spans="1:201" x14ac:dyDescent="0.25">
      <c r="A106">
        <v>90</v>
      </c>
      <c r="B106">
        <v>1690287530.0999999</v>
      </c>
      <c r="C106">
        <v>991.5</v>
      </c>
      <c r="D106" t="s">
        <v>513</v>
      </c>
      <c r="E106" t="s">
        <v>514</v>
      </c>
      <c r="F106" t="s">
        <v>330</v>
      </c>
      <c r="H106">
        <v>1690287530.0999999</v>
      </c>
      <c r="I106">
        <f t="shared" si="30"/>
        <v>2.5743511997525781E-3</v>
      </c>
      <c r="J106">
        <f t="shared" si="31"/>
        <v>2.5743511997525781</v>
      </c>
      <c r="K106">
        <f t="shared" si="32"/>
        <v>37.579679304739486</v>
      </c>
      <c r="L106">
        <f t="shared" si="33"/>
        <v>425.21800000000002</v>
      </c>
      <c r="M106">
        <f t="shared" si="34"/>
        <v>103.7046126321047</v>
      </c>
      <c r="N106">
        <f t="shared" si="35"/>
        <v>10.312185493187984</v>
      </c>
      <c r="O106">
        <f t="shared" si="36"/>
        <v>42.282852997079999</v>
      </c>
      <c r="P106">
        <f t="shared" si="37"/>
        <v>0.19818568729362901</v>
      </c>
      <c r="Q106">
        <f t="shared" si="38"/>
        <v>2.2988195364753068</v>
      </c>
      <c r="R106">
        <f t="shared" si="39"/>
        <v>0.1891592400947934</v>
      </c>
      <c r="S106">
        <f t="shared" si="40"/>
        <v>0.11900125185817642</v>
      </c>
      <c r="T106">
        <f t="shared" si="41"/>
        <v>276.11261318198746</v>
      </c>
      <c r="U106">
        <f t="shared" si="42"/>
        <v>27.864515586027618</v>
      </c>
      <c r="V106">
        <f t="shared" si="43"/>
        <v>27.864515586027618</v>
      </c>
      <c r="W106">
        <f t="shared" si="44"/>
        <v>3.7649700570101139</v>
      </c>
      <c r="X106">
        <f t="shared" si="45"/>
        <v>69.927861514708567</v>
      </c>
      <c r="Y106">
        <f t="shared" si="46"/>
        <v>2.4539921075159996</v>
      </c>
      <c r="Z106">
        <f t="shared" si="47"/>
        <v>3.5093195392509307</v>
      </c>
      <c r="AA106">
        <f t="shared" si="48"/>
        <v>1.3109779494941143</v>
      </c>
      <c r="AB106">
        <f t="shared" si="49"/>
        <v>-113.5288879090887</v>
      </c>
      <c r="AC106">
        <f t="shared" si="50"/>
        <v>-148.6731086751135</v>
      </c>
      <c r="AD106">
        <f t="shared" si="51"/>
        <v>-13.994370011631267</v>
      </c>
      <c r="AE106">
        <f t="shared" si="52"/>
        <v>-8.3753413845983005E-2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52532.291035888993</v>
      </c>
      <c r="AK106">
        <f t="shared" si="56"/>
        <v>1799.98</v>
      </c>
      <c r="AL106">
        <f t="shared" si="57"/>
        <v>1499.0948536054402</v>
      </c>
      <c r="AM106">
        <f t="shared" si="58"/>
        <v>0.83283972800000006</v>
      </c>
      <c r="AN106">
        <f t="shared" si="59"/>
        <v>0.15339760063000002</v>
      </c>
      <c r="AO106">
        <v>29.1</v>
      </c>
      <c r="AP106">
        <v>0.5</v>
      </c>
      <c r="AQ106" t="s">
        <v>331</v>
      </c>
      <c r="AR106">
        <v>2</v>
      </c>
      <c r="AS106">
        <v>1690287530.0999999</v>
      </c>
      <c r="AT106">
        <v>425.21800000000002</v>
      </c>
      <c r="AU106">
        <v>800.03800000000001</v>
      </c>
      <c r="AV106">
        <v>24.678599999999999</v>
      </c>
      <c r="AW106">
        <v>0.34449400000000002</v>
      </c>
      <c r="AX106">
        <v>426.19099999999997</v>
      </c>
      <c r="AY106">
        <v>24.487400000000001</v>
      </c>
      <c r="AZ106">
        <v>300.25700000000001</v>
      </c>
      <c r="BA106">
        <v>99.337999999999994</v>
      </c>
      <c r="BB106">
        <v>0.10006</v>
      </c>
      <c r="BC106">
        <v>26.664899999999999</v>
      </c>
      <c r="BD106">
        <v>26.953499999999998</v>
      </c>
      <c r="BE106">
        <v>28.366099999999999</v>
      </c>
      <c r="BF106">
        <v>0</v>
      </c>
      <c r="BG106">
        <v>0</v>
      </c>
      <c r="BH106">
        <v>9989.3799999999992</v>
      </c>
      <c r="BI106">
        <v>1086.71</v>
      </c>
      <c r="BJ106">
        <v>1.3736200000000001</v>
      </c>
      <c r="BK106">
        <v>-374.82</v>
      </c>
      <c r="BL106">
        <v>435.97699999999998</v>
      </c>
      <c r="BM106">
        <v>800.31399999999996</v>
      </c>
      <c r="BN106">
        <v>24.334099999999999</v>
      </c>
      <c r="BO106">
        <v>800.03800000000001</v>
      </c>
      <c r="BP106">
        <v>0.34449400000000002</v>
      </c>
      <c r="BQ106">
        <v>2.4515199999999999</v>
      </c>
      <c r="BR106">
        <v>3.4221300000000003E-2</v>
      </c>
      <c r="BS106">
        <v>20.708200000000001</v>
      </c>
      <c r="BT106">
        <v>-34.116100000000003</v>
      </c>
      <c r="BU106">
        <v>1799.98</v>
      </c>
      <c r="BV106">
        <v>0.90999300000000005</v>
      </c>
      <c r="BW106">
        <v>3.3996800000000001E-2</v>
      </c>
      <c r="BX106">
        <v>2.2002899999999999E-2</v>
      </c>
      <c r="BY106">
        <v>3.4007099999999998E-2</v>
      </c>
      <c r="BZ106">
        <v>25</v>
      </c>
      <c r="CA106">
        <v>33528</v>
      </c>
      <c r="CB106">
        <v>1690286268.5999999</v>
      </c>
      <c r="CC106" t="s">
        <v>332</v>
      </c>
      <c r="CD106">
        <v>1690286261.0999999</v>
      </c>
      <c r="CE106">
        <v>1690286268.5999999</v>
      </c>
      <c r="CF106">
        <v>1</v>
      </c>
      <c r="CG106">
        <v>-0.89900000000000002</v>
      </c>
      <c r="CH106">
        <v>3.4000000000000002E-2</v>
      </c>
      <c r="CI106">
        <v>-1.2370000000000001</v>
      </c>
      <c r="CJ106">
        <v>8.5999999999999993E-2</v>
      </c>
      <c r="CK106">
        <v>799</v>
      </c>
      <c r="CL106">
        <v>16</v>
      </c>
      <c r="CM106">
        <v>0.28999999999999998</v>
      </c>
      <c r="CN106">
        <v>0.09</v>
      </c>
      <c r="CO106">
        <v>-372.33617073170728</v>
      </c>
      <c r="CP106">
        <v>-13.85793031358857</v>
      </c>
      <c r="CQ106">
        <v>1.3666450089934781</v>
      </c>
      <c r="CR106">
        <v>-1</v>
      </c>
      <c r="CS106">
        <v>24.26603658536585</v>
      </c>
      <c r="CT106">
        <v>0.32899651567938598</v>
      </c>
      <c r="CU106">
        <v>3.2583249894786642E-2</v>
      </c>
      <c r="CV106">
        <v>-1</v>
      </c>
      <c r="CW106">
        <v>0</v>
      </c>
      <c r="CX106">
        <v>0</v>
      </c>
      <c r="CY106" t="s">
        <v>333</v>
      </c>
      <c r="CZ106">
        <v>2.3655599999999999</v>
      </c>
      <c r="DA106">
        <v>2.7138399999999998</v>
      </c>
      <c r="DB106">
        <v>9.4278200000000006E-2</v>
      </c>
      <c r="DC106">
        <v>0.146569</v>
      </c>
      <c r="DD106">
        <v>0.11662599999999999</v>
      </c>
      <c r="DE106">
        <v>2.8809199999999999E-3</v>
      </c>
      <c r="DF106">
        <v>33066.5</v>
      </c>
      <c r="DG106">
        <v>27469.5</v>
      </c>
      <c r="DH106">
        <v>31165.1</v>
      </c>
      <c r="DI106">
        <v>28045.1</v>
      </c>
      <c r="DJ106">
        <v>37363</v>
      </c>
      <c r="DK106">
        <v>39750.300000000003</v>
      </c>
      <c r="DL106">
        <v>44344.7</v>
      </c>
      <c r="DM106">
        <v>42482.5</v>
      </c>
      <c r="DN106">
        <v>1.49187</v>
      </c>
      <c r="DO106">
        <v>2.0662799999999999</v>
      </c>
      <c r="DP106">
        <v>8.1352900000000006E-2</v>
      </c>
      <c r="DQ106">
        <v>0.18956500000000001</v>
      </c>
      <c r="DR106">
        <v>25.621500000000001</v>
      </c>
      <c r="DS106">
        <v>25.265000000000001</v>
      </c>
      <c r="DT106">
        <v>56.4</v>
      </c>
      <c r="DU106">
        <v>25</v>
      </c>
      <c r="DV106">
        <v>18.0535</v>
      </c>
      <c r="DW106">
        <v>61.981400000000001</v>
      </c>
      <c r="DX106">
        <v>36.185899999999997</v>
      </c>
      <c r="DY106">
        <v>1</v>
      </c>
      <c r="DZ106">
        <v>-0.14327999999999999</v>
      </c>
      <c r="EA106">
        <v>-0.92423200000000005</v>
      </c>
      <c r="EB106">
        <v>20.187799999999999</v>
      </c>
      <c r="EC106">
        <v>5.2411000000000003</v>
      </c>
      <c r="ED106">
        <v>12.039899999999999</v>
      </c>
      <c r="EE106">
        <v>5.0171000000000001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1.8687400000000001</v>
      </c>
      <c r="EL106">
        <v>1.8644499999999999</v>
      </c>
      <c r="EM106">
        <v>1.86907</v>
      </c>
      <c r="EN106">
        <v>1.86707</v>
      </c>
      <c r="EO106">
        <v>1.8632500000000001</v>
      </c>
      <c r="EP106">
        <v>1.8643000000000001</v>
      </c>
      <c r="EQ106">
        <v>1.8700600000000001</v>
      </c>
      <c r="ER106">
        <v>1.8693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-0.97299999999999998</v>
      </c>
      <c r="FG106">
        <v>0.19120000000000001</v>
      </c>
      <c r="FH106">
        <v>-0.68620417327404271</v>
      </c>
      <c r="FI106">
        <v>-6.1462078757559423E-4</v>
      </c>
      <c r="FJ106">
        <v>-1.8861989874597051E-7</v>
      </c>
      <c r="FK106">
        <v>1.1980462299894961E-10</v>
      </c>
      <c r="FL106">
        <v>0.1911242781723908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21.1</v>
      </c>
      <c r="FU106">
        <v>21</v>
      </c>
      <c r="FV106">
        <v>1.7590300000000001</v>
      </c>
      <c r="FW106">
        <v>2.5634800000000002</v>
      </c>
      <c r="FX106">
        <v>1.5490699999999999</v>
      </c>
      <c r="FY106">
        <v>2.34253</v>
      </c>
      <c r="FZ106">
        <v>1.50146</v>
      </c>
      <c r="GA106">
        <v>2.36328</v>
      </c>
      <c r="GB106">
        <v>30.566199999999998</v>
      </c>
      <c r="GC106">
        <v>23.982399999999998</v>
      </c>
      <c r="GD106">
        <v>19</v>
      </c>
      <c r="GE106">
        <v>286.71800000000002</v>
      </c>
      <c r="GF106">
        <v>600.44000000000005</v>
      </c>
      <c r="GG106">
        <v>26.047899999999998</v>
      </c>
      <c r="GH106">
        <v>25.606400000000001</v>
      </c>
      <c r="GI106">
        <v>30.0002</v>
      </c>
      <c r="GJ106">
        <v>25.712900000000001</v>
      </c>
      <c r="GK106">
        <v>25.674800000000001</v>
      </c>
      <c r="GL106">
        <v>35.179299999999998</v>
      </c>
      <c r="GM106">
        <v>100</v>
      </c>
      <c r="GN106">
        <v>54.2303</v>
      </c>
      <c r="GO106">
        <v>26.085599999999999</v>
      </c>
      <c r="GP106">
        <v>800</v>
      </c>
      <c r="GQ106">
        <v>0</v>
      </c>
      <c r="GR106">
        <v>99.706800000000001</v>
      </c>
      <c r="GS106">
        <v>99.403800000000004</v>
      </c>
    </row>
    <row r="107" spans="1:201" x14ac:dyDescent="0.25">
      <c r="A107">
        <v>91</v>
      </c>
      <c r="B107">
        <v>1690287540.0999999</v>
      </c>
      <c r="C107">
        <v>1001.5</v>
      </c>
      <c r="D107" t="s">
        <v>515</v>
      </c>
      <c r="E107" t="s">
        <v>516</v>
      </c>
      <c r="F107" t="s">
        <v>330</v>
      </c>
      <c r="H107">
        <v>1690287540.0999999</v>
      </c>
      <c r="I107">
        <f t="shared" si="30"/>
        <v>2.5810562794638357E-3</v>
      </c>
      <c r="J107">
        <f t="shared" si="31"/>
        <v>2.5810562794638359</v>
      </c>
      <c r="K107">
        <f t="shared" si="32"/>
        <v>37.779453702504618</v>
      </c>
      <c r="L107">
        <f t="shared" si="33"/>
        <v>422.995</v>
      </c>
      <c r="M107">
        <f t="shared" si="34"/>
        <v>102.12559461658883</v>
      </c>
      <c r="N107">
        <f t="shared" si="35"/>
        <v>10.155520662630884</v>
      </c>
      <c r="O107">
        <f t="shared" si="36"/>
        <v>42.063250439980997</v>
      </c>
      <c r="P107">
        <f t="shared" si="37"/>
        <v>0.19964615481365586</v>
      </c>
      <c r="Q107">
        <f t="shared" si="38"/>
        <v>2.3033562188082719</v>
      </c>
      <c r="R107">
        <f t="shared" si="39"/>
        <v>0.19050663286901054</v>
      </c>
      <c r="S107">
        <f t="shared" si="40"/>
        <v>0.11985292446519522</v>
      </c>
      <c r="T107">
        <f t="shared" si="41"/>
        <v>276.11550154799994</v>
      </c>
      <c r="U107">
        <f t="shared" si="42"/>
        <v>27.86709100878857</v>
      </c>
      <c r="V107">
        <f t="shared" si="43"/>
        <v>27.86709100878857</v>
      </c>
      <c r="W107">
        <f t="shared" si="44"/>
        <v>3.7655359302205822</v>
      </c>
      <c r="X107">
        <f t="shared" si="45"/>
        <v>70.08314450095682</v>
      </c>
      <c r="Y107">
        <f t="shared" si="46"/>
        <v>2.4604408570698801</v>
      </c>
      <c r="Z107">
        <f t="shared" si="47"/>
        <v>3.5107455217513661</v>
      </c>
      <c r="AA107">
        <f t="shared" si="48"/>
        <v>1.3050950731507021</v>
      </c>
      <c r="AB107">
        <f t="shared" si="49"/>
        <v>-113.82458192435516</v>
      </c>
      <c r="AC107">
        <f t="shared" si="50"/>
        <v>-148.4294929063559</v>
      </c>
      <c r="AD107">
        <f t="shared" si="51"/>
        <v>-13.944580387301286</v>
      </c>
      <c r="AE107">
        <f t="shared" si="52"/>
        <v>-8.3153670012421799E-2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52702.975420037517</v>
      </c>
      <c r="AK107">
        <f t="shared" si="56"/>
        <v>1800</v>
      </c>
      <c r="AL107">
        <f t="shared" si="57"/>
        <v>1499.1130638</v>
      </c>
      <c r="AM107">
        <f t="shared" si="58"/>
        <v>0.83284059099999996</v>
      </c>
      <c r="AN107">
        <f t="shared" si="59"/>
        <v>0.15339750085999998</v>
      </c>
      <c r="AO107">
        <v>29.1</v>
      </c>
      <c r="AP107">
        <v>0.5</v>
      </c>
      <c r="AQ107" t="s">
        <v>331</v>
      </c>
      <c r="AR107">
        <v>2</v>
      </c>
      <c r="AS107">
        <v>1690287540.0999999</v>
      </c>
      <c r="AT107">
        <v>422.995</v>
      </c>
      <c r="AU107">
        <v>799.96799999999996</v>
      </c>
      <c r="AV107">
        <v>24.742599999999999</v>
      </c>
      <c r="AW107">
        <v>0.33086100000000002</v>
      </c>
      <c r="AX107">
        <v>423.96699999999998</v>
      </c>
      <c r="AY107">
        <v>24.551500000000001</v>
      </c>
      <c r="AZ107">
        <v>300.06200000000001</v>
      </c>
      <c r="BA107">
        <v>99.341499999999996</v>
      </c>
      <c r="BB107">
        <v>9.9983799999999998E-2</v>
      </c>
      <c r="BC107">
        <v>26.671800000000001</v>
      </c>
      <c r="BD107">
        <v>26.980699999999999</v>
      </c>
      <c r="BE107">
        <v>28.375900000000001</v>
      </c>
      <c r="BF107">
        <v>0</v>
      </c>
      <c r="BG107">
        <v>0</v>
      </c>
      <c r="BH107">
        <v>10023.1</v>
      </c>
      <c r="BI107">
        <v>1086.6199999999999</v>
      </c>
      <c r="BJ107">
        <v>1.3890400000000001</v>
      </c>
      <c r="BK107">
        <v>-376.97300000000001</v>
      </c>
      <c r="BL107">
        <v>433.72699999999998</v>
      </c>
      <c r="BM107">
        <v>800.23299999999995</v>
      </c>
      <c r="BN107">
        <v>24.4117</v>
      </c>
      <c r="BO107">
        <v>799.96799999999996</v>
      </c>
      <c r="BP107">
        <v>0.33086100000000002</v>
      </c>
      <c r="BQ107">
        <v>2.45797</v>
      </c>
      <c r="BR107">
        <v>3.2868300000000003E-2</v>
      </c>
      <c r="BS107">
        <v>20.750800000000002</v>
      </c>
      <c r="BT107">
        <v>-34.5246</v>
      </c>
      <c r="BU107">
        <v>1800</v>
      </c>
      <c r="BV107">
        <v>0.91</v>
      </c>
      <c r="BW107">
        <v>3.3994299999999998E-2</v>
      </c>
      <c r="BX107">
        <v>2.2001300000000001E-2</v>
      </c>
      <c r="BY107">
        <v>3.4004600000000003E-2</v>
      </c>
      <c r="BZ107">
        <v>25</v>
      </c>
      <c r="CA107">
        <v>33528.300000000003</v>
      </c>
      <c r="CB107">
        <v>1690286268.5999999</v>
      </c>
      <c r="CC107" t="s">
        <v>332</v>
      </c>
      <c r="CD107">
        <v>1690286261.0999999</v>
      </c>
      <c r="CE107">
        <v>1690286268.5999999</v>
      </c>
      <c r="CF107">
        <v>1</v>
      </c>
      <c r="CG107">
        <v>-0.89900000000000002</v>
      </c>
      <c r="CH107">
        <v>3.4000000000000002E-2</v>
      </c>
      <c r="CI107">
        <v>-1.2370000000000001</v>
      </c>
      <c r="CJ107">
        <v>8.5999999999999993E-2</v>
      </c>
      <c r="CK107">
        <v>799</v>
      </c>
      <c r="CL107">
        <v>16</v>
      </c>
      <c r="CM107">
        <v>0.28999999999999998</v>
      </c>
      <c r="CN107">
        <v>0.09</v>
      </c>
      <c r="CO107">
        <v>-374.59331707317068</v>
      </c>
      <c r="CP107">
        <v>-13.32459930313553</v>
      </c>
      <c r="CQ107">
        <v>1.314502974586333</v>
      </c>
      <c r="CR107">
        <v>-1</v>
      </c>
      <c r="CS107">
        <v>24.329031707317071</v>
      </c>
      <c r="CT107">
        <v>0.42627386759580649</v>
      </c>
      <c r="CU107">
        <v>4.2089848373562208E-2</v>
      </c>
      <c r="CV107">
        <v>-1</v>
      </c>
      <c r="CW107">
        <v>0</v>
      </c>
      <c r="CX107">
        <v>0</v>
      </c>
      <c r="CY107" t="s">
        <v>333</v>
      </c>
      <c r="CZ107">
        <v>2.3649300000000002</v>
      </c>
      <c r="DA107">
        <v>2.7137899999999999</v>
      </c>
      <c r="DB107">
        <v>9.3909999999999993E-2</v>
      </c>
      <c r="DC107">
        <v>0.146566</v>
      </c>
      <c r="DD107">
        <v>0.116843</v>
      </c>
      <c r="DE107">
        <v>2.7692799999999998E-3</v>
      </c>
      <c r="DF107">
        <v>33080</v>
      </c>
      <c r="DG107">
        <v>27469.7</v>
      </c>
      <c r="DH107">
        <v>31165.1</v>
      </c>
      <c r="DI107">
        <v>28045.1</v>
      </c>
      <c r="DJ107">
        <v>37353.599999999999</v>
      </c>
      <c r="DK107">
        <v>39755</v>
      </c>
      <c r="DL107">
        <v>44344.6</v>
      </c>
      <c r="DM107">
        <v>42482.7</v>
      </c>
      <c r="DN107">
        <v>1.49152</v>
      </c>
      <c r="DO107">
        <v>2.0661200000000002</v>
      </c>
      <c r="DP107">
        <v>8.2824400000000006E-2</v>
      </c>
      <c r="DQ107">
        <v>0.190135</v>
      </c>
      <c r="DR107">
        <v>25.624700000000001</v>
      </c>
      <c r="DS107">
        <v>25.265499999999999</v>
      </c>
      <c r="DT107">
        <v>55.9</v>
      </c>
      <c r="DU107">
        <v>25</v>
      </c>
      <c r="DV107">
        <v>17.893999999999998</v>
      </c>
      <c r="DW107">
        <v>61.791400000000003</v>
      </c>
      <c r="DX107">
        <v>37.0032</v>
      </c>
      <c r="DY107">
        <v>1</v>
      </c>
      <c r="DZ107">
        <v>-0.14300299999999999</v>
      </c>
      <c r="EA107">
        <v>-0.90051499999999995</v>
      </c>
      <c r="EB107">
        <v>20.188099999999999</v>
      </c>
      <c r="EC107">
        <v>5.2413999999999996</v>
      </c>
      <c r="ED107">
        <v>12.039899999999999</v>
      </c>
      <c r="EE107">
        <v>5.0170500000000002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1.8687400000000001</v>
      </c>
      <c r="EL107">
        <v>1.86443</v>
      </c>
      <c r="EM107">
        <v>1.8690500000000001</v>
      </c>
      <c r="EN107">
        <v>1.86707</v>
      </c>
      <c r="EO107">
        <v>1.8632500000000001</v>
      </c>
      <c r="EP107">
        <v>1.8643099999999999</v>
      </c>
      <c r="EQ107">
        <v>1.87008</v>
      </c>
      <c r="ER107">
        <v>1.8692899999999999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-0.97199999999999998</v>
      </c>
      <c r="FG107">
        <v>0.19109999999999999</v>
      </c>
      <c r="FH107">
        <v>-0.68620417327404271</v>
      </c>
      <c r="FI107">
        <v>-6.1462078757559423E-4</v>
      </c>
      <c r="FJ107">
        <v>-1.8861989874597051E-7</v>
      </c>
      <c r="FK107">
        <v>1.1980462299894961E-10</v>
      </c>
      <c r="FL107">
        <v>0.1911242781723908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21.3</v>
      </c>
      <c r="FU107">
        <v>21.2</v>
      </c>
      <c r="FV107">
        <v>1.7590300000000001</v>
      </c>
      <c r="FW107">
        <v>2.5708000000000002</v>
      </c>
      <c r="FX107">
        <v>1.5490699999999999</v>
      </c>
      <c r="FY107">
        <v>2.34253</v>
      </c>
      <c r="FZ107">
        <v>1.50146</v>
      </c>
      <c r="GA107">
        <v>2.32422</v>
      </c>
      <c r="GB107">
        <v>30.587700000000002</v>
      </c>
      <c r="GC107">
        <v>23.982399999999998</v>
      </c>
      <c r="GD107">
        <v>19</v>
      </c>
      <c r="GE107">
        <v>286.56700000000001</v>
      </c>
      <c r="GF107">
        <v>600.31399999999996</v>
      </c>
      <c r="GG107">
        <v>26.111899999999999</v>
      </c>
      <c r="GH107">
        <v>25.604199999999999</v>
      </c>
      <c r="GI107">
        <v>30.000499999999999</v>
      </c>
      <c r="GJ107">
        <v>25.712900000000001</v>
      </c>
      <c r="GK107">
        <v>25.674800000000001</v>
      </c>
      <c r="GL107">
        <v>35.177199999999999</v>
      </c>
      <c r="GM107">
        <v>100</v>
      </c>
      <c r="GN107">
        <v>53.023800000000001</v>
      </c>
      <c r="GO107">
        <v>26.124199999999998</v>
      </c>
      <c r="GP107">
        <v>800</v>
      </c>
      <c r="GQ107">
        <v>0</v>
      </c>
      <c r="GR107">
        <v>99.706699999999998</v>
      </c>
      <c r="GS107">
        <v>99.404200000000003</v>
      </c>
    </row>
    <row r="108" spans="1:201" x14ac:dyDescent="0.25">
      <c r="A108">
        <v>92</v>
      </c>
      <c r="B108">
        <v>1690287550.5</v>
      </c>
      <c r="C108">
        <v>1011.900000095367</v>
      </c>
      <c r="D108" t="s">
        <v>517</v>
      </c>
      <c r="E108" t="s">
        <v>518</v>
      </c>
      <c r="F108" t="s">
        <v>330</v>
      </c>
      <c r="H108">
        <v>1690287550.5</v>
      </c>
      <c r="I108">
        <f t="shared" si="30"/>
        <v>2.5927148237327047E-3</v>
      </c>
      <c r="J108">
        <f t="shared" si="31"/>
        <v>2.5927148237327047</v>
      </c>
      <c r="K108">
        <f t="shared" si="32"/>
        <v>38.032112444782356</v>
      </c>
      <c r="L108">
        <f t="shared" si="33"/>
        <v>420.85500000000002</v>
      </c>
      <c r="M108">
        <f t="shared" si="34"/>
        <v>100.91367958319357</v>
      </c>
      <c r="N108">
        <f t="shared" si="35"/>
        <v>10.034804932689863</v>
      </c>
      <c r="O108">
        <f t="shared" si="36"/>
        <v>41.849606984805</v>
      </c>
      <c r="P108">
        <f t="shared" si="37"/>
        <v>0.20162370846297878</v>
      </c>
      <c r="Q108">
        <f t="shared" si="38"/>
        <v>2.3001710596988159</v>
      </c>
      <c r="R108">
        <f t="shared" si="39"/>
        <v>0.19229451080906515</v>
      </c>
      <c r="S108">
        <f t="shared" si="40"/>
        <v>0.12098628301405986</v>
      </c>
      <c r="T108">
        <f t="shared" si="41"/>
        <v>276.11368994253377</v>
      </c>
      <c r="U108">
        <f t="shared" si="42"/>
        <v>27.873790577336361</v>
      </c>
      <c r="V108">
        <f t="shared" si="43"/>
        <v>27.873790577336361</v>
      </c>
      <c r="W108">
        <f t="shared" si="44"/>
        <v>3.7670083104746923</v>
      </c>
      <c r="X108">
        <f t="shared" si="45"/>
        <v>70.269674635387048</v>
      </c>
      <c r="Y108">
        <f t="shared" si="46"/>
        <v>2.4682969895511002</v>
      </c>
      <c r="Z108">
        <f t="shared" si="47"/>
        <v>3.5126062591843743</v>
      </c>
      <c r="AA108">
        <f t="shared" si="48"/>
        <v>1.2987113209235921</v>
      </c>
      <c r="AB108">
        <f t="shared" si="49"/>
        <v>-114.33872372661227</v>
      </c>
      <c r="AC108">
        <f t="shared" si="50"/>
        <v>-147.93897037481133</v>
      </c>
      <c r="AD108">
        <f t="shared" si="51"/>
        <v>-13.918834292878026</v>
      </c>
      <c r="AE108">
        <f t="shared" si="52"/>
        <v>-8.283845176788418E-2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52580.687018712473</v>
      </c>
      <c r="AK108">
        <f t="shared" si="56"/>
        <v>1799.99</v>
      </c>
      <c r="AL108">
        <f t="shared" si="57"/>
        <v>1499.1058711877799</v>
      </c>
      <c r="AM108">
        <f t="shared" si="58"/>
        <v>0.83284122199999999</v>
      </c>
      <c r="AN108">
        <f t="shared" si="59"/>
        <v>0.15339734661999999</v>
      </c>
      <c r="AO108">
        <v>29.1</v>
      </c>
      <c r="AP108">
        <v>0.5</v>
      </c>
      <c r="AQ108" t="s">
        <v>331</v>
      </c>
      <c r="AR108">
        <v>2</v>
      </c>
      <c r="AS108">
        <v>1690287550.5</v>
      </c>
      <c r="AT108">
        <v>420.85500000000002</v>
      </c>
      <c r="AU108">
        <v>800.01199999999994</v>
      </c>
      <c r="AV108">
        <v>24.822099999999999</v>
      </c>
      <c r="AW108">
        <v>0.318915</v>
      </c>
      <c r="AX108">
        <v>421.82499999999999</v>
      </c>
      <c r="AY108">
        <v>24.631</v>
      </c>
      <c r="AZ108">
        <v>300.26799999999997</v>
      </c>
      <c r="BA108">
        <v>99.339399999999998</v>
      </c>
      <c r="BB108">
        <v>0.100091</v>
      </c>
      <c r="BC108">
        <v>26.680800000000001</v>
      </c>
      <c r="BD108">
        <v>26.976199999999999</v>
      </c>
      <c r="BE108">
        <v>28.373200000000001</v>
      </c>
      <c r="BF108">
        <v>0</v>
      </c>
      <c r="BG108">
        <v>0</v>
      </c>
      <c r="BH108">
        <v>9999.3799999999992</v>
      </c>
      <c r="BI108">
        <v>1086.75</v>
      </c>
      <c r="BJ108">
        <v>1.4016500000000001</v>
      </c>
      <c r="BK108">
        <v>-379.15699999999998</v>
      </c>
      <c r="BL108">
        <v>431.56700000000001</v>
      </c>
      <c r="BM108">
        <v>800.26700000000005</v>
      </c>
      <c r="BN108">
        <v>24.5032</v>
      </c>
      <c r="BO108">
        <v>800.01199999999994</v>
      </c>
      <c r="BP108">
        <v>0.318915</v>
      </c>
      <c r="BQ108">
        <v>2.4658099999999998</v>
      </c>
      <c r="BR108">
        <v>3.1680800000000002E-2</v>
      </c>
      <c r="BS108">
        <v>20.802600000000002</v>
      </c>
      <c r="BT108">
        <v>-34.895699999999998</v>
      </c>
      <c r="BU108">
        <v>1799.99</v>
      </c>
      <c r="BV108">
        <v>0.91000700000000001</v>
      </c>
      <c r="BW108">
        <v>3.39917E-2</v>
      </c>
      <c r="BX108">
        <v>2.1999600000000001E-2</v>
      </c>
      <c r="BY108">
        <v>3.4001999999999998E-2</v>
      </c>
      <c r="BZ108">
        <v>25</v>
      </c>
      <c r="CA108">
        <v>33528.300000000003</v>
      </c>
      <c r="CB108">
        <v>1690286268.5999999</v>
      </c>
      <c r="CC108" t="s">
        <v>332</v>
      </c>
      <c r="CD108">
        <v>1690286261.0999999</v>
      </c>
      <c r="CE108">
        <v>1690286268.5999999</v>
      </c>
      <c r="CF108">
        <v>1</v>
      </c>
      <c r="CG108">
        <v>-0.89900000000000002</v>
      </c>
      <c r="CH108">
        <v>3.4000000000000002E-2</v>
      </c>
      <c r="CI108">
        <v>-1.2370000000000001</v>
      </c>
      <c r="CJ108">
        <v>8.5999999999999993E-2</v>
      </c>
      <c r="CK108">
        <v>799</v>
      </c>
      <c r="CL108">
        <v>16</v>
      </c>
      <c r="CM108">
        <v>0.28999999999999998</v>
      </c>
      <c r="CN108">
        <v>0.09</v>
      </c>
      <c r="CO108">
        <v>-376.98392682926828</v>
      </c>
      <c r="CP108">
        <v>-12.78117895089343</v>
      </c>
      <c r="CQ108">
        <v>1.253870969948742</v>
      </c>
      <c r="CR108">
        <v>-1</v>
      </c>
      <c r="CS108">
        <v>24.413768292682921</v>
      </c>
      <c r="CT108">
        <v>0.49948022659357799</v>
      </c>
      <c r="CU108">
        <v>4.898594840347089E-2</v>
      </c>
      <c r="CV108">
        <v>-1</v>
      </c>
      <c r="CW108">
        <v>0</v>
      </c>
      <c r="CX108">
        <v>0</v>
      </c>
      <c r="CY108" t="s">
        <v>333</v>
      </c>
      <c r="CZ108">
        <v>2.36557</v>
      </c>
      <c r="DA108">
        <v>2.7138800000000001</v>
      </c>
      <c r="DB108">
        <v>9.3549599999999997E-2</v>
      </c>
      <c r="DC108">
        <v>0.146568</v>
      </c>
      <c r="DD108">
        <v>0.117104</v>
      </c>
      <c r="DE108">
        <v>2.6711399999999998E-3</v>
      </c>
      <c r="DF108">
        <v>33093.1</v>
      </c>
      <c r="DG108">
        <v>27470.1</v>
      </c>
      <c r="DH108">
        <v>31165.1</v>
      </c>
      <c r="DI108">
        <v>28045.599999999999</v>
      </c>
      <c r="DJ108">
        <v>37342.5</v>
      </c>
      <c r="DK108">
        <v>39759.5</v>
      </c>
      <c r="DL108">
        <v>44344.7</v>
      </c>
      <c r="DM108">
        <v>42483.3</v>
      </c>
      <c r="DN108">
        <v>1.4917800000000001</v>
      </c>
      <c r="DO108">
        <v>2.0658799999999999</v>
      </c>
      <c r="DP108">
        <v>8.2381099999999999E-2</v>
      </c>
      <c r="DQ108">
        <v>0.189856</v>
      </c>
      <c r="DR108">
        <v>25.627500000000001</v>
      </c>
      <c r="DS108">
        <v>25.267299999999999</v>
      </c>
      <c r="DT108">
        <v>55.3</v>
      </c>
      <c r="DU108">
        <v>25</v>
      </c>
      <c r="DV108">
        <v>17.7029</v>
      </c>
      <c r="DW108">
        <v>61.631399999999999</v>
      </c>
      <c r="DX108">
        <v>36.133800000000001</v>
      </c>
      <c r="DY108">
        <v>1</v>
      </c>
      <c r="DZ108">
        <v>-0.14328299999999999</v>
      </c>
      <c r="EA108">
        <v>-0.87936599999999998</v>
      </c>
      <c r="EB108">
        <v>20.188199999999998</v>
      </c>
      <c r="EC108">
        <v>5.2415500000000002</v>
      </c>
      <c r="ED108">
        <v>12.039899999999999</v>
      </c>
      <c r="EE108">
        <v>5.0171000000000001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1.8687400000000001</v>
      </c>
      <c r="EL108">
        <v>1.86443</v>
      </c>
      <c r="EM108">
        <v>1.86907</v>
      </c>
      <c r="EN108">
        <v>1.8670800000000001</v>
      </c>
      <c r="EO108">
        <v>1.8632500000000001</v>
      </c>
      <c r="EP108">
        <v>1.86429</v>
      </c>
      <c r="EQ108">
        <v>1.8700699999999999</v>
      </c>
      <c r="ER108">
        <v>1.8692899999999999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-0.97</v>
      </c>
      <c r="FG108">
        <v>0.19109999999999999</v>
      </c>
      <c r="FH108">
        <v>-0.68620417327404271</v>
      </c>
      <c r="FI108">
        <v>-6.1462078757559423E-4</v>
      </c>
      <c r="FJ108">
        <v>-1.8861989874597051E-7</v>
      </c>
      <c r="FK108">
        <v>1.1980462299894961E-10</v>
      </c>
      <c r="FL108">
        <v>0.1911242781723908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21.5</v>
      </c>
      <c r="FU108">
        <v>21.4</v>
      </c>
      <c r="FV108">
        <v>1.7590300000000001</v>
      </c>
      <c r="FW108">
        <v>2.5634800000000002</v>
      </c>
      <c r="FX108">
        <v>1.5490699999999999</v>
      </c>
      <c r="FY108">
        <v>2.34131</v>
      </c>
      <c r="FZ108">
        <v>1.50146</v>
      </c>
      <c r="GA108">
        <v>2.3840300000000001</v>
      </c>
      <c r="GB108">
        <v>30.587700000000002</v>
      </c>
      <c r="GC108">
        <v>23.991199999999999</v>
      </c>
      <c r="GD108">
        <v>19</v>
      </c>
      <c r="GE108">
        <v>286.67599999999999</v>
      </c>
      <c r="GF108">
        <v>600.10299999999995</v>
      </c>
      <c r="GG108">
        <v>26.146599999999999</v>
      </c>
      <c r="GH108">
        <v>25.604199999999999</v>
      </c>
      <c r="GI108">
        <v>30</v>
      </c>
      <c r="GJ108">
        <v>25.713200000000001</v>
      </c>
      <c r="GK108">
        <v>25.674800000000001</v>
      </c>
      <c r="GL108">
        <v>35.176600000000001</v>
      </c>
      <c r="GM108">
        <v>100</v>
      </c>
      <c r="GN108">
        <v>51.825099999999999</v>
      </c>
      <c r="GO108">
        <v>26.156700000000001</v>
      </c>
      <c r="GP108">
        <v>800</v>
      </c>
      <c r="GQ108">
        <v>0</v>
      </c>
      <c r="GR108">
        <v>99.706800000000001</v>
      </c>
      <c r="GS108">
        <v>99.405600000000007</v>
      </c>
    </row>
    <row r="109" spans="1:201" x14ac:dyDescent="0.25">
      <c r="A109">
        <v>93</v>
      </c>
      <c r="B109">
        <v>1690287560.5</v>
      </c>
      <c r="C109">
        <v>1021.900000095367</v>
      </c>
      <c r="D109" t="s">
        <v>519</v>
      </c>
      <c r="E109" t="s">
        <v>520</v>
      </c>
      <c r="F109" t="s">
        <v>330</v>
      </c>
      <c r="H109">
        <v>1690287560.5</v>
      </c>
      <c r="I109">
        <f t="shared" si="30"/>
        <v>2.6003404761173951E-3</v>
      </c>
      <c r="J109">
        <f t="shared" si="31"/>
        <v>2.6003404761173949</v>
      </c>
      <c r="K109">
        <f t="shared" si="32"/>
        <v>38.218298789535375</v>
      </c>
      <c r="L109">
        <f t="shared" si="33"/>
        <v>418.85599999999999</v>
      </c>
      <c r="M109">
        <f t="shared" si="34"/>
        <v>99.392436079878934</v>
      </c>
      <c r="N109">
        <f t="shared" si="35"/>
        <v>9.8833388016712487</v>
      </c>
      <c r="O109">
        <f t="shared" si="36"/>
        <v>41.650007992417592</v>
      </c>
      <c r="P109">
        <f t="shared" si="37"/>
        <v>0.2029583625653362</v>
      </c>
      <c r="Q109">
        <f t="shared" si="38"/>
        <v>2.293972602676857</v>
      </c>
      <c r="R109">
        <f t="shared" si="39"/>
        <v>0.19348410325408444</v>
      </c>
      <c r="S109">
        <f t="shared" si="40"/>
        <v>0.12174192732593291</v>
      </c>
      <c r="T109">
        <f t="shared" si="41"/>
        <v>276.11508198600001</v>
      </c>
      <c r="U109">
        <f t="shared" si="42"/>
        <v>27.889646182926764</v>
      </c>
      <c r="V109">
        <f t="shared" si="43"/>
        <v>27.889646182926764</v>
      </c>
      <c r="W109">
        <f t="shared" si="44"/>
        <v>3.7704949363109814</v>
      </c>
      <c r="X109">
        <f t="shared" si="45"/>
        <v>70.427204775987448</v>
      </c>
      <c r="Y109">
        <f t="shared" si="46"/>
        <v>2.4760741615676798</v>
      </c>
      <c r="Z109">
        <f t="shared" si="47"/>
        <v>3.51579218491419</v>
      </c>
      <c r="AA109">
        <f t="shared" si="48"/>
        <v>1.2944207747433016</v>
      </c>
      <c r="AB109">
        <f t="shared" si="49"/>
        <v>-114.67501499677712</v>
      </c>
      <c r="AC109">
        <f t="shared" si="50"/>
        <v>-147.59665321529297</v>
      </c>
      <c r="AD109">
        <f t="shared" si="51"/>
        <v>-13.926324103337175</v>
      </c>
      <c r="AE109">
        <f t="shared" si="52"/>
        <v>-8.2910329407241079E-2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52343.576484468744</v>
      </c>
      <c r="AK109">
        <f t="shared" si="56"/>
        <v>1800</v>
      </c>
      <c r="AL109">
        <f t="shared" si="57"/>
        <v>1499.1126245999999</v>
      </c>
      <c r="AM109">
        <f t="shared" si="58"/>
        <v>0.83284034699999998</v>
      </c>
      <c r="AN109">
        <f t="shared" si="59"/>
        <v>0.15339726777000001</v>
      </c>
      <c r="AO109">
        <v>29.1</v>
      </c>
      <c r="AP109">
        <v>0.5</v>
      </c>
      <c r="AQ109" t="s">
        <v>331</v>
      </c>
      <c r="AR109">
        <v>2</v>
      </c>
      <c r="AS109">
        <v>1690287560.5</v>
      </c>
      <c r="AT109">
        <v>418.85599999999999</v>
      </c>
      <c r="AU109">
        <v>800.06600000000003</v>
      </c>
      <c r="AV109">
        <v>24.9008</v>
      </c>
      <c r="AW109">
        <v>0.31025000000000003</v>
      </c>
      <c r="AX109">
        <v>419.82400000000001</v>
      </c>
      <c r="AY109">
        <v>24.709700000000002</v>
      </c>
      <c r="AZ109">
        <v>300.05700000000002</v>
      </c>
      <c r="BA109">
        <v>99.337599999999995</v>
      </c>
      <c r="BB109">
        <v>9.9934599999999998E-2</v>
      </c>
      <c r="BC109">
        <v>26.696200000000001</v>
      </c>
      <c r="BD109">
        <v>26.984999999999999</v>
      </c>
      <c r="BE109">
        <v>28.384399999999999</v>
      </c>
      <c r="BF109">
        <v>0</v>
      </c>
      <c r="BG109">
        <v>0</v>
      </c>
      <c r="BH109">
        <v>9953.1200000000008</v>
      </c>
      <c r="BI109">
        <v>1086.8599999999999</v>
      </c>
      <c r="BJ109">
        <v>1.4016500000000001</v>
      </c>
      <c r="BK109">
        <v>-381.21</v>
      </c>
      <c r="BL109">
        <v>429.55200000000002</v>
      </c>
      <c r="BM109">
        <v>800.31399999999996</v>
      </c>
      <c r="BN109">
        <v>24.590499999999999</v>
      </c>
      <c r="BO109">
        <v>800.06600000000003</v>
      </c>
      <c r="BP109">
        <v>0.31025000000000003</v>
      </c>
      <c r="BQ109">
        <v>2.4735800000000001</v>
      </c>
      <c r="BR109">
        <v>3.08195E-2</v>
      </c>
      <c r="BS109">
        <v>20.8537</v>
      </c>
      <c r="BT109">
        <v>-35.172899999999998</v>
      </c>
      <c r="BU109">
        <v>1800</v>
      </c>
      <c r="BV109">
        <v>0.91000400000000004</v>
      </c>
      <c r="BW109">
        <v>3.3996899999999997E-2</v>
      </c>
      <c r="BX109">
        <v>2.19986E-2</v>
      </c>
      <c r="BY109">
        <v>3.4000500000000003E-2</v>
      </c>
      <c r="BZ109">
        <v>25</v>
      </c>
      <c r="CA109">
        <v>33528.400000000001</v>
      </c>
      <c r="CB109">
        <v>1690286268.5999999</v>
      </c>
      <c r="CC109" t="s">
        <v>332</v>
      </c>
      <c r="CD109">
        <v>1690286261.0999999</v>
      </c>
      <c r="CE109">
        <v>1690286268.5999999</v>
      </c>
      <c r="CF109">
        <v>1</v>
      </c>
      <c r="CG109">
        <v>-0.89900000000000002</v>
      </c>
      <c r="CH109">
        <v>3.4000000000000002E-2</v>
      </c>
      <c r="CI109">
        <v>-1.2370000000000001</v>
      </c>
      <c r="CJ109">
        <v>8.5999999999999993E-2</v>
      </c>
      <c r="CK109">
        <v>799</v>
      </c>
      <c r="CL109">
        <v>16</v>
      </c>
      <c r="CM109">
        <v>0.28999999999999998</v>
      </c>
      <c r="CN109">
        <v>0.09</v>
      </c>
      <c r="CO109">
        <v>-378.82797560975609</v>
      </c>
      <c r="CP109">
        <v>-11.98855396004935</v>
      </c>
      <c r="CQ109">
        <v>1.176319528678943</v>
      </c>
      <c r="CR109">
        <v>-1</v>
      </c>
      <c r="CS109">
        <v>24.48948048780488</v>
      </c>
      <c r="CT109">
        <v>0.51766765097587397</v>
      </c>
      <c r="CU109">
        <v>5.0736892910396923E-2</v>
      </c>
      <c r="CV109">
        <v>-1</v>
      </c>
      <c r="CW109">
        <v>0</v>
      </c>
      <c r="CX109">
        <v>0</v>
      </c>
      <c r="CY109" t="s">
        <v>333</v>
      </c>
      <c r="CZ109">
        <v>2.3649200000000001</v>
      </c>
      <c r="DA109">
        <v>2.7136800000000001</v>
      </c>
      <c r="DB109">
        <v>9.3212199999999995E-2</v>
      </c>
      <c r="DC109">
        <v>0.14657100000000001</v>
      </c>
      <c r="DD109">
        <v>0.117363</v>
      </c>
      <c r="DE109">
        <v>2.5998800000000002E-3</v>
      </c>
      <c r="DF109">
        <v>33105.300000000003</v>
      </c>
      <c r="DG109">
        <v>27470.1</v>
      </c>
      <c r="DH109">
        <v>31165</v>
      </c>
      <c r="DI109">
        <v>28045.8</v>
      </c>
      <c r="DJ109">
        <v>37331.300000000003</v>
      </c>
      <c r="DK109">
        <v>39762.5</v>
      </c>
      <c r="DL109">
        <v>44344.5</v>
      </c>
      <c r="DM109">
        <v>42483.5</v>
      </c>
      <c r="DN109">
        <v>1.4917</v>
      </c>
      <c r="DO109">
        <v>2.0659000000000001</v>
      </c>
      <c r="DP109">
        <v>8.2917500000000005E-2</v>
      </c>
      <c r="DQ109">
        <v>0.19042899999999999</v>
      </c>
      <c r="DR109">
        <v>25.627500000000001</v>
      </c>
      <c r="DS109">
        <v>25.269300000000001</v>
      </c>
      <c r="DT109">
        <v>54.8</v>
      </c>
      <c r="DU109">
        <v>25.1</v>
      </c>
      <c r="DV109">
        <v>17.645099999999999</v>
      </c>
      <c r="DW109">
        <v>62.371400000000001</v>
      </c>
      <c r="DX109">
        <v>37.251600000000003</v>
      </c>
      <c r="DY109">
        <v>1</v>
      </c>
      <c r="DZ109">
        <v>-0.143257</v>
      </c>
      <c r="EA109">
        <v>-0.883162</v>
      </c>
      <c r="EB109">
        <v>20.188099999999999</v>
      </c>
      <c r="EC109">
        <v>5.24125</v>
      </c>
      <c r="ED109">
        <v>12.039899999999999</v>
      </c>
      <c r="EE109">
        <v>5.0169499999999996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1.8687499999999999</v>
      </c>
      <c r="EL109">
        <v>1.86443</v>
      </c>
      <c r="EM109">
        <v>1.86907</v>
      </c>
      <c r="EN109">
        <v>1.8670800000000001</v>
      </c>
      <c r="EO109">
        <v>1.8632500000000001</v>
      </c>
      <c r="EP109">
        <v>1.86429</v>
      </c>
      <c r="EQ109">
        <v>1.8700699999999999</v>
      </c>
      <c r="ER109">
        <v>1.86927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-0.96799999999999997</v>
      </c>
      <c r="FG109">
        <v>0.19109999999999999</v>
      </c>
      <c r="FH109">
        <v>-0.68620417327404271</v>
      </c>
      <c r="FI109">
        <v>-6.1462078757559423E-4</v>
      </c>
      <c r="FJ109">
        <v>-1.8861989874597051E-7</v>
      </c>
      <c r="FK109">
        <v>1.1980462299894961E-10</v>
      </c>
      <c r="FL109">
        <v>0.1911242781723908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21.7</v>
      </c>
      <c r="FU109">
        <v>21.5</v>
      </c>
      <c r="FV109">
        <v>1.7590300000000001</v>
      </c>
      <c r="FW109">
        <v>2.5659200000000002</v>
      </c>
      <c r="FX109">
        <v>1.5490699999999999</v>
      </c>
      <c r="FY109">
        <v>2.34131</v>
      </c>
      <c r="FZ109">
        <v>1.50146</v>
      </c>
      <c r="GA109">
        <v>2.2766099999999998</v>
      </c>
      <c r="GB109">
        <v>30.609300000000001</v>
      </c>
      <c r="GC109">
        <v>23.973700000000001</v>
      </c>
      <c r="GD109">
        <v>19</v>
      </c>
      <c r="GE109">
        <v>286.65199999999999</v>
      </c>
      <c r="GF109">
        <v>600.12400000000002</v>
      </c>
      <c r="GG109">
        <v>26.173999999999999</v>
      </c>
      <c r="GH109">
        <v>25.604199999999999</v>
      </c>
      <c r="GI109">
        <v>30</v>
      </c>
      <c r="GJ109">
        <v>25.7151</v>
      </c>
      <c r="GK109">
        <v>25.674800000000001</v>
      </c>
      <c r="GL109">
        <v>35.171700000000001</v>
      </c>
      <c r="GM109">
        <v>100</v>
      </c>
      <c r="GN109">
        <v>50.649500000000003</v>
      </c>
      <c r="GO109">
        <v>26.181799999999999</v>
      </c>
      <c r="GP109">
        <v>800</v>
      </c>
      <c r="GQ109">
        <v>0</v>
      </c>
      <c r="GR109">
        <v>99.706500000000005</v>
      </c>
      <c r="GS109">
        <v>99.406199999999998</v>
      </c>
    </row>
    <row r="110" spans="1:201" x14ac:dyDescent="0.25">
      <c r="A110">
        <v>94</v>
      </c>
      <c r="B110">
        <v>1690287570.5</v>
      </c>
      <c r="C110">
        <v>1031.900000095367</v>
      </c>
      <c r="D110" t="s">
        <v>521</v>
      </c>
      <c r="E110" t="s">
        <v>522</v>
      </c>
      <c r="F110" t="s">
        <v>330</v>
      </c>
      <c r="H110">
        <v>1690287570.5</v>
      </c>
      <c r="I110">
        <f t="shared" si="30"/>
        <v>2.6110493626173409E-3</v>
      </c>
      <c r="J110">
        <f t="shared" si="31"/>
        <v>2.611049362617341</v>
      </c>
      <c r="K110">
        <f t="shared" si="32"/>
        <v>38.420917974128166</v>
      </c>
      <c r="L110">
        <f t="shared" si="33"/>
        <v>416.995</v>
      </c>
      <c r="M110">
        <f t="shared" si="34"/>
        <v>99.450489565782689</v>
      </c>
      <c r="N110">
        <f t="shared" si="35"/>
        <v>9.8893050974524925</v>
      </c>
      <c r="O110">
        <f t="shared" si="36"/>
        <v>41.465766504693498</v>
      </c>
      <c r="P110">
        <f t="shared" si="37"/>
        <v>0.20531663868975969</v>
      </c>
      <c r="Q110">
        <f t="shared" si="38"/>
        <v>2.3022520076577297</v>
      </c>
      <c r="R110">
        <f t="shared" si="39"/>
        <v>0.19565966214763855</v>
      </c>
      <c r="S110">
        <f t="shared" si="40"/>
        <v>0.12311707185190279</v>
      </c>
      <c r="T110">
        <f t="shared" si="41"/>
        <v>276.11515983599998</v>
      </c>
      <c r="U110">
        <f t="shared" si="42"/>
        <v>27.886437701832453</v>
      </c>
      <c r="V110">
        <f t="shared" si="43"/>
        <v>27.886437701832453</v>
      </c>
      <c r="W110">
        <f t="shared" si="44"/>
        <v>3.7697891685898108</v>
      </c>
      <c r="X110">
        <f t="shared" si="45"/>
        <v>70.649828539614631</v>
      </c>
      <c r="Y110">
        <f t="shared" si="46"/>
        <v>2.4845153281767596</v>
      </c>
      <c r="Z110">
        <f t="shared" si="47"/>
        <v>3.5166615114764888</v>
      </c>
      <c r="AA110">
        <f t="shared" si="48"/>
        <v>1.2852738404130513</v>
      </c>
      <c r="AB110">
        <f t="shared" si="49"/>
        <v>-115.14727689142474</v>
      </c>
      <c r="AC110">
        <f t="shared" si="50"/>
        <v>-147.20982565502476</v>
      </c>
      <c r="AD110">
        <f t="shared" si="51"/>
        <v>-13.839942402862269</v>
      </c>
      <c r="AE110">
        <f t="shared" si="52"/>
        <v>-8.1885113311784608E-2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52656.058436619285</v>
      </c>
      <c r="AK110">
        <f t="shared" si="56"/>
        <v>1800</v>
      </c>
      <c r="AL110">
        <f t="shared" si="57"/>
        <v>1499.1106986</v>
      </c>
      <c r="AM110">
        <f t="shared" si="58"/>
        <v>0.83283927699999993</v>
      </c>
      <c r="AN110">
        <f t="shared" si="59"/>
        <v>0.15339731101999998</v>
      </c>
      <c r="AO110">
        <v>29.1</v>
      </c>
      <c r="AP110">
        <v>0.5</v>
      </c>
      <c r="AQ110" t="s">
        <v>331</v>
      </c>
      <c r="AR110">
        <v>2</v>
      </c>
      <c r="AS110">
        <v>1690287570.5</v>
      </c>
      <c r="AT110">
        <v>416.995</v>
      </c>
      <c r="AU110">
        <v>800.06299999999999</v>
      </c>
      <c r="AV110">
        <v>24.985199999999999</v>
      </c>
      <c r="AW110">
        <v>0.30218</v>
      </c>
      <c r="AX110">
        <v>417.96199999999999</v>
      </c>
      <c r="AY110">
        <v>24.7941</v>
      </c>
      <c r="AZ110">
        <v>300.13799999999998</v>
      </c>
      <c r="BA110">
        <v>99.339500000000001</v>
      </c>
      <c r="BB110">
        <v>9.9981299999999995E-2</v>
      </c>
      <c r="BC110">
        <v>26.700399999999998</v>
      </c>
      <c r="BD110">
        <v>27.0139</v>
      </c>
      <c r="BE110">
        <v>28.376999999999999</v>
      </c>
      <c r="BF110">
        <v>0</v>
      </c>
      <c r="BG110">
        <v>0</v>
      </c>
      <c r="BH110">
        <v>10015</v>
      </c>
      <c r="BI110">
        <v>1086.8800000000001</v>
      </c>
      <c r="BJ110">
        <v>1.38764</v>
      </c>
      <c r="BK110">
        <v>-383.06799999999998</v>
      </c>
      <c r="BL110">
        <v>427.68</v>
      </c>
      <c r="BM110">
        <v>800.30499999999995</v>
      </c>
      <c r="BN110">
        <v>24.683</v>
      </c>
      <c r="BO110">
        <v>800.06299999999999</v>
      </c>
      <c r="BP110">
        <v>0.30218</v>
      </c>
      <c r="BQ110">
        <v>2.4820199999999999</v>
      </c>
      <c r="BR110">
        <v>3.0018400000000001E-2</v>
      </c>
      <c r="BS110">
        <v>20.909099999999999</v>
      </c>
      <c r="BT110">
        <v>-35.437100000000001</v>
      </c>
      <c r="BU110">
        <v>1800</v>
      </c>
      <c r="BV110">
        <v>0.90999699999999994</v>
      </c>
      <c r="BW110">
        <v>3.4008099999999999E-2</v>
      </c>
      <c r="BX110">
        <v>2.1997099999999999E-2</v>
      </c>
      <c r="BY110">
        <v>3.3998199999999999E-2</v>
      </c>
      <c r="BZ110">
        <v>25</v>
      </c>
      <c r="CA110">
        <v>33528.300000000003</v>
      </c>
      <c r="CB110">
        <v>1690286268.5999999</v>
      </c>
      <c r="CC110" t="s">
        <v>332</v>
      </c>
      <c r="CD110">
        <v>1690286261.0999999</v>
      </c>
      <c r="CE110">
        <v>1690286268.5999999</v>
      </c>
      <c r="CF110">
        <v>1</v>
      </c>
      <c r="CG110">
        <v>-0.89900000000000002</v>
      </c>
      <c r="CH110">
        <v>3.4000000000000002E-2</v>
      </c>
      <c r="CI110">
        <v>-1.2370000000000001</v>
      </c>
      <c r="CJ110">
        <v>8.5999999999999993E-2</v>
      </c>
      <c r="CK110">
        <v>799</v>
      </c>
      <c r="CL110">
        <v>16</v>
      </c>
      <c r="CM110">
        <v>0.28999999999999998</v>
      </c>
      <c r="CN110">
        <v>0.09</v>
      </c>
      <c r="CO110">
        <v>-380.93678048780492</v>
      </c>
      <c r="CP110">
        <v>-12.15073170731767</v>
      </c>
      <c r="CQ110">
        <v>1.1989133191921539</v>
      </c>
      <c r="CR110">
        <v>-1</v>
      </c>
      <c r="CS110">
        <v>24.58295609756097</v>
      </c>
      <c r="CT110">
        <v>0.55071428571431502</v>
      </c>
      <c r="CU110">
        <v>5.4331350374819849E-2</v>
      </c>
      <c r="CV110">
        <v>-1</v>
      </c>
      <c r="CW110">
        <v>0</v>
      </c>
      <c r="CX110">
        <v>0</v>
      </c>
      <c r="CY110" t="s">
        <v>333</v>
      </c>
      <c r="CZ110">
        <v>2.36517</v>
      </c>
      <c r="DA110">
        <v>2.7137899999999999</v>
      </c>
      <c r="DB110">
        <v>9.29011E-2</v>
      </c>
      <c r="DC110">
        <v>0.14657400000000001</v>
      </c>
      <c r="DD110">
        <v>0.117645</v>
      </c>
      <c r="DE110">
        <v>2.53353E-3</v>
      </c>
      <c r="DF110">
        <v>33117.4</v>
      </c>
      <c r="DG110">
        <v>27470.400000000001</v>
      </c>
      <c r="DH110">
        <v>31165.599999999999</v>
      </c>
      <c r="DI110">
        <v>28046.1</v>
      </c>
      <c r="DJ110">
        <v>37319.800000000003</v>
      </c>
      <c r="DK110">
        <v>39765.699999999997</v>
      </c>
      <c r="DL110">
        <v>44345.3</v>
      </c>
      <c r="DM110">
        <v>42484.1</v>
      </c>
      <c r="DN110">
        <v>1.4917499999999999</v>
      </c>
      <c r="DO110">
        <v>2.0655999999999999</v>
      </c>
      <c r="DP110">
        <v>8.4683300000000003E-2</v>
      </c>
      <c r="DQ110">
        <v>0.189975</v>
      </c>
      <c r="DR110">
        <v>25.627500000000001</v>
      </c>
      <c r="DS110">
        <v>25.269300000000001</v>
      </c>
      <c r="DT110">
        <v>54.2</v>
      </c>
      <c r="DU110">
        <v>25</v>
      </c>
      <c r="DV110">
        <v>17.346699999999998</v>
      </c>
      <c r="DW110">
        <v>61.641399999999997</v>
      </c>
      <c r="DX110">
        <v>36.710700000000003</v>
      </c>
      <c r="DY110">
        <v>1</v>
      </c>
      <c r="DZ110">
        <v>-0.143008</v>
      </c>
      <c r="EA110">
        <v>-0.75796600000000003</v>
      </c>
      <c r="EB110">
        <v>20.188500000000001</v>
      </c>
      <c r="EC110">
        <v>5.24125</v>
      </c>
      <c r="ED110">
        <v>12.039899999999999</v>
      </c>
      <c r="EE110">
        <v>5.0171999999999999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1.8687499999999999</v>
      </c>
      <c r="EL110">
        <v>1.8644400000000001</v>
      </c>
      <c r="EM110">
        <v>1.8690500000000001</v>
      </c>
      <c r="EN110">
        <v>1.86707</v>
      </c>
      <c r="EO110">
        <v>1.8632500000000001</v>
      </c>
      <c r="EP110">
        <v>1.86429</v>
      </c>
      <c r="EQ110">
        <v>1.87009</v>
      </c>
      <c r="ER110">
        <v>1.86931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-0.96699999999999997</v>
      </c>
      <c r="FG110">
        <v>0.19109999999999999</v>
      </c>
      <c r="FH110">
        <v>-0.68620417327404271</v>
      </c>
      <c r="FI110">
        <v>-6.1462078757559423E-4</v>
      </c>
      <c r="FJ110">
        <v>-1.8861989874597051E-7</v>
      </c>
      <c r="FK110">
        <v>1.1980462299894961E-10</v>
      </c>
      <c r="FL110">
        <v>0.1911242781723908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21.8</v>
      </c>
      <c r="FU110">
        <v>21.7</v>
      </c>
      <c r="FV110">
        <v>1.7590300000000001</v>
      </c>
      <c r="FW110">
        <v>2.5585900000000001</v>
      </c>
      <c r="FX110">
        <v>1.5490699999999999</v>
      </c>
      <c r="FY110">
        <v>2.34131</v>
      </c>
      <c r="FZ110">
        <v>1.50146</v>
      </c>
      <c r="GA110">
        <v>2.3571800000000001</v>
      </c>
      <c r="GB110">
        <v>30.609300000000001</v>
      </c>
      <c r="GC110">
        <v>23.982399999999998</v>
      </c>
      <c r="GD110">
        <v>19</v>
      </c>
      <c r="GE110">
        <v>286.67399999999998</v>
      </c>
      <c r="GF110">
        <v>599.87099999999998</v>
      </c>
      <c r="GG110">
        <v>26.191700000000001</v>
      </c>
      <c r="GH110">
        <v>25.604199999999999</v>
      </c>
      <c r="GI110">
        <v>30.0001</v>
      </c>
      <c r="GJ110">
        <v>25.7151</v>
      </c>
      <c r="GK110">
        <v>25.674800000000001</v>
      </c>
      <c r="GL110">
        <v>35.168900000000001</v>
      </c>
      <c r="GM110">
        <v>100</v>
      </c>
      <c r="GN110">
        <v>49.473799999999997</v>
      </c>
      <c r="GO110">
        <v>26.017299999999999</v>
      </c>
      <c r="GP110">
        <v>800</v>
      </c>
      <c r="GQ110">
        <v>0</v>
      </c>
      <c r="GR110">
        <v>99.708399999999997</v>
      </c>
      <c r="GS110">
        <v>99.407600000000002</v>
      </c>
    </row>
    <row r="111" spans="1:201" x14ac:dyDescent="0.25">
      <c r="A111">
        <v>95</v>
      </c>
      <c r="B111">
        <v>1690287580.5</v>
      </c>
      <c r="C111">
        <v>1041.900000095367</v>
      </c>
      <c r="D111" t="s">
        <v>523</v>
      </c>
      <c r="E111" t="s">
        <v>524</v>
      </c>
      <c r="F111" t="s">
        <v>330</v>
      </c>
      <c r="H111">
        <v>1690287580.5</v>
      </c>
      <c r="I111">
        <f t="shared" si="30"/>
        <v>2.6195111433909542E-3</v>
      </c>
      <c r="J111">
        <f t="shared" si="31"/>
        <v>2.6195111433909544</v>
      </c>
      <c r="K111">
        <f t="shared" si="32"/>
        <v>38.6234559082218</v>
      </c>
      <c r="L111">
        <f t="shared" si="33"/>
        <v>415.05500000000001</v>
      </c>
      <c r="M111">
        <f t="shared" si="34"/>
        <v>99.023199428985748</v>
      </c>
      <c r="N111">
        <f t="shared" si="35"/>
        <v>9.8468543950766545</v>
      </c>
      <c r="O111">
        <f t="shared" si="36"/>
        <v>41.273016571025998</v>
      </c>
      <c r="P111">
        <f t="shared" si="37"/>
        <v>0.20745362819631358</v>
      </c>
      <c r="Q111">
        <f t="shared" si="38"/>
        <v>2.301432234661025</v>
      </c>
      <c r="R111">
        <f t="shared" si="39"/>
        <v>0.19759643364458379</v>
      </c>
      <c r="S111">
        <f t="shared" si="40"/>
        <v>0.12434436225471199</v>
      </c>
      <c r="T111">
        <f t="shared" si="41"/>
        <v>276.11320570922396</v>
      </c>
      <c r="U111">
        <f t="shared" si="42"/>
        <v>27.879463873320521</v>
      </c>
      <c r="V111">
        <f t="shared" si="43"/>
        <v>27.879463873320521</v>
      </c>
      <c r="W111">
        <f t="shared" si="44"/>
        <v>3.7682555371140682</v>
      </c>
      <c r="X111">
        <f t="shared" si="45"/>
        <v>70.867231227924947</v>
      </c>
      <c r="Y111">
        <f t="shared" si="46"/>
        <v>2.4914859110006398</v>
      </c>
      <c r="Z111">
        <f t="shared" si="47"/>
        <v>3.5157094016943615</v>
      </c>
      <c r="AA111">
        <f t="shared" si="48"/>
        <v>1.2767696261134285</v>
      </c>
      <c r="AB111">
        <f t="shared" si="49"/>
        <v>-115.52044142354109</v>
      </c>
      <c r="AC111">
        <f t="shared" si="50"/>
        <v>-146.86287567244347</v>
      </c>
      <c r="AD111">
        <f t="shared" si="51"/>
        <v>-13.811443341398318</v>
      </c>
      <c r="AE111">
        <f t="shared" si="52"/>
        <v>-8.1554728158920398E-2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52625.821509740294</v>
      </c>
      <c r="AK111">
        <f t="shared" si="56"/>
        <v>1799.99</v>
      </c>
      <c r="AL111">
        <f t="shared" si="57"/>
        <v>1499.1018716099998</v>
      </c>
      <c r="AM111">
        <f t="shared" si="58"/>
        <v>0.83283899999999988</v>
      </c>
      <c r="AN111">
        <f t="shared" si="59"/>
        <v>0.15339707759999999</v>
      </c>
      <c r="AO111">
        <v>29.1</v>
      </c>
      <c r="AP111">
        <v>0.5</v>
      </c>
      <c r="AQ111" t="s">
        <v>331</v>
      </c>
      <c r="AR111">
        <v>2</v>
      </c>
      <c r="AS111">
        <v>1690287580.5</v>
      </c>
      <c r="AT111">
        <v>415.05500000000001</v>
      </c>
      <c r="AU111">
        <v>800.04600000000005</v>
      </c>
      <c r="AV111">
        <v>25.055199999999999</v>
      </c>
      <c r="AW111">
        <v>0.29561599999999999</v>
      </c>
      <c r="AX111">
        <v>416.02100000000002</v>
      </c>
      <c r="AY111">
        <v>24.864100000000001</v>
      </c>
      <c r="AZ111">
        <v>300.15800000000002</v>
      </c>
      <c r="BA111">
        <v>99.3399</v>
      </c>
      <c r="BB111">
        <v>9.9973199999999998E-2</v>
      </c>
      <c r="BC111">
        <v>26.695799999999998</v>
      </c>
      <c r="BD111">
        <v>26.994800000000001</v>
      </c>
      <c r="BE111">
        <v>28.3886</v>
      </c>
      <c r="BF111">
        <v>0</v>
      </c>
      <c r="BG111">
        <v>0</v>
      </c>
      <c r="BH111">
        <v>10008.799999999999</v>
      </c>
      <c r="BI111">
        <v>1087.02</v>
      </c>
      <c r="BJ111">
        <v>1.3736200000000001</v>
      </c>
      <c r="BK111">
        <v>-384.99099999999999</v>
      </c>
      <c r="BL111">
        <v>425.72199999999998</v>
      </c>
      <c r="BM111">
        <v>800.28300000000002</v>
      </c>
      <c r="BN111">
        <v>24.759599999999999</v>
      </c>
      <c r="BO111">
        <v>800.04600000000005</v>
      </c>
      <c r="BP111">
        <v>0.29561599999999999</v>
      </c>
      <c r="BQ111">
        <v>2.4889800000000002</v>
      </c>
      <c r="BR111">
        <v>2.93665E-2</v>
      </c>
      <c r="BS111">
        <v>20.954599999999999</v>
      </c>
      <c r="BT111">
        <v>-35.656700000000001</v>
      </c>
      <c r="BU111">
        <v>1799.99</v>
      </c>
      <c r="BV111">
        <v>0.91000099999999995</v>
      </c>
      <c r="BW111">
        <v>3.40062E-2</v>
      </c>
      <c r="BX111">
        <v>2.1996000000000002E-2</v>
      </c>
      <c r="BY111">
        <v>3.3996400000000003E-2</v>
      </c>
      <c r="BZ111">
        <v>25</v>
      </c>
      <c r="CA111">
        <v>33528.300000000003</v>
      </c>
      <c r="CB111">
        <v>1690286268.5999999</v>
      </c>
      <c r="CC111" t="s">
        <v>332</v>
      </c>
      <c r="CD111">
        <v>1690286261.0999999</v>
      </c>
      <c r="CE111">
        <v>1690286268.5999999</v>
      </c>
      <c r="CF111">
        <v>1</v>
      </c>
      <c r="CG111">
        <v>-0.89900000000000002</v>
      </c>
      <c r="CH111">
        <v>3.4000000000000002E-2</v>
      </c>
      <c r="CI111">
        <v>-1.2370000000000001</v>
      </c>
      <c r="CJ111">
        <v>8.5999999999999993E-2</v>
      </c>
      <c r="CK111">
        <v>799</v>
      </c>
      <c r="CL111">
        <v>16</v>
      </c>
      <c r="CM111">
        <v>0.28999999999999998</v>
      </c>
      <c r="CN111">
        <v>0.09</v>
      </c>
      <c r="CO111">
        <v>-382.89697560975611</v>
      </c>
      <c r="CP111">
        <v>-11.38919163763067</v>
      </c>
      <c r="CQ111">
        <v>1.123702058589507</v>
      </c>
      <c r="CR111">
        <v>-1</v>
      </c>
      <c r="CS111">
        <v>24.6712243902439</v>
      </c>
      <c r="CT111">
        <v>0.51075470383276655</v>
      </c>
      <c r="CU111">
        <v>5.044262996029391E-2</v>
      </c>
      <c r="CV111">
        <v>-1</v>
      </c>
      <c r="CW111">
        <v>0</v>
      </c>
      <c r="CX111">
        <v>0</v>
      </c>
      <c r="CY111" t="s">
        <v>333</v>
      </c>
      <c r="CZ111">
        <v>2.36524</v>
      </c>
      <c r="DA111">
        <v>2.7137699999999998</v>
      </c>
      <c r="DB111">
        <v>9.2575000000000005E-2</v>
      </c>
      <c r="DC111">
        <v>0.14657200000000001</v>
      </c>
      <c r="DD111">
        <v>0.117877</v>
      </c>
      <c r="DE111">
        <v>2.47949E-3</v>
      </c>
      <c r="DF111">
        <v>33129.699999999997</v>
      </c>
      <c r="DG111">
        <v>27471.1</v>
      </c>
      <c r="DH111">
        <v>31166</v>
      </c>
      <c r="DI111">
        <v>28046.799999999999</v>
      </c>
      <c r="DJ111">
        <v>37310.300000000003</v>
      </c>
      <c r="DK111">
        <v>39768.9</v>
      </c>
      <c r="DL111">
        <v>44345.9</v>
      </c>
      <c r="DM111">
        <v>42485.2</v>
      </c>
      <c r="DN111">
        <v>1.49135</v>
      </c>
      <c r="DO111">
        <v>2.06555</v>
      </c>
      <c r="DP111">
        <v>8.3513599999999993E-2</v>
      </c>
      <c r="DQ111">
        <v>0.190556</v>
      </c>
      <c r="DR111">
        <v>25.627500000000001</v>
      </c>
      <c r="DS111">
        <v>25.2713</v>
      </c>
      <c r="DT111">
        <v>53.5</v>
      </c>
      <c r="DU111">
        <v>25.1</v>
      </c>
      <c r="DV111">
        <v>17.226099999999999</v>
      </c>
      <c r="DW111">
        <v>62.111400000000003</v>
      </c>
      <c r="DX111">
        <v>36.326099999999997</v>
      </c>
      <c r="DY111">
        <v>1</v>
      </c>
      <c r="DZ111">
        <v>-0.143346</v>
      </c>
      <c r="EA111">
        <v>-0.49726599999999999</v>
      </c>
      <c r="EB111">
        <v>20.1904</v>
      </c>
      <c r="EC111">
        <v>5.24125</v>
      </c>
      <c r="ED111">
        <v>12.039899999999999</v>
      </c>
      <c r="EE111">
        <v>5.01715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1.86876</v>
      </c>
      <c r="EL111">
        <v>1.8644400000000001</v>
      </c>
      <c r="EM111">
        <v>1.8690599999999999</v>
      </c>
      <c r="EN111">
        <v>1.8670800000000001</v>
      </c>
      <c r="EO111">
        <v>1.8632500000000001</v>
      </c>
      <c r="EP111">
        <v>1.8643099999999999</v>
      </c>
      <c r="EQ111">
        <v>1.8700699999999999</v>
      </c>
      <c r="ER111">
        <v>1.8692599999999999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-0.96599999999999997</v>
      </c>
      <c r="FG111">
        <v>0.19109999999999999</v>
      </c>
      <c r="FH111">
        <v>-0.68620417327404271</v>
      </c>
      <c r="FI111">
        <v>-6.1462078757559423E-4</v>
      </c>
      <c r="FJ111">
        <v>-1.8861989874597051E-7</v>
      </c>
      <c r="FK111">
        <v>1.1980462299894961E-10</v>
      </c>
      <c r="FL111">
        <v>0.1911242781723908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22</v>
      </c>
      <c r="FU111">
        <v>21.9</v>
      </c>
      <c r="FV111">
        <v>1.7590300000000001</v>
      </c>
      <c r="FW111">
        <v>2.5622600000000002</v>
      </c>
      <c r="FX111">
        <v>1.5490699999999999</v>
      </c>
      <c r="FY111">
        <v>2.34131</v>
      </c>
      <c r="FZ111">
        <v>1.50146</v>
      </c>
      <c r="GA111">
        <v>2.4267599999999998</v>
      </c>
      <c r="GB111">
        <v>30.6309</v>
      </c>
      <c r="GC111">
        <v>23.991199999999999</v>
      </c>
      <c r="GD111">
        <v>19</v>
      </c>
      <c r="GE111">
        <v>286.49799999999999</v>
      </c>
      <c r="GF111">
        <v>599.82899999999995</v>
      </c>
      <c r="GG111">
        <v>25.988099999999999</v>
      </c>
      <c r="GH111">
        <v>25.6021</v>
      </c>
      <c r="GI111">
        <v>29.9999</v>
      </c>
      <c r="GJ111">
        <v>25.713999999999999</v>
      </c>
      <c r="GK111">
        <v>25.674800000000001</v>
      </c>
      <c r="GL111">
        <v>35.165100000000002</v>
      </c>
      <c r="GM111">
        <v>100</v>
      </c>
      <c r="GN111">
        <v>48.323300000000003</v>
      </c>
      <c r="GO111">
        <v>25.994199999999999</v>
      </c>
      <c r="GP111">
        <v>800</v>
      </c>
      <c r="GQ111">
        <v>0</v>
      </c>
      <c r="GR111">
        <v>99.709599999999995</v>
      </c>
      <c r="GS111">
        <v>99.41</v>
      </c>
    </row>
    <row r="112" spans="1:201" x14ac:dyDescent="0.25">
      <c r="A112">
        <v>96</v>
      </c>
      <c r="B112">
        <v>1690287590.5</v>
      </c>
      <c r="C112">
        <v>1051.900000095367</v>
      </c>
      <c r="D112" t="s">
        <v>525</v>
      </c>
      <c r="E112" t="s">
        <v>526</v>
      </c>
      <c r="F112" t="s">
        <v>330</v>
      </c>
      <c r="H112">
        <v>1690287590.5</v>
      </c>
      <c r="I112">
        <f t="shared" si="30"/>
        <v>2.6262472626167807E-3</v>
      </c>
      <c r="J112">
        <f t="shared" si="31"/>
        <v>2.6262472626167805</v>
      </c>
      <c r="K112">
        <f t="shared" si="32"/>
        <v>38.809067442555154</v>
      </c>
      <c r="L112">
        <f t="shared" si="33"/>
        <v>413.22800000000001</v>
      </c>
      <c r="M112">
        <f t="shared" si="34"/>
        <v>98.778178101636826</v>
      </c>
      <c r="N112">
        <f t="shared" si="35"/>
        <v>9.8227418638431949</v>
      </c>
      <c r="O112">
        <f t="shared" si="36"/>
        <v>41.092395637583998</v>
      </c>
      <c r="P112">
        <f t="shared" si="37"/>
        <v>0.20956185852300643</v>
      </c>
      <c r="Q112">
        <f t="shared" si="38"/>
        <v>2.3019582385258222</v>
      </c>
      <c r="R112">
        <f t="shared" si="39"/>
        <v>0.19951069506923164</v>
      </c>
      <c r="S112">
        <f t="shared" si="40"/>
        <v>0.12555705904377179</v>
      </c>
      <c r="T112">
        <f t="shared" si="41"/>
        <v>276.11451088199999</v>
      </c>
      <c r="U112">
        <f t="shared" si="42"/>
        <v>27.86494929722458</v>
      </c>
      <c r="V112">
        <f t="shared" si="43"/>
        <v>27.86494929722458</v>
      </c>
      <c r="W112">
        <f t="shared" si="44"/>
        <v>3.7650653470611326</v>
      </c>
      <c r="X112">
        <f t="shared" si="45"/>
        <v>71.082589414391137</v>
      </c>
      <c r="Y112">
        <f t="shared" si="46"/>
        <v>2.4972778058783995</v>
      </c>
      <c r="Z112">
        <f t="shared" si="47"/>
        <v>3.5132060135288334</v>
      </c>
      <c r="AA112">
        <f t="shared" si="48"/>
        <v>1.2677875411827331</v>
      </c>
      <c r="AB112">
        <f t="shared" si="49"/>
        <v>-115.81750428140003</v>
      </c>
      <c r="AC112">
        <f t="shared" si="50"/>
        <v>-146.59678536441172</v>
      </c>
      <c r="AD112">
        <f t="shared" si="51"/>
        <v>-13.781436588182626</v>
      </c>
      <c r="AE112">
        <f t="shared" si="52"/>
        <v>-8.1215351994359253E-2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52647.926140028612</v>
      </c>
      <c r="AK112">
        <f t="shared" si="56"/>
        <v>1800</v>
      </c>
      <c r="AL112">
        <f t="shared" si="57"/>
        <v>1499.1108911999997</v>
      </c>
      <c r="AM112">
        <f t="shared" si="58"/>
        <v>0.8328393839999999</v>
      </c>
      <c r="AN112">
        <f t="shared" si="59"/>
        <v>0.15339695048999999</v>
      </c>
      <c r="AO112">
        <v>29.1</v>
      </c>
      <c r="AP112">
        <v>0.5</v>
      </c>
      <c r="AQ112" t="s">
        <v>331</v>
      </c>
      <c r="AR112">
        <v>2</v>
      </c>
      <c r="AS112">
        <v>1690287590.5</v>
      </c>
      <c r="AT112">
        <v>413.22800000000001</v>
      </c>
      <c r="AU112">
        <v>800.03</v>
      </c>
      <c r="AV112">
        <v>25.1128</v>
      </c>
      <c r="AW112">
        <v>0.28902800000000001</v>
      </c>
      <c r="AX112">
        <v>414.19200000000001</v>
      </c>
      <c r="AY112">
        <v>24.921700000000001</v>
      </c>
      <c r="AZ112">
        <v>300.13400000000001</v>
      </c>
      <c r="BA112">
        <v>99.342399999999998</v>
      </c>
      <c r="BB112">
        <v>0.10002800000000001</v>
      </c>
      <c r="BC112">
        <v>26.683700000000002</v>
      </c>
      <c r="BD112">
        <v>26.984000000000002</v>
      </c>
      <c r="BE112">
        <v>28.376799999999999</v>
      </c>
      <c r="BF112">
        <v>0</v>
      </c>
      <c r="BG112">
        <v>0</v>
      </c>
      <c r="BH112">
        <v>10012.5</v>
      </c>
      <c r="BI112">
        <v>1087.03</v>
      </c>
      <c r="BJ112">
        <v>1.4016500000000001</v>
      </c>
      <c r="BK112">
        <v>-386.80200000000002</v>
      </c>
      <c r="BL112">
        <v>423.87200000000001</v>
      </c>
      <c r="BM112">
        <v>800.26099999999997</v>
      </c>
      <c r="BN112">
        <v>24.823799999999999</v>
      </c>
      <c r="BO112">
        <v>800.03</v>
      </c>
      <c r="BP112">
        <v>0.28902800000000001</v>
      </c>
      <c r="BQ112">
        <v>2.4947699999999999</v>
      </c>
      <c r="BR112">
        <v>2.8712700000000001E-2</v>
      </c>
      <c r="BS112">
        <v>20.9924</v>
      </c>
      <c r="BT112">
        <v>-35.881500000000003</v>
      </c>
      <c r="BU112">
        <v>1800</v>
      </c>
      <c r="BV112">
        <v>0.91000599999999998</v>
      </c>
      <c r="BW112">
        <v>3.4004399999999997E-2</v>
      </c>
      <c r="BX112">
        <v>2.1994699999999999E-2</v>
      </c>
      <c r="BY112">
        <v>3.3994499999999997E-2</v>
      </c>
      <c r="BZ112">
        <v>25</v>
      </c>
      <c r="CA112">
        <v>33528.400000000001</v>
      </c>
      <c r="CB112">
        <v>1690286268.5999999</v>
      </c>
      <c r="CC112" t="s">
        <v>332</v>
      </c>
      <c r="CD112">
        <v>1690286261.0999999</v>
      </c>
      <c r="CE112">
        <v>1690286268.5999999</v>
      </c>
      <c r="CF112">
        <v>1</v>
      </c>
      <c r="CG112">
        <v>-0.89900000000000002</v>
      </c>
      <c r="CH112">
        <v>3.4000000000000002E-2</v>
      </c>
      <c r="CI112">
        <v>-1.2370000000000001</v>
      </c>
      <c r="CJ112">
        <v>8.5999999999999993E-2</v>
      </c>
      <c r="CK112">
        <v>799</v>
      </c>
      <c r="CL112">
        <v>16</v>
      </c>
      <c r="CM112">
        <v>0.28999999999999998</v>
      </c>
      <c r="CN112">
        <v>0.09</v>
      </c>
      <c r="CO112">
        <v>-384.69959999999998</v>
      </c>
      <c r="CP112">
        <v>-11.037748592869679</v>
      </c>
      <c r="CQ112">
        <v>1.062770360896466</v>
      </c>
      <c r="CR112">
        <v>-1</v>
      </c>
      <c r="CS112">
        <v>24.747305000000001</v>
      </c>
      <c r="CT112">
        <v>0.42577260787992421</v>
      </c>
      <c r="CU112">
        <v>4.1016575612793711E-2</v>
      </c>
      <c r="CV112">
        <v>-1</v>
      </c>
      <c r="CW112">
        <v>0</v>
      </c>
      <c r="CX112">
        <v>0</v>
      </c>
      <c r="CY112" t="s">
        <v>333</v>
      </c>
      <c r="CZ112">
        <v>2.3651599999999999</v>
      </c>
      <c r="DA112">
        <v>2.7138300000000002</v>
      </c>
      <c r="DB112">
        <v>9.2268799999999998E-2</v>
      </c>
      <c r="DC112">
        <v>0.14657400000000001</v>
      </c>
      <c r="DD112">
        <v>0.118071</v>
      </c>
      <c r="DE112">
        <v>2.4252599999999998E-3</v>
      </c>
      <c r="DF112">
        <v>33140.800000000003</v>
      </c>
      <c r="DG112">
        <v>27471.4</v>
      </c>
      <c r="DH112">
        <v>31165.9</v>
      </c>
      <c r="DI112">
        <v>28047.200000000001</v>
      </c>
      <c r="DJ112">
        <v>37301.9</v>
      </c>
      <c r="DK112">
        <v>39771.699999999997</v>
      </c>
      <c r="DL112">
        <v>44345.8</v>
      </c>
      <c r="DM112">
        <v>42485.9</v>
      </c>
      <c r="DN112">
        <v>1.4918</v>
      </c>
      <c r="DO112">
        <v>2.0650499999999998</v>
      </c>
      <c r="DP112">
        <v>8.2991999999999996E-2</v>
      </c>
      <c r="DQ112">
        <v>0.189833</v>
      </c>
      <c r="DR112">
        <v>25.625299999999999</v>
      </c>
      <c r="DS112">
        <v>25.2713</v>
      </c>
      <c r="DT112">
        <v>53.1</v>
      </c>
      <c r="DU112">
        <v>25.1</v>
      </c>
      <c r="DV112">
        <v>17.0947</v>
      </c>
      <c r="DW112">
        <v>61.9514</v>
      </c>
      <c r="DX112">
        <v>36.798900000000003</v>
      </c>
      <c r="DY112">
        <v>1</v>
      </c>
      <c r="DZ112">
        <v>-0.143676</v>
      </c>
      <c r="EA112">
        <v>-0.71792199999999995</v>
      </c>
      <c r="EB112">
        <v>20.1891</v>
      </c>
      <c r="EC112">
        <v>5.2411000000000003</v>
      </c>
      <c r="ED112">
        <v>12.039899999999999</v>
      </c>
      <c r="EE112">
        <v>5.0168499999999998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1.8687400000000001</v>
      </c>
      <c r="EL112">
        <v>1.8644400000000001</v>
      </c>
      <c r="EM112">
        <v>1.8690500000000001</v>
      </c>
      <c r="EN112">
        <v>1.8670800000000001</v>
      </c>
      <c r="EO112">
        <v>1.8632500000000001</v>
      </c>
      <c r="EP112">
        <v>1.8642700000000001</v>
      </c>
      <c r="EQ112">
        <v>1.8700600000000001</v>
      </c>
      <c r="ER112">
        <v>1.86927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-0.96399999999999997</v>
      </c>
      <c r="FG112">
        <v>0.19109999999999999</v>
      </c>
      <c r="FH112">
        <v>-0.68620417327404271</v>
      </c>
      <c r="FI112">
        <v>-6.1462078757559423E-4</v>
      </c>
      <c r="FJ112">
        <v>-1.8861989874597051E-7</v>
      </c>
      <c r="FK112">
        <v>1.1980462299894961E-10</v>
      </c>
      <c r="FL112">
        <v>0.1911242781723908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22.2</v>
      </c>
      <c r="FU112">
        <v>22</v>
      </c>
      <c r="FV112">
        <v>1.7590300000000001</v>
      </c>
      <c r="FW112">
        <v>2.5671400000000002</v>
      </c>
      <c r="FX112">
        <v>1.5490699999999999</v>
      </c>
      <c r="FY112">
        <v>2.34131</v>
      </c>
      <c r="FZ112">
        <v>1.50146</v>
      </c>
      <c r="GA112">
        <v>2.32666</v>
      </c>
      <c r="GB112">
        <v>30.6309</v>
      </c>
      <c r="GC112">
        <v>23.982399999999998</v>
      </c>
      <c r="GD112">
        <v>19</v>
      </c>
      <c r="GE112">
        <v>286.685</v>
      </c>
      <c r="GF112">
        <v>599.40899999999999</v>
      </c>
      <c r="GG112">
        <v>25.9772</v>
      </c>
      <c r="GH112">
        <v>25.6021</v>
      </c>
      <c r="GI112">
        <v>30.0001</v>
      </c>
      <c r="GJ112">
        <v>25.712900000000001</v>
      </c>
      <c r="GK112">
        <v>25.674800000000001</v>
      </c>
      <c r="GL112">
        <v>35.1661</v>
      </c>
      <c r="GM112">
        <v>100</v>
      </c>
      <c r="GN112">
        <v>47.182200000000002</v>
      </c>
      <c r="GO112">
        <v>25.999199999999998</v>
      </c>
      <c r="GP112">
        <v>800</v>
      </c>
      <c r="GQ112">
        <v>0</v>
      </c>
      <c r="GR112">
        <v>99.709400000000002</v>
      </c>
      <c r="GS112">
        <v>99.411500000000004</v>
      </c>
    </row>
    <row r="113" spans="1:201" x14ac:dyDescent="0.25">
      <c r="A113">
        <v>97</v>
      </c>
      <c r="B113">
        <v>1690287600.5</v>
      </c>
      <c r="C113">
        <v>1061.900000095367</v>
      </c>
      <c r="D113" t="s">
        <v>527</v>
      </c>
      <c r="E113" t="s">
        <v>528</v>
      </c>
      <c r="F113" t="s">
        <v>330</v>
      </c>
      <c r="H113">
        <v>1690287600.5</v>
      </c>
      <c r="I113">
        <f t="shared" si="30"/>
        <v>2.6340822664963296E-3</v>
      </c>
      <c r="J113">
        <f t="shared" si="31"/>
        <v>2.6340822664963297</v>
      </c>
      <c r="K113">
        <f t="shared" si="32"/>
        <v>38.989702478288386</v>
      </c>
      <c r="L113">
        <f t="shared" si="33"/>
        <v>411.416</v>
      </c>
      <c r="M113">
        <f t="shared" si="34"/>
        <v>98.743607519577722</v>
      </c>
      <c r="N113">
        <f t="shared" si="35"/>
        <v>9.8192467210642569</v>
      </c>
      <c r="O113">
        <f t="shared" si="36"/>
        <v>40.911966966493594</v>
      </c>
      <c r="P113">
        <f t="shared" si="37"/>
        <v>0.21178325844267215</v>
      </c>
      <c r="Q113">
        <f t="shared" si="38"/>
        <v>2.3083402737513401</v>
      </c>
      <c r="R113">
        <f t="shared" si="39"/>
        <v>0.20155037461997197</v>
      </c>
      <c r="S113">
        <f t="shared" si="40"/>
        <v>0.12684715574432043</v>
      </c>
      <c r="T113">
        <f t="shared" si="41"/>
        <v>276.1127683476538</v>
      </c>
      <c r="U113">
        <f t="shared" si="42"/>
        <v>27.855613069136336</v>
      </c>
      <c r="V113">
        <f t="shared" si="43"/>
        <v>27.855613069136336</v>
      </c>
      <c r="W113">
        <f t="shared" si="44"/>
        <v>3.7630145629125922</v>
      </c>
      <c r="X113">
        <f t="shared" si="45"/>
        <v>71.299938986576308</v>
      </c>
      <c r="Y113">
        <f t="shared" si="46"/>
        <v>2.5043534215511101</v>
      </c>
      <c r="Z113">
        <f t="shared" si="47"/>
        <v>3.5124201467025191</v>
      </c>
      <c r="AA113">
        <f t="shared" si="48"/>
        <v>1.2586611413614821</v>
      </c>
      <c r="AB113">
        <f t="shared" si="49"/>
        <v>-116.16302795248814</v>
      </c>
      <c r="AC113">
        <f t="shared" si="50"/>
        <v>-146.31424747176069</v>
      </c>
      <c r="AD113">
        <f t="shared" si="51"/>
        <v>-13.715945758279213</v>
      </c>
      <c r="AE113">
        <f t="shared" si="52"/>
        <v>-8.045283487422239E-2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52890.66725905591</v>
      </c>
      <c r="AK113">
        <f t="shared" si="56"/>
        <v>1799.99</v>
      </c>
      <c r="AL113">
        <f t="shared" si="57"/>
        <v>1499.1039901982301</v>
      </c>
      <c r="AM113">
        <f t="shared" si="58"/>
        <v>0.83284017700000001</v>
      </c>
      <c r="AN113">
        <f t="shared" si="59"/>
        <v>0.15339683462000001</v>
      </c>
      <c r="AO113">
        <v>29.1</v>
      </c>
      <c r="AP113">
        <v>0.5</v>
      </c>
      <c r="AQ113" t="s">
        <v>331</v>
      </c>
      <c r="AR113">
        <v>2</v>
      </c>
      <c r="AS113">
        <v>1690287600.5</v>
      </c>
      <c r="AT113">
        <v>411.416</v>
      </c>
      <c r="AU113">
        <v>800.02700000000004</v>
      </c>
      <c r="AV113">
        <v>25.184100000000001</v>
      </c>
      <c r="AW113">
        <v>0.283445</v>
      </c>
      <c r="AX113">
        <v>412.37900000000002</v>
      </c>
      <c r="AY113">
        <v>24.992999999999999</v>
      </c>
      <c r="AZ113">
        <v>300.07799999999997</v>
      </c>
      <c r="BA113">
        <v>99.341899999999995</v>
      </c>
      <c r="BB113">
        <v>9.9947099999999997E-2</v>
      </c>
      <c r="BC113">
        <v>26.6799</v>
      </c>
      <c r="BD113">
        <v>26.9754</v>
      </c>
      <c r="BE113">
        <v>28.345099999999999</v>
      </c>
      <c r="BF113">
        <v>0</v>
      </c>
      <c r="BG113">
        <v>0</v>
      </c>
      <c r="BH113">
        <v>10060.6</v>
      </c>
      <c r="BI113">
        <v>1087.04</v>
      </c>
      <c r="BJ113">
        <v>1.4016500000000001</v>
      </c>
      <c r="BK113">
        <v>-388.61099999999999</v>
      </c>
      <c r="BL113">
        <v>422.04500000000002</v>
      </c>
      <c r="BM113">
        <v>800.25300000000004</v>
      </c>
      <c r="BN113">
        <v>24.900700000000001</v>
      </c>
      <c r="BO113">
        <v>800.02700000000004</v>
      </c>
      <c r="BP113">
        <v>0.283445</v>
      </c>
      <c r="BQ113">
        <v>2.5018400000000001</v>
      </c>
      <c r="BR113">
        <v>2.81579E-2</v>
      </c>
      <c r="BS113">
        <v>21.038499999999999</v>
      </c>
      <c r="BT113">
        <v>-36.075899999999997</v>
      </c>
      <c r="BU113">
        <v>1799.99</v>
      </c>
      <c r="BV113">
        <v>0.91001299999999996</v>
      </c>
      <c r="BW113">
        <v>3.4001799999999999E-2</v>
      </c>
      <c r="BX113">
        <v>2.1993100000000002E-2</v>
      </c>
      <c r="BY113">
        <v>3.3992000000000001E-2</v>
      </c>
      <c r="BZ113">
        <v>25</v>
      </c>
      <c r="CA113">
        <v>33528.300000000003</v>
      </c>
      <c r="CB113">
        <v>1690286268.5999999</v>
      </c>
      <c r="CC113" t="s">
        <v>332</v>
      </c>
      <c r="CD113">
        <v>1690286261.0999999</v>
      </c>
      <c r="CE113">
        <v>1690286268.5999999</v>
      </c>
      <c r="CF113">
        <v>1</v>
      </c>
      <c r="CG113">
        <v>-0.89900000000000002</v>
      </c>
      <c r="CH113">
        <v>3.4000000000000002E-2</v>
      </c>
      <c r="CI113">
        <v>-1.2370000000000001</v>
      </c>
      <c r="CJ113">
        <v>8.5999999999999993E-2</v>
      </c>
      <c r="CK113">
        <v>799</v>
      </c>
      <c r="CL113">
        <v>16</v>
      </c>
      <c r="CM113">
        <v>0.28999999999999998</v>
      </c>
      <c r="CN113">
        <v>0.09</v>
      </c>
      <c r="CO113">
        <v>-386.57682926829273</v>
      </c>
      <c r="CP113">
        <v>-10.87921254355455</v>
      </c>
      <c r="CQ113">
        <v>1.0733094228563069</v>
      </c>
      <c r="CR113">
        <v>-1</v>
      </c>
      <c r="CS113">
        <v>24.81946341463415</v>
      </c>
      <c r="CT113">
        <v>0.41753101045291507</v>
      </c>
      <c r="CU113">
        <v>4.1213742416213783E-2</v>
      </c>
      <c r="CV113">
        <v>-1</v>
      </c>
      <c r="CW113">
        <v>0</v>
      </c>
      <c r="CX113">
        <v>0</v>
      </c>
      <c r="CY113" t="s">
        <v>333</v>
      </c>
      <c r="CZ113">
        <v>2.36497</v>
      </c>
      <c r="DA113">
        <v>2.7137899999999999</v>
      </c>
      <c r="DB113">
        <v>9.1961899999999999E-2</v>
      </c>
      <c r="DC113">
        <v>0.14657200000000001</v>
      </c>
      <c r="DD113">
        <v>0.11830499999999999</v>
      </c>
      <c r="DE113">
        <v>2.3792000000000002E-3</v>
      </c>
      <c r="DF113">
        <v>33152.199999999997</v>
      </c>
      <c r="DG113">
        <v>27472.2</v>
      </c>
      <c r="DH113">
        <v>31166.1</v>
      </c>
      <c r="DI113">
        <v>28047.9</v>
      </c>
      <c r="DJ113">
        <v>37292.199999999997</v>
      </c>
      <c r="DK113">
        <v>39774.400000000001</v>
      </c>
      <c r="DL113">
        <v>44346.2</v>
      </c>
      <c r="DM113">
        <v>42486.8</v>
      </c>
      <c r="DN113">
        <v>1.4921</v>
      </c>
      <c r="DO113">
        <v>2.06507</v>
      </c>
      <c r="DP113">
        <v>8.2462999999999995E-2</v>
      </c>
      <c r="DQ113">
        <v>0.187889</v>
      </c>
      <c r="DR113">
        <v>25.625299999999999</v>
      </c>
      <c r="DS113">
        <v>25.2713</v>
      </c>
      <c r="DT113">
        <v>52.5</v>
      </c>
      <c r="DU113">
        <v>25.1</v>
      </c>
      <c r="DV113">
        <v>16.905799999999999</v>
      </c>
      <c r="DW113">
        <v>62.181399999999996</v>
      </c>
      <c r="DX113">
        <v>37.283700000000003</v>
      </c>
      <c r="DY113">
        <v>1</v>
      </c>
      <c r="DZ113">
        <v>-0.144098</v>
      </c>
      <c r="EA113">
        <v>-0.79942299999999999</v>
      </c>
      <c r="EB113">
        <v>20.188500000000001</v>
      </c>
      <c r="EC113">
        <v>5.2411000000000003</v>
      </c>
      <c r="ED113">
        <v>12.039899999999999</v>
      </c>
      <c r="EE113">
        <v>5.0171000000000001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1.8687400000000001</v>
      </c>
      <c r="EL113">
        <v>1.8644499999999999</v>
      </c>
      <c r="EM113">
        <v>1.8690500000000001</v>
      </c>
      <c r="EN113">
        <v>1.86707</v>
      </c>
      <c r="EO113">
        <v>1.8632500000000001</v>
      </c>
      <c r="EP113">
        <v>1.8643099999999999</v>
      </c>
      <c r="EQ113">
        <v>1.87009</v>
      </c>
      <c r="ER113">
        <v>1.8692899999999999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-0.96299999999999997</v>
      </c>
      <c r="FG113">
        <v>0.19109999999999999</v>
      </c>
      <c r="FH113">
        <v>-0.68620417327404271</v>
      </c>
      <c r="FI113">
        <v>-6.1462078757559423E-4</v>
      </c>
      <c r="FJ113">
        <v>-1.8861989874597051E-7</v>
      </c>
      <c r="FK113">
        <v>1.1980462299894961E-10</v>
      </c>
      <c r="FL113">
        <v>0.1911242781723908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22.3</v>
      </c>
      <c r="FU113">
        <v>22.2</v>
      </c>
      <c r="FV113">
        <v>1.7590300000000001</v>
      </c>
      <c r="FW113">
        <v>2.5671400000000002</v>
      </c>
      <c r="FX113">
        <v>1.5490699999999999</v>
      </c>
      <c r="FY113">
        <v>2.34131</v>
      </c>
      <c r="FZ113">
        <v>1.50146</v>
      </c>
      <c r="GA113">
        <v>2.2399900000000001</v>
      </c>
      <c r="GB113">
        <v>30.6524</v>
      </c>
      <c r="GC113">
        <v>23.982399999999998</v>
      </c>
      <c r="GD113">
        <v>19</v>
      </c>
      <c r="GE113">
        <v>286.81400000000002</v>
      </c>
      <c r="GF113">
        <v>599.42899999999997</v>
      </c>
      <c r="GG113">
        <v>26.009799999999998</v>
      </c>
      <c r="GH113">
        <v>25.6021</v>
      </c>
      <c r="GI113">
        <v>29.9998</v>
      </c>
      <c r="GJ113">
        <v>25.712900000000001</v>
      </c>
      <c r="GK113">
        <v>25.674800000000001</v>
      </c>
      <c r="GL113">
        <v>35.165599999999998</v>
      </c>
      <c r="GM113">
        <v>100</v>
      </c>
      <c r="GN113">
        <v>46.430300000000003</v>
      </c>
      <c r="GO113">
        <v>26.035900000000002</v>
      </c>
      <c r="GP113">
        <v>800</v>
      </c>
      <c r="GQ113">
        <v>0</v>
      </c>
      <c r="GR113">
        <v>99.710300000000004</v>
      </c>
      <c r="GS113">
        <v>99.413799999999995</v>
      </c>
    </row>
    <row r="114" spans="1:201" x14ac:dyDescent="0.25">
      <c r="A114">
        <v>98</v>
      </c>
      <c r="B114">
        <v>1690287610.5</v>
      </c>
      <c r="C114">
        <v>1071.900000095367</v>
      </c>
      <c r="D114" t="s">
        <v>529</v>
      </c>
      <c r="E114" t="s">
        <v>530</v>
      </c>
      <c r="F114" t="s">
        <v>330</v>
      </c>
      <c r="H114">
        <v>1690287610.5</v>
      </c>
      <c r="I114">
        <f t="shared" si="30"/>
        <v>2.6440279259529937E-3</v>
      </c>
      <c r="J114">
        <f t="shared" si="31"/>
        <v>2.6440279259529937</v>
      </c>
      <c r="K114">
        <f t="shared" si="32"/>
        <v>39.180273359413484</v>
      </c>
      <c r="L114">
        <f t="shared" si="33"/>
        <v>409.72500000000002</v>
      </c>
      <c r="M114">
        <f t="shared" si="34"/>
        <v>98.094641208306527</v>
      </c>
      <c r="N114">
        <f t="shared" si="35"/>
        <v>9.7545762452889573</v>
      </c>
      <c r="O114">
        <f t="shared" si="36"/>
        <v>40.743242473500004</v>
      </c>
      <c r="P114">
        <f t="shared" si="37"/>
        <v>0.21362958118426742</v>
      </c>
      <c r="Q114">
        <f t="shared" si="38"/>
        <v>2.2973497432624113</v>
      </c>
      <c r="R114">
        <f t="shared" si="39"/>
        <v>0.20317503844911294</v>
      </c>
      <c r="S114">
        <f t="shared" si="40"/>
        <v>0.12788105167379737</v>
      </c>
      <c r="T114">
        <f t="shared" si="41"/>
        <v>276.11258987864528</v>
      </c>
      <c r="U114">
        <f t="shared" si="42"/>
        <v>27.864509648393636</v>
      </c>
      <c r="V114">
        <f t="shared" si="43"/>
        <v>27.864509648393636</v>
      </c>
      <c r="W114">
        <f t="shared" si="44"/>
        <v>3.7649687524758617</v>
      </c>
      <c r="X114">
        <f t="shared" si="45"/>
        <v>71.480681904674967</v>
      </c>
      <c r="Y114">
        <f t="shared" si="46"/>
        <v>2.5117367470020002</v>
      </c>
      <c r="Z114">
        <f t="shared" si="47"/>
        <v>3.5138679151824488</v>
      </c>
      <c r="AA114">
        <f t="shared" si="48"/>
        <v>1.2532320054738615</v>
      </c>
      <c r="AB114">
        <f t="shared" si="49"/>
        <v>-116.60163153452702</v>
      </c>
      <c r="AC114">
        <f t="shared" si="50"/>
        <v>-145.85251251596526</v>
      </c>
      <c r="AD114">
        <f t="shared" si="51"/>
        <v>-13.739162540362717</v>
      </c>
      <c r="AE114">
        <f t="shared" si="52"/>
        <v>-8.0716712209721209E-2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52472.888036545053</v>
      </c>
      <c r="AK114">
        <f t="shared" si="56"/>
        <v>1799.99</v>
      </c>
      <c r="AL114">
        <f t="shared" si="57"/>
        <v>1499.1045571950797</v>
      </c>
      <c r="AM114">
        <f t="shared" si="58"/>
        <v>0.83284049199999988</v>
      </c>
      <c r="AN114">
        <f t="shared" si="59"/>
        <v>0.15339673546999999</v>
      </c>
      <c r="AO114">
        <v>29.1</v>
      </c>
      <c r="AP114">
        <v>0.5</v>
      </c>
      <c r="AQ114" t="s">
        <v>331</v>
      </c>
      <c r="AR114">
        <v>2</v>
      </c>
      <c r="AS114">
        <v>1690287610.5</v>
      </c>
      <c r="AT114">
        <v>409.72500000000002</v>
      </c>
      <c r="AU114">
        <v>799.98400000000004</v>
      </c>
      <c r="AV114">
        <v>25.258700000000001</v>
      </c>
      <c r="AW114">
        <v>0.27850900000000001</v>
      </c>
      <c r="AX114">
        <v>410.68700000000001</v>
      </c>
      <c r="AY114">
        <v>25.067599999999999</v>
      </c>
      <c r="AZ114">
        <v>300.22899999999998</v>
      </c>
      <c r="BA114">
        <v>99.340400000000002</v>
      </c>
      <c r="BB114">
        <v>0.10006</v>
      </c>
      <c r="BC114">
        <v>26.686900000000001</v>
      </c>
      <c r="BD114">
        <v>26.995799999999999</v>
      </c>
      <c r="BE114">
        <v>28.357099999999999</v>
      </c>
      <c r="BF114">
        <v>0</v>
      </c>
      <c r="BG114">
        <v>0</v>
      </c>
      <c r="BH114">
        <v>9978.1200000000008</v>
      </c>
      <c r="BI114">
        <v>1086.96</v>
      </c>
      <c r="BJ114">
        <v>1.4016500000000001</v>
      </c>
      <c r="BK114">
        <v>-390.25900000000001</v>
      </c>
      <c r="BL114">
        <v>420.34199999999998</v>
      </c>
      <c r="BM114">
        <v>800.20699999999999</v>
      </c>
      <c r="BN114">
        <v>24.9802</v>
      </c>
      <c r="BO114">
        <v>799.98400000000004</v>
      </c>
      <c r="BP114">
        <v>0.27850900000000001</v>
      </c>
      <c r="BQ114">
        <v>2.5092099999999999</v>
      </c>
      <c r="BR114">
        <v>2.7667199999999999E-2</v>
      </c>
      <c r="BS114">
        <v>21.086400000000001</v>
      </c>
      <c r="BT114">
        <v>-36.250799999999998</v>
      </c>
      <c r="BU114">
        <v>1799.99</v>
      </c>
      <c r="BV114">
        <v>0.91001699999999996</v>
      </c>
      <c r="BW114">
        <v>3.4000299999999997E-2</v>
      </c>
      <c r="BX114">
        <v>2.1992100000000001E-2</v>
      </c>
      <c r="BY114">
        <v>3.39905E-2</v>
      </c>
      <c r="BZ114">
        <v>25</v>
      </c>
      <c r="CA114">
        <v>33528.300000000003</v>
      </c>
      <c r="CB114">
        <v>1690286268.5999999</v>
      </c>
      <c r="CC114" t="s">
        <v>332</v>
      </c>
      <c r="CD114">
        <v>1690286261.0999999</v>
      </c>
      <c r="CE114">
        <v>1690286268.5999999</v>
      </c>
      <c r="CF114">
        <v>1</v>
      </c>
      <c r="CG114">
        <v>-0.89900000000000002</v>
      </c>
      <c r="CH114">
        <v>3.4000000000000002E-2</v>
      </c>
      <c r="CI114">
        <v>-1.2370000000000001</v>
      </c>
      <c r="CJ114">
        <v>8.5999999999999993E-2</v>
      </c>
      <c r="CK114">
        <v>799</v>
      </c>
      <c r="CL114">
        <v>16</v>
      </c>
      <c r="CM114">
        <v>0.28999999999999998</v>
      </c>
      <c r="CN114">
        <v>0.09</v>
      </c>
      <c r="CO114">
        <v>-388.50054999999998</v>
      </c>
      <c r="CP114">
        <v>-10.407714821762889</v>
      </c>
      <c r="CQ114">
        <v>1.001966764668369</v>
      </c>
      <c r="CR114">
        <v>-1</v>
      </c>
      <c r="CS114">
        <v>24.899654999999999</v>
      </c>
      <c r="CT114">
        <v>0.47277523452153508</v>
      </c>
      <c r="CU114">
        <v>4.5489229219673508E-2</v>
      </c>
      <c r="CV114">
        <v>-1</v>
      </c>
      <c r="CW114">
        <v>0</v>
      </c>
      <c r="CX114">
        <v>0</v>
      </c>
      <c r="CY114" t="s">
        <v>333</v>
      </c>
      <c r="CZ114">
        <v>2.3654700000000002</v>
      </c>
      <c r="DA114">
        <v>2.7138300000000002</v>
      </c>
      <c r="DB114">
        <v>9.1673900000000003E-2</v>
      </c>
      <c r="DC114">
        <v>0.146565</v>
      </c>
      <c r="DD114">
        <v>0.118549</v>
      </c>
      <c r="DE114">
        <v>2.3384299999999998E-3</v>
      </c>
      <c r="DF114">
        <v>33162.699999999997</v>
      </c>
      <c r="DG114">
        <v>27472.5</v>
      </c>
      <c r="DH114">
        <v>31166.1</v>
      </c>
      <c r="DI114">
        <v>28048</v>
      </c>
      <c r="DJ114">
        <v>37281.5</v>
      </c>
      <c r="DK114">
        <v>39776.400000000001</v>
      </c>
      <c r="DL114">
        <v>44346</v>
      </c>
      <c r="DM114">
        <v>42487.199999999997</v>
      </c>
      <c r="DN114">
        <v>1.49217</v>
      </c>
      <c r="DO114">
        <v>2.0649500000000001</v>
      </c>
      <c r="DP114">
        <v>8.3662600000000004E-2</v>
      </c>
      <c r="DQ114">
        <v>0.188611</v>
      </c>
      <c r="DR114">
        <v>25.626000000000001</v>
      </c>
      <c r="DS114">
        <v>25.2715</v>
      </c>
      <c r="DT114">
        <v>52</v>
      </c>
      <c r="DU114">
        <v>25.1</v>
      </c>
      <c r="DV114">
        <v>16.743400000000001</v>
      </c>
      <c r="DW114">
        <v>62.141399999999997</v>
      </c>
      <c r="DX114">
        <v>36.514400000000002</v>
      </c>
      <c r="DY114">
        <v>1</v>
      </c>
      <c r="DZ114">
        <v>-0.14415700000000001</v>
      </c>
      <c r="EA114">
        <v>-0.81395700000000004</v>
      </c>
      <c r="EB114">
        <v>20.188700000000001</v>
      </c>
      <c r="EC114">
        <v>5.24125</v>
      </c>
      <c r="ED114">
        <v>12.039899999999999</v>
      </c>
      <c r="EE114">
        <v>5.0168499999999998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1.86876</v>
      </c>
      <c r="EL114">
        <v>1.8644400000000001</v>
      </c>
      <c r="EM114">
        <v>1.8690599999999999</v>
      </c>
      <c r="EN114">
        <v>1.86707</v>
      </c>
      <c r="EO114">
        <v>1.8632500000000001</v>
      </c>
      <c r="EP114">
        <v>1.8643099999999999</v>
      </c>
      <c r="EQ114">
        <v>1.8700600000000001</v>
      </c>
      <c r="ER114">
        <v>1.86927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-0.96199999999999997</v>
      </c>
      <c r="FG114">
        <v>0.19109999999999999</v>
      </c>
      <c r="FH114">
        <v>-0.68620417327404271</v>
      </c>
      <c r="FI114">
        <v>-6.1462078757559423E-4</v>
      </c>
      <c r="FJ114">
        <v>-1.8861989874597051E-7</v>
      </c>
      <c r="FK114">
        <v>1.1980462299894961E-10</v>
      </c>
      <c r="FL114">
        <v>0.1911242781723908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22.5</v>
      </c>
      <c r="FU114">
        <v>22.4</v>
      </c>
      <c r="FV114">
        <v>1.7590300000000001</v>
      </c>
      <c r="FW114">
        <v>2.5647000000000002</v>
      </c>
      <c r="FX114">
        <v>1.5490699999999999</v>
      </c>
      <c r="FY114">
        <v>2.34131</v>
      </c>
      <c r="FZ114">
        <v>1.50146</v>
      </c>
      <c r="GA114">
        <v>2.3168899999999999</v>
      </c>
      <c r="GB114">
        <v>30.6524</v>
      </c>
      <c r="GC114">
        <v>23.991199999999999</v>
      </c>
      <c r="GD114">
        <v>19</v>
      </c>
      <c r="GE114">
        <v>286.846</v>
      </c>
      <c r="GF114">
        <v>599.32399999999996</v>
      </c>
      <c r="GG114">
        <v>26.0505</v>
      </c>
      <c r="GH114">
        <v>25.6021</v>
      </c>
      <c r="GI114">
        <v>30</v>
      </c>
      <c r="GJ114">
        <v>25.712900000000001</v>
      </c>
      <c r="GK114">
        <v>25.674800000000001</v>
      </c>
      <c r="GL114">
        <v>35.163699999999999</v>
      </c>
      <c r="GM114">
        <v>100</v>
      </c>
      <c r="GN114">
        <v>45.2136</v>
      </c>
      <c r="GO114">
        <v>26.0624</v>
      </c>
      <c r="GP114">
        <v>800</v>
      </c>
      <c r="GQ114">
        <v>0</v>
      </c>
      <c r="GR114">
        <v>99.709800000000001</v>
      </c>
      <c r="GS114">
        <v>99.414500000000004</v>
      </c>
    </row>
    <row r="115" spans="1:201" x14ac:dyDescent="0.25">
      <c r="A115">
        <v>99</v>
      </c>
      <c r="B115">
        <v>1690287620.5</v>
      </c>
      <c r="C115">
        <v>1081.900000095367</v>
      </c>
      <c r="D115" t="s">
        <v>531</v>
      </c>
      <c r="E115" t="s">
        <v>532</v>
      </c>
      <c r="F115" t="s">
        <v>330</v>
      </c>
      <c r="H115">
        <v>1690287620.5</v>
      </c>
      <c r="I115">
        <f t="shared" si="30"/>
        <v>2.6522691670335459E-3</v>
      </c>
      <c r="J115">
        <f t="shared" si="31"/>
        <v>2.6522691670335461</v>
      </c>
      <c r="K115">
        <f t="shared" si="32"/>
        <v>39.346035471236732</v>
      </c>
      <c r="L115">
        <f t="shared" si="33"/>
        <v>408.02</v>
      </c>
      <c r="M115">
        <f t="shared" si="34"/>
        <v>97.854246202018643</v>
      </c>
      <c r="N115">
        <f t="shared" si="35"/>
        <v>9.7308253757197569</v>
      </c>
      <c r="O115">
        <f t="shared" si="36"/>
        <v>40.574339120700003</v>
      </c>
      <c r="P115">
        <f t="shared" si="37"/>
        <v>0.21561711804517239</v>
      </c>
      <c r="Q115">
        <f t="shared" si="38"/>
        <v>2.2962872133356358</v>
      </c>
      <c r="R115">
        <f t="shared" si="39"/>
        <v>0.20496768207286309</v>
      </c>
      <c r="S115">
        <f t="shared" si="40"/>
        <v>0.12901776651364194</v>
      </c>
      <c r="T115">
        <f t="shared" si="41"/>
        <v>276.11264866631876</v>
      </c>
      <c r="U115">
        <f t="shared" si="42"/>
        <v>27.865920408267943</v>
      </c>
      <c r="V115">
        <f t="shared" si="43"/>
        <v>27.865920408267943</v>
      </c>
      <c r="W115">
        <f t="shared" si="44"/>
        <v>3.7652787160750054</v>
      </c>
      <c r="X115">
        <f t="shared" si="45"/>
        <v>71.676890134573128</v>
      </c>
      <c r="Y115">
        <f t="shared" si="46"/>
        <v>2.5191650726550003</v>
      </c>
      <c r="Z115">
        <f t="shared" si="47"/>
        <v>3.5146126846815986</v>
      </c>
      <c r="AA115">
        <f t="shared" si="48"/>
        <v>1.2461136434200051</v>
      </c>
      <c r="AB115">
        <f t="shared" si="49"/>
        <v>-116.96507026617938</v>
      </c>
      <c r="AC115">
        <f t="shared" si="50"/>
        <v>-145.51403305403488</v>
      </c>
      <c r="AD115">
        <f t="shared" si="51"/>
        <v>-13.713963761918452</v>
      </c>
      <c r="AE115">
        <f t="shared" si="52"/>
        <v>-8.041841581399467E-2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52432.119196688014</v>
      </c>
      <c r="AK115">
        <f t="shared" si="56"/>
        <v>1799.99</v>
      </c>
      <c r="AL115">
        <f t="shared" si="57"/>
        <v>1499.10512599192</v>
      </c>
      <c r="AM115">
        <f t="shared" si="58"/>
        <v>0.83284080800000004</v>
      </c>
      <c r="AN115">
        <f t="shared" si="59"/>
        <v>0.15339676813000003</v>
      </c>
      <c r="AO115">
        <v>29.1</v>
      </c>
      <c r="AP115">
        <v>0.5</v>
      </c>
      <c r="AQ115" t="s">
        <v>331</v>
      </c>
      <c r="AR115">
        <v>2</v>
      </c>
      <c r="AS115">
        <v>1690287620.5</v>
      </c>
      <c r="AT115">
        <v>408.02</v>
      </c>
      <c r="AU115">
        <v>799.93200000000002</v>
      </c>
      <c r="AV115">
        <v>25.332999999999998</v>
      </c>
      <c r="AW115">
        <v>0.27318500000000001</v>
      </c>
      <c r="AX115">
        <v>408.98099999999999</v>
      </c>
      <c r="AY115">
        <v>25.1419</v>
      </c>
      <c r="AZ115">
        <v>300.185</v>
      </c>
      <c r="BA115">
        <v>99.341999999999999</v>
      </c>
      <c r="BB115">
        <v>0.100035</v>
      </c>
      <c r="BC115">
        <v>26.6905</v>
      </c>
      <c r="BD115">
        <v>26.976700000000001</v>
      </c>
      <c r="BE115">
        <v>28.364699999999999</v>
      </c>
      <c r="BF115">
        <v>0</v>
      </c>
      <c r="BG115">
        <v>0</v>
      </c>
      <c r="BH115">
        <v>9970</v>
      </c>
      <c r="BI115">
        <v>1087.0899999999999</v>
      </c>
      <c r="BJ115">
        <v>1.4016500000000001</v>
      </c>
      <c r="BK115">
        <v>-391.91199999999998</v>
      </c>
      <c r="BL115">
        <v>418.625</v>
      </c>
      <c r="BM115">
        <v>800.15</v>
      </c>
      <c r="BN115">
        <v>25.059799999999999</v>
      </c>
      <c r="BO115">
        <v>799.93200000000002</v>
      </c>
      <c r="BP115">
        <v>0.27318500000000001</v>
      </c>
      <c r="BQ115">
        <v>2.5166300000000001</v>
      </c>
      <c r="BR115">
        <v>2.7138700000000002E-2</v>
      </c>
      <c r="BS115">
        <v>21.134499999999999</v>
      </c>
      <c r="BT115">
        <v>-36.4422</v>
      </c>
      <c r="BU115">
        <v>1799.99</v>
      </c>
      <c r="BV115">
        <v>0.91002000000000005</v>
      </c>
      <c r="BW115">
        <v>3.3997699999999999E-2</v>
      </c>
      <c r="BX115">
        <v>2.19939E-2</v>
      </c>
      <c r="BY115">
        <v>3.3987900000000001E-2</v>
      </c>
      <c r="BZ115">
        <v>25</v>
      </c>
      <c r="CA115">
        <v>33528.400000000001</v>
      </c>
      <c r="CB115">
        <v>1690286268.5999999</v>
      </c>
      <c r="CC115" t="s">
        <v>332</v>
      </c>
      <c r="CD115">
        <v>1690286261.0999999</v>
      </c>
      <c r="CE115">
        <v>1690286268.5999999</v>
      </c>
      <c r="CF115">
        <v>1</v>
      </c>
      <c r="CG115">
        <v>-0.89900000000000002</v>
      </c>
      <c r="CH115">
        <v>3.4000000000000002E-2</v>
      </c>
      <c r="CI115">
        <v>-1.2370000000000001</v>
      </c>
      <c r="CJ115">
        <v>8.5999999999999993E-2</v>
      </c>
      <c r="CK115">
        <v>799</v>
      </c>
      <c r="CL115">
        <v>16</v>
      </c>
      <c r="CM115">
        <v>0.28999999999999998</v>
      </c>
      <c r="CN115">
        <v>0.09</v>
      </c>
      <c r="CO115">
        <v>-390.05237499999998</v>
      </c>
      <c r="CP115">
        <v>-10.14590994371275</v>
      </c>
      <c r="CQ115">
        <v>0.9766168052900811</v>
      </c>
      <c r="CR115">
        <v>-1</v>
      </c>
      <c r="CS115">
        <v>24.97053</v>
      </c>
      <c r="CT115">
        <v>0.47230469043147327</v>
      </c>
      <c r="CU115">
        <v>4.5450463143955087E-2</v>
      </c>
      <c r="CV115">
        <v>-1</v>
      </c>
      <c r="CW115">
        <v>0</v>
      </c>
      <c r="CX115">
        <v>0</v>
      </c>
      <c r="CY115" t="s">
        <v>333</v>
      </c>
      <c r="CZ115">
        <v>2.3653200000000001</v>
      </c>
      <c r="DA115">
        <v>2.7138</v>
      </c>
      <c r="DB115">
        <v>9.1385999999999995E-2</v>
      </c>
      <c r="DC115">
        <v>0.146561</v>
      </c>
      <c r="DD115">
        <v>0.118796</v>
      </c>
      <c r="DE115">
        <v>2.29451E-3</v>
      </c>
      <c r="DF115">
        <v>33173.1</v>
      </c>
      <c r="DG115">
        <v>27472.400000000001</v>
      </c>
      <c r="DH115">
        <v>31165.9</v>
      </c>
      <c r="DI115">
        <v>28047.8</v>
      </c>
      <c r="DJ115">
        <v>37270.9</v>
      </c>
      <c r="DK115">
        <v>39777.699999999997</v>
      </c>
      <c r="DL115">
        <v>44346</v>
      </c>
      <c r="DM115">
        <v>42486.8</v>
      </c>
      <c r="DN115">
        <v>1.49203</v>
      </c>
      <c r="DO115">
        <v>2.06488</v>
      </c>
      <c r="DP115">
        <v>8.2276799999999997E-2</v>
      </c>
      <c r="DQ115">
        <v>0.18896199999999999</v>
      </c>
      <c r="DR115">
        <v>25.6296</v>
      </c>
      <c r="DS115">
        <v>25.273499999999999</v>
      </c>
      <c r="DT115">
        <v>51.5</v>
      </c>
      <c r="DU115">
        <v>25.1</v>
      </c>
      <c r="DV115">
        <v>16.581499999999998</v>
      </c>
      <c r="DW115">
        <v>62.1614</v>
      </c>
      <c r="DX115">
        <v>36.286099999999998</v>
      </c>
      <c r="DY115">
        <v>1</v>
      </c>
      <c r="DZ115">
        <v>-0.14366100000000001</v>
      </c>
      <c r="EA115">
        <v>-0.79735599999999995</v>
      </c>
      <c r="EB115">
        <v>20.189</v>
      </c>
      <c r="EC115">
        <v>5.2411000000000003</v>
      </c>
      <c r="ED115">
        <v>12.039899999999999</v>
      </c>
      <c r="EE115">
        <v>5.0168999999999997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1.8687400000000001</v>
      </c>
      <c r="EL115">
        <v>1.8644499999999999</v>
      </c>
      <c r="EM115">
        <v>1.8690500000000001</v>
      </c>
      <c r="EN115">
        <v>1.86707</v>
      </c>
      <c r="EO115">
        <v>1.8632500000000001</v>
      </c>
      <c r="EP115">
        <v>1.8643099999999999</v>
      </c>
      <c r="EQ115">
        <v>1.87008</v>
      </c>
      <c r="ER115">
        <v>1.86931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-0.96099999999999997</v>
      </c>
      <c r="FG115">
        <v>0.19109999999999999</v>
      </c>
      <c r="FH115">
        <v>-0.68620417327404271</v>
      </c>
      <c r="FI115">
        <v>-6.1462078757559423E-4</v>
      </c>
      <c r="FJ115">
        <v>-1.8861989874597051E-7</v>
      </c>
      <c r="FK115">
        <v>1.1980462299894961E-10</v>
      </c>
      <c r="FL115">
        <v>0.1911242781723908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22.7</v>
      </c>
      <c r="FU115">
        <v>22.5</v>
      </c>
      <c r="FV115">
        <v>1.7590300000000001</v>
      </c>
      <c r="FW115">
        <v>2.5634800000000002</v>
      </c>
      <c r="FX115">
        <v>1.5490699999999999</v>
      </c>
      <c r="FY115">
        <v>2.34009</v>
      </c>
      <c r="FZ115">
        <v>1.50146</v>
      </c>
      <c r="GA115">
        <v>2.34741</v>
      </c>
      <c r="GB115">
        <v>30.6524</v>
      </c>
      <c r="GC115">
        <v>23.991199999999999</v>
      </c>
      <c r="GD115">
        <v>19</v>
      </c>
      <c r="GE115">
        <v>286.78199999999998</v>
      </c>
      <c r="GF115">
        <v>599.26099999999997</v>
      </c>
      <c r="GG115">
        <v>26.073</v>
      </c>
      <c r="GH115">
        <v>25.6021</v>
      </c>
      <c r="GI115">
        <v>30.0002</v>
      </c>
      <c r="GJ115">
        <v>25.712900000000001</v>
      </c>
      <c r="GK115">
        <v>25.674800000000001</v>
      </c>
      <c r="GL115">
        <v>35.164700000000003</v>
      </c>
      <c r="GM115">
        <v>100</v>
      </c>
      <c r="GN115">
        <v>44.378900000000002</v>
      </c>
      <c r="GO115">
        <v>26.0839</v>
      </c>
      <c r="GP115">
        <v>800</v>
      </c>
      <c r="GQ115">
        <v>0</v>
      </c>
      <c r="GR115">
        <v>99.709699999999998</v>
      </c>
      <c r="GS115">
        <v>99.413499999999999</v>
      </c>
    </row>
    <row r="116" spans="1:201" x14ac:dyDescent="0.25">
      <c r="A116">
        <v>100</v>
      </c>
      <c r="B116">
        <v>1690287630.5</v>
      </c>
      <c r="C116">
        <v>1091.900000095367</v>
      </c>
      <c r="D116" t="s">
        <v>533</v>
      </c>
      <c r="E116" t="s">
        <v>534</v>
      </c>
      <c r="F116" t="s">
        <v>330</v>
      </c>
      <c r="H116">
        <v>1690287630.5</v>
      </c>
      <c r="I116">
        <f t="shared" si="30"/>
        <v>2.660227449938411E-3</v>
      </c>
      <c r="J116">
        <f t="shared" si="31"/>
        <v>2.6602274499384109</v>
      </c>
      <c r="K116">
        <f t="shared" si="32"/>
        <v>39.5120578344238</v>
      </c>
      <c r="L116">
        <f t="shared" si="33"/>
        <v>406.42700000000002</v>
      </c>
      <c r="M116">
        <f t="shared" si="34"/>
        <v>97.42596569599354</v>
      </c>
      <c r="N116">
        <f t="shared" si="35"/>
        <v>9.6884241961098265</v>
      </c>
      <c r="O116">
        <f t="shared" si="36"/>
        <v>40.416711834699896</v>
      </c>
      <c r="P116">
        <f t="shared" si="37"/>
        <v>0.21740635617736739</v>
      </c>
      <c r="Q116">
        <f t="shared" si="38"/>
        <v>2.2948952271526823</v>
      </c>
      <c r="R116">
        <f t="shared" si="39"/>
        <v>0.20657799614738159</v>
      </c>
      <c r="S116">
        <f t="shared" si="40"/>
        <v>0.13003917501431317</v>
      </c>
      <c r="T116">
        <f t="shared" si="41"/>
        <v>276.11615295000001</v>
      </c>
      <c r="U116">
        <f t="shared" si="42"/>
        <v>27.871896665616092</v>
      </c>
      <c r="V116">
        <f t="shared" si="43"/>
        <v>27.871896665616092</v>
      </c>
      <c r="W116">
        <f t="shared" si="44"/>
        <v>3.7665920300308455</v>
      </c>
      <c r="X116">
        <f t="shared" si="45"/>
        <v>71.852538900907973</v>
      </c>
      <c r="Y116">
        <f t="shared" si="46"/>
        <v>2.5265131193476802</v>
      </c>
      <c r="Z116">
        <f t="shared" si="47"/>
        <v>3.5162475230443859</v>
      </c>
      <c r="AA116">
        <f t="shared" si="48"/>
        <v>1.2400789106831653</v>
      </c>
      <c r="AB116">
        <f t="shared" si="49"/>
        <v>-117.31603054228393</v>
      </c>
      <c r="AC116">
        <f t="shared" si="50"/>
        <v>-145.18781387116951</v>
      </c>
      <c r="AD116">
        <f t="shared" si="51"/>
        <v>-13.692467813032899</v>
      </c>
      <c r="AE116">
        <f t="shared" si="52"/>
        <v>-8.0159276486341469E-2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52378.176556060935</v>
      </c>
      <c r="AK116">
        <f t="shared" si="56"/>
        <v>1800</v>
      </c>
      <c r="AL116">
        <f t="shared" si="57"/>
        <v>1499.1160500000001</v>
      </c>
      <c r="AM116">
        <f t="shared" si="58"/>
        <v>0.83284225000000001</v>
      </c>
      <c r="AN116">
        <f t="shared" si="59"/>
        <v>0.15339786275</v>
      </c>
      <c r="AO116">
        <v>29.1</v>
      </c>
      <c r="AP116">
        <v>0.5</v>
      </c>
      <c r="AQ116" t="s">
        <v>331</v>
      </c>
      <c r="AR116">
        <v>2</v>
      </c>
      <c r="AS116">
        <v>1690287630.5</v>
      </c>
      <c r="AT116">
        <v>406.42700000000002</v>
      </c>
      <c r="AU116">
        <v>800.00699999999995</v>
      </c>
      <c r="AV116">
        <v>25.406400000000001</v>
      </c>
      <c r="AW116">
        <v>0.26893</v>
      </c>
      <c r="AX116">
        <v>407.387</v>
      </c>
      <c r="AY116">
        <v>25.215299999999999</v>
      </c>
      <c r="AZ116">
        <v>300.13299999999998</v>
      </c>
      <c r="BA116">
        <v>99.343999999999994</v>
      </c>
      <c r="BB116">
        <v>9.9963700000000003E-2</v>
      </c>
      <c r="BC116">
        <v>26.698399999999999</v>
      </c>
      <c r="BD116">
        <v>27.0062</v>
      </c>
      <c r="BE116">
        <v>28.357900000000001</v>
      </c>
      <c r="BF116">
        <v>0</v>
      </c>
      <c r="BG116">
        <v>0</v>
      </c>
      <c r="BH116">
        <v>9959.3799999999992</v>
      </c>
      <c r="BI116">
        <v>1087.18</v>
      </c>
      <c r="BJ116">
        <v>1.4016500000000001</v>
      </c>
      <c r="BK116">
        <v>-393.58</v>
      </c>
      <c r="BL116">
        <v>417.02199999999999</v>
      </c>
      <c r="BM116">
        <v>800.22199999999998</v>
      </c>
      <c r="BN116">
        <v>25.137499999999999</v>
      </c>
      <c r="BO116">
        <v>800.00699999999995</v>
      </c>
      <c r="BP116">
        <v>0.26893</v>
      </c>
      <c r="BQ116">
        <v>2.5239799999999999</v>
      </c>
      <c r="BR116">
        <v>2.6716500000000001E-2</v>
      </c>
      <c r="BS116">
        <v>21.181899999999999</v>
      </c>
      <c r="BT116">
        <v>-36.5976</v>
      </c>
      <c r="BU116">
        <v>1800</v>
      </c>
      <c r="BV116">
        <v>0.91001100000000001</v>
      </c>
      <c r="BW116">
        <v>3.39958E-2</v>
      </c>
      <c r="BX116">
        <v>2.2007499999999999E-2</v>
      </c>
      <c r="BY116">
        <v>3.3985899999999999E-2</v>
      </c>
      <c r="BZ116">
        <v>25</v>
      </c>
      <c r="CA116">
        <v>33528.199999999997</v>
      </c>
      <c r="CB116">
        <v>1690286268.5999999</v>
      </c>
      <c r="CC116" t="s">
        <v>332</v>
      </c>
      <c r="CD116">
        <v>1690286261.0999999</v>
      </c>
      <c r="CE116">
        <v>1690286268.5999999</v>
      </c>
      <c r="CF116">
        <v>1</v>
      </c>
      <c r="CG116">
        <v>-0.89900000000000002</v>
      </c>
      <c r="CH116">
        <v>3.4000000000000002E-2</v>
      </c>
      <c r="CI116">
        <v>-1.2370000000000001</v>
      </c>
      <c r="CJ116">
        <v>8.5999999999999993E-2</v>
      </c>
      <c r="CK116">
        <v>799</v>
      </c>
      <c r="CL116">
        <v>16</v>
      </c>
      <c r="CM116">
        <v>0.28999999999999998</v>
      </c>
      <c r="CN116">
        <v>0.09</v>
      </c>
      <c r="CO116">
        <v>-391.74712499999998</v>
      </c>
      <c r="CP116">
        <v>-10.222390243901531</v>
      </c>
      <c r="CQ116">
        <v>0.98365278903432063</v>
      </c>
      <c r="CR116">
        <v>-1</v>
      </c>
      <c r="CS116">
        <v>25.0490125</v>
      </c>
      <c r="CT116">
        <v>0.47320412757967989</v>
      </c>
      <c r="CU116">
        <v>4.5536250325976378E-2</v>
      </c>
      <c r="CV116">
        <v>-1</v>
      </c>
      <c r="CW116">
        <v>0</v>
      </c>
      <c r="CX116">
        <v>0</v>
      </c>
      <c r="CY116" t="s">
        <v>333</v>
      </c>
      <c r="CZ116">
        <v>2.3651499999999999</v>
      </c>
      <c r="DA116">
        <v>2.7137199999999999</v>
      </c>
      <c r="DB116">
        <v>9.1116799999999998E-2</v>
      </c>
      <c r="DC116">
        <v>0.14657300000000001</v>
      </c>
      <c r="DD116">
        <v>0.11904000000000001</v>
      </c>
      <c r="DE116">
        <v>2.2594E-3</v>
      </c>
      <c r="DF116">
        <v>33182.9</v>
      </c>
      <c r="DG116">
        <v>27472.3</v>
      </c>
      <c r="DH116">
        <v>31166</v>
      </c>
      <c r="DI116">
        <v>28048.1</v>
      </c>
      <c r="DJ116">
        <v>37260.400000000001</v>
      </c>
      <c r="DK116">
        <v>39779.5</v>
      </c>
      <c r="DL116">
        <v>44345.9</v>
      </c>
      <c r="DM116">
        <v>42487.199999999997</v>
      </c>
      <c r="DN116">
        <v>1.4920500000000001</v>
      </c>
      <c r="DO116">
        <v>2.0647199999999999</v>
      </c>
      <c r="DP116">
        <v>8.3945699999999998E-2</v>
      </c>
      <c r="DQ116">
        <v>0.188418</v>
      </c>
      <c r="DR116">
        <v>25.631799999999998</v>
      </c>
      <c r="DS116">
        <v>25.275600000000001</v>
      </c>
      <c r="DT116">
        <v>50.9</v>
      </c>
      <c r="DU116">
        <v>25.1</v>
      </c>
      <c r="DV116">
        <v>16.389600000000002</v>
      </c>
      <c r="DW116">
        <v>62.2714</v>
      </c>
      <c r="DX116">
        <v>36.442300000000003</v>
      </c>
      <c r="DY116">
        <v>1</v>
      </c>
      <c r="DZ116">
        <v>-0.14382900000000001</v>
      </c>
      <c r="EA116">
        <v>-0.83718099999999995</v>
      </c>
      <c r="EB116">
        <v>20.188500000000001</v>
      </c>
      <c r="EC116">
        <v>5.2411000000000003</v>
      </c>
      <c r="ED116">
        <v>12.039899999999999</v>
      </c>
      <c r="EE116">
        <v>5.0170000000000003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1.8687400000000001</v>
      </c>
      <c r="EL116">
        <v>1.86446</v>
      </c>
      <c r="EM116">
        <v>1.8690599999999999</v>
      </c>
      <c r="EN116">
        <v>1.8670800000000001</v>
      </c>
      <c r="EO116">
        <v>1.8632500000000001</v>
      </c>
      <c r="EP116">
        <v>1.86429</v>
      </c>
      <c r="EQ116">
        <v>1.8700699999999999</v>
      </c>
      <c r="ER116">
        <v>1.8692899999999999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-0.96</v>
      </c>
      <c r="FG116">
        <v>0.19109999999999999</v>
      </c>
      <c r="FH116">
        <v>-0.68620417327404271</v>
      </c>
      <c r="FI116">
        <v>-6.1462078757559423E-4</v>
      </c>
      <c r="FJ116">
        <v>-1.8861989874597051E-7</v>
      </c>
      <c r="FK116">
        <v>1.1980462299894961E-10</v>
      </c>
      <c r="FL116">
        <v>0.1911242781723908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22.8</v>
      </c>
      <c r="FU116">
        <v>22.7</v>
      </c>
      <c r="FV116">
        <v>1.7590300000000001</v>
      </c>
      <c r="FW116">
        <v>2.5659200000000002</v>
      </c>
      <c r="FX116">
        <v>1.5490699999999999</v>
      </c>
      <c r="FY116">
        <v>2.34009</v>
      </c>
      <c r="FZ116">
        <v>1.50146</v>
      </c>
      <c r="GA116">
        <v>2.36084</v>
      </c>
      <c r="GB116">
        <v>30.673999999999999</v>
      </c>
      <c r="GC116">
        <v>23.982399999999998</v>
      </c>
      <c r="GD116">
        <v>19</v>
      </c>
      <c r="GE116">
        <v>286.79199999999997</v>
      </c>
      <c r="GF116">
        <v>599.13499999999999</v>
      </c>
      <c r="GG116">
        <v>26.101199999999999</v>
      </c>
      <c r="GH116">
        <v>25.600100000000001</v>
      </c>
      <c r="GI116">
        <v>30.0002</v>
      </c>
      <c r="GJ116">
        <v>25.712900000000001</v>
      </c>
      <c r="GK116">
        <v>25.674800000000001</v>
      </c>
      <c r="GL116">
        <v>35.160499999999999</v>
      </c>
      <c r="GM116">
        <v>100</v>
      </c>
      <c r="GN116">
        <v>43.141300000000001</v>
      </c>
      <c r="GO116">
        <v>26.108799999999999</v>
      </c>
      <c r="GP116">
        <v>800</v>
      </c>
      <c r="GQ116">
        <v>0</v>
      </c>
      <c r="GR116">
        <v>99.709699999999998</v>
      </c>
      <c r="GS116">
        <v>99.414599999999993</v>
      </c>
    </row>
    <row r="117" spans="1:201" x14ac:dyDescent="0.25">
      <c r="A117">
        <v>101</v>
      </c>
      <c r="B117">
        <v>1690287640.5</v>
      </c>
      <c r="C117">
        <v>1101.900000095367</v>
      </c>
      <c r="D117" t="s">
        <v>535</v>
      </c>
      <c r="E117" t="s">
        <v>536</v>
      </c>
      <c r="F117" t="s">
        <v>330</v>
      </c>
      <c r="H117">
        <v>1690287640.5</v>
      </c>
      <c r="I117">
        <f t="shared" si="30"/>
        <v>2.6676968452199533E-3</v>
      </c>
      <c r="J117">
        <f t="shared" si="31"/>
        <v>2.6676968452199534</v>
      </c>
      <c r="K117">
        <f t="shared" si="32"/>
        <v>39.65196785079938</v>
      </c>
      <c r="L117">
        <f t="shared" si="33"/>
        <v>404.89</v>
      </c>
      <c r="M117">
        <f t="shared" si="34"/>
        <v>97.178233263732835</v>
      </c>
      <c r="N117">
        <f t="shared" si="35"/>
        <v>9.6635542391853857</v>
      </c>
      <c r="O117">
        <f t="shared" si="36"/>
        <v>40.262889584389995</v>
      </c>
      <c r="P117">
        <f t="shared" si="37"/>
        <v>0.21913324359841091</v>
      </c>
      <c r="Q117">
        <f t="shared" si="38"/>
        <v>2.2987824621471633</v>
      </c>
      <c r="R117">
        <f t="shared" si="39"/>
        <v>0.20815444570153646</v>
      </c>
      <c r="S117">
        <f t="shared" si="40"/>
        <v>0.13103707797544045</v>
      </c>
      <c r="T117">
        <f t="shared" si="41"/>
        <v>276.116363406</v>
      </c>
      <c r="U117">
        <f t="shared" si="42"/>
        <v>27.877743129070698</v>
      </c>
      <c r="V117">
        <f t="shared" si="43"/>
        <v>27.877743129070698</v>
      </c>
      <c r="W117">
        <f t="shared" si="44"/>
        <v>3.7678772078305505</v>
      </c>
      <c r="X117">
        <f t="shared" si="45"/>
        <v>72.017526692234412</v>
      </c>
      <c r="Y117">
        <f t="shared" si="46"/>
        <v>2.5338204402554996</v>
      </c>
      <c r="Z117">
        <f t="shared" si="47"/>
        <v>3.5183385998296428</v>
      </c>
      <c r="AA117">
        <f t="shared" si="48"/>
        <v>1.2340567675750509</v>
      </c>
      <c r="AB117">
        <f t="shared" si="49"/>
        <v>-117.64543087419995</v>
      </c>
      <c r="AC117">
        <f t="shared" si="50"/>
        <v>-144.90659281834442</v>
      </c>
      <c r="AD117">
        <f t="shared" si="51"/>
        <v>-13.643923545789946</v>
      </c>
      <c r="AE117">
        <f t="shared" si="52"/>
        <v>-7.9583832334321869E-2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52523.321365255397</v>
      </c>
      <c r="AK117">
        <f t="shared" si="56"/>
        <v>1800</v>
      </c>
      <c r="AL117">
        <f t="shared" si="57"/>
        <v>1499.1140555999998</v>
      </c>
      <c r="AM117">
        <f t="shared" si="58"/>
        <v>0.83284114199999992</v>
      </c>
      <c r="AN117">
        <f t="shared" si="59"/>
        <v>0.15339797966999999</v>
      </c>
      <c r="AO117">
        <v>29.1</v>
      </c>
      <c r="AP117">
        <v>0.5</v>
      </c>
      <c r="AQ117" t="s">
        <v>331</v>
      </c>
      <c r="AR117">
        <v>2</v>
      </c>
      <c r="AS117">
        <v>1690287640.5</v>
      </c>
      <c r="AT117">
        <v>404.89</v>
      </c>
      <c r="AU117">
        <v>799.96100000000001</v>
      </c>
      <c r="AV117">
        <v>25.480499999999999</v>
      </c>
      <c r="AW117">
        <v>0.26512400000000003</v>
      </c>
      <c r="AX117">
        <v>405.84800000000001</v>
      </c>
      <c r="AY117">
        <v>25.289300000000001</v>
      </c>
      <c r="AZ117">
        <v>300.02300000000002</v>
      </c>
      <c r="BA117">
        <v>99.341499999999996</v>
      </c>
      <c r="BB117">
        <v>0.100051</v>
      </c>
      <c r="BC117">
        <v>26.708500000000001</v>
      </c>
      <c r="BD117">
        <v>26.9969</v>
      </c>
      <c r="BE117">
        <v>28.353300000000001</v>
      </c>
      <c r="BF117">
        <v>0</v>
      </c>
      <c r="BG117">
        <v>0</v>
      </c>
      <c r="BH117">
        <v>9988.75</v>
      </c>
      <c r="BI117">
        <v>1087.1500000000001</v>
      </c>
      <c r="BJ117">
        <v>1.4016500000000001</v>
      </c>
      <c r="BK117">
        <v>-395.07100000000003</v>
      </c>
      <c r="BL117">
        <v>415.476</v>
      </c>
      <c r="BM117">
        <v>800.173</v>
      </c>
      <c r="BN117">
        <v>25.215299999999999</v>
      </c>
      <c r="BO117">
        <v>799.96100000000001</v>
      </c>
      <c r="BP117">
        <v>0.26512400000000003</v>
      </c>
      <c r="BQ117">
        <v>2.5312700000000001</v>
      </c>
      <c r="BR117">
        <v>2.6337800000000001E-2</v>
      </c>
      <c r="BS117">
        <v>21.228999999999999</v>
      </c>
      <c r="BT117">
        <v>-36.738900000000001</v>
      </c>
      <c r="BU117">
        <v>1800</v>
      </c>
      <c r="BV117">
        <v>0.909999</v>
      </c>
      <c r="BW117">
        <v>3.3994200000000002E-2</v>
      </c>
      <c r="BX117">
        <v>2.20091E-2</v>
      </c>
      <c r="BY117">
        <v>3.39975E-2</v>
      </c>
      <c r="BZ117">
        <v>25</v>
      </c>
      <c r="CA117">
        <v>33528.199999999997</v>
      </c>
      <c r="CB117">
        <v>1690286268.5999999</v>
      </c>
      <c r="CC117" t="s">
        <v>332</v>
      </c>
      <c r="CD117">
        <v>1690286261.0999999</v>
      </c>
      <c r="CE117">
        <v>1690286268.5999999</v>
      </c>
      <c r="CF117">
        <v>1</v>
      </c>
      <c r="CG117">
        <v>-0.89900000000000002</v>
      </c>
      <c r="CH117">
        <v>3.4000000000000002E-2</v>
      </c>
      <c r="CI117">
        <v>-1.2370000000000001</v>
      </c>
      <c r="CJ117">
        <v>8.5999999999999993E-2</v>
      </c>
      <c r="CK117">
        <v>799</v>
      </c>
      <c r="CL117">
        <v>16</v>
      </c>
      <c r="CM117">
        <v>0.28999999999999998</v>
      </c>
      <c r="CN117">
        <v>0.09</v>
      </c>
      <c r="CO117">
        <v>-393.39980487804871</v>
      </c>
      <c r="CP117">
        <v>-9.2512264808357596</v>
      </c>
      <c r="CQ117">
        <v>0.91416586581435588</v>
      </c>
      <c r="CR117">
        <v>-1</v>
      </c>
      <c r="CS117">
        <v>25.130256097560981</v>
      </c>
      <c r="CT117">
        <v>0.47625574912897251</v>
      </c>
      <c r="CU117">
        <v>4.6974274478907813E-2</v>
      </c>
      <c r="CV117">
        <v>-1</v>
      </c>
      <c r="CW117">
        <v>0</v>
      </c>
      <c r="CX117">
        <v>0</v>
      </c>
      <c r="CY117" t="s">
        <v>333</v>
      </c>
      <c r="CZ117">
        <v>2.3647900000000002</v>
      </c>
      <c r="DA117">
        <v>2.7138300000000002</v>
      </c>
      <c r="DB117">
        <v>9.0852799999999997E-2</v>
      </c>
      <c r="DC117">
        <v>0.146563</v>
      </c>
      <c r="DD117">
        <v>0.11928</v>
      </c>
      <c r="DE117">
        <v>2.2278799999999998E-3</v>
      </c>
      <c r="DF117">
        <v>33192.5</v>
      </c>
      <c r="DG117">
        <v>27472.6</v>
      </c>
      <c r="DH117">
        <v>31165.9</v>
      </c>
      <c r="DI117">
        <v>28048</v>
      </c>
      <c r="DJ117">
        <v>37250</v>
      </c>
      <c r="DK117">
        <v>39780.9</v>
      </c>
      <c r="DL117">
        <v>44345.8</v>
      </c>
      <c r="DM117">
        <v>42487.3</v>
      </c>
      <c r="DN117">
        <v>1.4919500000000001</v>
      </c>
      <c r="DO117">
        <v>2.0645699999999998</v>
      </c>
      <c r="DP117">
        <v>8.3379400000000006E-2</v>
      </c>
      <c r="DQ117">
        <v>0.188135</v>
      </c>
      <c r="DR117">
        <v>25.631799999999998</v>
      </c>
      <c r="DS117">
        <v>25.275600000000001</v>
      </c>
      <c r="DT117">
        <v>50.3</v>
      </c>
      <c r="DU117">
        <v>25.1</v>
      </c>
      <c r="DV117">
        <v>16.196100000000001</v>
      </c>
      <c r="DW117">
        <v>61.931399999999996</v>
      </c>
      <c r="DX117">
        <v>36.995199999999997</v>
      </c>
      <c r="DY117">
        <v>1</v>
      </c>
      <c r="DZ117">
        <v>-0.144126</v>
      </c>
      <c r="EA117">
        <v>-0.62270199999999998</v>
      </c>
      <c r="EB117">
        <v>20.189800000000002</v>
      </c>
      <c r="EC117">
        <v>5.2411000000000003</v>
      </c>
      <c r="ED117">
        <v>12.039899999999999</v>
      </c>
      <c r="EE117">
        <v>5.0170500000000002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1.8687400000000001</v>
      </c>
      <c r="EL117">
        <v>1.8644400000000001</v>
      </c>
      <c r="EM117">
        <v>1.8690599999999999</v>
      </c>
      <c r="EN117">
        <v>1.86707</v>
      </c>
      <c r="EO117">
        <v>1.8632500000000001</v>
      </c>
      <c r="EP117">
        <v>1.8643099999999999</v>
      </c>
      <c r="EQ117">
        <v>1.87008</v>
      </c>
      <c r="ER117">
        <v>1.8692599999999999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-0.95799999999999996</v>
      </c>
      <c r="FG117">
        <v>0.19120000000000001</v>
      </c>
      <c r="FH117">
        <v>-0.68620417327404271</v>
      </c>
      <c r="FI117">
        <v>-6.1462078757559423E-4</v>
      </c>
      <c r="FJ117">
        <v>-1.8861989874597051E-7</v>
      </c>
      <c r="FK117">
        <v>1.1980462299894961E-10</v>
      </c>
      <c r="FL117">
        <v>0.1911242781723908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23</v>
      </c>
      <c r="FU117">
        <v>22.9</v>
      </c>
      <c r="FV117">
        <v>1.7590300000000001</v>
      </c>
      <c r="FW117">
        <v>2.5683600000000002</v>
      </c>
      <c r="FX117">
        <v>1.5490699999999999</v>
      </c>
      <c r="FY117">
        <v>2.34009</v>
      </c>
      <c r="FZ117">
        <v>1.50146</v>
      </c>
      <c r="GA117">
        <v>2.3290999999999999</v>
      </c>
      <c r="GB117">
        <v>30.673999999999999</v>
      </c>
      <c r="GC117">
        <v>23.982399999999998</v>
      </c>
      <c r="GD117">
        <v>19</v>
      </c>
      <c r="GE117">
        <v>286.74900000000002</v>
      </c>
      <c r="GF117">
        <v>599.00900000000001</v>
      </c>
      <c r="GG117">
        <v>26.071200000000001</v>
      </c>
      <c r="GH117">
        <v>25.599900000000002</v>
      </c>
      <c r="GI117">
        <v>29.9999</v>
      </c>
      <c r="GJ117">
        <v>25.712900000000001</v>
      </c>
      <c r="GK117">
        <v>25.674800000000001</v>
      </c>
      <c r="GL117">
        <v>35.163800000000002</v>
      </c>
      <c r="GM117">
        <v>100</v>
      </c>
      <c r="GN117">
        <v>42.325600000000001</v>
      </c>
      <c r="GO117">
        <v>26.065100000000001</v>
      </c>
      <c r="GP117">
        <v>800</v>
      </c>
      <c r="GQ117">
        <v>0</v>
      </c>
      <c r="GR117">
        <v>99.709400000000002</v>
      </c>
      <c r="GS117">
        <v>99.414699999999996</v>
      </c>
    </row>
    <row r="118" spans="1:201" x14ac:dyDescent="0.25">
      <c r="A118">
        <v>102</v>
      </c>
      <c r="B118">
        <v>1690287650.5</v>
      </c>
      <c r="C118">
        <v>1111.900000095367</v>
      </c>
      <c r="D118" t="s">
        <v>537</v>
      </c>
      <c r="E118" t="s">
        <v>538</v>
      </c>
      <c r="F118" t="s">
        <v>330</v>
      </c>
      <c r="H118">
        <v>1690287650.5</v>
      </c>
      <c r="I118">
        <f t="shared" si="30"/>
        <v>2.676763163897207E-3</v>
      </c>
      <c r="J118">
        <f t="shared" si="31"/>
        <v>2.6767631638972071</v>
      </c>
      <c r="K118">
        <f t="shared" si="32"/>
        <v>39.842786935501778</v>
      </c>
      <c r="L118">
        <f t="shared" si="33"/>
        <v>403.214</v>
      </c>
      <c r="M118">
        <f t="shared" si="34"/>
        <v>97.620602783879946</v>
      </c>
      <c r="N118">
        <f t="shared" si="35"/>
        <v>9.7074195376844852</v>
      </c>
      <c r="O118">
        <f t="shared" si="36"/>
        <v>40.095710842243001</v>
      </c>
      <c r="P118">
        <f t="shared" si="37"/>
        <v>0.22178381736148439</v>
      </c>
      <c r="Q118">
        <f t="shared" si="38"/>
        <v>2.3063291402401829</v>
      </c>
      <c r="R118">
        <f t="shared" si="39"/>
        <v>0.21057991560272107</v>
      </c>
      <c r="S118">
        <f t="shared" si="40"/>
        <v>0.13257189164600575</v>
      </c>
      <c r="T118">
        <f t="shared" si="41"/>
        <v>276.11494925153761</v>
      </c>
      <c r="U118">
        <f t="shared" si="42"/>
        <v>27.863899438715535</v>
      </c>
      <c r="V118">
        <f t="shared" si="43"/>
        <v>27.863899438715535</v>
      </c>
      <c r="W118">
        <f t="shared" si="44"/>
        <v>3.764834687805886</v>
      </c>
      <c r="X118">
        <f t="shared" si="45"/>
        <v>72.249866736100728</v>
      </c>
      <c r="Y118">
        <f t="shared" si="46"/>
        <v>2.54088794999655</v>
      </c>
      <c r="Z118">
        <f t="shared" si="47"/>
        <v>3.5168064174808467</v>
      </c>
      <c r="AA118">
        <f t="shared" si="48"/>
        <v>1.223946737809336</v>
      </c>
      <c r="AB118">
        <f t="shared" si="49"/>
        <v>-118.04525552786683</v>
      </c>
      <c r="AC118">
        <f t="shared" si="50"/>
        <v>-144.58110616306732</v>
      </c>
      <c r="AD118">
        <f t="shared" si="51"/>
        <v>-13.56729162909609</v>
      </c>
      <c r="AE118">
        <f t="shared" si="52"/>
        <v>-7.8704068492612578E-2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52810.543831313174</v>
      </c>
      <c r="AK118">
        <f t="shared" si="56"/>
        <v>1799.99</v>
      </c>
      <c r="AL118">
        <f t="shared" si="57"/>
        <v>1499.1044797955101</v>
      </c>
      <c r="AM118">
        <f t="shared" si="58"/>
        <v>0.83284044899999998</v>
      </c>
      <c r="AN118">
        <f t="shared" si="59"/>
        <v>0.15339804624</v>
      </c>
      <c r="AO118">
        <v>29.1</v>
      </c>
      <c r="AP118">
        <v>0.5</v>
      </c>
      <c r="AQ118" t="s">
        <v>331</v>
      </c>
      <c r="AR118">
        <v>2</v>
      </c>
      <c r="AS118">
        <v>1690287650.5</v>
      </c>
      <c r="AT118">
        <v>403.214</v>
      </c>
      <c r="AU118">
        <v>799.99300000000005</v>
      </c>
      <c r="AV118">
        <v>25.5519</v>
      </c>
      <c r="AW118">
        <v>0.26128000000000001</v>
      </c>
      <c r="AX118">
        <v>404.17200000000003</v>
      </c>
      <c r="AY118">
        <v>25.360700000000001</v>
      </c>
      <c r="AZ118">
        <v>300.125</v>
      </c>
      <c r="BA118">
        <v>99.340299999999999</v>
      </c>
      <c r="BB118">
        <v>9.9974499999999994E-2</v>
      </c>
      <c r="BC118">
        <v>26.7011</v>
      </c>
      <c r="BD118">
        <v>26.990200000000002</v>
      </c>
      <c r="BE118">
        <v>28.334900000000001</v>
      </c>
      <c r="BF118">
        <v>0</v>
      </c>
      <c r="BG118">
        <v>0</v>
      </c>
      <c r="BH118">
        <v>10045.6</v>
      </c>
      <c r="BI118">
        <v>1087.29</v>
      </c>
      <c r="BJ118">
        <v>1.4016500000000001</v>
      </c>
      <c r="BK118">
        <v>-396.779</v>
      </c>
      <c r="BL118">
        <v>413.78699999999998</v>
      </c>
      <c r="BM118">
        <v>800.202</v>
      </c>
      <c r="BN118">
        <v>25.290600000000001</v>
      </c>
      <c r="BO118">
        <v>799.99300000000005</v>
      </c>
      <c r="BP118">
        <v>0.26128000000000001</v>
      </c>
      <c r="BQ118">
        <v>2.5383300000000002</v>
      </c>
      <c r="BR118">
        <v>2.5955599999999999E-2</v>
      </c>
      <c r="BS118">
        <v>21.2744</v>
      </c>
      <c r="BT118">
        <v>-36.883400000000002</v>
      </c>
      <c r="BU118">
        <v>1799.99</v>
      </c>
      <c r="BV118">
        <v>0.90998699999999999</v>
      </c>
      <c r="BW118">
        <v>3.3992099999999997E-2</v>
      </c>
      <c r="BX118">
        <v>2.2007700000000002E-2</v>
      </c>
      <c r="BY118">
        <v>3.4013599999999998E-2</v>
      </c>
      <c r="BZ118">
        <v>25</v>
      </c>
      <c r="CA118">
        <v>33528.199999999997</v>
      </c>
      <c r="CB118">
        <v>1690286268.5999999</v>
      </c>
      <c r="CC118" t="s">
        <v>332</v>
      </c>
      <c r="CD118">
        <v>1690286261.0999999</v>
      </c>
      <c r="CE118">
        <v>1690286268.5999999</v>
      </c>
      <c r="CF118">
        <v>1</v>
      </c>
      <c r="CG118">
        <v>-0.89900000000000002</v>
      </c>
      <c r="CH118">
        <v>3.4000000000000002E-2</v>
      </c>
      <c r="CI118">
        <v>-1.2370000000000001</v>
      </c>
      <c r="CJ118">
        <v>8.5999999999999993E-2</v>
      </c>
      <c r="CK118">
        <v>799</v>
      </c>
      <c r="CL118">
        <v>16</v>
      </c>
      <c r="CM118">
        <v>0.28999999999999998</v>
      </c>
      <c r="CN118">
        <v>0.09</v>
      </c>
      <c r="CO118">
        <v>-394.99109756097562</v>
      </c>
      <c r="CP118">
        <v>-9.8078885017427808</v>
      </c>
      <c r="CQ118">
        <v>0.96963281470869223</v>
      </c>
      <c r="CR118">
        <v>-1</v>
      </c>
      <c r="CS118">
        <v>25.208134146341461</v>
      </c>
      <c r="CT118">
        <v>0.45838536585363621</v>
      </c>
      <c r="CU118">
        <v>4.5213583161700703E-2</v>
      </c>
      <c r="CV118">
        <v>-1</v>
      </c>
      <c r="CW118">
        <v>0</v>
      </c>
      <c r="CX118">
        <v>0</v>
      </c>
      <c r="CY118" t="s">
        <v>333</v>
      </c>
      <c r="CZ118">
        <v>2.3651399999999998</v>
      </c>
      <c r="DA118">
        <v>2.7138100000000001</v>
      </c>
      <c r="DB118">
        <v>9.0565699999999999E-2</v>
      </c>
      <c r="DC118">
        <v>0.146565</v>
      </c>
      <c r="DD118">
        <v>0.11951299999999999</v>
      </c>
      <c r="DE118">
        <v>2.1960700000000001E-3</v>
      </c>
      <c r="DF118">
        <v>33203</v>
      </c>
      <c r="DG118">
        <v>27472.7</v>
      </c>
      <c r="DH118">
        <v>31165.9</v>
      </c>
      <c r="DI118">
        <v>28048.2</v>
      </c>
      <c r="DJ118">
        <v>37239.9</v>
      </c>
      <c r="DK118">
        <v>39782.400000000001</v>
      </c>
      <c r="DL118">
        <v>44345.7</v>
      </c>
      <c r="DM118">
        <v>42487.5</v>
      </c>
      <c r="DN118">
        <v>1.49217</v>
      </c>
      <c r="DO118">
        <v>2.0644499999999999</v>
      </c>
      <c r="DP118">
        <v>8.2969699999999993E-2</v>
      </c>
      <c r="DQ118">
        <v>0.18699499999999999</v>
      </c>
      <c r="DR118">
        <v>25.631799999999998</v>
      </c>
      <c r="DS118">
        <v>25.2758</v>
      </c>
      <c r="DT118">
        <v>49.8</v>
      </c>
      <c r="DU118">
        <v>25.1</v>
      </c>
      <c r="DV118">
        <v>16.037299999999998</v>
      </c>
      <c r="DW118">
        <v>61.801400000000001</v>
      </c>
      <c r="DX118">
        <v>37.427900000000001</v>
      </c>
      <c r="DY118">
        <v>1</v>
      </c>
      <c r="DZ118">
        <v>-0.14383099999999999</v>
      </c>
      <c r="EA118">
        <v>-0.76004400000000005</v>
      </c>
      <c r="EB118">
        <v>20.1892</v>
      </c>
      <c r="EC118">
        <v>5.24125</v>
      </c>
      <c r="ED118">
        <v>12.039899999999999</v>
      </c>
      <c r="EE118">
        <v>5.0170000000000003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1.8687400000000001</v>
      </c>
      <c r="EL118">
        <v>1.86443</v>
      </c>
      <c r="EM118">
        <v>1.8690599999999999</v>
      </c>
      <c r="EN118">
        <v>1.86707</v>
      </c>
      <c r="EO118">
        <v>1.8632500000000001</v>
      </c>
      <c r="EP118">
        <v>1.86429</v>
      </c>
      <c r="EQ118">
        <v>1.87009</v>
      </c>
      <c r="ER118">
        <v>1.8692800000000001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-0.95799999999999996</v>
      </c>
      <c r="FG118">
        <v>0.19120000000000001</v>
      </c>
      <c r="FH118">
        <v>-0.68620417327404271</v>
      </c>
      <c r="FI118">
        <v>-6.1462078757559423E-4</v>
      </c>
      <c r="FJ118">
        <v>-1.8861989874597051E-7</v>
      </c>
      <c r="FK118">
        <v>1.1980462299894961E-10</v>
      </c>
      <c r="FL118">
        <v>0.1911242781723908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23.2</v>
      </c>
      <c r="FU118">
        <v>23</v>
      </c>
      <c r="FV118">
        <v>1.7590300000000001</v>
      </c>
      <c r="FW118">
        <v>2.5695800000000002</v>
      </c>
      <c r="FX118">
        <v>1.5490699999999999</v>
      </c>
      <c r="FY118">
        <v>2.34009</v>
      </c>
      <c r="FZ118">
        <v>1.50146</v>
      </c>
      <c r="GA118">
        <v>2.2705099999999998</v>
      </c>
      <c r="GB118">
        <v>30.673999999999999</v>
      </c>
      <c r="GC118">
        <v>23.973700000000001</v>
      </c>
      <c r="GD118">
        <v>19</v>
      </c>
      <c r="GE118">
        <v>286.846</v>
      </c>
      <c r="GF118">
        <v>598.904</v>
      </c>
      <c r="GG118">
        <v>26.061399999999999</v>
      </c>
      <c r="GH118">
        <v>25.599900000000002</v>
      </c>
      <c r="GI118">
        <v>30.0002</v>
      </c>
      <c r="GJ118">
        <v>25.712900000000001</v>
      </c>
      <c r="GK118">
        <v>25.674800000000001</v>
      </c>
      <c r="GL118">
        <v>35.161700000000003</v>
      </c>
      <c r="GM118">
        <v>100</v>
      </c>
      <c r="GN118">
        <v>41.105400000000003</v>
      </c>
      <c r="GO118">
        <v>26.075700000000001</v>
      </c>
      <c r="GP118">
        <v>800</v>
      </c>
      <c r="GQ118">
        <v>0</v>
      </c>
      <c r="GR118">
        <v>99.709199999999996</v>
      </c>
      <c r="GS118">
        <v>99.415199999999999</v>
      </c>
    </row>
    <row r="119" spans="1:201" x14ac:dyDescent="0.25">
      <c r="A119">
        <v>103</v>
      </c>
      <c r="B119">
        <v>1690287660.5</v>
      </c>
      <c r="C119">
        <v>1121.900000095367</v>
      </c>
      <c r="D119" t="s">
        <v>539</v>
      </c>
      <c r="E119" t="s">
        <v>540</v>
      </c>
      <c r="F119" t="s">
        <v>330</v>
      </c>
      <c r="H119">
        <v>1690287660.5</v>
      </c>
      <c r="I119">
        <f t="shared" si="30"/>
        <v>2.6834208665822211E-3</v>
      </c>
      <c r="J119">
        <f t="shared" si="31"/>
        <v>2.683420866582221</v>
      </c>
      <c r="K119">
        <f t="shared" si="32"/>
        <v>39.982619979889549</v>
      </c>
      <c r="L119">
        <f t="shared" si="33"/>
        <v>401.762</v>
      </c>
      <c r="M119">
        <f t="shared" si="34"/>
        <v>97.261295369097851</v>
      </c>
      <c r="N119">
        <f t="shared" si="35"/>
        <v>9.6717379081779331</v>
      </c>
      <c r="O119">
        <f t="shared" si="36"/>
        <v>39.951521833215992</v>
      </c>
      <c r="P119">
        <f t="shared" si="37"/>
        <v>0.22345504708169878</v>
      </c>
      <c r="Q119">
        <f t="shared" si="38"/>
        <v>2.2973537645384403</v>
      </c>
      <c r="R119">
        <f t="shared" si="39"/>
        <v>0.21204432650786742</v>
      </c>
      <c r="S119">
        <f t="shared" si="40"/>
        <v>0.13350433717720867</v>
      </c>
      <c r="T119">
        <f t="shared" si="41"/>
        <v>276.11473046275302</v>
      </c>
      <c r="U119">
        <f t="shared" si="42"/>
        <v>27.86758240315941</v>
      </c>
      <c r="V119">
        <f t="shared" si="43"/>
        <v>27.86758240315941</v>
      </c>
      <c r="W119">
        <f t="shared" si="44"/>
        <v>3.7656439080736885</v>
      </c>
      <c r="X119">
        <f t="shared" si="45"/>
        <v>72.421115913523309</v>
      </c>
      <c r="Y119">
        <f t="shared" si="46"/>
        <v>2.5471653282431999</v>
      </c>
      <c r="Z119">
        <f t="shared" si="47"/>
        <v>3.517158353766217</v>
      </c>
      <c r="AA119">
        <f t="shared" si="48"/>
        <v>1.2184785798304887</v>
      </c>
      <c r="AB119">
        <f t="shared" si="49"/>
        <v>-118.33886021627595</v>
      </c>
      <c r="AC119">
        <f t="shared" si="50"/>
        <v>-144.26405017637433</v>
      </c>
      <c r="AD119">
        <f t="shared" si="51"/>
        <v>-13.590794044223204</v>
      </c>
      <c r="AE119">
        <f t="shared" si="52"/>
        <v>-7.8973974120486901E-2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52470.262671125551</v>
      </c>
      <c r="AK119">
        <f t="shared" si="56"/>
        <v>1799.99</v>
      </c>
      <c r="AL119">
        <f t="shared" si="57"/>
        <v>1499.1045427951599</v>
      </c>
      <c r="AM119">
        <f t="shared" si="58"/>
        <v>0.83284048399999988</v>
      </c>
      <c r="AN119">
        <f t="shared" si="59"/>
        <v>0.15339792468999996</v>
      </c>
      <c r="AO119">
        <v>29.1</v>
      </c>
      <c r="AP119">
        <v>0.5</v>
      </c>
      <c r="AQ119" t="s">
        <v>331</v>
      </c>
      <c r="AR119">
        <v>2</v>
      </c>
      <c r="AS119">
        <v>1690287660.5</v>
      </c>
      <c r="AT119">
        <v>401.762</v>
      </c>
      <c r="AU119">
        <v>799.96600000000001</v>
      </c>
      <c r="AV119">
        <v>25.614899999999999</v>
      </c>
      <c r="AW119">
        <v>0.25786199999999998</v>
      </c>
      <c r="AX119">
        <v>402.71899999999999</v>
      </c>
      <c r="AY119">
        <v>25.4237</v>
      </c>
      <c r="AZ119">
        <v>300.06400000000002</v>
      </c>
      <c r="BA119">
        <v>99.340699999999998</v>
      </c>
      <c r="BB119">
        <v>0.100068</v>
      </c>
      <c r="BC119">
        <v>26.7028</v>
      </c>
      <c r="BD119">
        <v>27.0093</v>
      </c>
      <c r="BE119">
        <v>28.354900000000001</v>
      </c>
      <c r="BF119">
        <v>0</v>
      </c>
      <c r="BG119">
        <v>0</v>
      </c>
      <c r="BH119">
        <v>9978.1200000000008</v>
      </c>
      <c r="BI119">
        <v>1087.3599999999999</v>
      </c>
      <c r="BJ119">
        <v>1.4016500000000001</v>
      </c>
      <c r="BK119">
        <v>-398.20400000000001</v>
      </c>
      <c r="BL119">
        <v>412.32400000000001</v>
      </c>
      <c r="BM119">
        <v>800.173</v>
      </c>
      <c r="BN119">
        <v>25.356999999999999</v>
      </c>
      <c r="BO119">
        <v>799.96600000000001</v>
      </c>
      <c r="BP119">
        <v>0.25786199999999998</v>
      </c>
      <c r="BQ119">
        <v>2.5446</v>
      </c>
      <c r="BR119">
        <v>2.5616199999999999E-2</v>
      </c>
      <c r="BS119">
        <v>21.314599999999999</v>
      </c>
      <c r="BT119">
        <v>-37.013300000000001</v>
      </c>
      <c r="BU119">
        <v>1799.99</v>
      </c>
      <c r="BV119">
        <v>0.90998999999999997</v>
      </c>
      <c r="BW119">
        <v>3.3991399999999998E-2</v>
      </c>
      <c r="BX119">
        <v>2.2006700000000001E-2</v>
      </c>
      <c r="BY119">
        <v>3.4012100000000003E-2</v>
      </c>
      <c r="BZ119">
        <v>25</v>
      </c>
      <c r="CA119">
        <v>33528.1</v>
      </c>
      <c r="CB119">
        <v>1690286268.5999999</v>
      </c>
      <c r="CC119" t="s">
        <v>332</v>
      </c>
      <c r="CD119">
        <v>1690286261.0999999</v>
      </c>
      <c r="CE119">
        <v>1690286268.5999999</v>
      </c>
      <c r="CF119">
        <v>1</v>
      </c>
      <c r="CG119">
        <v>-0.89900000000000002</v>
      </c>
      <c r="CH119">
        <v>3.4000000000000002E-2</v>
      </c>
      <c r="CI119">
        <v>-1.2370000000000001</v>
      </c>
      <c r="CJ119">
        <v>8.5999999999999993E-2</v>
      </c>
      <c r="CK119">
        <v>799</v>
      </c>
      <c r="CL119">
        <v>16</v>
      </c>
      <c r="CM119">
        <v>0.28999999999999998</v>
      </c>
      <c r="CN119">
        <v>0.09</v>
      </c>
      <c r="CO119">
        <v>-396.53257500000001</v>
      </c>
      <c r="CP119">
        <v>-9.3778198874294336</v>
      </c>
      <c r="CQ119">
        <v>0.90494405593660732</v>
      </c>
      <c r="CR119">
        <v>-1</v>
      </c>
      <c r="CS119">
        <v>25.279692499999999</v>
      </c>
      <c r="CT119">
        <v>0.4243891181988409</v>
      </c>
      <c r="CU119">
        <v>4.0849341411459572E-2</v>
      </c>
      <c r="CV119">
        <v>-1</v>
      </c>
      <c r="CW119">
        <v>0</v>
      </c>
      <c r="CX119">
        <v>0</v>
      </c>
      <c r="CY119" t="s">
        <v>333</v>
      </c>
      <c r="CZ119">
        <v>2.3649300000000002</v>
      </c>
      <c r="DA119">
        <v>2.7138399999999998</v>
      </c>
      <c r="DB119">
        <v>9.0317800000000004E-2</v>
      </c>
      <c r="DC119">
        <v>0.146562</v>
      </c>
      <c r="DD119">
        <v>0.11971999999999999</v>
      </c>
      <c r="DE119">
        <v>2.1677900000000002E-3</v>
      </c>
      <c r="DF119">
        <v>33212.1</v>
      </c>
      <c r="DG119">
        <v>27473</v>
      </c>
      <c r="DH119">
        <v>31165.9</v>
      </c>
      <c r="DI119">
        <v>28048.400000000001</v>
      </c>
      <c r="DJ119">
        <v>37231</v>
      </c>
      <c r="DK119">
        <v>39784</v>
      </c>
      <c r="DL119">
        <v>44345.7</v>
      </c>
      <c r="DM119">
        <v>42488</v>
      </c>
      <c r="DN119">
        <v>1.49213</v>
      </c>
      <c r="DO119">
        <v>2.0642800000000001</v>
      </c>
      <c r="DP119">
        <v>8.3990400000000007E-2</v>
      </c>
      <c r="DQ119">
        <v>0.188023</v>
      </c>
      <c r="DR119">
        <v>25.6342</v>
      </c>
      <c r="DS119">
        <v>25.279</v>
      </c>
      <c r="DT119">
        <v>49.2</v>
      </c>
      <c r="DU119">
        <v>25.2</v>
      </c>
      <c r="DV119">
        <v>15.9337</v>
      </c>
      <c r="DW119">
        <v>61.971400000000003</v>
      </c>
      <c r="DX119">
        <v>37.299700000000001</v>
      </c>
      <c r="DY119">
        <v>1</v>
      </c>
      <c r="DZ119">
        <v>-0.144042</v>
      </c>
      <c r="EA119">
        <v>-0.74762799999999996</v>
      </c>
      <c r="EB119">
        <v>20.189</v>
      </c>
      <c r="EC119">
        <v>5.2411000000000003</v>
      </c>
      <c r="ED119">
        <v>12.039899999999999</v>
      </c>
      <c r="EE119">
        <v>5.0170500000000002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1.8687400000000001</v>
      </c>
      <c r="EL119">
        <v>1.8644400000000001</v>
      </c>
      <c r="EM119">
        <v>1.86907</v>
      </c>
      <c r="EN119">
        <v>1.86707</v>
      </c>
      <c r="EO119">
        <v>1.8632500000000001</v>
      </c>
      <c r="EP119">
        <v>1.8642799999999999</v>
      </c>
      <c r="EQ119">
        <v>1.87005</v>
      </c>
      <c r="ER119">
        <v>1.86931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-0.95699999999999996</v>
      </c>
      <c r="FG119">
        <v>0.19120000000000001</v>
      </c>
      <c r="FH119">
        <v>-0.68620417327404271</v>
      </c>
      <c r="FI119">
        <v>-6.1462078757559423E-4</v>
      </c>
      <c r="FJ119">
        <v>-1.8861989874597051E-7</v>
      </c>
      <c r="FK119">
        <v>1.1980462299894961E-10</v>
      </c>
      <c r="FL119">
        <v>0.1911242781723908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23.3</v>
      </c>
      <c r="FU119">
        <v>23.2</v>
      </c>
      <c r="FV119">
        <v>1.7590300000000001</v>
      </c>
      <c r="FW119">
        <v>2.5671400000000002</v>
      </c>
      <c r="FX119">
        <v>1.5490699999999999</v>
      </c>
      <c r="FY119">
        <v>2.34009</v>
      </c>
      <c r="FZ119">
        <v>1.50146</v>
      </c>
      <c r="GA119">
        <v>2.2875999999999999</v>
      </c>
      <c r="GB119">
        <v>30.695599999999999</v>
      </c>
      <c r="GC119">
        <v>23.982399999999998</v>
      </c>
      <c r="GD119">
        <v>19</v>
      </c>
      <c r="GE119">
        <v>286.82400000000001</v>
      </c>
      <c r="GF119">
        <v>598.76900000000001</v>
      </c>
      <c r="GG119">
        <v>26.069400000000002</v>
      </c>
      <c r="GH119">
        <v>25.599900000000002</v>
      </c>
      <c r="GI119">
        <v>30.0002</v>
      </c>
      <c r="GJ119">
        <v>25.712900000000001</v>
      </c>
      <c r="GK119">
        <v>25.675899999999999</v>
      </c>
      <c r="GL119">
        <v>35.1599</v>
      </c>
      <c r="GM119">
        <v>100</v>
      </c>
      <c r="GN119">
        <v>40.307000000000002</v>
      </c>
      <c r="GO119">
        <v>26.0626</v>
      </c>
      <c r="GP119">
        <v>800</v>
      </c>
      <c r="GQ119">
        <v>0</v>
      </c>
      <c r="GR119">
        <v>99.709299999999999</v>
      </c>
      <c r="GS119">
        <v>99.416300000000007</v>
      </c>
    </row>
    <row r="120" spans="1:201" x14ac:dyDescent="0.25">
      <c r="A120">
        <v>104</v>
      </c>
      <c r="B120">
        <v>1690287670.5</v>
      </c>
      <c r="C120">
        <v>1131.900000095367</v>
      </c>
      <c r="D120" t="s">
        <v>541</v>
      </c>
      <c r="E120" t="s">
        <v>542</v>
      </c>
      <c r="F120" t="s">
        <v>330</v>
      </c>
      <c r="H120">
        <v>1690287670.5</v>
      </c>
      <c r="I120">
        <f t="shared" si="30"/>
        <v>2.6928471524997623E-3</v>
      </c>
      <c r="J120">
        <f t="shared" si="31"/>
        <v>2.6928471524997621</v>
      </c>
      <c r="K120">
        <f t="shared" si="32"/>
        <v>40.17251747343925</v>
      </c>
      <c r="L120">
        <f t="shared" si="33"/>
        <v>400.15</v>
      </c>
      <c r="M120">
        <f t="shared" si="34"/>
        <v>97.078860429562042</v>
      </c>
      <c r="N120">
        <f t="shared" si="35"/>
        <v>9.6534443151061673</v>
      </c>
      <c r="O120">
        <f t="shared" si="36"/>
        <v>39.790596280149998</v>
      </c>
      <c r="P120">
        <f t="shared" si="37"/>
        <v>0.22564862018168397</v>
      </c>
      <c r="Q120">
        <f t="shared" si="38"/>
        <v>2.298751625928066</v>
      </c>
      <c r="R120">
        <f t="shared" si="39"/>
        <v>0.21402571294672204</v>
      </c>
      <c r="S120">
        <f t="shared" si="40"/>
        <v>0.13476043344741254</v>
      </c>
      <c r="T120">
        <f t="shared" si="41"/>
        <v>276.11628472799998</v>
      </c>
      <c r="U120">
        <f t="shared" si="42"/>
        <v>27.867875018879289</v>
      </c>
      <c r="V120">
        <f t="shared" si="43"/>
        <v>27.867875018879289</v>
      </c>
      <c r="W120">
        <f t="shared" si="44"/>
        <v>3.7657082080529229</v>
      </c>
      <c r="X120">
        <f t="shared" si="45"/>
        <v>72.607853608434155</v>
      </c>
      <c r="Y120">
        <f t="shared" si="46"/>
        <v>2.5543345317674002</v>
      </c>
      <c r="Z120">
        <f t="shared" si="47"/>
        <v>3.5179865604382603</v>
      </c>
      <c r="AA120">
        <f t="shared" si="48"/>
        <v>1.2113736762855227</v>
      </c>
      <c r="AB120">
        <f t="shared" si="49"/>
        <v>-118.75455942523952</v>
      </c>
      <c r="AC120">
        <f t="shared" si="50"/>
        <v>-143.89237269185639</v>
      </c>
      <c r="AD120">
        <f t="shared" si="51"/>
        <v>-13.547826098029905</v>
      </c>
      <c r="AE120">
        <f t="shared" si="52"/>
        <v>-7.8473487125847896E-2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52522.403237641141</v>
      </c>
      <c r="AK120">
        <f t="shared" si="56"/>
        <v>1800</v>
      </c>
      <c r="AL120">
        <f t="shared" si="57"/>
        <v>1499.1087258000002</v>
      </c>
      <c r="AM120">
        <f t="shared" si="58"/>
        <v>0.83283818100000007</v>
      </c>
      <c r="AN120">
        <f t="shared" si="59"/>
        <v>0.15339793595999998</v>
      </c>
      <c r="AO120">
        <v>29.1</v>
      </c>
      <c r="AP120">
        <v>0.5</v>
      </c>
      <c r="AQ120" t="s">
        <v>331</v>
      </c>
      <c r="AR120">
        <v>2</v>
      </c>
      <c r="AS120">
        <v>1690287670.5</v>
      </c>
      <c r="AT120">
        <v>400.15</v>
      </c>
      <c r="AU120">
        <v>800.02099999999996</v>
      </c>
      <c r="AV120">
        <v>25.6874</v>
      </c>
      <c r="AW120">
        <v>0.25394600000000001</v>
      </c>
      <c r="AX120">
        <v>401.10500000000002</v>
      </c>
      <c r="AY120">
        <v>25.496300000000002</v>
      </c>
      <c r="AZ120">
        <v>300.19099999999997</v>
      </c>
      <c r="BA120">
        <v>99.339200000000005</v>
      </c>
      <c r="BB120">
        <v>0.10000100000000001</v>
      </c>
      <c r="BC120">
        <v>26.706800000000001</v>
      </c>
      <c r="BD120">
        <v>26.987100000000002</v>
      </c>
      <c r="BE120">
        <v>28.350899999999999</v>
      </c>
      <c r="BF120">
        <v>0</v>
      </c>
      <c r="BG120">
        <v>0</v>
      </c>
      <c r="BH120">
        <v>9988.75</v>
      </c>
      <c r="BI120">
        <v>1087.44</v>
      </c>
      <c r="BJ120">
        <v>1.4016500000000001</v>
      </c>
      <c r="BK120">
        <v>-399.87200000000001</v>
      </c>
      <c r="BL120">
        <v>410.7</v>
      </c>
      <c r="BM120">
        <v>800.22500000000002</v>
      </c>
      <c r="BN120">
        <v>25.433499999999999</v>
      </c>
      <c r="BO120">
        <v>800.02099999999996</v>
      </c>
      <c r="BP120">
        <v>0.25394600000000001</v>
      </c>
      <c r="BQ120">
        <v>2.5517699999999999</v>
      </c>
      <c r="BR120">
        <v>2.5226800000000001E-2</v>
      </c>
      <c r="BS120">
        <v>21.360499999999998</v>
      </c>
      <c r="BT120">
        <v>-37.164299999999997</v>
      </c>
      <c r="BU120">
        <v>1800</v>
      </c>
      <c r="BV120">
        <v>0.90997700000000004</v>
      </c>
      <c r="BW120">
        <v>3.4007700000000002E-2</v>
      </c>
      <c r="BX120">
        <v>2.2005299999999998E-2</v>
      </c>
      <c r="BY120">
        <v>3.4009999999999999E-2</v>
      </c>
      <c r="BZ120">
        <v>25</v>
      </c>
      <c r="CA120">
        <v>33528.199999999997</v>
      </c>
      <c r="CB120">
        <v>1690286268.5999999</v>
      </c>
      <c r="CC120" t="s">
        <v>332</v>
      </c>
      <c r="CD120">
        <v>1690286261.0999999</v>
      </c>
      <c r="CE120">
        <v>1690286268.5999999</v>
      </c>
      <c r="CF120">
        <v>1</v>
      </c>
      <c r="CG120">
        <v>-0.89900000000000002</v>
      </c>
      <c r="CH120">
        <v>3.4000000000000002E-2</v>
      </c>
      <c r="CI120">
        <v>-1.2370000000000001</v>
      </c>
      <c r="CJ120">
        <v>8.5999999999999993E-2</v>
      </c>
      <c r="CK120">
        <v>799</v>
      </c>
      <c r="CL120">
        <v>16</v>
      </c>
      <c r="CM120">
        <v>0.28999999999999998</v>
      </c>
      <c r="CN120">
        <v>0.09</v>
      </c>
      <c r="CO120">
        <v>-398.12939024390238</v>
      </c>
      <c r="CP120">
        <v>-9.4601393728214926</v>
      </c>
      <c r="CQ120">
        <v>0.93423561758964735</v>
      </c>
      <c r="CR120">
        <v>-1</v>
      </c>
      <c r="CS120">
        <v>25.352207317073169</v>
      </c>
      <c r="CT120">
        <v>0.42635749128920258</v>
      </c>
      <c r="CU120">
        <v>4.2075364382544153E-2</v>
      </c>
      <c r="CV120">
        <v>-1</v>
      </c>
      <c r="CW120">
        <v>0</v>
      </c>
      <c r="CX120">
        <v>0</v>
      </c>
      <c r="CY120" t="s">
        <v>333</v>
      </c>
      <c r="CZ120">
        <v>2.3653400000000002</v>
      </c>
      <c r="DA120">
        <v>2.7137799999999999</v>
      </c>
      <c r="DB120">
        <v>9.0040300000000004E-2</v>
      </c>
      <c r="DC120">
        <v>0.146566</v>
      </c>
      <c r="DD120">
        <v>0.11995599999999999</v>
      </c>
      <c r="DE120">
        <v>2.1353399999999999E-3</v>
      </c>
      <c r="DF120">
        <v>33222.699999999997</v>
      </c>
      <c r="DG120">
        <v>27473.200000000001</v>
      </c>
      <c r="DH120">
        <v>31166.400000000001</v>
      </c>
      <c r="DI120">
        <v>28048.799999999999</v>
      </c>
      <c r="DJ120">
        <v>37221.9</v>
      </c>
      <c r="DK120">
        <v>39785.699999999997</v>
      </c>
      <c r="DL120">
        <v>44346.9</v>
      </c>
      <c r="DM120">
        <v>42488.5</v>
      </c>
      <c r="DN120">
        <v>1.4924999999999999</v>
      </c>
      <c r="DO120">
        <v>2.0640700000000001</v>
      </c>
      <c r="DP120">
        <v>8.2403400000000002E-2</v>
      </c>
      <c r="DQ120">
        <v>0.18768000000000001</v>
      </c>
      <c r="DR120">
        <v>25.638000000000002</v>
      </c>
      <c r="DS120">
        <v>25.2806</v>
      </c>
      <c r="DT120">
        <v>48.7</v>
      </c>
      <c r="DU120">
        <v>25.2</v>
      </c>
      <c r="DV120">
        <v>15.776</v>
      </c>
      <c r="DW120">
        <v>61.691400000000002</v>
      </c>
      <c r="DX120">
        <v>36.798900000000003</v>
      </c>
      <c r="DY120">
        <v>1</v>
      </c>
      <c r="DZ120">
        <v>-0.14421500000000001</v>
      </c>
      <c r="EA120">
        <v>-0.74414199999999997</v>
      </c>
      <c r="EB120">
        <v>20.1892</v>
      </c>
      <c r="EC120">
        <v>5.24125</v>
      </c>
      <c r="ED120">
        <v>12.039899999999999</v>
      </c>
      <c r="EE120">
        <v>5.0170000000000003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1.8687400000000001</v>
      </c>
      <c r="EL120">
        <v>1.86446</v>
      </c>
      <c r="EM120">
        <v>1.8690500000000001</v>
      </c>
      <c r="EN120">
        <v>1.86707</v>
      </c>
      <c r="EO120">
        <v>1.8632500000000001</v>
      </c>
      <c r="EP120">
        <v>1.8643099999999999</v>
      </c>
      <c r="EQ120">
        <v>1.87009</v>
      </c>
      <c r="ER120">
        <v>1.86931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-0.95499999999999996</v>
      </c>
      <c r="FG120">
        <v>0.19109999999999999</v>
      </c>
      <c r="FH120">
        <v>-0.68620417327404271</v>
      </c>
      <c r="FI120">
        <v>-6.1462078757559423E-4</v>
      </c>
      <c r="FJ120">
        <v>-1.8861989874597051E-7</v>
      </c>
      <c r="FK120">
        <v>1.1980462299894961E-10</v>
      </c>
      <c r="FL120">
        <v>0.1911242781723908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23.5</v>
      </c>
      <c r="FU120">
        <v>23.4</v>
      </c>
      <c r="FV120">
        <v>1.7578100000000001</v>
      </c>
      <c r="FW120">
        <v>2.5647000000000002</v>
      </c>
      <c r="FX120">
        <v>1.5490699999999999</v>
      </c>
      <c r="FY120">
        <v>2.33887</v>
      </c>
      <c r="FZ120">
        <v>1.50146</v>
      </c>
      <c r="GA120">
        <v>2.3315399999999999</v>
      </c>
      <c r="GB120">
        <v>30.695599999999999</v>
      </c>
      <c r="GC120">
        <v>23.991199999999999</v>
      </c>
      <c r="GD120">
        <v>19</v>
      </c>
      <c r="GE120">
        <v>286.98500000000001</v>
      </c>
      <c r="GF120">
        <v>598.61300000000006</v>
      </c>
      <c r="GG120">
        <v>26.059699999999999</v>
      </c>
      <c r="GH120">
        <v>25.599900000000002</v>
      </c>
      <c r="GI120">
        <v>30</v>
      </c>
      <c r="GJ120">
        <v>25.712900000000001</v>
      </c>
      <c r="GK120">
        <v>25.6769</v>
      </c>
      <c r="GL120">
        <v>35.158799999999999</v>
      </c>
      <c r="GM120">
        <v>100</v>
      </c>
      <c r="GN120">
        <v>39.125300000000003</v>
      </c>
      <c r="GO120">
        <v>26.063700000000001</v>
      </c>
      <c r="GP120">
        <v>800</v>
      </c>
      <c r="GQ120">
        <v>0</v>
      </c>
      <c r="GR120">
        <v>99.711500000000001</v>
      </c>
      <c r="GS120">
        <v>99.417400000000001</v>
      </c>
    </row>
    <row r="121" spans="1:201" x14ac:dyDescent="0.25">
      <c r="A121">
        <v>105</v>
      </c>
      <c r="B121">
        <v>1690287680.5</v>
      </c>
      <c r="C121">
        <v>1141.900000095367</v>
      </c>
      <c r="D121" t="s">
        <v>543</v>
      </c>
      <c r="E121" t="s">
        <v>544</v>
      </c>
      <c r="F121" t="s">
        <v>330</v>
      </c>
      <c r="H121">
        <v>1690287680.5</v>
      </c>
      <c r="I121">
        <f t="shared" si="30"/>
        <v>2.7006330897449745E-3</v>
      </c>
      <c r="J121">
        <f t="shared" si="31"/>
        <v>2.7006330897449744</v>
      </c>
      <c r="K121">
        <f t="shared" si="32"/>
        <v>40.325157653858021</v>
      </c>
      <c r="L121">
        <f t="shared" si="33"/>
        <v>398.69499999999999</v>
      </c>
      <c r="M121">
        <f t="shared" si="34"/>
        <v>97.330011619191851</v>
      </c>
      <c r="N121">
        <f t="shared" si="35"/>
        <v>9.67833653953336</v>
      </c>
      <c r="O121">
        <f t="shared" si="36"/>
        <v>39.64557614281</v>
      </c>
      <c r="P121">
        <f t="shared" si="37"/>
        <v>0.22788021727320851</v>
      </c>
      <c r="Q121">
        <f t="shared" si="38"/>
        <v>2.2977392398098653</v>
      </c>
      <c r="R121">
        <f t="shared" si="39"/>
        <v>0.21602783275089132</v>
      </c>
      <c r="S121">
        <f t="shared" si="40"/>
        <v>0.13603089281863198</v>
      </c>
      <c r="T121">
        <f t="shared" si="41"/>
        <v>276.11460165546868</v>
      </c>
      <c r="U121">
        <f t="shared" si="42"/>
        <v>27.862099575544928</v>
      </c>
      <c r="V121">
        <f t="shared" si="43"/>
        <v>27.862099575544928</v>
      </c>
      <c r="W121">
        <f t="shared" si="44"/>
        <v>3.7644392773984601</v>
      </c>
      <c r="X121">
        <f t="shared" si="45"/>
        <v>72.809364433017336</v>
      </c>
      <c r="Y121">
        <f t="shared" si="46"/>
        <v>2.5608658650814</v>
      </c>
      <c r="Z121">
        <f t="shared" si="47"/>
        <v>3.5172204633613138</v>
      </c>
      <c r="AA121">
        <f t="shared" si="48"/>
        <v>1.2035734123170601</v>
      </c>
      <c r="AB121">
        <f t="shared" si="49"/>
        <v>-119.09791925775338</v>
      </c>
      <c r="AC121">
        <f t="shared" si="50"/>
        <v>-143.5719044625169</v>
      </c>
      <c r="AD121">
        <f t="shared" si="51"/>
        <v>-13.522968838510824</v>
      </c>
      <c r="AE121">
        <f t="shared" si="52"/>
        <v>-7.819090331244638E-2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52484.736542272447</v>
      </c>
      <c r="AK121">
        <f t="shared" si="56"/>
        <v>1799.99</v>
      </c>
      <c r="AL121">
        <f t="shared" si="57"/>
        <v>1499.1007430162699</v>
      </c>
      <c r="AM121">
        <f t="shared" si="58"/>
        <v>0.83283837299999997</v>
      </c>
      <c r="AN121">
        <f t="shared" si="59"/>
        <v>0.15339785312999998</v>
      </c>
      <c r="AO121">
        <v>29.1</v>
      </c>
      <c r="AP121">
        <v>0.5</v>
      </c>
      <c r="AQ121" t="s">
        <v>331</v>
      </c>
      <c r="AR121">
        <v>2</v>
      </c>
      <c r="AS121">
        <v>1690287680.5</v>
      </c>
      <c r="AT121">
        <v>398.69499999999999</v>
      </c>
      <c r="AU121">
        <v>799.995</v>
      </c>
      <c r="AV121">
        <v>25.753299999999999</v>
      </c>
      <c r="AW121">
        <v>0.250753</v>
      </c>
      <c r="AX121">
        <v>399.649</v>
      </c>
      <c r="AY121">
        <v>25.562200000000001</v>
      </c>
      <c r="AZ121">
        <v>300.22300000000001</v>
      </c>
      <c r="BA121">
        <v>99.338300000000004</v>
      </c>
      <c r="BB121">
        <v>0.10005799999999999</v>
      </c>
      <c r="BC121">
        <v>26.703099999999999</v>
      </c>
      <c r="BD121">
        <v>26.9895</v>
      </c>
      <c r="BE121">
        <v>28.3385</v>
      </c>
      <c r="BF121">
        <v>0</v>
      </c>
      <c r="BG121">
        <v>0</v>
      </c>
      <c r="BH121">
        <v>9981.25</v>
      </c>
      <c r="BI121">
        <v>1087.3800000000001</v>
      </c>
      <c r="BJ121">
        <v>1.4016500000000001</v>
      </c>
      <c r="BK121">
        <v>-401.30099999999999</v>
      </c>
      <c r="BL121">
        <v>409.23399999999998</v>
      </c>
      <c r="BM121">
        <v>800.19600000000003</v>
      </c>
      <c r="BN121">
        <v>25.502500000000001</v>
      </c>
      <c r="BO121">
        <v>799.995</v>
      </c>
      <c r="BP121">
        <v>0.250753</v>
      </c>
      <c r="BQ121">
        <v>2.55829</v>
      </c>
      <c r="BR121">
        <v>2.4909400000000002E-2</v>
      </c>
      <c r="BS121">
        <v>21.402200000000001</v>
      </c>
      <c r="BT121">
        <v>-37.288899999999998</v>
      </c>
      <c r="BU121">
        <v>1799.99</v>
      </c>
      <c r="BV121">
        <v>0.90998000000000001</v>
      </c>
      <c r="BW121">
        <v>3.4007099999999998E-2</v>
      </c>
      <c r="BX121">
        <v>2.20044E-2</v>
      </c>
      <c r="BY121">
        <v>3.4008499999999997E-2</v>
      </c>
      <c r="BZ121">
        <v>25</v>
      </c>
      <c r="CA121">
        <v>33528.1</v>
      </c>
      <c r="CB121">
        <v>1690286268.5999999</v>
      </c>
      <c r="CC121" t="s">
        <v>332</v>
      </c>
      <c r="CD121">
        <v>1690286261.0999999</v>
      </c>
      <c r="CE121">
        <v>1690286268.5999999</v>
      </c>
      <c r="CF121">
        <v>1</v>
      </c>
      <c r="CG121">
        <v>-0.89900000000000002</v>
      </c>
      <c r="CH121">
        <v>3.4000000000000002E-2</v>
      </c>
      <c r="CI121">
        <v>-1.2370000000000001</v>
      </c>
      <c r="CJ121">
        <v>8.5999999999999993E-2</v>
      </c>
      <c r="CK121">
        <v>799</v>
      </c>
      <c r="CL121">
        <v>16</v>
      </c>
      <c r="CM121">
        <v>0.28999999999999998</v>
      </c>
      <c r="CN121">
        <v>0.09</v>
      </c>
      <c r="CO121">
        <v>-399.77175</v>
      </c>
      <c r="CP121">
        <v>-8.7720450281419211</v>
      </c>
      <c r="CQ121">
        <v>0.8454238212281473</v>
      </c>
      <c r="CR121">
        <v>-1</v>
      </c>
      <c r="CS121">
        <v>25.42943</v>
      </c>
      <c r="CT121">
        <v>0.43561801125700289</v>
      </c>
      <c r="CU121">
        <v>4.1926681242378333E-2</v>
      </c>
      <c r="CV121">
        <v>-1</v>
      </c>
      <c r="CW121">
        <v>0</v>
      </c>
      <c r="CX121">
        <v>0</v>
      </c>
      <c r="CY121" t="s">
        <v>333</v>
      </c>
      <c r="CZ121">
        <v>2.3654299999999999</v>
      </c>
      <c r="DA121">
        <v>2.7138300000000002</v>
      </c>
      <c r="DB121">
        <v>8.9789800000000003E-2</v>
      </c>
      <c r="DC121">
        <v>0.146562</v>
      </c>
      <c r="DD121">
        <v>0.12017</v>
      </c>
      <c r="DE121">
        <v>2.10888E-3</v>
      </c>
      <c r="DF121">
        <v>33232</v>
      </c>
      <c r="DG121">
        <v>27473.200000000001</v>
      </c>
      <c r="DH121">
        <v>31166.5</v>
      </c>
      <c r="DI121">
        <v>28048.6</v>
      </c>
      <c r="DJ121">
        <v>37212.699999999997</v>
      </c>
      <c r="DK121">
        <v>39786.6</v>
      </c>
      <c r="DL121">
        <v>44346.9</v>
      </c>
      <c r="DM121">
        <v>42488.3</v>
      </c>
      <c r="DN121">
        <v>1.4922500000000001</v>
      </c>
      <c r="DO121">
        <v>2.0640999999999998</v>
      </c>
      <c r="DP121">
        <v>8.2530099999999995E-2</v>
      </c>
      <c r="DQ121">
        <v>0.186838</v>
      </c>
      <c r="DR121">
        <v>25.638300000000001</v>
      </c>
      <c r="DS121">
        <v>25.282</v>
      </c>
      <c r="DT121">
        <v>48.2</v>
      </c>
      <c r="DU121">
        <v>25.2</v>
      </c>
      <c r="DV121">
        <v>15.6119</v>
      </c>
      <c r="DW121">
        <v>62.251399999999997</v>
      </c>
      <c r="DX121">
        <v>36.554499999999997</v>
      </c>
      <c r="DY121">
        <v>1</v>
      </c>
      <c r="DZ121">
        <v>-0.144317</v>
      </c>
      <c r="EA121">
        <v>-0.79171599999999998</v>
      </c>
      <c r="EB121">
        <v>20.188600000000001</v>
      </c>
      <c r="EC121">
        <v>5.2415500000000002</v>
      </c>
      <c r="ED121">
        <v>12.039899999999999</v>
      </c>
      <c r="EE121">
        <v>5.0170000000000003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1.8687400000000001</v>
      </c>
      <c r="EL121">
        <v>1.8644499999999999</v>
      </c>
      <c r="EM121">
        <v>1.8690500000000001</v>
      </c>
      <c r="EN121">
        <v>1.86707</v>
      </c>
      <c r="EO121">
        <v>1.8632500000000001</v>
      </c>
      <c r="EP121">
        <v>1.8643000000000001</v>
      </c>
      <c r="EQ121">
        <v>1.8701000000000001</v>
      </c>
      <c r="ER121">
        <v>1.8693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-0.95399999999999996</v>
      </c>
      <c r="FG121">
        <v>0.19109999999999999</v>
      </c>
      <c r="FH121">
        <v>-0.68620417327404271</v>
      </c>
      <c r="FI121">
        <v>-6.1462078757559423E-4</v>
      </c>
      <c r="FJ121">
        <v>-1.8861989874597051E-7</v>
      </c>
      <c r="FK121">
        <v>1.1980462299894961E-10</v>
      </c>
      <c r="FL121">
        <v>0.1911242781723908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23.7</v>
      </c>
      <c r="FU121">
        <v>23.5</v>
      </c>
      <c r="FV121">
        <v>1.7578100000000001</v>
      </c>
      <c r="FW121">
        <v>2.5598100000000001</v>
      </c>
      <c r="FX121">
        <v>1.5490699999999999</v>
      </c>
      <c r="FY121">
        <v>2.33887</v>
      </c>
      <c r="FZ121">
        <v>1.50146</v>
      </c>
      <c r="GA121">
        <v>2.3571800000000001</v>
      </c>
      <c r="GB121">
        <v>30.695599999999999</v>
      </c>
      <c r="GC121">
        <v>23.991199999999999</v>
      </c>
      <c r="GD121">
        <v>19</v>
      </c>
      <c r="GE121">
        <v>286.87799999999999</v>
      </c>
      <c r="GF121">
        <v>598.63400000000001</v>
      </c>
      <c r="GG121">
        <v>26.068899999999999</v>
      </c>
      <c r="GH121">
        <v>25.599399999999999</v>
      </c>
      <c r="GI121">
        <v>30</v>
      </c>
      <c r="GJ121">
        <v>25.712900000000001</v>
      </c>
      <c r="GK121">
        <v>25.6769</v>
      </c>
      <c r="GL121">
        <v>35.160800000000002</v>
      </c>
      <c r="GM121">
        <v>100</v>
      </c>
      <c r="GN121">
        <v>38.351500000000001</v>
      </c>
      <c r="GO121">
        <v>26.085699999999999</v>
      </c>
      <c r="GP121">
        <v>800</v>
      </c>
      <c r="GQ121">
        <v>0</v>
      </c>
      <c r="GR121">
        <v>99.711600000000004</v>
      </c>
      <c r="GS121">
        <v>99.416899999999998</v>
      </c>
    </row>
    <row r="122" spans="1:201" x14ac:dyDescent="0.25">
      <c r="A122">
        <v>106</v>
      </c>
      <c r="B122">
        <v>1690287690.5</v>
      </c>
      <c r="C122">
        <v>1151.900000095367</v>
      </c>
      <c r="D122" t="s">
        <v>545</v>
      </c>
      <c r="E122" t="s">
        <v>546</v>
      </c>
      <c r="F122" t="s">
        <v>330</v>
      </c>
      <c r="H122">
        <v>1690287690.5</v>
      </c>
      <c r="I122">
        <f t="shared" si="30"/>
        <v>2.7065828227966085E-3</v>
      </c>
      <c r="J122">
        <f t="shared" si="31"/>
        <v>2.7065828227966087</v>
      </c>
      <c r="K122">
        <f t="shared" si="32"/>
        <v>40.444489129246342</v>
      </c>
      <c r="L122">
        <f t="shared" si="33"/>
        <v>397.34100000000001</v>
      </c>
      <c r="M122">
        <f t="shared" si="34"/>
        <v>97.594924026463474</v>
      </c>
      <c r="N122">
        <f t="shared" si="35"/>
        <v>9.7048634487326861</v>
      </c>
      <c r="O122">
        <f t="shared" si="36"/>
        <v>39.511687580568001</v>
      </c>
      <c r="P122">
        <f t="shared" si="37"/>
        <v>0.2298544384710598</v>
      </c>
      <c r="Q122">
        <f t="shared" si="38"/>
        <v>2.300518813104258</v>
      </c>
      <c r="R122">
        <f t="shared" si="39"/>
        <v>0.21781537635409337</v>
      </c>
      <c r="S122">
        <f t="shared" si="40"/>
        <v>0.13716370274703335</v>
      </c>
      <c r="T122">
        <f t="shared" si="41"/>
        <v>276.11605521000001</v>
      </c>
      <c r="U122">
        <f t="shared" si="42"/>
        <v>27.856996990405477</v>
      </c>
      <c r="V122">
        <f t="shared" si="43"/>
        <v>27.856996990405477</v>
      </c>
      <c r="W122">
        <f t="shared" si="44"/>
        <v>3.7633184917805167</v>
      </c>
      <c r="X122">
        <f t="shared" si="45"/>
        <v>72.991938338386802</v>
      </c>
      <c r="Y122">
        <f t="shared" si="46"/>
        <v>2.5670002819960001</v>
      </c>
      <c r="Z122">
        <f t="shared" si="47"/>
        <v>3.5168271187641587</v>
      </c>
      <c r="AA122">
        <f t="shared" si="48"/>
        <v>1.1963182097845166</v>
      </c>
      <c r="AB122">
        <f t="shared" si="49"/>
        <v>-119.36030248533044</v>
      </c>
      <c r="AC122">
        <f t="shared" si="50"/>
        <v>-143.34838083067342</v>
      </c>
      <c r="AD122">
        <f t="shared" si="51"/>
        <v>-13.485129736820236</v>
      </c>
      <c r="AE122">
        <f t="shared" si="52"/>
        <v>-7.7757842824070167E-2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52590.292832326813</v>
      </c>
      <c r="AK122">
        <f t="shared" si="56"/>
        <v>1800</v>
      </c>
      <c r="AL122">
        <f t="shared" si="57"/>
        <v>1499.1100559999998</v>
      </c>
      <c r="AM122">
        <f t="shared" si="58"/>
        <v>0.83283891999999993</v>
      </c>
      <c r="AN122">
        <f t="shared" si="59"/>
        <v>0.15339780845000001</v>
      </c>
      <c r="AO122">
        <v>29.1</v>
      </c>
      <c r="AP122">
        <v>0.5</v>
      </c>
      <c r="AQ122" t="s">
        <v>331</v>
      </c>
      <c r="AR122">
        <v>2</v>
      </c>
      <c r="AS122">
        <v>1690287690.5</v>
      </c>
      <c r="AT122">
        <v>397.34100000000001</v>
      </c>
      <c r="AU122">
        <v>799.93799999999999</v>
      </c>
      <c r="AV122">
        <v>25.814499999999999</v>
      </c>
      <c r="AW122">
        <v>0.247666</v>
      </c>
      <c r="AX122">
        <v>398.29500000000002</v>
      </c>
      <c r="AY122">
        <v>25.6234</v>
      </c>
      <c r="AZ122">
        <v>300.10899999999998</v>
      </c>
      <c r="BA122">
        <v>99.340299999999999</v>
      </c>
      <c r="BB122">
        <v>9.9947999999999995E-2</v>
      </c>
      <c r="BC122">
        <v>26.7012</v>
      </c>
      <c r="BD122">
        <v>26.998100000000001</v>
      </c>
      <c r="BE122">
        <v>28.339099999999998</v>
      </c>
      <c r="BF122">
        <v>0</v>
      </c>
      <c r="BG122">
        <v>0</v>
      </c>
      <c r="BH122">
        <v>10001.9</v>
      </c>
      <c r="BI122">
        <v>1087.42</v>
      </c>
      <c r="BJ122">
        <v>1.4016500000000001</v>
      </c>
      <c r="BK122">
        <v>-402.59699999999998</v>
      </c>
      <c r="BL122">
        <v>407.87</v>
      </c>
      <c r="BM122">
        <v>800.13599999999997</v>
      </c>
      <c r="BN122">
        <v>25.5669</v>
      </c>
      <c r="BO122">
        <v>799.93799999999999</v>
      </c>
      <c r="BP122">
        <v>0.247666</v>
      </c>
      <c r="BQ122">
        <v>2.5644200000000001</v>
      </c>
      <c r="BR122">
        <v>2.4603199999999999E-2</v>
      </c>
      <c r="BS122">
        <v>21.441299999999998</v>
      </c>
      <c r="BT122">
        <v>-37.410499999999999</v>
      </c>
      <c r="BU122">
        <v>1800</v>
      </c>
      <c r="BV122">
        <v>0.90998400000000002</v>
      </c>
      <c r="BW122">
        <v>3.40057E-2</v>
      </c>
      <c r="BX122">
        <v>2.2003499999999999E-2</v>
      </c>
      <c r="BY122">
        <v>3.4007099999999998E-2</v>
      </c>
      <c r="BZ122">
        <v>25</v>
      </c>
      <c r="CA122">
        <v>33528.199999999997</v>
      </c>
      <c r="CB122">
        <v>1690286268.5999999</v>
      </c>
      <c r="CC122" t="s">
        <v>332</v>
      </c>
      <c r="CD122">
        <v>1690286261.0999999</v>
      </c>
      <c r="CE122">
        <v>1690286268.5999999</v>
      </c>
      <c r="CF122">
        <v>1</v>
      </c>
      <c r="CG122">
        <v>-0.89900000000000002</v>
      </c>
      <c r="CH122">
        <v>3.4000000000000002E-2</v>
      </c>
      <c r="CI122">
        <v>-1.2370000000000001</v>
      </c>
      <c r="CJ122">
        <v>8.5999999999999993E-2</v>
      </c>
      <c r="CK122">
        <v>799</v>
      </c>
      <c r="CL122">
        <v>16</v>
      </c>
      <c r="CM122">
        <v>0.28999999999999998</v>
      </c>
      <c r="CN122">
        <v>0.09</v>
      </c>
      <c r="CO122">
        <v>-401.23812500000003</v>
      </c>
      <c r="CP122">
        <v>-8.5751257035646447</v>
      </c>
      <c r="CQ122">
        <v>0.82721355125203677</v>
      </c>
      <c r="CR122">
        <v>-1</v>
      </c>
      <c r="CS122">
        <v>25.500055</v>
      </c>
      <c r="CT122">
        <v>0.40924052532830152</v>
      </c>
      <c r="CU122">
        <v>3.9392467236770132E-2</v>
      </c>
      <c r="CV122">
        <v>-1</v>
      </c>
      <c r="CW122">
        <v>0</v>
      </c>
      <c r="CX122">
        <v>0</v>
      </c>
      <c r="CY122" t="s">
        <v>333</v>
      </c>
      <c r="CZ122">
        <v>2.3650799999999998</v>
      </c>
      <c r="DA122">
        <v>2.71374</v>
      </c>
      <c r="DB122">
        <v>8.9559E-2</v>
      </c>
      <c r="DC122">
        <v>0.14655799999999999</v>
      </c>
      <c r="DD122">
        <v>0.12037200000000001</v>
      </c>
      <c r="DE122">
        <v>2.0833599999999998E-3</v>
      </c>
      <c r="DF122">
        <v>33240</v>
      </c>
      <c r="DG122">
        <v>27473.4</v>
      </c>
      <c r="DH122">
        <v>31166.2</v>
      </c>
      <c r="DI122">
        <v>28048.7</v>
      </c>
      <c r="DJ122">
        <v>37203.599999999999</v>
      </c>
      <c r="DK122">
        <v>39787.800000000003</v>
      </c>
      <c r="DL122">
        <v>44346.400000000001</v>
      </c>
      <c r="DM122">
        <v>42488.4</v>
      </c>
      <c r="DN122">
        <v>1.4922200000000001</v>
      </c>
      <c r="DO122">
        <v>2.0640200000000002</v>
      </c>
      <c r="DP122">
        <v>8.3059099999999997E-2</v>
      </c>
      <c r="DQ122">
        <v>0.18687500000000001</v>
      </c>
      <c r="DR122">
        <v>25.638300000000001</v>
      </c>
      <c r="DS122">
        <v>25.282</v>
      </c>
      <c r="DT122">
        <v>47.7</v>
      </c>
      <c r="DU122">
        <v>25.2</v>
      </c>
      <c r="DV122">
        <v>15.4498</v>
      </c>
      <c r="DW122">
        <v>62.031399999999998</v>
      </c>
      <c r="DX122">
        <v>36.462299999999999</v>
      </c>
      <c r="DY122">
        <v>1</v>
      </c>
      <c r="DZ122">
        <v>-0.143902</v>
      </c>
      <c r="EA122">
        <v>-0.81206699999999998</v>
      </c>
      <c r="EB122">
        <v>20.188800000000001</v>
      </c>
      <c r="EC122">
        <v>5.2413999999999996</v>
      </c>
      <c r="ED122">
        <v>12.039899999999999</v>
      </c>
      <c r="EE122">
        <v>5.0172999999999996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1.8687400000000001</v>
      </c>
      <c r="EL122">
        <v>1.86446</v>
      </c>
      <c r="EM122">
        <v>1.86907</v>
      </c>
      <c r="EN122">
        <v>1.86707</v>
      </c>
      <c r="EO122">
        <v>1.8632500000000001</v>
      </c>
      <c r="EP122">
        <v>1.8643000000000001</v>
      </c>
      <c r="EQ122">
        <v>1.87008</v>
      </c>
      <c r="ER122">
        <v>1.8693200000000001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-0.95399999999999996</v>
      </c>
      <c r="FG122">
        <v>0.19109999999999999</v>
      </c>
      <c r="FH122">
        <v>-0.68620417327404271</v>
      </c>
      <c r="FI122">
        <v>-6.1462078757559423E-4</v>
      </c>
      <c r="FJ122">
        <v>-1.8861989874597051E-7</v>
      </c>
      <c r="FK122">
        <v>1.1980462299894961E-10</v>
      </c>
      <c r="FL122">
        <v>0.1911242781723908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23.8</v>
      </c>
      <c r="FU122">
        <v>23.7</v>
      </c>
      <c r="FV122">
        <v>1.7590300000000001</v>
      </c>
      <c r="FW122">
        <v>2.5622600000000002</v>
      </c>
      <c r="FX122">
        <v>1.5490699999999999</v>
      </c>
      <c r="FY122">
        <v>2.33887</v>
      </c>
      <c r="FZ122">
        <v>1.50146</v>
      </c>
      <c r="GA122">
        <v>2.3718300000000001</v>
      </c>
      <c r="GB122">
        <v>30.717199999999998</v>
      </c>
      <c r="GC122">
        <v>23.991199999999999</v>
      </c>
      <c r="GD122">
        <v>19</v>
      </c>
      <c r="GE122">
        <v>286.86700000000002</v>
      </c>
      <c r="GF122">
        <v>598.572</v>
      </c>
      <c r="GG122">
        <v>26.095099999999999</v>
      </c>
      <c r="GH122">
        <v>25.597999999999999</v>
      </c>
      <c r="GI122">
        <v>30.0002</v>
      </c>
      <c r="GJ122">
        <v>25.712900000000001</v>
      </c>
      <c r="GK122">
        <v>25.6769</v>
      </c>
      <c r="GL122">
        <v>35.162700000000001</v>
      </c>
      <c r="GM122">
        <v>100</v>
      </c>
      <c r="GN122">
        <v>37.2014</v>
      </c>
      <c r="GO122">
        <v>26.098299999999998</v>
      </c>
      <c r="GP122">
        <v>800</v>
      </c>
      <c r="GQ122">
        <v>0</v>
      </c>
      <c r="GR122">
        <v>99.710499999999996</v>
      </c>
      <c r="GS122">
        <v>99.417199999999994</v>
      </c>
    </row>
    <row r="123" spans="1:201" x14ac:dyDescent="0.25">
      <c r="A123">
        <v>107</v>
      </c>
      <c r="B123">
        <v>1690287700.5</v>
      </c>
      <c r="C123">
        <v>1161.900000095367</v>
      </c>
      <c r="D123" t="s">
        <v>547</v>
      </c>
      <c r="E123" t="s">
        <v>548</v>
      </c>
      <c r="F123" t="s">
        <v>330</v>
      </c>
      <c r="H123">
        <v>1690287700.5</v>
      </c>
      <c r="I123">
        <f t="shared" si="30"/>
        <v>2.7148916541981636E-3</v>
      </c>
      <c r="J123">
        <f t="shared" si="31"/>
        <v>2.7148916541981638</v>
      </c>
      <c r="K123">
        <f t="shared" si="32"/>
        <v>40.611809822192235</v>
      </c>
      <c r="L123">
        <f t="shared" si="33"/>
        <v>395.84699999999998</v>
      </c>
      <c r="M123">
        <f t="shared" si="34"/>
        <v>97.155369987714209</v>
      </c>
      <c r="N123">
        <f t="shared" si="35"/>
        <v>9.6613277027562265</v>
      </c>
      <c r="O123">
        <f t="shared" si="36"/>
        <v>39.363831228645005</v>
      </c>
      <c r="P123">
        <f t="shared" si="37"/>
        <v>0.23169517682194646</v>
      </c>
      <c r="Q123">
        <f t="shared" si="38"/>
        <v>2.2982890778448888</v>
      </c>
      <c r="R123">
        <f t="shared" si="39"/>
        <v>0.21945683666149479</v>
      </c>
      <c r="S123">
        <f t="shared" si="40"/>
        <v>0.13820619556826563</v>
      </c>
      <c r="T123">
        <f t="shared" si="41"/>
        <v>276.11414667199642</v>
      </c>
      <c r="U123">
        <f t="shared" si="42"/>
        <v>27.863895636533943</v>
      </c>
      <c r="V123">
        <f t="shared" si="43"/>
        <v>27.863895636533943</v>
      </c>
      <c r="W123">
        <f t="shared" si="44"/>
        <v>3.7648338524696561</v>
      </c>
      <c r="X123">
        <f t="shared" si="45"/>
        <v>73.14961979630074</v>
      </c>
      <c r="Y123">
        <f t="shared" si="46"/>
        <v>2.5738482477015001</v>
      </c>
      <c r="Z123">
        <f t="shared" si="47"/>
        <v>3.5186078271751491</v>
      </c>
      <c r="AA123">
        <f t="shared" si="48"/>
        <v>1.190985604768156</v>
      </c>
      <c r="AB123">
        <f t="shared" si="49"/>
        <v>-119.72672195013901</v>
      </c>
      <c r="AC123">
        <f t="shared" si="50"/>
        <v>-142.99863620178914</v>
      </c>
      <c r="AD123">
        <f t="shared" si="51"/>
        <v>-13.4663217600542</v>
      </c>
      <c r="AE123">
        <f t="shared" si="52"/>
        <v>-7.7533239985910996E-2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52504.439023375715</v>
      </c>
      <c r="AK123">
        <f t="shared" si="56"/>
        <v>1799.99</v>
      </c>
      <c r="AL123">
        <f t="shared" si="57"/>
        <v>1499.1014594122898</v>
      </c>
      <c r="AM123">
        <f t="shared" si="58"/>
        <v>0.83283877099999992</v>
      </c>
      <c r="AN123">
        <f t="shared" si="59"/>
        <v>0.15339760036</v>
      </c>
      <c r="AO123">
        <v>29.1</v>
      </c>
      <c r="AP123">
        <v>0.5</v>
      </c>
      <c r="AQ123" t="s">
        <v>331</v>
      </c>
      <c r="AR123">
        <v>2</v>
      </c>
      <c r="AS123">
        <v>1690287700.5</v>
      </c>
      <c r="AT123">
        <v>395.84699999999998</v>
      </c>
      <c r="AU123">
        <v>799.98099999999999</v>
      </c>
      <c r="AV123">
        <v>25.882899999999999</v>
      </c>
      <c r="AW123">
        <v>0.244335</v>
      </c>
      <c r="AX123">
        <v>396.79899999999998</v>
      </c>
      <c r="AY123">
        <v>25.691700000000001</v>
      </c>
      <c r="AZ123">
        <v>300.16699999999997</v>
      </c>
      <c r="BA123">
        <v>99.341999999999999</v>
      </c>
      <c r="BB123">
        <v>0.100035</v>
      </c>
      <c r="BC123">
        <v>26.709800000000001</v>
      </c>
      <c r="BD123">
        <v>27.0075</v>
      </c>
      <c r="BE123">
        <v>28.343699999999998</v>
      </c>
      <c r="BF123">
        <v>0</v>
      </c>
      <c r="BG123">
        <v>0</v>
      </c>
      <c r="BH123">
        <v>9985</v>
      </c>
      <c r="BI123">
        <v>1087.45</v>
      </c>
      <c r="BJ123">
        <v>1.4016500000000001</v>
      </c>
      <c r="BK123">
        <v>-404.13400000000001</v>
      </c>
      <c r="BL123">
        <v>406.36500000000001</v>
      </c>
      <c r="BM123">
        <v>800.17600000000004</v>
      </c>
      <c r="BN123">
        <v>25.638500000000001</v>
      </c>
      <c r="BO123">
        <v>799.98099999999999</v>
      </c>
      <c r="BP123">
        <v>0.244335</v>
      </c>
      <c r="BQ123">
        <v>2.5712600000000001</v>
      </c>
      <c r="BR123">
        <v>2.4272700000000001E-2</v>
      </c>
      <c r="BS123">
        <v>21.4847</v>
      </c>
      <c r="BT123">
        <v>-37.543300000000002</v>
      </c>
      <c r="BU123">
        <v>1799.99</v>
      </c>
      <c r="BV123">
        <v>0.90998800000000002</v>
      </c>
      <c r="BW123">
        <v>3.4004E-2</v>
      </c>
      <c r="BX123">
        <v>2.2002299999999999E-2</v>
      </c>
      <c r="BY123">
        <v>3.4005399999999998E-2</v>
      </c>
      <c r="BZ123">
        <v>25</v>
      </c>
      <c r="CA123">
        <v>33528.199999999997</v>
      </c>
      <c r="CB123">
        <v>1690286268.5999999</v>
      </c>
      <c r="CC123" t="s">
        <v>332</v>
      </c>
      <c r="CD123">
        <v>1690286261.0999999</v>
      </c>
      <c r="CE123">
        <v>1690286268.5999999</v>
      </c>
      <c r="CF123">
        <v>1</v>
      </c>
      <c r="CG123">
        <v>-0.89900000000000002</v>
      </c>
      <c r="CH123">
        <v>3.4000000000000002E-2</v>
      </c>
      <c r="CI123">
        <v>-1.2370000000000001</v>
      </c>
      <c r="CJ123">
        <v>8.5999999999999993E-2</v>
      </c>
      <c r="CK123">
        <v>799</v>
      </c>
      <c r="CL123">
        <v>16</v>
      </c>
      <c r="CM123">
        <v>0.28999999999999998</v>
      </c>
      <c r="CN123">
        <v>0.09</v>
      </c>
      <c r="CO123">
        <v>-402.66460000000001</v>
      </c>
      <c r="CP123">
        <v>-8.215722326452541</v>
      </c>
      <c r="CQ123">
        <v>0.79205901926560907</v>
      </c>
      <c r="CR123">
        <v>-1</v>
      </c>
      <c r="CS123">
        <v>25.567945000000002</v>
      </c>
      <c r="CT123">
        <v>0.40079999999997712</v>
      </c>
      <c r="CU123">
        <v>3.8577655125733079E-2</v>
      </c>
      <c r="CV123">
        <v>-1</v>
      </c>
      <c r="CW123">
        <v>0</v>
      </c>
      <c r="CX123">
        <v>0</v>
      </c>
      <c r="CY123" t="s">
        <v>333</v>
      </c>
      <c r="CZ123">
        <v>2.3652600000000001</v>
      </c>
      <c r="DA123">
        <v>2.7138100000000001</v>
      </c>
      <c r="DB123">
        <v>8.9303300000000002E-2</v>
      </c>
      <c r="DC123">
        <v>0.146565</v>
      </c>
      <c r="DD123">
        <v>0.120597</v>
      </c>
      <c r="DE123">
        <v>2.0557800000000001E-3</v>
      </c>
      <c r="DF123">
        <v>33249.800000000003</v>
      </c>
      <c r="DG123">
        <v>27473.5</v>
      </c>
      <c r="DH123">
        <v>31166.5</v>
      </c>
      <c r="DI123">
        <v>28049</v>
      </c>
      <c r="DJ123">
        <v>37194.300000000003</v>
      </c>
      <c r="DK123">
        <v>39789.4</v>
      </c>
      <c r="DL123">
        <v>44346.9</v>
      </c>
      <c r="DM123">
        <v>42489</v>
      </c>
      <c r="DN123">
        <v>1.49257</v>
      </c>
      <c r="DO123">
        <v>2.06413</v>
      </c>
      <c r="DP123">
        <v>8.38116E-2</v>
      </c>
      <c r="DQ123">
        <v>0.18718799999999999</v>
      </c>
      <c r="DR123">
        <v>25.635400000000001</v>
      </c>
      <c r="DS123">
        <v>25.281500000000001</v>
      </c>
      <c r="DT123">
        <v>47.2</v>
      </c>
      <c r="DU123">
        <v>25.2</v>
      </c>
      <c r="DV123">
        <v>15.2887</v>
      </c>
      <c r="DW123">
        <v>62.141399999999997</v>
      </c>
      <c r="DX123">
        <v>36.125799999999998</v>
      </c>
      <c r="DY123">
        <v>1</v>
      </c>
      <c r="DZ123">
        <v>-0.14412900000000001</v>
      </c>
      <c r="EA123">
        <v>-0.78977399999999998</v>
      </c>
      <c r="EB123">
        <v>20.188700000000001</v>
      </c>
      <c r="EC123">
        <v>5.2409499999999998</v>
      </c>
      <c r="ED123">
        <v>12.039899999999999</v>
      </c>
      <c r="EE123">
        <v>5.0172999999999996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1.8687499999999999</v>
      </c>
      <c r="EL123">
        <v>1.86446</v>
      </c>
      <c r="EM123">
        <v>1.86907</v>
      </c>
      <c r="EN123">
        <v>1.86707</v>
      </c>
      <c r="EO123">
        <v>1.8632500000000001</v>
      </c>
      <c r="EP123">
        <v>1.8643000000000001</v>
      </c>
      <c r="EQ123">
        <v>1.8701099999999999</v>
      </c>
      <c r="ER123">
        <v>1.8692899999999999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-0.95199999999999996</v>
      </c>
      <c r="FG123">
        <v>0.19120000000000001</v>
      </c>
      <c r="FH123">
        <v>-0.68620417327404271</v>
      </c>
      <c r="FI123">
        <v>-6.1462078757559423E-4</v>
      </c>
      <c r="FJ123">
        <v>-1.8861989874597051E-7</v>
      </c>
      <c r="FK123">
        <v>1.1980462299894961E-10</v>
      </c>
      <c r="FL123">
        <v>0.1911242781723908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24</v>
      </c>
      <c r="FU123">
        <v>23.9</v>
      </c>
      <c r="FV123">
        <v>1.7590300000000001</v>
      </c>
      <c r="FW123">
        <v>2.5634800000000002</v>
      </c>
      <c r="FX123">
        <v>1.5490699999999999</v>
      </c>
      <c r="FY123">
        <v>2.34009</v>
      </c>
      <c r="FZ123">
        <v>1.50146</v>
      </c>
      <c r="GA123">
        <v>2.36084</v>
      </c>
      <c r="GB123">
        <v>30.717199999999998</v>
      </c>
      <c r="GC123">
        <v>23.991199999999999</v>
      </c>
      <c r="GD123">
        <v>19</v>
      </c>
      <c r="GE123">
        <v>287.017</v>
      </c>
      <c r="GF123">
        <v>598.65499999999997</v>
      </c>
      <c r="GG123">
        <v>26.107199999999999</v>
      </c>
      <c r="GH123">
        <v>25.597799999999999</v>
      </c>
      <c r="GI123">
        <v>30.0001</v>
      </c>
      <c r="GJ123">
        <v>25.712900000000001</v>
      </c>
      <c r="GK123">
        <v>25.6769</v>
      </c>
      <c r="GL123">
        <v>35.1648</v>
      </c>
      <c r="GM123">
        <v>100</v>
      </c>
      <c r="GN123">
        <v>36.447600000000001</v>
      </c>
      <c r="GO123">
        <v>26.085100000000001</v>
      </c>
      <c r="GP123">
        <v>800</v>
      </c>
      <c r="GQ123">
        <v>0</v>
      </c>
      <c r="GR123">
        <v>99.711699999999993</v>
      </c>
      <c r="GS123">
        <v>99.418499999999995</v>
      </c>
    </row>
    <row r="124" spans="1:201" x14ac:dyDescent="0.25">
      <c r="A124">
        <v>108</v>
      </c>
      <c r="B124">
        <v>1690287710.5</v>
      </c>
      <c r="C124">
        <v>1171.900000095367</v>
      </c>
      <c r="D124" t="s">
        <v>549</v>
      </c>
      <c r="E124" t="s">
        <v>550</v>
      </c>
      <c r="F124" t="s">
        <v>330</v>
      </c>
      <c r="H124">
        <v>1690287710.5</v>
      </c>
      <c r="I124">
        <f t="shared" si="30"/>
        <v>2.722586869909433E-3</v>
      </c>
      <c r="J124">
        <f t="shared" si="31"/>
        <v>2.7225868699094331</v>
      </c>
      <c r="K124">
        <f t="shared" si="32"/>
        <v>40.753105550743022</v>
      </c>
      <c r="L124">
        <f t="shared" si="33"/>
        <v>394.46100000000001</v>
      </c>
      <c r="M124">
        <f t="shared" si="34"/>
        <v>97.488081705873952</v>
      </c>
      <c r="N124">
        <f t="shared" si="35"/>
        <v>9.6943122841697704</v>
      </c>
      <c r="O124">
        <f t="shared" si="36"/>
        <v>39.225596103769497</v>
      </c>
      <c r="P124">
        <f t="shared" si="37"/>
        <v>0.23391331739265872</v>
      </c>
      <c r="Q124">
        <f t="shared" si="38"/>
        <v>2.3036021280492731</v>
      </c>
      <c r="R124">
        <f t="shared" si="39"/>
        <v>0.22147340942837768</v>
      </c>
      <c r="S124">
        <f t="shared" si="40"/>
        <v>0.13948340085669203</v>
      </c>
      <c r="T124">
        <f t="shared" si="41"/>
        <v>276.11400891876167</v>
      </c>
      <c r="U124">
        <f t="shared" si="42"/>
        <v>27.860060036778531</v>
      </c>
      <c r="V124">
        <f t="shared" si="43"/>
        <v>27.860060036778531</v>
      </c>
      <c r="W124">
        <f t="shared" si="44"/>
        <v>3.7639912566573961</v>
      </c>
      <c r="X124">
        <f t="shared" si="45"/>
        <v>73.335439874112765</v>
      </c>
      <c r="Y124">
        <f t="shared" si="46"/>
        <v>2.5805536016246995</v>
      </c>
      <c r="Z124">
        <f t="shared" si="47"/>
        <v>3.5188356489774448</v>
      </c>
      <c r="AA124">
        <f t="shared" si="48"/>
        <v>1.1834376550326966</v>
      </c>
      <c r="AB124">
        <f t="shared" si="49"/>
        <v>-120.066080963006</v>
      </c>
      <c r="AC124">
        <f t="shared" si="50"/>
        <v>-142.71625107383434</v>
      </c>
      <c r="AD124">
        <f t="shared" si="51"/>
        <v>-13.408548103530249</v>
      </c>
      <c r="AE124">
        <f t="shared" si="52"/>
        <v>-7.6871221608911355E-2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52705.409649819128</v>
      </c>
      <c r="AK124">
        <f t="shared" si="56"/>
        <v>1799.99</v>
      </c>
      <c r="AL124">
        <f t="shared" si="57"/>
        <v>1499.1021830082698</v>
      </c>
      <c r="AM124">
        <f t="shared" si="58"/>
        <v>0.83283917299999988</v>
      </c>
      <c r="AN124">
        <f t="shared" si="59"/>
        <v>0.15339752382999999</v>
      </c>
      <c r="AO124">
        <v>29.1</v>
      </c>
      <c r="AP124">
        <v>0.5</v>
      </c>
      <c r="AQ124" t="s">
        <v>331</v>
      </c>
      <c r="AR124">
        <v>2</v>
      </c>
      <c r="AS124">
        <v>1690287710.5</v>
      </c>
      <c r="AT124">
        <v>394.46100000000001</v>
      </c>
      <c r="AU124">
        <v>799.95100000000002</v>
      </c>
      <c r="AV124">
        <v>25.950600000000001</v>
      </c>
      <c r="AW124">
        <v>0.24157899999999999</v>
      </c>
      <c r="AX124">
        <v>395.41199999999998</v>
      </c>
      <c r="AY124">
        <v>25.759399999999999</v>
      </c>
      <c r="AZ124">
        <v>300.17200000000003</v>
      </c>
      <c r="BA124">
        <v>99.340999999999994</v>
      </c>
      <c r="BB124">
        <v>9.9999500000000005E-2</v>
      </c>
      <c r="BC124">
        <v>26.710899999999999</v>
      </c>
      <c r="BD124">
        <v>27.019500000000001</v>
      </c>
      <c r="BE124">
        <v>28.348099999999999</v>
      </c>
      <c r="BF124">
        <v>0</v>
      </c>
      <c r="BG124">
        <v>0</v>
      </c>
      <c r="BH124">
        <v>10025</v>
      </c>
      <c r="BI124">
        <v>1087.3699999999999</v>
      </c>
      <c r="BJ124">
        <v>1.4016500000000001</v>
      </c>
      <c r="BK124">
        <v>-405.49</v>
      </c>
      <c r="BL124">
        <v>404.97</v>
      </c>
      <c r="BM124">
        <v>800.14400000000001</v>
      </c>
      <c r="BN124">
        <v>25.709</v>
      </c>
      <c r="BO124">
        <v>799.95100000000002</v>
      </c>
      <c r="BP124">
        <v>0.24157899999999999</v>
      </c>
      <c r="BQ124">
        <v>2.57795</v>
      </c>
      <c r="BR124">
        <v>2.3998700000000001E-2</v>
      </c>
      <c r="BS124">
        <v>21.527200000000001</v>
      </c>
      <c r="BT124">
        <v>-37.654600000000002</v>
      </c>
      <c r="BU124">
        <v>1799.99</v>
      </c>
      <c r="BV124">
        <v>0.90999200000000002</v>
      </c>
      <c r="BW124">
        <v>3.4002499999999998E-2</v>
      </c>
      <c r="BX124">
        <v>2.2001400000000001E-2</v>
      </c>
      <c r="BY124">
        <v>3.4003899999999997E-2</v>
      </c>
      <c r="BZ124">
        <v>25</v>
      </c>
      <c r="CA124">
        <v>33528.199999999997</v>
      </c>
      <c r="CB124">
        <v>1690286268.5999999</v>
      </c>
      <c r="CC124" t="s">
        <v>332</v>
      </c>
      <c r="CD124">
        <v>1690286261.0999999</v>
      </c>
      <c r="CE124">
        <v>1690286268.5999999</v>
      </c>
      <c r="CF124">
        <v>1</v>
      </c>
      <c r="CG124">
        <v>-0.89900000000000002</v>
      </c>
      <c r="CH124">
        <v>3.4000000000000002E-2</v>
      </c>
      <c r="CI124">
        <v>-1.2370000000000001</v>
      </c>
      <c r="CJ124">
        <v>8.5999999999999993E-2</v>
      </c>
      <c r="CK124">
        <v>799</v>
      </c>
      <c r="CL124">
        <v>16</v>
      </c>
      <c r="CM124">
        <v>0.28999999999999998</v>
      </c>
      <c r="CN124">
        <v>0.09</v>
      </c>
      <c r="CO124">
        <v>-404.07022499999999</v>
      </c>
      <c r="CP124">
        <v>-8.6007467166976319</v>
      </c>
      <c r="CQ124">
        <v>0.8280839476617099</v>
      </c>
      <c r="CR124">
        <v>-1</v>
      </c>
      <c r="CS124">
        <v>25.63682</v>
      </c>
      <c r="CT124">
        <v>0.42506116322699777</v>
      </c>
      <c r="CU124">
        <v>4.0891656850756082E-2</v>
      </c>
      <c r="CV124">
        <v>-1</v>
      </c>
      <c r="CW124">
        <v>0</v>
      </c>
      <c r="CX124">
        <v>0</v>
      </c>
      <c r="CY124" t="s">
        <v>333</v>
      </c>
      <c r="CZ124">
        <v>2.3652899999999999</v>
      </c>
      <c r="DA124">
        <v>2.7138100000000001</v>
      </c>
      <c r="DB124">
        <v>8.9063500000000004E-2</v>
      </c>
      <c r="DC124">
        <v>0.14656</v>
      </c>
      <c r="DD124">
        <v>0.12081699999999999</v>
      </c>
      <c r="DE124">
        <v>2.0329200000000001E-3</v>
      </c>
      <c r="DF124">
        <v>33258.300000000003</v>
      </c>
      <c r="DG124">
        <v>27474</v>
      </c>
      <c r="DH124">
        <v>31166.3</v>
      </c>
      <c r="DI124">
        <v>28049.4</v>
      </c>
      <c r="DJ124">
        <v>37184.6</v>
      </c>
      <c r="DK124">
        <v>39790.699999999997</v>
      </c>
      <c r="DL124">
        <v>44346.5</v>
      </c>
      <c r="DM124">
        <v>42489.4</v>
      </c>
      <c r="DN124">
        <v>1.4924200000000001</v>
      </c>
      <c r="DO124">
        <v>2.0640499999999999</v>
      </c>
      <c r="DP124">
        <v>8.4497000000000003E-2</v>
      </c>
      <c r="DQ124">
        <v>0.18742700000000001</v>
      </c>
      <c r="DR124">
        <v>25.636099999999999</v>
      </c>
      <c r="DS124">
        <v>25.282</v>
      </c>
      <c r="DT124">
        <v>46.8</v>
      </c>
      <c r="DU124">
        <v>25.2</v>
      </c>
      <c r="DV124">
        <v>15.1586</v>
      </c>
      <c r="DW124">
        <v>61.831400000000002</v>
      </c>
      <c r="DX124">
        <v>36.322099999999999</v>
      </c>
      <c r="DY124">
        <v>1</v>
      </c>
      <c r="DZ124">
        <v>-0.14415900000000001</v>
      </c>
      <c r="EA124">
        <v>-0.70102900000000001</v>
      </c>
      <c r="EB124">
        <v>20.189399999999999</v>
      </c>
      <c r="EC124">
        <v>5.242</v>
      </c>
      <c r="ED124">
        <v>12.039899999999999</v>
      </c>
      <c r="EE124">
        <v>5.0172499999999998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1.8687400000000001</v>
      </c>
      <c r="EL124">
        <v>1.8644499999999999</v>
      </c>
      <c r="EM124">
        <v>1.86907</v>
      </c>
      <c r="EN124">
        <v>1.86707</v>
      </c>
      <c r="EO124">
        <v>1.8632500000000001</v>
      </c>
      <c r="EP124">
        <v>1.8642799999999999</v>
      </c>
      <c r="EQ124">
        <v>1.87009</v>
      </c>
      <c r="ER124">
        <v>1.8692599999999999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-0.95099999999999996</v>
      </c>
      <c r="FG124">
        <v>0.19120000000000001</v>
      </c>
      <c r="FH124">
        <v>-0.68620417327404271</v>
      </c>
      <c r="FI124">
        <v>-6.1462078757559423E-4</v>
      </c>
      <c r="FJ124">
        <v>-1.8861989874597051E-7</v>
      </c>
      <c r="FK124">
        <v>1.1980462299894961E-10</v>
      </c>
      <c r="FL124">
        <v>0.1911242781723908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24.2</v>
      </c>
      <c r="FU124">
        <v>24</v>
      </c>
      <c r="FV124">
        <v>1.7590300000000001</v>
      </c>
      <c r="FW124">
        <v>2.5671400000000002</v>
      </c>
      <c r="FX124">
        <v>1.5490699999999999</v>
      </c>
      <c r="FY124">
        <v>2.34009</v>
      </c>
      <c r="FZ124">
        <v>1.50146</v>
      </c>
      <c r="GA124">
        <v>2.3974600000000001</v>
      </c>
      <c r="GB124">
        <v>30.738800000000001</v>
      </c>
      <c r="GC124">
        <v>23.982399999999998</v>
      </c>
      <c r="GD124">
        <v>19</v>
      </c>
      <c r="GE124">
        <v>286.95299999999997</v>
      </c>
      <c r="GF124">
        <v>598.59199999999998</v>
      </c>
      <c r="GG124">
        <v>26.0764</v>
      </c>
      <c r="GH124">
        <v>25.597799999999999</v>
      </c>
      <c r="GI124">
        <v>30.0001</v>
      </c>
      <c r="GJ124">
        <v>25.712900000000001</v>
      </c>
      <c r="GK124">
        <v>25.6769</v>
      </c>
      <c r="GL124">
        <v>35.166499999999999</v>
      </c>
      <c r="GM124">
        <v>100</v>
      </c>
      <c r="GN124">
        <v>35.321399999999997</v>
      </c>
      <c r="GO124">
        <v>26.053899999999999</v>
      </c>
      <c r="GP124">
        <v>800</v>
      </c>
      <c r="GQ124">
        <v>0</v>
      </c>
      <c r="GR124">
        <v>99.710899999999995</v>
      </c>
      <c r="GS124">
        <v>99.419600000000003</v>
      </c>
    </row>
    <row r="125" spans="1:201" x14ac:dyDescent="0.25">
      <c r="A125">
        <v>109</v>
      </c>
      <c r="B125">
        <v>1690287720.5</v>
      </c>
      <c r="C125">
        <v>1181.900000095367</v>
      </c>
      <c r="D125" t="s">
        <v>551</v>
      </c>
      <c r="E125" t="s">
        <v>552</v>
      </c>
      <c r="F125" t="s">
        <v>330</v>
      </c>
      <c r="H125">
        <v>1690287720.5</v>
      </c>
      <c r="I125">
        <f t="shared" si="30"/>
        <v>2.7283073090028083E-3</v>
      </c>
      <c r="J125">
        <f t="shared" si="31"/>
        <v>2.7283073090028083</v>
      </c>
      <c r="K125">
        <f t="shared" si="32"/>
        <v>40.88480925920112</v>
      </c>
      <c r="L125">
        <f t="shared" si="33"/>
        <v>393.096</v>
      </c>
      <c r="M125">
        <f t="shared" si="34"/>
        <v>97.304179193426833</v>
      </c>
      <c r="N125">
        <f t="shared" si="35"/>
        <v>9.675994816182186</v>
      </c>
      <c r="O125">
        <f t="shared" si="36"/>
        <v>39.089737869335998</v>
      </c>
      <c r="P125">
        <f t="shared" si="37"/>
        <v>0.23569908182590979</v>
      </c>
      <c r="Q125">
        <f t="shared" si="38"/>
        <v>2.2979368344802769</v>
      </c>
      <c r="R125">
        <f t="shared" si="39"/>
        <v>0.22304468210615994</v>
      </c>
      <c r="S125">
        <f t="shared" si="40"/>
        <v>0.14048323020733289</v>
      </c>
      <c r="T125">
        <f t="shared" si="41"/>
        <v>276.11548120800001</v>
      </c>
      <c r="U125">
        <f t="shared" si="42"/>
        <v>27.858901355420397</v>
      </c>
      <c r="V125">
        <f t="shared" si="43"/>
        <v>27.858901355420397</v>
      </c>
      <c r="W125">
        <f t="shared" si="44"/>
        <v>3.7637367525394874</v>
      </c>
      <c r="X125">
        <f t="shared" si="45"/>
        <v>73.504228956065049</v>
      </c>
      <c r="Y125">
        <f t="shared" si="46"/>
        <v>2.5862037711824999</v>
      </c>
      <c r="Z125">
        <f t="shared" si="47"/>
        <v>3.5184421466801945</v>
      </c>
      <c r="AA125">
        <f t="shared" si="48"/>
        <v>1.1775329813569875</v>
      </c>
      <c r="AB125">
        <f t="shared" si="49"/>
        <v>-120.31835232702385</v>
      </c>
      <c r="AC125">
        <f t="shared" si="50"/>
        <v>-142.45710549462737</v>
      </c>
      <c r="AD125">
        <f t="shared" si="51"/>
        <v>-13.416992970785925</v>
      </c>
      <c r="AE125">
        <f t="shared" si="52"/>
        <v>-7.6969584437136973E-2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52491.225647073479</v>
      </c>
      <c r="AK125">
        <f t="shared" si="56"/>
        <v>1800</v>
      </c>
      <c r="AL125">
        <f t="shared" si="57"/>
        <v>1499.1119117999999</v>
      </c>
      <c r="AM125">
        <f t="shared" si="58"/>
        <v>0.83283995099999997</v>
      </c>
      <c r="AN125">
        <f t="shared" si="59"/>
        <v>0.15339748955999999</v>
      </c>
      <c r="AO125">
        <v>29.1</v>
      </c>
      <c r="AP125">
        <v>0.5</v>
      </c>
      <c r="AQ125" t="s">
        <v>331</v>
      </c>
      <c r="AR125">
        <v>2</v>
      </c>
      <c r="AS125">
        <v>1690287720.5</v>
      </c>
      <c r="AT125">
        <v>393.096</v>
      </c>
      <c r="AU125">
        <v>799.95699999999999</v>
      </c>
      <c r="AV125">
        <v>26.0075</v>
      </c>
      <c r="AW125">
        <v>0.23909900000000001</v>
      </c>
      <c r="AX125">
        <v>394.04700000000003</v>
      </c>
      <c r="AY125">
        <v>25.816400000000002</v>
      </c>
      <c r="AZ125">
        <v>300.09199999999998</v>
      </c>
      <c r="BA125">
        <v>99.340599999999995</v>
      </c>
      <c r="BB125">
        <v>0.100091</v>
      </c>
      <c r="BC125">
        <v>26.709</v>
      </c>
      <c r="BD125">
        <v>27.0046</v>
      </c>
      <c r="BE125">
        <v>28.3535</v>
      </c>
      <c r="BF125">
        <v>0</v>
      </c>
      <c r="BG125">
        <v>0</v>
      </c>
      <c r="BH125">
        <v>9982.5</v>
      </c>
      <c r="BI125">
        <v>1087.46</v>
      </c>
      <c r="BJ125">
        <v>1.4016500000000001</v>
      </c>
      <c r="BK125">
        <v>-406.86099999999999</v>
      </c>
      <c r="BL125">
        <v>403.59300000000002</v>
      </c>
      <c r="BM125">
        <v>800.14800000000002</v>
      </c>
      <c r="BN125">
        <v>25.7684</v>
      </c>
      <c r="BO125">
        <v>799.95699999999999</v>
      </c>
      <c r="BP125">
        <v>0.23909900000000001</v>
      </c>
      <c r="BQ125">
        <v>2.5836000000000001</v>
      </c>
      <c r="BR125">
        <v>2.37523E-2</v>
      </c>
      <c r="BS125">
        <v>21.562999999999999</v>
      </c>
      <c r="BT125">
        <v>-37.755800000000001</v>
      </c>
      <c r="BU125">
        <v>1800</v>
      </c>
      <c r="BV125">
        <v>0.90999699999999994</v>
      </c>
      <c r="BW125">
        <v>3.4000799999999998E-2</v>
      </c>
      <c r="BX125">
        <v>2.20003E-2</v>
      </c>
      <c r="BY125">
        <v>3.4002200000000003E-2</v>
      </c>
      <c r="BZ125">
        <v>25</v>
      </c>
      <c r="CA125">
        <v>33528.300000000003</v>
      </c>
      <c r="CB125">
        <v>1690286268.5999999</v>
      </c>
      <c r="CC125" t="s">
        <v>332</v>
      </c>
      <c r="CD125">
        <v>1690286261.0999999</v>
      </c>
      <c r="CE125">
        <v>1690286268.5999999</v>
      </c>
      <c r="CF125">
        <v>1</v>
      </c>
      <c r="CG125">
        <v>-0.89900000000000002</v>
      </c>
      <c r="CH125">
        <v>3.4000000000000002E-2</v>
      </c>
      <c r="CI125">
        <v>-1.2370000000000001</v>
      </c>
      <c r="CJ125">
        <v>8.5999999999999993E-2</v>
      </c>
      <c r="CK125">
        <v>799</v>
      </c>
      <c r="CL125">
        <v>16</v>
      </c>
      <c r="CM125">
        <v>0.28999999999999998</v>
      </c>
      <c r="CN125">
        <v>0.09</v>
      </c>
      <c r="CO125">
        <v>-405.36278048780491</v>
      </c>
      <c r="CP125">
        <v>-8.1728571428577563</v>
      </c>
      <c r="CQ125">
        <v>0.80657990734728235</v>
      </c>
      <c r="CR125">
        <v>-1</v>
      </c>
      <c r="CS125">
        <v>25.699834146341459</v>
      </c>
      <c r="CT125">
        <v>0.39541463414636491</v>
      </c>
      <c r="CU125">
        <v>3.9032985486362463E-2</v>
      </c>
      <c r="CV125">
        <v>-1</v>
      </c>
      <c r="CW125">
        <v>0</v>
      </c>
      <c r="CX125">
        <v>0</v>
      </c>
      <c r="CY125" t="s">
        <v>333</v>
      </c>
      <c r="CZ125">
        <v>2.36504</v>
      </c>
      <c r="DA125">
        <v>2.71387</v>
      </c>
      <c r="DB125">
        <v>8.8827500000000004E-2</v>
      </c>
      <c r="DC125">
        <v>0.14656</v>
      </c>
      <c r="DD125">
        <v>0.121002</v>
      </c>
      <c r="DE125">
        <v>2.01235E-3</v>
      </c>
      <c r="DF125">
        <v>33267.4</v>
      </c>
      <c r="DG125">
        <v>27474.2</v>
      </c>
      <c r="DH125">
        <v>31166.799999999999</v>
      </c>
      <c r="DI125">
        <v>28049.5</v>
      </c>
      <c r="DJ125">
        <v>37177.300000000003</v>
      </c>
      <c r="DK125">
        <v>39791.800000000003</v>
      </c>
      <c r="DL125">
        <v>44347.3</v>
      </c>
      <c r="DM125">
        <v>42489.7</v>
      </c>
      <c r="DN125">
        <v>1.49257</v>
      </c>
      <c r="DO125">
        <v>2.0639699999999999</v>
      </c>
      <c r="DP125">
        <v>8.3588099999999999E-2</v>
      </c>
      <c r="DQ125">
        <v>0.18775500000000001</v>
      </c>
      <c r="DR125">
        <v>25.636099999999999</v>
      </c>
      <c r="DS125">
        <v>25.282</v>
      </c>
      <c r="DT125">
        <v>46.2</v>
      </c>
      <c r="DU125">
        <v>25.3</v>
      </c>
      <c r="DV125">
        <v>15.053699999999999</v>
      </c>
      <c r="DW125">
        <v>62.151400000000002</v>
      </c>
      <c r="DX125">
        <v>36.622599999999998</v>
      </c>
      <c r="DY125">
        <v>1</v>
      </c>
      <c r="DZ125">
        <v>-0.144177</v>
      </c>
      <c r="EA125">
        <v>-0.67716500000000002</v>
      </c>
      <c r="EB125">
        <v>20.189499999999999</v>
      </c>
      <c r="EC125">
        <v>5.2428999999999997</v>
      </c>
      <c r="ED125">
        <v>12.039899999999999</v>
      </c>
      <c r="EE125">
        <v>5.01715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1.8687400000000001</v>
      </c>
      <c r="EL125">
        <v>1.8644499999999999</v>
      </c>
      <c r="EM125">
        <v>1.8690599999999999</v>
      </c>
      <c r="EN125">
        <v>1.8670800000000001</v>
      </c>
      <c r="EO125">
        <v>1.8632500000000001</v>
      </c>
      <c r="EP125">
        <v>1.86426</v>
      </c>
      <c r="EQ125">
        <v>1.87008</v>
      </c>
      <c r="ER125">
        <v>1.8692899999999999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-0.95099999999999996</v>
      </c>
      <c r="FG125">
        <v>0.19109999999999999</v>
      </c>
      <c r="FH125">
        <v>-0.68620417327404271</v>
      </c>
      <c r="FI125">
        <v>-6.1462078757559423E-4</v>
      </c>
      <c r="FJ125">
        <v>-1.8861989874597051E-7</v>
      </c>
      <c r="FK125">
        <v>1.1980462299894961E-10</v>
      </c>
      <c r="FL125">
        <v>0.1911242781723908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24.3</v>
      </c>
      <c r="FU125">
        <v>24.2</v>
      </c>
      <c r="FV125">
        <v>1.7590300000000001</v>
      </c>
      <c r="FW125">
        <v>2.5647000000000002</v>
      </c>
      <c r="FX125">
        <v>1.5490699999999999</v>
      </c>
      <c r="FY125">
        <v>2.33887</v>
      </c>
      <c r="FZ125">
        <v>1.50146</v>
      </c>
      <c r="GA125">
        <v>2.36328</v>
      </c>
      <c r="GB125">
        <v>30.738800000000001</v>
      </c>
      <c r="GC125">
        <v>23.982399999999998</v>
      </c>
      <c r="GD125">
        <v>19</v>
      </c>
      <c r="GE125">
        <v>287.01799999999997</v>
      </c>
      <c r="GF125">
        <v>598.52800000000002</v>
      </c>
      <c r="GG125">
        <v>26.0395</v>
      </c>
      <c r="GH125">
        <v>25.597799999999999</v>
      </c>
      <c r="GI125">
        <v>30.0001</v>
      </c>
      <c r="GJ125">
        <v>25.712900000000001</v>
      </c>
      <c r="GK125">
        <v>25.6768</v>
      </c>
      <c r="GL125">
        <v>35.168799999999997</v>
      </c>
      <c r="GM125">
        <v>100</v>
      </c>
      <c r="GN125">
        <v>34.497100000000003</v>
      </c>
      <c r="GO125">
        <v>26.025500000000001</v>
      </c>
      <c r="GP125">
        <v>800</v>
      </c>
      <c r="GQ125">
        <v>0</v>
      </c>
      <c r="GR125">
        <v>99.712500000000006</v>
      </c>
      <c r="GS125">
        <v>99.420299999999997</v>
      </c>
    </row>
    <row r="126" spans="1:201" x14ac:dyDescent="0.25">
      <c r="A126">
        <v>110</v>
      </c>
      <c r="B126">
        <v>1690287730.5</v>
      </c>
      <c r="C126">
        <v>1191.900000095367</v>
      </c>
      <c r="D126" t="s">
        <v>553</v>
      </c>
      <c r="E126" t="s">
        <v>554</v>
      </c>
      <c r="F126" t="s">
        <v>330</v>
      </c>
      <c r="H126">
        <v>1690287730.5</v>
      </c>
      <c r="I126">
        <f t="shared" si="30"/>
        <v>2.7350087552905629E-3</v>
      </c>
      <c r="J126">
        <f t="shared" si="31"/>
        <v>2.7350087552905631</v>
      </c>
      <c r="K126">
        <f t="shared" si="32"/>
        <v>41.029898717529065</v>
      </c>
      <c r="L126">
        <f t="shared" si="33"/>
        <v>391.80200000000002</v>
      </c>
      <c r="M126">
        <f t="shared" si="34"/>
        <v>97.497443954088993</v>
      </c>
      <c r="N126">
        <f t="shared" si="35"/>
        <v>9.6951190149975215</v>
      </c>
      <c r="O126">
        <f t="shared" si="36"/>
        <v>38.960683134450001</v>
      </c>
      <c r="P126">
        <f t="shared" si="37"/>
        <v>0.23781427383822581</v>
      </c>
      <c r="Q126">
        <f t="shared" si="38"/>
        <v>2.2984249559817527</v>
      </c>
      <c r="R126">
        <f t="shared" si="39"/>
        <v>0.22494096782748882</v>
      </c>
      <c r="S126">
        <f t="shared" si="40"/>
        <v>0.14168662017794484</v>
      </c>
      <c r="T126">
        <f t="shared" si="41"/>
        <v>276.1136133889591</v>
      </c>
      <c r="U126">
        <f t="shared" si="42"/>
        <v>27.852687166992322</v>
      </c>
      <c r="V126">
        <f t="shared" si="43"/>
        <v>27.852687166992322</v>
      </c>
      <c r="W126">
        <f t="shared" si="44"/>
        <v>3.7623720635339835</v>
      </c>
      <c r="X126">
        <f t="shared" si="45"/>
        <v>73.683633511466994</v>
      </c>
      <c r="Y126">
        <f t="shared" si="46"/>
        <v>2.5919362080149999</v>
      </c>
      <c r="Z126">
        <f t="shared" si="47"/>
        <v>3.5176552573396513</v>
      </c>
      <c r="AA126">
        <f t="shared" si="48"/>
        <v>1.1704358555189835</v>
      </c>
      <c r="AB126">
        <f t="shared" si="49"/>
        <v>-120.61388610831382</v>
      </c>
      <c r="AC126">
        <f t="shared" si="50"/>
        <v>-142.18821727290032</v>
      </c>
      <c r="AD126">
        <f t="shared" si="51"/>
        <v>-13.38815438767287</v>
      </c>
      <c r="AE126">
        <f t="shared" si="52"/>
        <v>-7.6644379927870432E-2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52510.335737094807</v>
      </c>
      <c r="AK126">
        <f t="shared" si="56"/>
        <v>1799.99</v>
      </c>
      <c r="AL126">
        <f t="shared" si="57"/>
        <v>1499.1034718011099</v>
      </c>
      <c r="AM126">
        <f t="shared" si="58"/>
        <v>0.83283988899999994</v>
      </c>
      <c r="AN126">
        <f t="shared" si="59"/>
        <v>0.15339730408999999</v>
      </c>
      <c r="AO126">
        <v>29.1</v>
      </c>
      <c r="AP126">
        <v>0.5</v>
      </c>
      <c r="AQ126" t="s">
        <v>331</v>
      </c>
      <c r="AR126">
        <v>2</v>
      </c>
      <c r="AS126">
        <v>1690287730.5</v>
      </c>
      <c r="AT126">
        <v>391.80200000000002</v>
      </c>
      <c r="AU126">
        <v>800.053</v>
      </c>
      <c r="AV126">
        <v>26.0654</v>
      </c>
      <c r="AW126">
        <v>0.23575699999999999</v>
      </c>
      <c r="AX126">
        <v>392.75099999999998</v>
      </c>
      <c r="AY126">
        <v>25.874199999999998</v>
      </c>
      <c r="AZ126">
        <v>300.09800000000001</v>
      </c>
      <c r="BA126">
        <v>99.339699999999993</v>
      </c>
      <c r="BB126">
        <v>0.100025</v>
      </c>
      <c r="BC126">
        <v>26.705200000000001</v>
      </c>
      <c r="BD126">
        <v>26.993400000000001</v>
      </c>
      <c r="BE126">
        <v>28.337800000000001</v>
      </c>
      <c r="BF126">
        <v>0</v>
      </c>
      <c r="BG126">
        <v>0</v>
      </c>
      <c r="BH126">
        <v>9986.25</v>
      </c>
      <c r="BI126">
        <v>1087.51</v>
      </c>
      <c r="BJ126">
        <v>1.4016500000000001</v>
      </c>
      <c r="BK126">
        <v>-408.25099999999998</v>
      </c>
      <c r="BL126">
        <v>402.28800000000001</v>
      </c>
      <c r="BM126">
        <v>800.24199999999996</v>
      </c>
      <c r="BN126">
        <v>25.829599999999999</v>
      </c>
      <c r="BO126">
        <v>800.053</v>
      </c>
      <c r="BP126">
        <v>0.23575699999999999</v>
      </c>
      <c r="BQ126">
        <v>2.5893199999999998</v>
      </c>
      <c r="BR126">
        <v>2.342E-2</v>
      </c>
      <c r="BS126">
        <v>21.5991</v>
      </c>
      <c r="BT126">
        <v>-37.893599999999999</v>
      </c>
      <c r="BU126">
        <v>1799.99</v>
      </c>
      <c r="BV126">
        <v>0.91000099999999995</v>
      </c>
      <c r="BW126">
        <v>3.3999099999999997E-2</v>
      </c>
      <c r="BX126">
        <v>2.19992E-2</v>
      </c>
      <c r="BY126">
        <v>3.4000500000000003E-2</v>
      </c>
      <c r="BZ126">
        <v>25</v>
      </c>
      <c r="CA126">
        <v>33528.300000000003</v>
      </c>
      <c r="CB126">
        <v>1690286268.5999999</v>
      </c>
      <c r="CC126" t="s">
        <v>332</v>
      </c>
      <c r="CD126">
        <v>1690286261.0999999</v>
      </c>
      <c r="CE126">
        <v>1690286268.5999999</v>
      </c>
      <c r="CF126">
        <v>1</v>
      </c>
      <c r="CG126">
        <v>-0.89900000000000002</v>
      </c>
      <c r="CH126">
        <v>3.4000000000000002E-2</v>
      </c>
      <c r="CI126">
        <v>-1.2370000000000001</v>
      </c>
      <c r="CJ126">
        <v>8.5999999999999993E-2</v>
      </c>
      <c r="CK126">
        <v>799</v>
      </c>
      <c r="CL126">
        <v>16</v>
      </c>
      <c r="CM126">
        <v>0.28999999999999998</v>
      </c>
      <c r="CN126">
        <v>0.09</v>
      </c>
      <c r="CO126">
        <v>-406.67059999999998</v>
      </c>
      <c r="CP126">
        <v>-7.9558874296428268</v>
      </c>
      <c r="CQ126">
        <v>0.76641782990742024</v>
      </c>
      <c r="CR126">
        <v>-1</v>
      </c>
      <c r="CS126">
        <v>25.761602499999999</v>
      </c>
      <c r="CT126">
        <v>0.36142851782357088</v>
      </c>
      <c r="CU126">
        <v>3.4770716756345459E-2</v>
      </c>
      <c r="CV126">
        <v>-1</v>
      </c>
      <c r="CW126">
        <v>0</v>
      </c>
      <c r="CX126">
        <v>0</v>
      </c>
      <c r="CY126" t="s">
        <v>333</v>
      </c>
      <c r="CZ126">
        <v>2.36504</v>
      </c>
      <c r="DA126">
        <v>2.7138</v>
      </c>
      <c r="DB126">
        <v>8.8602899999999998E-2</v>
      </c>
      <c r="DC126">
        <v>0.14657100000000001</v>
      </c>
      <c r="DD126">
        <v>0.12118900000000001</v>
      </c>
      <c r="DE126">
        <v>1.9846199999999999E-3</v>
      </c>
      <c r="DF126">
        <v>33275.699999999997</v>
      </c>
      <c r="DG126">
        <v>27474.1</v>
      </c>
      <c r="DH126">
        <v>31166.9</v>
      </c>
      <c r="DI126">
        <v>28049.8</v>
      </c>
      <c r="DJ126">
        <v>37169.5</v>
      </c>
      <c r="DK126">
        <v>39793.300000000003</v>
      </c>
      <c r="DL126">
        <v>44347.6</v>
      </c>
      <c r="DM126">
        <v>42490.1</v>
      </c>
      <c r="DN126">
        <v>1.4925200000000001</v>
      </c>
      <c r="DO126">
        <v>2.0638000000000001</v>
      </c>
      <c r="DP126">
        <v>8.2902600000000007E-2</v>
      </c>
      <c r="DQ126">
        <v>0.18674099999999999</v>
      </c>
      <c r="DR126">
        <v>25.636099999999999</v>
      </c>
      <c r="DS126">
        <v>25.282900000000001</v>
      </c>
      <c r="DT126">
        <v>45.7</v>
      </c>
      <c r="DU126">
        <v>25.3</v>
      </c>
      <c r="DV126">
        <v>14.8903</v>
      </c>
      <c r="DW126">
        <v>62.231400000000001</v>
      </c>
      <c r="DX126">
        <v>36.802900000000001</v>
      </c>
      <c r="DY126">
        <v>1</v>
      </c>
      <c r="DZ126">
        <v>-0.14419000000000001</v>
      </c>
      <c r="EA126">
        <v>-0.723325</v>
      </c>
      <c r="EB126">
        <v>20.1891</v>
      </c>
      <c r="EC126">
        <v>5.2426000000000004</v>
      </c>
      <c r="ED126">
        <v>12.039899999999999</v>
      </c>
      <c r="EE126">
        <v>5.0170000000000003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1.8687499999999999</v>
      </c>
      <c r="EL126">
        <v>1.86443</v>
      </c>
      <c r="EM126">
        <v>1.8690500000000001</v>
      </c>
      <c r="EN126">
        <v>1.86707</v>
      </c>
      <c r="EO126">
        <v>1.8632500000000001</v>
      </c>
      <c r="EP126">
        <v>1.86429</v>
      </c>
      <c r="EQ126">
        <v>1.8701099999999999</v>
      </c>
      <c r="ER126">
        <v>1.86927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-0.94899999999999995</v>
      </c>
      <c r="FG126">
        <v>0.19120000000000001</v>
      </c>
      <c r="FH126">
        <v>-0.68620417327404271</v>
      </c>
      <c r="FI126">
        <v>-6.1462078757559423E-4</v>
      </c>
      <c r="FJ126">
        <v>-1.8861989874597051E-7</v>
      </c>
      <c r="FK126">
        <v>1.1980462299894961E-10</v>
      </c>
      <c r="FL126">
        <v>0.1911242781723908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24.5</v>
      </c>
      <c r="FU126">
        <v>24.4</v>
      </c>
      <c r="FV126">
        <v>1.7590300000000001</v>
      </c>
      <c r="FW126">
        <v>2.5659200000000002</v>
      </c>
      <c r="FX126">
        <v>1.5490699999999999</v>
      </c>
      <c r="FY126">
        <v>2.33887</v>
      </c>
      <c r="FZ126">
        <v>1.50146</v>
      </c>
      <c r="GA126">
        <v>2.3718300000000001</v>
      </c>
      <c r="GB126">
        <v>30.760400000000001</v>
      </c>
      <c r="GC126">
        <v>23.973700000000001</v>
      </c>
      <c r="GD126">
        <v>19</v>
      </c>
      <c r="GE126">
        <v>286.99599999999998</v>
      </c>
      <c r="GF126">
        <v>598.35699999999997</v>
      </c>
      <c r="GG126">
        <v>26.019100000000002</v>
      </c>
      <c r="GH126">
        <v>25.597799999999999</v>
      </c>
      <c r="GI126">
        <v>29.9999</v>
      </c>
      <c r="GJ126">
        <v>25.712900000000001</v>
      </c>
      <c r="GK126">
        <v>25.674800000000001</v>
      </c>
      <c r="GL126">
        <v>35.166600000000003</v>
      </c>
      <c r="GM126">
        <v>100</v>
      </c>
      <c r="GN126">
        <v>33.341500000000003</v>
      </c>
      <c r="GO126">
        <v>26.052199999999999</v>
      </c>
      <c r="GP126">
        <v>800</v>
      </c>
      <c r="GQ126">
        <v>0</v>
      </c>
      <c r="GR126">
        <v>99.713099999999997</v>
      </c>
      <c r="GS126">
        <v>99.421199999999999</v>
      </c>
    </row>
    <row r="127" spans="1:201" x14ac:dyDescent="0.25">
      <c r="A127">
        <v>111</v>
      </c>
      <c r="B127">
        <v>1690287740.5</v>
      </c>
      <c r="C127">
        <v>1201.900000095367</v>
      </c>
      <c r="D127" t="s">
        <v>555</v>
      </c>
      <c r="E127" t="s">
        <v>556</v>
      </c>
      <c r="F127" t="s">
        <v>330</v>
      </c>
      <c r="H127">
        <v>1690287740.5</v>
      </c>
      <c r="I127">
        <f t="shared" si="30"/>
        <v>2.7409413022188036E-3</v>
      </c>
      <c r="J127">
        <f t="shared" si="31"/>
        <v>2.7409413022188036</v>
      </c>
      <c r="K127">
        <f t="shared" si="32"/>
        <v>41.147536051423188</v>
      </c>
      <c r="L127">
        <f t="shared" si="33"/>
        <v>390.45600000000002</v>
      </c>
      <c r="M127">
        <f t="shared" si="34"/>
        <v>97.691392330976981</v>
      </c>
      <c r="N127">
        <f t="shared" si="35"/>
        <v>9.7146868325435509</v>
      </c>
      <c r="O127">
        <f t="shared" si="36"/>
        <v>38.827962949248004</v>
      </c>
      <c r="P127">
        <f t="shared" si="37"/>
        <v>0.23981253828156451</v>
      </c>
      <c r="Q127">
        <f t="shared" si="38"/>
        <v>2.3025463737384273</v>
      </c>
      <c r="R127">
        <f t="shared" si="39"/>
        <v>0.22675042457119399</v>
      </c>
      <c r="S127">
        <f t="shared" si="40"/>
        <v>0.14283327502927848</v>
      </c>
      <c r="T127">
        <f t="shared" si="41"/>
        <v>276.11355170330177</v>
      </c>
      <c r="U127">
        <f t="shared" si="42"/>
        <v>27.848880853991641</v>
      </c>
      <c r="V127">
        <f t="shared" si="43"/>
        <v>27.848880853991641</v>
      </c>
      <c r="W127">
        <f t="shared" si="44"/>
        <v>3.7615363778290485</v>
      </c>
      <c r="X127">
        <f t="shared" si="45"/>
        <v>73.853691036317343</v>
      </c>
      <c r="Y127">
        <f t="shared" si="46"/>
        <v>2.5979182454784002</v>
      </c>
      <c r="Z127">
        <f t="shared" si="47"/>
        <v>3.5176552573396513</v>
      </c>
      <c r="AA127">
        <f t="shared" si="48"/>
        <v>1.1636181323506483</v>
      </c>
      <c r="AB127">
        <f t="shared" si="49"/>
        <v>-120.87551142784923</v>
      </c>
      <c r="AC127">
        <f t="shared" si="50"/>
        <v>-141.97068568404561</v>
      </c>
      <c r="AD127">
        <f t="shared" si="51"/>
        <v>-13.343490698520295</v>
      </c>
      <c r="AE127">
        <f t="shared" si="52"/>
        <v>-7.6136107113342177E-2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52666.435912796966</v>
      </c>
      <c r="AK127">
        <f t="shared" si="56"/>
        <v>1799.99</v>
      </c>
      <c r="AL127">
        <f t="shared" si="57"/>
        <v>1499.1048721933298</v>
      </c>
      <c r="AM127">
        <f t="shared" si="58"/>
        <v>0.83284066699999992</v>
      </c>
      <c r="AN127">
        <f t="shared" si="59"/>
        <v>0.15339726981999999</v>
      </c>
      <c r="AO127">
        <v>29.1</v>
      </c>
      <c r="AP127">
        <v>0.5</v>
      </c>
      <c r="AQ127" t="s">
        <v>331</v>
      </c>
      <c r="AR127">
        <v>2</v>
      </c>
      <c r="AS127">
        <v>1690287740.5</v>
      </c>
      <c r="AT127">
        <v>390.45600000000002</v>
      </c>
      <c r="AU127">
        <v>799.94500000000005</v>
      </c>
      <c r="AV127">
        <v>26.1248</v>
      </c>
      <c r="AW127">
        <v>0.23372000000000001</v>
      </c>
      <c r="AX127">
        <v>391.404</v>
      </c>
      <c r="AY127">
        <v>25.933700000000002</v>
      </c>
      <c r="AZ127">
        <v>300.017</v>
      </c>
      <c r="BA127">
        <v>99.342600000000004</v>
      </c>
      <c r="BB127">
        <v>0.100008</v>
      </c>
      <c r="BC127">
        <v>26.705200000000001</v>
      </c>
      <c r="BD127">
        <v>26.988600000000002</v>
      </c>
      <c r="BE127">
        <v>28.308299999999999</v>
      </c>
      <c r="BF127">
        <v>0</v>
      </c>
      <c r="BG127">
        <v>0</v>
      </c>
      <c r="BH127">
        <v>10016.9</v>
      </c>
      <c r="BI127">
        <v>1087.54</v>
      </c>
      <c r="BJ127">
        <v>1.4016500000000001</v>
      </c>
      <c r="BK127">
        <v>-409.48899999999998</v>
      </c>
      <c r="BL127">
        <v>400.93</v>
      </c>
      <c r="BM127">
        <v>800.13199999999995</v>
      </c>
      <c r="BN127">
        <v>25.891100000000002</v>
      </c>
      <c r="BO127">
        <v>799.94500000000005</v>
      </c>
      <c r="BP127">
        <v>0.23372000000000001</v>
      </c>
      <c r="BQ127">
        <v>2.59531</v>
      </c>
      <c r="BR127">
        <v>2.32184E-2</v>
      </c>
      <c r="BS127">
        <v>21.636900000000001</v>
      </c>
      <c r="BT127">
        <v>-37.978099999999998</v>
      </c>
      <c r="BU127">
        <v>1799.99</v>
      </c>
      <c r="BV127">
        <v>0.91000599999999998</v>
      </c>
      <c r="BW127">
        <v>3.3997399999999997E-2</v>
      </c>
      <c r="BX127">
        <v>2.19981E-2</v>
      </c>
      <c r="BY127">
        <v>3.3998800000000003E-2</v>
      </c>
      <c r="BZ127">
        <v>25</v>
      </c>
      <c r="CA127">
        <v>33528.300000000003</v>
      </c>
      <c r="CB127">
        <v>1690286268.5999999</v>
      </c>
      <c r="CC127" t="s">
        <v>332</v>
      </c>
      <c r="CD127">
        <v>1690286261.0999999</v>
      </c>
      <c r="CE127">
        <v>1690286268.5999999</v>
      </c>
      <c r="CF127">
        <v>1</v>
      </c>
      <c r="CG127">
        <v>-0.89900000000000002</v>
      </c>
      <c r="CH127">
        <v>3.4000000000000002E-2</v>
      </c>
      <c r="CI127">
        <v>-1.2370000000000001</v>
      </c>
      <c r="CJ127">
        <v>8.5999999999999993E-2</v>
      </c>
      <c r="CK127">
        <v>799</v>
      </c>
      <c r="CL127">
        <v>16</v>
      </c>
      <c r="CM127">
        <v>0.28999999999999998</v>
      </c>
      <c r="CN127">
        <v>0.09</v>
      </c>
      <c r="CO127">
        <v>-408.02595000000002</v>
      </c>
      <c r="CP127">
        <v>-8.0880225140708095</v>
      </c>
      <c r="CQ127">
        <v>0.77930019729241395</v>
      </c>
      <c r="CR127">
        <v>-1</v>
      </c>
      <c r="CS127">
        <v>25.822422500000009</v>
      </c>
      <c r="CT127">
        <v>0.36753883677295579</v>
      </c>
      <c r="CU127">
        <v>3.535841828688055E-2</v>
      </c>
      <c r="CV127">
        <v>-1</v>
      </c>
      <c r="CW127">
        <v>0</v>
      </c>
      <c r="CX127">
        <v>0</v>
      </c>
      <c r="CY127" t="s">
        <v>333</v>
      </c>
      <c r="CZ127">
        <v>2.3647900000000002</v>
      </c>
      <c r="DA127">
        <v>2.7138100000000001</v>
      </c>
      <c r="DB127">
        <v>8.8372300000000001E-2</v>
      </c>
      <c r="DC127">
        <v>0.146562</v>
      </c>
      <c r="DD127">
        <v>0.12138599999999999</v>
      </c>
      <c r="DE127">
        <v>1.9677800000000001E-3</v>
      </c>
      <c r="DF127">
        <v>33284.199999999997</v>
      </c>
      <c r="DG127">
        <v>27474.400000000001</v>
      </c>
      <c r="DH127">
        <v>31167</v>
      </c>
      <c r="DI127">
        <v>28049.9</v>
      </c>
      <c r="DJ127">
        <v>37161</v>
      </c>
      <c r="DK127">
        <v>39794.1</v>
      </c>
      <c r="DL127">
        <v>44347.6</v>
      </c>
      <c r="DM127">
        <v>42490.3</v>
      </c>
      <c r="DN127">
        <v>1.4923999999999999</v>
      </c>
      <c r="DO127">
        <v>2.0640499999999999</v>
      </c>
      <c r="DP127">
        <v>8.2686499999999996E-2</v>
      </c>
      <c r="DQ127">
        <v>0.18498300000000001</v>
      </c>
      <c r="DR127">
        <v>25.634799999999998</v>
      </c>
      <c r="DS127">
        <v>25.282</v>
      </c>
      <c r="DT127">
        <v>45.2</v>
      </c>
      <c r="DU127">
        <v>25.3</v>
      </c>
      <c r="DV127">
        <v>14.7271</v>
      </c>
      <c r="DW127">
        <v>62.041400000000003</v>
      </c>
      <c r="DX127">
        <v>37.079300000000003</v>
      </c>
      <c r="DY127">
        <v>1</v>
      </c>
      <c r="DZ127">
        <v>-0.14422499999999999</v>
      </c>
      <c r="EA127">
        <v>-0.80238600000000004</v>
      </c>
      <c r="EB127">
        <v>20.188500000000001</v>
      </c>
      <c r="EC127">
        <v>5.2421499999999996</v>
      </c>
      <c r="ED127">
        <v>12.039899999999999</v>
      </c>
      <c r="EE127">
        <v>5.0172999999999996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1.8687400000000001</v>
      </c>
      <c r="EL127">
        <v>1.86443</v>
      </c>
      <c r="EM127">
        <v>1.8690599999999999</v>
      </c>
      <c r="EN127">
        <v>1.86707</v>
      </c>
      <c r="EO127">
        <v>1.8632500000000001</v>
      </c>
      <c r="EP127">
        <v>1.8642799999999999</v>
      </c>
      <c r="EQ127">
        <v>1.87008</v>
      </c>
      <c r="ER127">
        <v>1.86931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-0.94799999999999995</v>
      </c>
      <c r="FG127">
        <v>0.19109999999999999</v>
      </c>
      <c r="FH127">
        <v>-0.68620417327404271</v>
      </c>
      <c r="FI127">
        <v>-6.1462078757559423E-4</v>
      </c>
      <c r="FJ127">
        <v>-1.8861989874597051E-7</v>
      </c>
      <c r="FK127">
        <v>1.1980462299894961E-10</v>
      </c>
      <c r="FL127">
        <v>0.1911242781723908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24.7</v>
      </c>
      <c r="FU127">
        <v>24.5</v>
      </c>
      <c r="FV127">
        <v>1.7590300000000001</v>
      </c>
      <c r="FW127">
        <v>2.5683600000000002</v>
      </c>
      <c r="FX127">
        <v>1.5490699999999999</v>
      </c>
      <c r="FY127">
        <v>2.33887</v>
      </c>
      <c r="FZ127">
        <v>1.50146</v>
      </c>
      <c r="GA127">
        <v>2.3132299999999999</v>
      </c>
      <c r="GB127">
        <v>30.760400000000001</v>
      </c>
      <c r="GC127">
        <v>23.982399999999998</v>
      </c>
      <c r="GD127">
        <v>19</v>
      </c>
      <c r="GE127">
        <v>286.94200000000001</v>
      </c>
      <c r="GF127">
        <v>598.56700000000001</v>
      </c>
      <c r="GG127">
        <v>26.059899999999999</v>
      </c>
      <c r="GH127">
        <v>25.597799999999999</v>
      </c>
      <c r="GI127">
        <v>30.0001</v>
      </c>
      <c r="GJ127">
        <v>25.712900000000001</v>
      </c>
      <c r="GK127">
        <v>25.674800000000001</v>
      </c>
      <c r="GL127">
        <v>35.169800000000002</v>
      </c>
      <c r="GM127">
        <v>100</v>
      </c>
      <c r="GN127">
        <v>32.537100000000002</v>
      </c>
      <c r="GO127">
        <v>26.063700000000001</v>
      </c>
      <c r="GP127">
        <v>800</v>
      </c>
      <c r="GQ127">
        <v>0</v>
      </c>
      <c r="GR127">
        <v>99.713200000000001</v>
      </c>
      <c r="GS127">
        <v>99.421400000000006</v>
      </c>
    </row>
    <row r="128" spans="1:201" x14ac:dyDescent="0.25">
      <c r="A128">
        <v>112</v>
      </c>
      <c r="B128">
        <v>1690287750.5</v>
      </c>
      <c r="C128">
        <v>1211.900000095367</v>
      </c>
      <c r="D128" t="s">
        <v>557</v>
      </c>
      <c r="E128" t="s">
        <v>558</v>
      </c>
      <c r="F128" t="s">
        <v>330</v>
      </c>
      <c r="H128">
        <v>1690287750.5</v>
      </c>
      <c r="I128">
        <f t="shared" si="30"/>
        <v>2.7478983858828928E-3</v>
      </c>
      <c r="J128">
        <f t="shared" si="31"/>
        <v>2.7478983858828929</v>
      </c>
      <c r="K128">
        <f t="shared" si="32"/>
        <v>41.291200210493201</v>
      </c>
      <c r="L128">
        <f t="shared" si="33"/>
        <v>389.202</v>
      </c>
      <c r="M128">
        <f t="shared" si="34"/>
        <v>97.370163448094388</v>
      </c>
      <c r="N128">
        <f t="shared" si="35"/>
        <v>9.6823484312884531</v>
      </c>
      <c r="O128">
        <f t="shared" si="36"/>
        <v>38.701684794471596</v>
      </c>
      <c r="P128">
        <f t="shared" si="37"/>
        <v>0.24148017227005272</v>
      </c>
      <c r="Q128">
        <f t="shared" si="38"/>
        <v>2.3028252648734835</v>
      </c>
      <c r="R128">
        <f t="shared" si="39"/>
        <v>0.22824265456238679</v>
      </c>
      <c r="S128">
        <f t="shared" si="40"/>
        <v>0.14378049405965848</v>
      </c>
      <c r="T128">
        <f t="shared" si="41"/>
        <v>276.11325645094206</v>
      </c>
      <c r="U128">
        <f t="shared" si="42"/>
        <v>27.853784796283183</v>
      </c>
      <c r="V128">
        <f t="shared" si="43"/>
        <v>27.853784796283183</v>
      </c>
      <c r="W128">
        <f t="shared" si="44"/>
        <v>3.7626130809282827</v>
      </c>
      <c r="X128">
        <f t="shared" si="45"/>
        <v>73.987928729935575</v>
      </c>
      <c r="Y128">
        <f t="shared" si="46"/>
        <v>2.6037588082006802</v>
      </c>
      <c r="Z128">
        <f t="shared" si="47"/>
        <v>3.5191670491340532</v>
      </c>
      <c r="AA128">
        <f t="shared" si="48"/>
        <v>1.1588542727276026</v>
      </c>
      <c r="AB128">
        <f t="shared" si="49"/>
        <v>-121.18231881743557</v>
      </c>
      <c r="AC128">
        <f t="shared" si="50"/>
        <v>-141.69041122526266</v>
      </c>
      <c r="AD128">
        <f t="shared" si="51"/>
        <v>-13.316347117993999</v>
      </c>
      <c r="AE128">
        <f t="shared" si="52"/>
        <v>-7.5820709750161086E-2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52675.633117545593</v>
      </c>
      <c r="AK128">
        <f t="shared" si="56"/>
        <v>1799.99</v>
      </c>
      <c r="AL128">
        <f t="shared" si="57"/>
        <v>1499.1046057948099</v>
      </c>
      <c r="AM128">
        <f t="shared" si="58"/>
        <v>0.832840519</v>
      </c>
      <c r="AN128">
        <f t="shared" si="59"/>
        <v>0.15339710578999999</v>
      </c>
      <c r="AO128">
        <v>29.1</v>
      </c>
      <c r="AP128">
        <v>0.5</v>
      </c>
      <c r="AQ128" t="s">
        <v>331</v>
      </c>
      <c r="AR128">
        <v>2</v>
      </c>
      <c r="AS128">
        <v>1690287750.5</v>
      </c>
      <c r="AT128">
        <v>389.202</v>
      </c>
      <c r="AU128">
        <v>800.05</v>
      </c>
      <c r="AV128">
        <v>26.1846</v>
      </c>
      <c r="AW128">
        <v>0.231127</v>
      </c>
      <c r="AX128">
        <v>390.15</v>
      </c>
      <c r="AY128">
        <v>25.993400000000001</v>
      </c>
      <c r="AZ128">
        <v>300.03699999999998</v>
      </c>
      <c r="BA128">
        <v>99.3386</v>
      </c>
      <c r="BB128">
        <v>9.9955799999999997E-2</v>
      </c>
      <c r="BC128">
        <v>26.712499999999999</v>
      </c>
      <c r="BD128">
        <v>26.976900000000001</v>
      </c>
      <c r="BE128">
        <v>28.309200000000001</v>
      </c>
      <c r="BF128">
        <v>0</v>
      </c>
      <c r="BG128">
        <v>0</v>
      </c>
      <c r="BH128">
        <v>10019.4</v>
      </c>
      <c r="BI128">
        <v>1087.57</v>
      </c>
      <c r="BJ128">
        <v>1.4016500000000001</v>
      </c>
      <c r="BK128">
        <v>-410.84800000000001</v>
      </c>
      <c r="BL128">
        <v>399.66699999999997</v>
      </c>
      <c r="BM128">
        <v>800.23500000000001</v>
      </c>
      <c r="BN128">
        <v>25.953399999999998</v>
      </c>
      <c r="BO128">
        <v>800.05</v>
      </c>
      <c r="BP128">
        <v>0.231127</v>
      </c>
      <c r="BQ128">
        <v>2.60114</v>
      </c>
      <c r="BR128">
        <v>2.2959799999999999E-2</v>
      </c>
      <c r="BS128">
        <v>21.6736</v>
      </c>
      <c r="BT128">
        <v>-38.087499999999999</v>
      </c>
      <c r="BU128">
        <v>1799.99</v>
      </c>
      <c r="BV128">
        <v>0.91000899999999996</v>
      </c>
      <c r="BW128">
        <v>3.3996100000000001E-2</v>
      </c>
      <c r="BX128">
        <v>2.1997200000000001E-2</v>
      </c>
      <c r="BY128">
        <v>3.39975E-2</v>
      </c>
      <c r="BZ128">
        <v>25</v>
      </c>
      <c r="CA128">
        <v>33528.300000000003</v>
      </c>
      <c r="CB128">
        <v>1690286268.5999999</v>
      </c>
      <c r="CC128" t="s">
        <v>332</v>
      </c>
      <c r="CD128">
        <v>1690286261.0999999</v>
      </c>
      <c r="CE128">
        <v>1690286268.5999999</v>
      </c>
      <c r="CF128">
        <v>1</v>
      </c>
      <c r="CG128">
        <v>-0.89900000000000002</v>
      </c>
      <c r="CH128">
        <v>3.4000000000000002E-2</v>
      </c>
      <c r="CI128">
        <v>-1.2370000000000001</v>
      </c>
      <c r="CJ128">
        <v>8.5999999999999993E-2</v>
      </c>
      <c r="CK128">
        <v>799</v>
      </c>
      <c r="CL128">
        <v>16</v>
      </c>
      <c r="CM128">
        <v>0.28999999999999998</v>
      </c>
      <c r="CN128">
        <v>0.09</v>
      </c>
      <c r="CO128">
        <v>-409.36767500000002</v>
      </c>
      <c r="CP128">
        <v>-7.8614746716701429</v>
      </c>
      <c r="CQ128">
        <v>0.75731470959899005</v>
      </c>
      <c r="CR128">
        <v>-1</v>
      </c>
      <c r="CS128">
        <v>25.883984999999999</v>
      </c>
      <c r="CT128">
        <v>0.37281951219501092</v>
      </c>
      <c r="CU128">
        <v>3.586958704808299E-2</v>
      </c>
      <c r="CV128">
        <v>-1</v>
      </c>
      <c r="CW128">
        <v>0</v>
      </c>
      <c r="CX128">
        <v>0</v>
      </c>
      <c r="CY128" t="s">
        <v>333</v>
      </c>
      <c r="CZ128">
        <v>2.3648400000000001</v>
      </c>
      <c r="DA128">
        <v>2.7137600000000002</v>
      </c>
      <c r="DB128">
        <v>8.8151400000000005E-2</v>
      </c>
      <c r="DC128">
        <v>0.146569</v>
      </c>
      <c r="DD128">
        <v>0.121575</v>
      </c>
      <c r="DE128">
        <v>1.9461700000000001E-3</v>
      </c>
      <c r="DF128">
        <v>33292.699999999997</v>
      </c>
      <c r="DG128">
        <v>27474.400000000001</v>
      </c>
      <c r="DH128">
        <v>31167.3</v>
      </c>
      <c r="DI128">
        <v>28050</v>
      </c>
      <c r="DJ128">
        <v>37153.5</v>
      </c>
      <c r="DK128">
        <v>39795.300000000003</v>
      </c>
      <c r="DL128">
        <v>44348.3</v>
      </c>
      <c r="DM128">
        <v>42490.7</v>
      </c>
      <c r="DN128">
        <v>1.4923</v>
      </c>
      <c r="DO128">
        <v>2.0635500000000002</v>
      </c>
      <c r="DP128">
        <v>8.2135200000000005E-2</v>
      </c>
      <c r="DQ128">
        <v>0.185169</v>
      </c>
      <c r="DR128">
        <v>25.632100000000001</v>
      </c>
      <c r="DS128">
        <v>25.279900000000001</v>
      </c>
      <c r="DT128">
        <v>44.7</v>
      </c>
      <c r="DU128">
        <v>25.3</v>
      </c>
      <c r="DV128">
        <v>14.566700000000001</v>
      </c>
      <c r="DW128">
        <v>61.431399999999996</v>
      </c>
      <c r="DX128">
        <v>37.091299999999997</v>
      </c>
      <c r="DY128">
        <v>1</v>
      </c>
      <c r="DZ128">
        <v>-0.14372699999999999</v>
      </c>
      <c r="EA128">
        <v>-0.76858099999999996</v>
      </c>
      <c r="EB128">
        <v>20.188800000000001</v>
      </c>
      <c r="EC128">
        <v>5.242</v>
      </c>
      <c r="ED128">
        <v>12.039899999999999</v>
      </c>
      <c r="EE128">
        <v>5.0171999999999999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1.8687400000000001</v>
      </c>
      <c r="EL128">
        <v>1.86446</v>
      </c>
      <c r="EM128">
        <v>1.86907</v>
      </c>
      <c r="EN128">
        <v>1.86707</v>
      </c>
      <c r="EO128">
        <v>1.8632500000000001</v>
      </c>
      <c r="EP128">
        <v>1.8643099999999999</v>
      </c>
      <c r="EQ128">
        <v>1.8701099999999999</v>
      </c>
      <c r="ER128">
        <v>1.8692800000000001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-0.94799999999999995</v>
      </c>
      <c r="FG128">
        <v>0.19120000000000001</v>
      </c>
      <c r="FH128">
        <v>-0.68620417327404271</v>
      </c>
      <c r="FI128">
        <v>-6.1462078757559423E-4</v>
      </c>
      <c r="FJ128">
        <v>-1.8861989874597051E-7</v>
      </c>
      <c r="FK128">
        <v>1.1980462299894961E-10</v>
      </c>
      <c r="FL128">
        <v>0.1911242781723908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24.8</v>
      </c>
      <c r="FU128">
        <v>24.7</v>
      </c>
      <c r="FV128">
        <v>1.7590300000000001</v>
      </c>
      <c r="FW128">
        <v>2.5720200000000002</v>
      </c>
      <c r="FX128">
        <v>1.5490699999999999</v>
      </c>
      <c r="FY128">
        <v>2.33887</v>
      </c>
      <c r="FZ128">
        <v>1.50146</v>
      </c>
      <c r="GA128">
        <v>2.34985</v>
      </c>
      <c r="GB128">
        <v>30.760400000000001</v>
      </c>
      <c r="GC128">
        <v>23.982399999999998</v>
      </c>
      <c r="GD128">
        <v>19</v>
      </c>
      <c r="GE128">
        <v>286.899</v>
      </c>
      <c r="GF128">
        <v>598.14700000000005</v>
      </c>
      <c r="GG128">
        <v>26.067799999999998</v>
      </c>
      <c r="GH128">
        <v>25.597200000000001</v>
      </c>
      <c r="GI128">
        <v>30.0002</v>
      </c>
      <c r="GJ128">
        <v>25.712900000000001</v>
      </c>
      <c r="GK128">
        <v>25.674800000000001</v>
      </c>
      <c r="GL128">
        <v>35.1706</v>
      </c>
      <c r="GM128">
        <v>100</v>
      </c>
      <c r="GN128">
        <v>31.742999999999999</v>
      </c>
      <c r="GO128">
        <v>26.077000000000002</v>
      </c>
      <c r="GP128">
        <v>800</v>
      </c>
      <c r="GQ128">
        <v>0</v>
      </c>
      <c r="GR128">
        <v>99.714600000000004</v>
      </c>
      <c r="GS128">
        <v>99.422300000000007</v>
      </c>
    </row>
    <row r="129" spans="1:201" x14ac:dyDescent="0.25">
      <c r="A129">
        <v>113</v>
      </c>
      <c r="B129">
        <v>1690287760.5</v>
      </c>
      <c r="C129">
        <v>1221.900000095367</v>
      </c>
      <c r="D129" t="s">
        <v>559</v>
      </c>
      <c r="E129" t="s">
        <v>560</v>
      </c>
      <c r="F129" t="s">
        <v>330</v>
      </c>
      <c r="H129">
        <v>1690287760.5</v>
      </c>
      <c r="I129">
        <f t="shared" si="30"/>
        <v>2.7543820910750287E-3</v>
      </c>
      <c r="J129">
        <f t="shared" si="31"/>
        <v>2.7543820910750285</v>
      </c>
      <c r="K129">
        <f t="shared" si="32"/>
        <v>41.404557849626457</v>
      </c>
      <c r="L129">
        <f t="shared" si="33"/>
        <v>388.10399999999998</v>
      </c>
      <c r="M129">
        <f t="shared" si="34"/>
        <v>97.762937916299379</v>
      </c>
      <c r="N129">
        <f t="shared" si="35"/>
        <v>9.7213894902370459</v>
      </c>
      <c r="O129">
        <f t="shared" si="36"/>
        <v>38.592438270923992</v>
      </c>
      <c r="P129">
        <f t="shared" si="37"/>
        <v>0.24353070436500748</v>
      </c>
      <c r="Q129">
        <f t="shared" si="38"/>
        <v>2.292145005203452</v>
      </c>
      <c r="R129">
        <f t="shared" si="39"/>
        <v>0.23001517943781913</v>
      </c>
      <c r="S129">
        <f t="shared" si="40"/>
        <v>0.14491126106619517</v>
      </c>
      <c r="T129">
        <f t="shared" si="41"/>
        <v>276.11453476799994</v>
      </c>
      <c r="U129">
        <f t="shared" si="42"/>
        <v>27.850446408444174</v>
      </c>
      <c r="V129">
        <f t="shared" si="43"/>
        <v>27.850446408444174</v>
      </c>
      <c r="W129">
        <f t="shared" si="44"/>
        <v>3.7618800796831944</v>
      </c>
      <c r="X129">
        <f t="shared" si="45"/>
        <v>74.171256179159883</v>
      </c>
      <c r="Y129">
        <f t="shared" si="46"/>
        <v>2.60927338927935</v>
      </c>
      <c r="Z129">
        <f t="shared" si="47"/>
        <v>3.517903732109751</v>
      </c>
      <c r="AA129">
        <f t="shared" si="48"/>
        <v>1.1526066904038443</v>
      </c>
      <c r="AB129">
        <f t="shared" si="49"/>
        <v>-121.46825021640876</v>
      </c>
      <c r="AC129">
        <f t="shared" si="50"/>
        <v>-141.37452990220478</v>
      </c>
      <c r="AD129">
        <f t="shared" si="51"/>
        <v>-13.347940106224312</v>
      </c>
      <c r="AE129">
        <f t="shared" si="52"/>
        <v>-7.6185456837919219E-2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52272.817255230788</v>
      </c>
      <c r="AK129">
        <f t="shared" si="56"/>
        <v>1800</v>
      </c>
      <c r="AL129">
        <f t="shared" si="57"/>
        <v>1499.1138108</v>
      </c>
      <c r="AM129">
        <f t="shared" si="58"/>
        <v>0.83284100599999999</v>
      </c>
      <c r="AN129">
        <f t="shared" si="59"/>
        <v>0.15339696375999998</v>
      </c>
      <c r="AO129">
        <v>29.1</v>
      </c>
      <c r="AP129">
        <v>0.5</v>
      </c>
      <c r="AQ129" t="s">
        <v>331</v>
      </c>
      <c r="AR129">
        <v>2</v>
      </c>
      <c r="AS129">
        <v>1690287760.5</v>
      </c>
      <c r="AT129">
        <v>388.10399999999998</v>
      </c>
      <c r="AU129">
        <v>800.01499999999999</v>
      </c>
      <c r="AV129">
        <v>26.240100000000002</v>
      </c>
      <c r="AW129">
        <v>0.22886600000000001</v>
      </c>
      <c r="AX129">
        <v>389.05099999999999</v>
      </c>
      <c r="AY129">
        <v>26.048999999999999</v>
      </c>
      <c r="AZ129">
        <v>300.06</v>
      </c>
      <c r="BA129">
        <v>99.338399999999993</v>
      </c>
      <c r="BB129">
        <v>9.9993499999999999E-2</v>
      </c>
      <c r="BC129">
        <v>26.706399999999999</v>
      </c>
      <c r="BD129">
        <v>27.0183</v>
      </c>
      <c r="BE129">
        <v>28.321999999999999</v>
      </c>
      <c r="BF129">
        <v>0</v>
      </c>
      <c r="BG129">
        <v>0</v>
      </c>
      <c r="BH129">
        <v>9939.3799999999992</v>
      </c>
      <c r="BI129">
        <v>1087.5999999999999</v>
      </c>
      <c r="BJ129">
        <v>1.4016500000000001</v>
      </c>
      <c r="BK129">
        <v>-411.91</v>
      </c>
      <c r="BL129">
        <v>398.56299999999999</v>
      </c>
      <c r="BM129">
        <v>800.19799999999998</v>
      </c>
      <c r="BN129">
        <v>26.011299999999999</v>
      </c>
      <c r="BO129">
        <v>800.01499999999999</v>
      </c>
      <c r="BP129">
        <v>0.22886600000000001</v>
      </c>
      <c r="BQ129">
        <v>2.6066500000000001</v>
      </c>
      <c r="BR129">
        <v>2.2735200000000001E-2</v>
      </c>
      <c r="BS129">
        <v>21.708200000000001</v>
      </c>
      <c r="BT129">
        <v>-38.183399999999999</v>
      </c>
      <c r="BU129">
        <v>1800</v>
      </c>
      <c r="BV129">
        <v>0.91001500000000002</v>
      </c>
      <c r="BW129">
        <v>3.3993799999999998E-2</v>
      </c>
      <c r="BX129">
        <v>2.1995799999999999E-2</v>
      </c>
      <c r="BY129">
        <v>3.3995200000000003E-2</v>
      </c>
      <c r="BZ129">
        <v>25</v>
      </c>
      <c r="CA129">
        <v>33528.5</v>
      </c>
      <c r="CB129">
        <v>1690286268.5999999</v>
      </c>
      <c r="CC129" t="s">
        <v>332</v>
      </c>
      <c r="CD129">
        <v>1690286261.0999999</v>
      </c>
      <c r="CE129">
        <v>1690286268.5999999</v>
      </c>
      <c r="CF129">
        <v>1</v>
      </c>
      <c r="CG129">
        <v>-0.89900000000000002</v>
      </c>
      <c r="CH129">
        <v>3.4000000000000002E-2</v>
      </c>
      <c r="CI129">
        <v>-1.2370000000000001</v>
      </c>
      <c r="CJ129">
        <v>8.5999999999999993E-2</v>
      </c>
      <c r="CK129">
        <v>799</v>
      </c>
      <c r="CL129">
        <v>16</v>
      </c>
      <c r="CM129">
        <v>0.28999999999999998</v>
      </c>
      <c r="CN129">
        <v>0.09</v>
      </c>
      <c r="CO129">
        <v>-410.64453658536593</v>
      </c>
      <c r="CP129">
        <v>-7.2298954703832576</v>
      </c>
      <c r="CQ129">
        <v>0.71552890543651648</v>
      </c>
      <c r="CR129">
        <v>-1</v>
      </c>
      <c r="CS129">
        <v>25.946670731707322</v>
      </c>
      <c r="CT129">
        <v>0.36439651567943049</v>
      </c>
      <c r="CU129">
        <v>3.5945746679442309E-2</v>
      </c>
      <c r="CV129">
        <v>-1</v>
      </c>
      <c r="CW129">
        <v>0</v>
      </c>
      <c r="CX129">
        <v>0</v>
      </c>
      <c r="CY129" t="s">
        <v>333</v>
      </c>
      <c r="CZ129">
        <v>2.3649200000000001</v>
      </c>
      <c r="DA129">
        <v>2.71373</v>
      </c>
      <c r="DB129">
        <v>8.79606E-2</v>
      </c>
      <c r="DC129">
        <v>0.146565</v>
      </c>
      <c r="DD129">
        <v>0.121755</v>
      </c>
      <c r="DE129">
        <v>1.9273999999999999E-3</v>
      </c>
      <c r="DF129">
        <v>33300.400000000001</v>
      </c>
      <c r="DG129">
        <v>27475.200000000001</v>
      </c>
      <c r="DH129">
        <v>31168.1</v>
      </c>
      <c r="DI129">
        <v>28050.7</v>
      </c>
      <c r="DJ129">
        <v>37146.699999999997</v>
      </c>
      <c r="DK129">
        <v>39796.9</v>
      </c>
      <c r="DL129">
        <v>44349.5</v>
      </c>
      <c r="DM129">
        <v>42491.5</v>
      </c>
      <c r="DN129">
        <v>1.49255</v>
      </c>
      <c r="DO129">
        <v>2.0634800000000002</v>
      </c>
      <c r="DP129">
        <v>8.4556599999999996E-2</v>
      </c>
      <c r="DQ129">
        <v>0.18582499999999999</v>
      </c>
      <c r="DR129">
        <v>25.634</v>
      </c>
      <c r="DS129">
        <v>25.282</v>
      </c>
      <c r="DT129">
        <v>44.2</v>
      </c>
      <c r="DU129">
        <v>25.3</v>
      </c>
      <c r="DV129">
        <v>14.403</v>
      </c>
      <c r="DW129">
        <v>62.141399999999997</v>
      </c>
      <c r="DX129">
        <v>37.171500000000002</v>
      </c>
      <c r="DY129">
        <v>1</v>
      </c>
      <c r="DZ129">
        <v>-0.14432400000000001</v>
      </c>
      <c r="EA129">
        <v>-0.78021499999999999</v>
      </c>
      <c r="EB129">
        <v>20.188700000000001</v>
      </c>
      <c r="EC129">
        <v>5.2421499999999996</v>
      </c>
      <c r="ED129">
        <v>12.039899999999999</v>
      </c>
      <c r="EE129">
        <v>5.01715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1.8687400000000001</v>
      </c>
      <c r="EL129">
        <v>1.8644499999999999</v>
      </c>
      <c r="EM129">
        <v>1.8690599999999999</v>
      </c>
      <c r="EN129">
        <v>1.86707</v>
      </c>
      <c r="EO129">
        <v>1.8632500000000001</v>
      </c>
      <c r="EP129">
        <v>1.8643099999999999</v>
      </c>
      <c r="EQ129">
        <v>1.87009</v>
      </c>
      <c r="ER129">
        <v>1.8692800000000001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-0.94699999999999995</v>
      </c>
      <c r="FG129">
        <v>0.19109999999999999</v>
      </c>
      <c r="FH129">
        <v>-0.68620417327404271</v>
      </c>
      <c r="FI129">
        <v>-6.1462078757559423E-4</v>
      </c>
      <c r="FJ129">
        <v>-1.8861989874597051E-7</v>
      </c>
      <c r="FK129">
        <v>1.1980462299894961E-10</v>
      </c>
      <c r="FL129">
        <v>0.1911242781723908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25</v>
      </c>
      <c r="FU129">
        <v>24.9</v>
      </c>
      <c r="FV129">
        <v>1.7590300000000001</v>
      </c>
      <c r="FW129">
        <v>2.5683600000000002</v>
      </c>
      <c r="FX129">
        <v>1.5490699999999999</v>
      </c>
      <c r="FY129">
        <v>2.33887</v>
      </c>
      <c r="FZ129">
        <v>1.50024</v>
      </c>
      <c r="GA129">
        <v>2.2924799999999999</v>
      </c>
      <c r="GB129">
        <v>30.760400000000001</v>
      </c>
      <c r="GC129">
        <v>23.982399999999998</v>
      </c>
      <c r="GD129">
        <v>19</v>
      </c>
      <c r="GE129">
        <v>287.00700000000001</v>
      </c>
      <c r="GF129">
        <v>598.08399999999995</v>
      </c>
      <c r="GG129">
        <v>26.0853</v>
      </c>
      <c r="GH129">
        <v>25.595600000000001</v>
      </c>
      <c r="GI129">
        <v>30.0001</v>
      </c>
      <c r="GJ129">
        <v>25.712900000000001</v>
      </c>
      <c r="GK129">
        <v>25.674800000000001</v>
      </c>
      <c r="GL129">
        <v>35.169800000000002</v>
      </c>
      <c r="GM129">
        <v>100</v>
      </c>
      <c r="GN129">
        <v>30.953399999999998</v>
      </c>
      <c r="GO129">
        <v>26.0684</v>
      </c>
      <c r="GP129">
        <v>800</v>
      </c>
      <c r="GQ129">
        <v>0</v>
      </c>
      <c r="GR129">
        <v>99.716999999999999</v>
      </c>
      <c r="GS129">
        <v>99.424400000000006</v>
      </c>
    </row>
    <row r="130" spans="1:201" x14ac:dyDescent="0.25">
      <c r="A130">
        <v>114</v>
      </c>
      <c r="B130">
        <v>1690287770.5</v>
      </c>
      <c r="C130">
        <v>1231.900000095367</v>
      </c>
      <c r="D130" t="s">
        <v>561</v>
      </c>
      <c r="E130" t="s">
        <v>562</v>
      </c>
      <c r="F130" t="s">
        <v>330</v>
      </c>
      <c r="H130">
        <v>1690287770.5</v>
      </c>
      <c r="I130">
        <f t="shared" si="30"/>
        <v>2.7603355074738282E-3</v>
      </c>
      <c r="J130">
        <f t="shared" si="31"/>
        <v>2.7603355074738283</v>
      </c>
      <c r="K130">
        <f t="shared" si="32"/>
        <v>41.527801306155716</v>
      </c>
      <c r="L130">
        <f t="shared" si="33"/>
        <v>386.83800000000002</v>
      </c>
      <c r="M130">
        <f t="shared" si="34"/>
        <v>97.517977242534627</v>
      </c>
      <c r="N130">
        <f t="shared" si="35"/>
        <v>9.6971590842303108</v>
      </c>
      <c r="O130">
        <f t="shared" si="36"/>
        <v>38.467057376466002</v>
      </c>
      <c r="P130">
        <f t="shared" si="37"/>
        <v>0.24514113504934296</v>
      </c>
      <c r="Q130">
        <f t="shared" si="38"/>
        <v>2.2996740935481945</v>
      </c>
      <c r="R130">
        <f t="shared" si="39"/>
        <v>0.23149380108072901</v>
      </c>
      <c r="S130">
        <f t="shared" si="40"/>
        <v>0.14584643470268355</v>
      </c>
      <c r="T130">
        <f t="shared" si="41"/>
        <v>276.11307574994601</v>
      </c>
      <c r="U130">
        <f t="shared" si="42"/>
        <v>27.852267071214783</v>
      </c>
      <c r="V130">
        <f t="shared" si="43"/>
        <v>27.852267071214783</v>
      </c>
      <c r="W130">
        <f t="shared" si="44"/>
        <v>3.7622798224849507</v>
      </c>
      <c r="X130">
        <f t="shared" si="45"/>
        <v>74.290559386467379</v>
      </c>
      <c r="Y130">
        <f t="shared" si="46"/>
        <v>2.6145781601216997</v>
      </c>
      <c r="Z130">
        <f t="shared" si="47"/>
        <v>3.5193949025479623</v>
      </c>
      <c r="AA130">
        <f t="shared" si="48"/>
        <v>1.147701662363251</v>
      </c>
      <c r="AB130">
        <f t="shared" si="49"/>
        <v>-121.73079587959582</v>
      </c>
      <c r="AC130">
        <f t="shared" si="50"/>
        <v>-141.17197734334115</v>
      </c>
      <c r="AD130">
        <f t="shared" si="51"/>
        <v>-13.285775935133739</v>
      </c>
      <c r="AE130">
        <f t="shared" si="52"/>
        <v>-7.547340812470793E-2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52556.128712801357</v>
      </c>
      <c r="AK130">
        <f t="shared" si="56"/>
        <v>1799.99</v>
      </c>
      <c r="AL130">
        <f t="shared" si="57"/>
        <v>1499.1071455807</v>
      </c>
      <c r="AM130">
        <f t="shared" si="58"/>
        <v>0.83284192999999995</v>
      </c>
      <c r="AN130">
        <f t="shared" si="59"/>
        <v>0.15339700540000001</v>
      </c>
      <c r="AO130">
        <v>29.1</v>
      </c>
      <c r="AP130">
        <v>0.5</v>
      </c>
      <c r="AQ130" t="s">
        <v>331</v>
      </c>
      <c r="AR130">
        <v>2</v>
      </c>
      <c r="AS130">
        <v>1690287770.5</v>
      </c>
      <c r="AT130">
        <v>386.83800000000002</v>
      </c>
      <c r="AU130">
        <v>799.94100000000003</v>
      </c>
      <c r="AV130">
        <v>26.293099999999999</v>
      </c>
      <c r="AW130">
        <v>0.22654199999999999</v>
      </c>
      <c r="AX130">
        <v>387.78399999999999</v>
      </c>
      <c r="AY130">
        <v>26.101900000000001</v>
      </c>
      <c r="AZ130">
        <v>300.05399999999997</v>
      </c>
      <c r="BA130">
        <v>99.339699999999993</v>
      </c>
      <c r="BB130">
        <v>0.100007</v>
      </c>
      <c r="BC130">
        <v>26.7136</v>
      </c>
      <c r="BD130">
        <v>27.012699999999999</v>
      </c>
      <c r="BE130">
        <v>28.31</v>
      </c>
      <c r="BF130">
        <v>0</v>
      </c>
      <c r="BG130">
        <v>0</v>
      </c>
      <c r="BH130">
        <v>9995.6200000000008</v>
      </c>
      <c r="BI130">
        <v>1087.6600000000001</v>
      </c>
      <c r="BJ130">
        <v>1.4016500000000001</v>
      </c>
      <c r="BK130">
        <v>-413.10300000000001</v>
      </c>
      <c r="BL130">
        <v>397.28399999999999</v>
      </c>
      <c r="BM130">
        <v>800.12199999999996</v>
      </c>
      <c r="BN130">
        <v>26.066500000000001</v>
      </c>
      <c r="BO130">
        <v>799.94100000000003</v>
      </c>
      <c r="BP130">
        <v>0.22654199999999999</v>
      </c>
      <c r="BQ130">
        <v>2.6119500000000002</v>
      </c>
      <c r="BR130">
        <v>2.25046E-2</v>
      </c>
      <c r="BS130">
        <v>21.741399999999999</v>
      </c>
      <c r="BT130">
        <v>-38.282699999999998</v>
      </c>
      <c r="BU130">
        <v>1799.99</v>
      </c>
      <c r="BV130">
        <v>0.91001900000000002</v>
      </c>
      <c r="BW130">
        <v>3.3992599999999998E-2</v>
      </c>
      <c r="BX130">
        <v>2.1995000000000001E-2</v>
      </c>
      <c r="BY130">
        <v>3.3994000000000003E-2</v>
      </c>
      <c r="BZ130">
        <v>25</v>
      </c>
      <c r="CA130">
        <v>33528.400000000001</v>
      </c>
      <c r="CB130">
        <v>1690286268.5999999</v>
      </c>
      <c r="CC130" t="s">
        <v>332</v>
      </c>
      <c r="CD130">
        <v>1690286261.0999999</v>
      </c>
      <c r="CE130">
        <v>1690286268.5999999</v>
      </c>
      <c r="CF130">
        <v>1</v>
      </c>
      <c r="CG130">
        <v>-0.89900000000000002</v>
      </c>
      <c r="CH130">
        <v>3.4000000000000002E-2</v>
      </c>
      <c r="CI130">
        <v>-1.2370000000000001</v>
      </c>
      <c r="CJ130">
        <v>8.5999999999999993E-2</v>
      </c>
      <c r="CK130">
        <v>799</v>
      </c>
      <c r="CL130">
        <v>16</v>
      </c>
      <c r="CM130">
        <v>0.28999999999999998</v>
      </c>
      <c r="CN130">
        <v>0.09</v>
      </c>
      <c r="CO130">
        <v>-411.930925</v>
      </c>
      <c r="CP130">
        <v>-7.2673733583475686</v>
      </c>
      <c r="CQ130">
        <v>0.70081050889309227</v>
      </c>
      <c r="CR130">
        <v>-1</v>
      </c>
      <c r="CS130">
        <v>26.010517499999999</v>
      </c>
      <c r="CT130">
        <v>0.34931594746718858</v>
      </c>
      <c r="CU130">
        <v>3.3620833477919811E-2</v>
      </c>
      <c r="CV130">
        <v>-1</v>
      </c>
      <c r="CW130">
        <v>0</v>
      </c>
      <c r="CX130">
        <v>0</v>
      </c>
      <c r="CY130" t="s">
        <v>333</v>
      </c>
      <c r="CZ130">
        <v>2.3649</v>
      </c>
      <c r="DA130">
        <v>2.7137899999999999</v>
      </c>
      <c r="DB130">
        <v>8.7741899999999998E-2</v>
      </c>
      <c r="DC130">
        <v>0.14655799999999999</v>
      </c>
      <c r="DD130">
        <v>0.121929</v>
      </c>
      <c r="DE130">
        <v>1.9081199999999999E-3</v>
      </c>
      <c r="DF130">
        <v>33308.199999999997</v>
      </c>
      <c r="DG130">
        <v>27475.4</v>
      </c>
      <c r="DH130">
        <v>31167.8</v>
      </c>
      <c r="DI130">
        <v>28050.7</v>
      </c>
      <c r="DJ130">
        <v>37138.9</v>
      </c>
      <c r="DK130">
        <v>39797.800000000003</v>
      </c>
      <c r="DL130">
        <v>44349</v>
      </c>
      <c r="DM130">
        <v>42491.7</v>
      </c>
      <c r="DN130">
        <v>1.4924999999999999</v>
      </c>
      <c r="DO130">
        <v>2.06332</v>
      </c>
      <c r="DP130">
        <v>8.4072400000000005E-2</v>
      </c>
      <c r="DQ130">
        <v>0.18484900000000001</v>
      </c>
      <c r="DR130">
        <v>25.636299999999999</v>
      </c>
      <c r="DS130">
        <v>25.285900000000002</v>
      </c>
      <c r="DT130">
        <v>43.8</v>
      </c>
      <c r="DU130">
        <v>25.3</v>
      </c>
      <c r="DV130">
        <v>14.270899999999999</v>
      </c>
      <c r="DW130">
        <v>62.101399999999998</v>
      </c>
      <c r="DX130">
        <v>37.203499999999998</v>
      </c>
      <c r="DY130">
        <v>1</v>
      </c>
      <c r="DZ130">
        <v>-0.14435500000000001</v>
      </c>
      <c r="EA130">
        <v>-0.71501599999999998</v>
      </c>
      <c r="EB130">
        <v>20.1891</v>
      </c>
      <c r="EC130">
        <v>5.242</v>
      </c>
      <c r="ED130">
        <v>12.039899999999999</v>
      </c>
      <c r="EE130">
        <v>5.0172499999999998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1.8687400000000001</v>
      </c>
      <c r="EL130">
        <v>1.86443</v>
      </c>
      <c r="EM130">
        <v>1.86907</v>
      </c>
      <c r="EN130">
        <v>1.86707</v>
      </c>
      <c r="EO130">
        <v>1.86324</v>
      </c>
      <c r="EP130">
        <v>1.8643099999999999</v>
      </c>
      <c r="EQ130">
        <v>1.8700699999999999</v>
      </c>
      <c r="ER130">
        <v>1.8692800000000001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-0.94599999999999995</v>
      </c>
      <c r="FG130">
        <v>0.19120000000000001</v>
      </c>
      <c r="FH130">
        <v>-0.68620417327404271</v>
      </c>
      <c r="FI130">
        <v>-6.1462078757559423E-4</v>
      </c>
      <c r="FJ130">
        <v>-1.8861989874597051E-7</v>
      </c>
      <c r="FK130">
        <v>1.1980462299894961E-10</v>
      </c>
      <c r="FL130">
        <v>0.1911242781723908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25.2</v>
      </c>
      <c r="FU130">
        <v>25</v>
      </c>
      <c r="FV130">
        <v>1.7590300000000001</v>
      </c>
      <c r="FW130">
        <v>2.5683600000000002</v>
      </c>
      <c r="FX130">
        <v>1.5490699999999999</v>
      </c>
      <c r="FY130">
        <v>2.33887</v>
      </c>
      <c r="FZ130">
        <v>1.50146</v>
      </c>
      <c r="GA130">
        <v>2.2875999999999999</v>
      </c>
      <c r="GB130">
        <v>30.782</v>
      </c>
      <c r="GC130">
        <v>23.973700000000001</v>
      </c>
      <c r="GD130">
        <v>19</v>
      </c>
      <c r="GE130">
        <v>286.976</v>
      </c>
      <c r="GF130">
        <v>597.95799999999997</v>
      </c>
      <c r="GG130">
        <v>26.063099999999999</v>
      </c>
      <c r="GH130">
        <v>25.595600000000001</v>
      </c>
      <c r="GI130">
        <v>30</v>
      </c>
      <c r="GJ130">
        <v>25.710799999999999</v>
      </c>
      <c r="GK130">
        <v>25.674800000000001</v>
      </c>
      <c r="GL130">
        <v>35.1708</v>
      </c>
      <c r="GM130">
        <v>100</v>
      </c>
      <c r="GN130">
        <v>30.173400000000001</v>
      </c>
      <c r="GO130">
        <v>26.057700000000001</v>
      </c>
      <c r="GP130">
        <v>800</v>
      </c>
      <c r="GQ130">
        <v>0</v>
      </c>
      <c r="GR130">
        <v>99.716200000000001</v>
      </c>
      <c r="GS130">
        <v>99.424599999999998</v>
      </c>
    </row>
    <row r="131" spans="1:201" x14ac:dyDescent="0.25">
      <c r="A131">
        <v>115</v>
      </c>
      <c r="B131">
        <v>1690287780.5</v>
      </c>
      <c r="C131">
        <v>1241.900000095367</v>
      </c>
      <c r="D131" t="s">
        <v>563</v>
      </c>
      <c r="E131" t="s">
        <v>564</v>
      </c>
      <c r="F131" t="s">
        <v>330</v>
      </c>
      <c r="H131">
        <v>1690287780.5</v>
      </c>
      <c r="I131">
        <f t="shared" si="30"/>
        <v>2.7664516196455897E-3</v>
      </c>
      <c r="J131">
        <f t="shared" si="31"/>
        <v>2.7664516196455895</v>
      </c>
      <c r="K131">
        <f t="shared" si="32"/>
        <v>41.666255155983364</v>
      </c>
      <c r="L131">
        <f t="shared" si="33"/>
        <v>385.61200000000002</v>
      </c>
      <c r="M131">
        <f t="shared" si="34"/>
        <v>97.005566192261384</v>
      </c>
      <c r="N131">
        <f t="shared" si="35"/>
        <v>9.6462491200546303</v>
      </c>
      <c r="O131">
        <f t="shared" si="36"/>
        <v>38.345319363532006</v>
      </c>
      <c r="P131">
        <f t="shared" si="37"/>
        <v>0.24663798581499272</v>
      </c>
      <c r="Q131">
        <f t="shared" si="38"/>
        <v>2.2962617494182767</v>
      </c>
      <c r="R131">
        <f t="shared" si="39"/>
        <v>0.2328092331111058</v>
      </c>
      <c r="S131">
        <f t="shared" si="40"/>
        <v>0.14668357760179371</v>
      </c>
      <c r="T131">
        <f t="shared" si="41"/>
        <v>276.114336444</v>
      </c>
      <c r="U131">
        <f t="shared" si="42"/>
        <v>27.857525874976936</v>
      </c>
      <c r="V131">
        <f t="shared" si="43"/>
        <v>27.857525874976936</v>
      </c>
      <c r="W131">
        <f t="shared" si="44"/>
        <v>3.7634346480394467</v>
      </c>
      <c r="X131">
        <f t="shared" si="45"/>
        <v>74.411725680145622</v>
      </c>
      <c r="Y131">
        <f t="shared" si="46"/>
        <v>2.6197212094966997</v>
      </c>
      <c r="Z131">
        <f t="shared" si="47"/>
        <v>3.5205758038154031</v>
      </c>
      <c r="AA131">
        <f t="shared" si="48"/>
        <v>1.143713438542747</v>
      </c>
      <c r="AB131">
        <f t="shared" si="49"/>
        <v>-122.00051642637051</v>
      </c>
      <c r="AC131">
        <f t="shared" si="50"/>
        <v>-140.9078826215912</v>
      </c>
      <c r="AD131">
        <f t="shared" si="51"/>
        <v>-13.281355119479416</v>
      </c>
      <c r="AE131">
        <f t="shared" si="52"/>
        <v>-7.5417723441120188E-2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52426.078286785174</v>
      </c>
      <c r="AK131">
        <f t="shared" si="56"/>
        <v>1800</v>
      </c>
      <c r="AL131">
        <f t="shared" si="57"/>
        <v>1499.1149483999998</v>
      </c>
      <c r="AM131">
        <f t="shared" si="58"/>
        <v>0.83284163799999988</v>
      </c>
      <c r="AN131">
        <f t="shared" si="59"/>
        <v>0.15339685357999999</v>
      </c>
      <c r="AO131">
        <v>29.1</v>
      </c>
      <c r="AP131">
        <v>0.5</v>
      </c>
      <c r="AQ131" t="s">
        <v>331</v>
      </c>
      <c r="AR131">
        <v>2</v>
      </c>
      <c r="AS131">
        <v>1690287780.5</v>
      </c>
      <c r="AT131">
        <v>385.61200000000002</v>
      </c>
      <c r="AU131">
        <v>800.005</v>
      </c>
      <c r="AV131">
        <v>26.3447</v>
      </c>
      <c r="AW131">
        <v>0.224469</v>
      </c>
      <c r="AX131">
        <v>386.55700000000002</v>
      </c>
      <c r="AY131">
        <v>26.153600000000001</v>
      </c>
      <c r="AZ131">
        <v>300.08499999999998</v>
      </c>
      <c r="BA131">
        <v>99.340100000000007</v>
      </c>
      <c r="BB131">
        <v>0.100061</v>
      </c>
      <c r="BC131">
        <v>26.7193</v>
      </c>
      <c r="BD131">
        <v>27.0061</v>
      </c>
      <c r="BE131">
        <v>28.304600000000001</v>
      </c>
      <c r="BF131">
        <v>0</v>
      </c>
      <c r="BG131">
        <v>0</v>
      </c>
      <c r="BH131">
        <v>9970</v>
      </c>
      <c r="BI131">
        <v>1087.68</v>
      </c>
      <c r="BJ131">
        <v>1.4016500000000001</v>
      </c>
      <c r="BK131">
        <v>-414.39299999999997</v>
      </c>
      <c r="BL131">
        <v>396.04599999999999</v>
      </c>
      <c r="BM131">
        <v>800.18499999999995</v>
      </c>
      <c r="BN131">
        <v>26.1203</v>
      </c>
      <c r="BO131">
        <v>800.005</v>
      </c>
      <c r="BP131">
        <v>0.224469</v>
      </c>
      <c r="BQ131">
        <v>2.6170900000000001</v>
      </c>
      <c r="BR131">
        <v>2.2298700000000001E-2</v>
      </c>
      <c r="BS131">
        <v>21.773599999999998</v>
      </c>
      <c r="BT131">
        <v>-38.372199999999999</v>
      </c>
      <c r="BU131">
        <v>1800</v>
      </c>
      <c r="BV131">
        <v>0.91002099999999997</v>
      </c>
      <c r="BW131">
        <v>3.3991599999999997E-2</v>
      </c>
      <c r="BX131">
        <v>2.1994400000000001E-2</v>
      </c>
      <c r="BY131">
        <v>3.3993000000000002E-2</v>
      </c>
      <c r="BZ131">
        <v>25</v>
      </c>
      <c r="CA131">
        <v>33528.5</v>
      </c>
      <c r="CB131">
        <v>1690286268.5999999</v>
      </c>
      <c r="CC131" t="s">
        <v>332</v>
      </c>
      <c r="CD131">
        <v>1690286261.0999999</v>
      </c>
      <c r="CE131">
        <v>1690286268.5999999</v>
      </c>
      <c r="CF131">
        <v>1</v>
      </c>
      <c r="CG131">
        <v>-0.89900000000000002</v>
      </c>
      <c r="CH131">
        <v>3.4000000000000002E-2</v>
      </c>
      <c r="CI131">
        <v>-1.2370000000000001</v>
      </c>
      <c r="CJ131">
        <v>8.5999999999999993E-2</v>
      </c>
      <c r="CK131">
        <v>799</v>
      </c>
      <c r="CL131">
        <v>16</v>
      </c>
      <c r="CM131">
        <v>0.28999999999999998</v>
      </c>
      <c r="CN131">
        <v>0.09</v>
      </c>
      <c r="CO131">
        <v>-412.99882500000001</v>
      </c>
      <c r="CP131">
        <v>-7.1352607879924212</v>
      </c>
      <c r="CQ131">
        <v>0.68808378441509521</v>
      </c>
      <c r="CR131">
        <v>-1</v>
      </c>
      <c r="CS131">
        <v>26.060447499999999</v>
      </c>
      <c r="CT131">
        <v>0.32305553470912052</v>
      </c>
      <c r="CU131">
        <v>3.1114128523068219E-2</v>
      </c>
      <c r="CV131">
        <v>-1</v>
      </c>
      <c r="CW131">
        <v>0</v>
      </c>
      <c r="CX131">
        <v>0</v>
      </c>
      <c r="CY131" t="s">
        <v>333</v>
      </c>
      <c r="CZ131">
        <v>2.3650099999999998</v>
      </c>
      <c r="DA131">
        <v>2.7138200000000001</v>
      </c>
      <c r="DB131">
        <v>8.7528700000000001E-2</v>
      </c>
      <c r="DC131">
        <v>0.146566</v>
      </c>
      <c r="DD131">
        <v>0.122096</v>
      </c>
      <c r="DE131">
        <v>1.89091E-3</v>
      </c>
      <c r="DF131">
        <v>33316</v>
      </c>
      <c r="DG131">
        <v>27475.4</v>
      </c>
      <c r="DH131">
        <v>31167.8</v>
      </c>
      <c r="DI131">
        <v>28051</v>
      </c>
      <c r="DJ131">
        <v>37131.800000000003</v>
      </c>
      <c r="DK131">
        <v>39798.9</v>
      </c>
      <c r="DL131">
        <v>44349.2</v>
      </c>
      <c r="DM131">
        <v>42492.1</v>
      </c>
      <c r="DN131">
        <v>1.4928300000000001</v>
      </c>
      <c r="DO131">
        <v>2.0632999999999999</v>
      </c>
      <c r="DP131">
        <v>8.3372000000000002E-2</v>
      </c>
      <c r="DQ131">
        <v>0.18426000000000001</v>
      </c>
      <c r="DR131">
        <v>25.641200000000001</v>
      </c>
      <c r="DS131">
        <v>25.290199999999999</v>
      </c>
      <c r="DT131">
        <v>43.3</v>
      </c>
      <c r="DU131">
        <v>25.3</v>
      </c>
      <c r="DV131">
        <v>14.110099999999999</v>
      </c>
      <c r="DW131">
        <v>62.181399999999996</v>
      </c>
      <c r="DX131">
        <v>37.099400000000003</v>
      </c>
      <c r="DY131">
        <v>1</v>
      </c>
      <c r="DZ131">
        <v>-0.14390500000000001</v>
      </c>
      <c r="EA131">
        <v>-0.69332499999999997</v>
      </c>
      <c r="EB131">
        <v>20.1891</v>
      </c>
      <c r="EC131">
        <v>5.242</v>
      </c>
      <c r="ED131">
        <v>12.039899999999999</v>
      </c>
      <c r="EE131">
        <v>5.01755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1.8687499999999999</v>
      </c>
      <c r="EL131">
        <v>1.8644700000000001</v>
      </c>
      <c r="EM131">
        <v>1.86907</v>
      </c>
      <c r="EN131">
        <v>1.86707</v>
      </c>
      <c r="EO131">
        <v>1.8632500000000001</v>
      </c>
      <c r="EP131">
        <v>1.8643099999999999</v>
      </c>
      <c r="EQ131">
        <v>1.87008</v>
      </c>
      <c r="ER131">
        <v>1.8693200000000001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-0.94499999999999995</v>
      </c>
      <c r="FG131">
        <v>0.19109999999999999</v>
      </c>
      <c r="FH131">
        <v>-0.68620417327404271</v>
      </c>
      <c r="FI131">
        <v>-6.1462078757559423E-4</v>
      </c>
      <c r="FJ131">
        <v>-1.8861989874597051E-7</v>
      </c>
      <c r="FK131">
        <v>1.1980462299894961E-10</v>
      </c>
      <c r="FL131">
        <v>0.1911242781723908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25.3</v>
      </c>
      <c r="FU131">
        <v>25.2</v>
      </c>
      <c r="FV131">
        <v>1.7590300000000001</v>
      </c>
      <c r="FW131">
        <v>2.5708000000000002</v>
      </c>
      <c r="FX131">
        <v>1.5490699999999999</v>
      </c>
      <c r="FY131">
        <v>2.33887</v>
      </c>
      <c r="FZ131">
        <v>1.50146</v>
      </c>
      <c r="GA131">
        <v>2.3303199999999999</v>
      </c>
      <c r="GB131">
        <v>30.782</v>
      </c>
      <c r="GC131">
        <v>23.982399999999998</v>
      </c>
      <c r="GD131">
        <v>19</v>
      </c>
      <c r="GE131">
        <v>287.11399999999998</v>
      </c>
      <c r="GF131">
        <v>597.93700000000001</v>
      </c>
      <c r="GG131">
        <v>26.043600000000001</v>
      </c>
      <c r="GH131">
        <v>25.595600000000001</v>
      </c>
      <c r="GI131">
        <v>30.0002</v>
      </c>
      <c r="GJ131">
        <v>25.710799999999999</v>
      </c>
      <c r="GK131">
        <v>25.674800000000001</v>
      </c>
      <c r="GL131">
        <v>35.173299999999998</v>
      </c>
      <c r="GM131">
        <v>100</v>
      </c>
      <c r="GN131">
        <v>29.0214</v>
      </c>
      <c r="GO131">
        <v>26.0411</v>
      </c>
      <c r="GP131">
        <v>800</v>
      </c>
      <c r="GQ131">
        <v>0</v>
      </c>
      <c r="GR131">
        <v>99.716399999999993</v>
      </c>
      <c r="GS131">
        <v>99.425600000000003</v>
      </c>
    </row>
    <row r="132" spans="1:201" x14ac:dyDescent="0.25">
      <c r="A132">
        <v>116</v>
      </c>
      <c r="B132">
        <v>1690287790.5</v>
      </c>
      <c r="C132">
        <v>1251.900000095367</v>
      </c>
      <c r="D132" t="s">
        <v>565</v>
      </c>
      <c r="E132" t="s">
        <v>566</v>
      </c>
      <c r="F132" t="s">
        <v>330</v>
      </c>
      <c r="H132">
        <v>1690287790.5</v>
      </c>
      <c r="I132">
        <f t="shared" si="30"/>
        <v>2.772381007129337E-3</v>
      </c>
      <c r="J132">
        <f t="shared" si="31"/>
        <v>2.7723810071293369</v>
      </c>
      <c r="K132">
        <f t="shared" si="32"/>
        <v>41.789842763959847</v>
      </c>
      <c r="L132">
        <f t="shared" si="33"/>
        <v>384.44099999999997</v>
      </c>
      <c r="M132">
        <f t="shared" si="34"/>
        <v>97.062743434003423</v>
      </c>
      <c r="N132">
        <f t="shared" si="35"/>
        <v>9.6519422109474942</v>
      </c>
      <c r="O132">
        <f t="shared" si="36"/>
        <v>38.228904152516996</v>
      </c>
      <c r="P132">
        <f t="shared" si="37"/>
        <v>0.24849186416327435</v>
      </c>
      <c r="Q132">
        <f t="shared" si="38"/>
        <v>2.2986810291807593</v>
      </c>
      <c r="R132">
        <f t="shared" si="39"/>
        <v>0.2344746609335219</v>
      </c>
      <c r="S132">
        <f t="shared" si="40"/>
        <v>0.14774012198375405</v>
      </c>
      <c r="T132">
        <f t="shared" si="41"/>
        <v>276.11288788498968</v>
      </c>
      <c r="U132">
        <f t="shared" si="42"/>
        <v>27.855589349758237</v>
      </c>
      <c r="V132">
        <f t="shared" si="43"/>
        <v>27.855589349758237</v>
      </c>
      <c r="W132">
        <f t="shared" si="44"/>
        <v>3.7630093539852205</v>
      </c>
      <c r="X132">
        <f t="shared" si="45"/>
        <v>74.557221262304438</v>
      </c>
      <c r="Y132">
        <f t="shared" si="46"/>
        <v>2.6250134323022998</v>
      </c>
      <c r="Z132">
        <f t="shared" si="47"/>
        <v>3.520803736860143</v>
      </c>
      <c r="AA132">
        <f t="shared" si="48"/>
        <v>1.1379959216829207</v>
      </c>
      <c r="AB132">
        <f t="shared" si="49"/>
        <v>-122.26200241440377</v>
      </c>
      <c r="AC132">
        <f t="shared" si="50"/>
        <v>-140.68003346852612</v>
      </c>
      <c r="AD132">
        <f t="shared" si="51"/>
        <v>-13.245867911506485</v>
      </c>
      <c r="AE132">
        <f t="shared" si="52"/>
        <v>-7.5015909446676687E-2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52517.370638124768</v>
      </c>
      <c r="AK132">
        <f t="shared" si="56"/>
        <v>1799.99</v>
      </c>
      <c r="AL132">
        <f t="shared" si="57"/>
        <v>1499.1024260069198</v>
      </c>
      <c r="AM132">
        <f t="shared" si="58"/>
        <v>0.83283930799999994</v>
      </c>
      <c r="AN132">
        <f t="shared" si="59"/>
        <v>0.15339690102999998</v>
      </c>
      <c r="AO132">
        <v>29.1</v>
      </c>
      <c r="AP132">
        <v>0.5</v>
      </c>
      <c r="AQ132" t="s">
        <v>331</v>
      </c>
      <c r="AR132">
        <v>2</v>
      </c>
      <c r="AS132">
        <v>1690287790.5</v>
      </c>
      <c r="AT132">
        <v>384.44099999999997</v>
      </c>
      <c r="AU132">
        <v>800.03700000000003</v>
      </c>
      <c r="AV132">
        <v>26.3979</v>
      </c>
      <c r="AW132">
        <v>0.222243</v>
      </c>
      <c r="AX132">
        <v>385.38499999999999</v>
      </c>
      <c r="AY132">
        <v>26.206700000000001</v>
      </c>
      <c r="AZ132">
        <v>300.07499999999999</v>
      </c>
      <c r="BA132">
        <v>99.340199999999996</v>
      </c>
      <c r="BB132">
        <v>0.100037</v>
      </c>
      <c r="BC132">
        <v>26.720400000000001</v>
      </c>
      <c r="BD132">
        <v>27.009899999999998</v>
      </c>
      <c r="BE132">
        <v>28.300599999999999</v>
      </c>
      <c r="BF132">
        <v>0</v>
      </c>
      <c r="BG132">
        <v>0</v>
      </c>
      <c r="BH132">
        <v>9988.1200000000008</v>
      </c>
      <c r="BI132">
        <v>1087.6600000000001</v>
      </c>
      <c r="BJ132">
        <v>1.4016500000000001</v>
      </c>
      <c r="BK132">
        <v>-415.596</v>
      </c>
      <c r="BL132">
        <v>394.86500000000001</v>
      </c>
      <c r="BM132">
        <v>800.21500000000003</v>
      </c>
      <c r="BN132">
        <v>26.175599999999999</v>
      </c>
      <c r="BO132">
        <v>800.03700000000003</v>
      </c>
      <c r="BP132">
        <v>0.222243</v>
      </c>
      <c r="BQ132">
        <v>2.6223700000000001</v>
      </c>
      <c r="BR132">
        <v>2.2077699999999999E-2</v>
      </c>
      <c r="BS132">
        <v>21.8066</v>
      </c>
      <c r="BT132">
        <v>-38.469099999999997</v>
      </c>
      <c r="BU132">
        <v>1799.99</v>
      </c>
      <c r="BV132">
        <v>0.91000700000000001</v>
      </c>
      <c r="BW132">
        <v>3.4009400000000002E-2</v>
      </c>
      <c r="BX132">
        <v>2.1992899999999999E-2</v>
      </c>
      <c r="BY132">
        <v>3.3990699999999999E-2</v>
      </c>
      <c r="BZ132">
        <v>25</v>
      </c>
      <c r="CA132">
        <v>33528.199999999997</v>
      </c>
      <c r="CB132">
        <v>1690286268.5999999</v>
      </c>
      <c r="CC132" t="s">
        <v>332</v>
      </c>
      <c r="CD132">
        <v>1690286261.0999999</v>
      </c>
      <c r="CE132">
        <v>1690286268.5999999</v>
      </c>
      <c r="CF132">
        <v>1</v>
      </c>
      <c r="CG132">
        <v>-0.89900000000000002</v>
      </c>
      <c r="CH132">
        <v>3.4000000000000002E-2</v>
      </c>
      <c r="CI132">
        <v>-1.2370000000000001</v>
      </c>
      <c r="CJ132">
        <v>8.5999999999999993E-2</v>
      </c>
      <c r="CK132">
        <v>799</v>
      </c>
      <c r="CL132">
        <v>16</v>
      </c>
      <c r="CM132">
        <v>0.28999999999999998</v>
      </c>
      <c r="CN132">
        <v>0.09</v>
      </c>
      <c r="CO132">
        <v>-414.18457499999988</v>
      </c>
      <c r="CP132">
        <v>-7.2507804878032083</v>
      </c>
      <c r="CQ132">
        <v>0.69814564696415393</v>
      </c>
      <c r="CR132">
        <v>-1</v>
      </c>
      <c r="CS132">
        <v>26.113710000000001</v>
      </c>
      <c r="CT132">
        <v>0.32270769230762669</v>
      </c>
      <c r="CU132">
        <v>3.1045263728949089E-2</v>
      </c>
      <c r="CV132">
        <v>-1</v>
      </c>
      <c r="CW132">
        <v>0</v>
      </c>
      <c r="CX132">
        <v>0</v>
      </c>
      <c r="CY132" t="s">
        <v>333</v>
      </c>
      <c r="CZ132">
        <v>2.36497</v>
      </c>
      <c r="DA132">
        <v>2.7138200000000001</v>
      </c>
      <c r="DB132">
        <v>8.7324499999999999E-2</v>
      </c>
      <c r="DC132">
        <v>0.14657000000000001</v>
      </c>
      <c r="DD132">
        <v>0.122268</v>
      </c>
      <c r="DE132">
        <v>1.8724200000000001E-3</v>
      </c>
      <c r="DF132">
        <v>33323.4</v>
      </c>
      <c r="DG132">
        <v>27475.8</v>
      </c>
      <c r="DH132">
        <v>31167.8</v>
      </c>
      <c r="DI132">
        <v>28051.5</v>
      </c>
      <c r="DJ132">
        <v>37124.300000000003</v>
      </c>
      <c r="DK132">
        <v>39800.699999999997</v>
      </c>
      <c r="DL132">
        <v>44349</v>
      </c>
      <c r="DM132">
        <v>42493.2</v>
      </c>
      <c r="DN132">
        <v>1.49295</v>
      </c>
      <c r="DO132">
        <v>2.0633499999999998</v>
      </c>
      <c r="DP132">
        <v>8.3275100000000005E-2</v>
      </c>
      <c r="DQ132">
        <v>0.183783</v>
      </c>
      <c r="DR132">
        <v>25.646599999999999</v>
      </c>
      <c r="DS132">
        <v>25.293900000000001</v>
      </c>
      <c r="DT132">
        <v>42.9</v>
      </c>
      <c r="DU132">
        <v>25.3</v>
      </c>
      <c r="DV132">
        <v>13.978300000000001</v>
      </c>
      <c r="DW132">
        <v>62.441400000000002</v>
      </c>
      <c r="DX132">
        <v>37.071300000000001</v>
      </c>
      <c r="DY132">
        <v>1</v>
      </c>
      <c r="DZ132">
        <v>-0.14378299999999999</v>
      </c>
      <c r="EA132">
        <v>-0.70355900000000005</v>
      </c>
      <c r="EB132">
        <v>20.1891</v>
      </c>
      <c r="EC132">
        <v>5.24125</v>
      </c>
      <c r="ED132">
        <v>12.039899999999999</v>
      </c>
      <c r="EE132">
        <v>5.0174500000000002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1.8687499999999999</v>
      </c>
      <c r="EL132">
        <v>1.8644499999999999</v>
      </c>
      <c r="EM132">
        <v>1.8690599999999999</v>
      </c>
      <c r="EN132">
        <v>1.86707</v>
      </c>
      <c r="EO132">
        <v>1.8632500000000001</v>
      </c>
      <c r="EP132">
        <v>1.86432</v>
      </c>
      <c r="EQ132">
        <v>1.87008</v>
      </c>
      <c r="ER132">
        <v>1.8693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-0.94399999999999995</v>
      </c>
      <c r="FG132">
        <v>0.19120000000000001</v>
      </c>
      <c r="FH132">
        <v>-0.68620417327404271</v>
      </c>
      <c r="FI132">
        <v>-6.1462078757559423E-4</v>
      </c>
      <c r="FJ132">
        <v>-1.8861989874597051E-7</v>
      </c>
      <c r="FK132">
        <v>1.1980462299894961E-10</v>
      </c>
      <c r="FL132">
        <v>0.1911242781723908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25.5</v>
      </c>
      <c r="FU132">
        <v>25.4</v>
      </c>
      <c r="FV132">
        <v>1.7590300000000001</v>
      </c>
      <c r="FW132">
        <v>2.5671400000000002</v>
      </c>
      <c r="FX132">
        <v>1.5490699999999999</v>
      </c>
      <c r="FY132">
        <v>2.33887</v>
      </c>
      <c r="FZ132">
        <v>1.50024</v>
      </c>
      <c r="GA132">
        <v>2.3156699999999999</v>
      </c>
      <c r="GB132">
        <v>30.782</v>
      </c>
      <c r="GC132">
        <v>23.982399999999998</v>
      </c>
      <c r="GD132">
        <v>19</v>
      </c>
      <c r="GE132">
        <v>287.16800000000001</v>
      </c>
      <c r="GF132">
        <v>597.97900000000004</v>
      </c>
      <c r="GG132">
        <v>26.032699999999998</v>
      </c>
      <c r="GH132">
        <v>25.595600000000001</v>
      </c>
      <c r="GI132">
        <v>30.0001</v>
      </c>
      <c r="GJ132">
        <v>25.710799999999999</v>
      </c>
      <c r="GK132">
        <v>25.674800000000001</v>
      </c>
      <c r="GL132">
        <v>35.174900000000001</v>
      </c>
      <c r="GM132">
        <v>100</v>
      </c>
      <c r="GN132">
        <v>28.264700000000001</v>
      </c>
      <c r="GO132">
        <v>26.017199999999999</v>
      </c>
      <c r="GP132">
        <v>800</v>
      </c>
      <c r="GQ132">
        <v>0</v>
      </c>
      <c r="GR132">
        <v>99.715999999999994</v>
      </c>
      <c r="GS132">
        <v>99.427800000000005</v>
      </c>
    </row>
    <row r="133" spans="1:201" x14ac:dyDescent="0.25">
      <c r="A133">
        <v>117</v>
      </c>
      <c r="B133">
        <v>1690287800.5</v>
      </c>
      <c r="C133">
        <v>1261.900000095367</v>
      </c>
      <c r="D133" t="s">
        <v>567</v>
      </c>
      <c r="E133" t="s">
        <v>568</v>
      </c>
      <c r="F133" t="s">
        <v>330</v>
      </c>
      <c r="H133">
        <v>1690287800.5</v>
      </c>
      <c r="I133">
        <f t="shared" si="30"/>
        <v>2.7779453334058285E-3</v>
      </c>
      <c r="J133">
        <f t="shared" si="31"/>
        <v>2.7779453334058286</v>
      </c>
      <c r="K133">
        <f t="shared" si="32"/>
        <v>41.883033969071406</v>
      </c>
      <c r="L133">
        <f t="shared" si="33"/>
        <v>383.37099999999998</v>
      </c>
      <c r="M133">
        <f t="shared" si="34"/>
        <v>97.402987532189528</v>
      </c>
      <c r="N133">
        <f t="shared" si="35"/>
        <v>9.6855296377475266</v>
      </c>
      <c r="O133">
        <f t="shared" si="36"/>
        <v>38.121532786925989</v>
      </c>
      <c r="P133">
        <f t="shared" si="37"/>
        <v>0.25037747641862595</v>
      </c>
      <c r="Q133">
        <f t="shared" si="38"/>
        <v>2.2953105931486779</v>
      </c>
      <c r="R133">
        <f t="shared" si="39"/>
        <v>0.23613365936012004</v>
      </c>
      <c r="S133">
        <f t="shared" si="40"/>
        <v>0.14879571854703522</v>
      </c>
      <c r="T133">
        <f t="shared" si="41"/>
        <v>276.11432269199997</v>
      </c>
      <c r="U133">
        <f t="shared" si="42"/>
        <v>27.853212998014072</v>
      </c>
      <c r="V133">
        <f t="shared" si="43"/>
        <v>27.853212998014072</v>
      </c>
      <c r="W133">
        <f t="shared" si="44"/>
        <v>3.7624875238070898</v>
      </c>
      <c r="X133">
        <f t="shared" si="45"/>
        <v>74.715939629613061</v>
      </c>
      <c r="Y133">
        <f t="shared" si="46"/>
        <v>2.6302764802589995</v>
      </c>
      <c r="Z133">
        <f t="shared" si="47"/>
        <v>3.5203686031360713</v>
      </c>
      <c r="AA133">
        <f t="shared" si="48"/>
        <v>1.1322110435480903</v>
      </c>
      <c r="AB133">
        <f t="shared" si="49"/>
        <v>-122.50738920319704</v>
      </c>
      <c r="AC133">
        <f t="shared" si="50"/>
        <v>-140.43956459002197</v>
      </c>
      <c r="AD133">
        <f t="shared" si="51"/>
        <v>-13.242347193341839</v>
      </c>
      <c r="AE133">
        <f t="shared" si="52"/>
        <v>-7.4978294560878567E-2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52390.258675322766</v>
      </c>
      <c r="AK133">
        <f t="shared" si="56"/>
        <v>1800</v>
      </c>
      <c r="AL133">
        <f t="shared" si="57"/>
        <v>1499.1113232</v>
      </c>
      <c r="AM133">
        <f t="shared" si="58"/>
        <v>0.832839624</v>
      </c>
      <c r="AN133">
        <f t="shared" si="59"/>
        <v>0.15339684594</v>
      </c>
      <c r="AO133">
        <v>29.1</v>
      </c>
      <c r="AP133">
        <v>0.5</v>
      </c>
      <c r="AQ133" t="s">
        <v>331</v>
      </c>
      <c r="AR133">
        <v>2</v>
      </c>
      <c r="AS133">
        <v>1690287800.5</v>
      </c>
      <c r="AT133">
        <v>383.37099999999998</v>
      </c>
      <c r="AU133">
        <v>799.93899999999996</v>
      </c>
      <c r="AV133">
        <v>26.451499999999999</v>
      </c>
      <c r="AW133">
        <v>0.219943</v>
      </c>
      <c r="AX133">
        <v>384.315</v>
      </c>
      <c r="AY133">
        <v>26.260400000000001</v>
      </c>
      <c r="AZ133">
        <v>300.02</v>
      </c>
      <c r="BA133">
        <v>99.337699999999998</v>
      </c>
      <c r="BB133">
        <v>0.100006</v>
      </c>
      <c r="BC133">
        <v>26.718299999999999</v>
      </c>
      <c r="BD133">
        <v>26.988</v>
      </c>
      <c r="BE133">
        <v>28.315999999999999</v>
      </c>
      <c r="BF133">
        <v>0</v>
      </c>
      <c r="BG133">
        <v>0</v>
      </c>
      <c r="BH133">
        <v>9963.1200000000008</v>
      </c>
      <c r="BI133">
        <v>1087.6199999999999</v>
      </c>
      <c r="BJ133">
        <v>1.4016500000000001</v>
      </c>
      <c r="BK133">
        <v>-416.56799999999998</v>
      </c>
      <c r="BL133">
        <v>393.78699999999998</v>
      </c>
      <c r="BM133">
        <v>800.11500000000001</v>
      </c>
      <c r="BN133">
        <v>26.2316</v>
      </c>
      <c r="BO133">
        <v>799.93899999999996</v>
      </c>
      <c r="BP133">
        <v>0.219943</v>
      </c>
      <c r="BQ133">
        <v>2.6276299999999999</v>
      </c>
      <c r="BR133">
        <v>2.1848599999999999E-2</v>
      </c>
      <c r="BS133">
        <v>21.839400000000001</v>
      </c>
      <c r="BT133">
        <v>-38.570500000000003</v>
      </c>
      <c r="BU133">
        <v>1800</v>
      </c>
      <c r="BV133">
        <v>0.91000999999999999</v>
      </c>
      <c r="BW133">
        <v>3.4008299999999998E-2</v>
      </c>
      <c r="BX133">
        <v>2.19922E-2</v>
      </c>
      <c r="BY133">
        <v>3.3989600000000002E-2</v>
      </c>
      <c r="BZ133">
        <v>25</v>
      </c>
      <c r="CA133">
        <v>33528.5</v>
      </c>
      <c r="CB133">
        <v>1690286268.5999999</v>
      </c>
      <c r="CC133" t="s">
        <v>332</v>
      </c>
      <c r="CD133">
        <v>1690286261.0999999</v>
      </c>
      <c r="CE133">
        <v>1690286268.5999999</v>
      </c>
      <c r="CF133">
        <v>1</v>
      </c>
      <c r="CG133">
        <v>-0.89900000000000002</v>
      </c>
      <c r="CH133">
        <v>3.4000000000000002E-2</v>
      </c>
      <c r="CI133">
        <v>-1.2370000000000001</v>
      </c>
      <c r="CJ133">
        <v>8.5999999999999993E-2</v>
      </c>
      <c r="CK133">
        <v>799</v>
      </c>
      <c r="CL133">
        <v>16</v>
      </c>
      <c r="CM133">
        <v>0.28999999999999998</v>
      </c>
      <c r="CN133">
        <v>0.09</v>
      </c>
      <c r="CO133">
        <v>-415.47662500000013</v>
      </c>
      <c r="CP133">
        <v>-6.7206866791737188</v>
      </c>
      <c r="CQ133">
        <v>0.64757928809915499</v>
      </c>
      <c r="CR133">
        <v>-1</v>
      </c>
      <c r="CS133">
        <v>26.174462500000001</v>
      </c>
      <c r="CT133">
        <v>0.33887166979355721</v>
      </c>
      <c r="CU133">
        <v>3.2601009857824957E-2</v>
      </c>
      <c r="CV133">
        <v>-1</v>
      </c>
      <c r="CW133">
        <v>0</v>
      </c>
      <c r="CX133">
        <v>0</v>
      </c>
      <c r="CY133" t="s">
        <v>333</v>
      </c>
      <c r="CZ133">
        <v>2.3647900000000002</v>
      </c>
      <c r="DA133">
        <v>2.7137600000000002</v>
      </c>
      <c r="DB133">
        <v>8.7135599999999994E-2</v>
      </c>
      <c r="DC133">
        <v>0.14655399999999999</v>
      </c>
      <c r="DD133">
        <v>0.12243900000000001</v>
      </c>
      <c r="DE133">
        <v>1.8532500000000001E-3</v>
      </c>
      <c r="DF133">
        <v>33330</v>
      </c>
      <c r="DG133">
        <v>27476.2</v>
      </c>
      <c r="DH133">
        <v>31167.5</v>
      </c>
      <c r="DI133">
        <v>28051.4</v>
      </c>
      <c r="DJ133">
        <v>37116.699999999997</v>
      </c>
      <c r="DK133">
        <v>39801.300000000003</v>
      </c>
      <c r="DL133">
        <v>44348.7</v>
      </c>
      <c r="DM133">
        <v>42493.1</v>
      </c>
      <c r="DN133">
        <v>1.49268</v>
      </c>
      <c r="DO133">
        <v>2.0632999999999999</v>
      </c>
      <c r="DP133">
        <v>8.1569000000000003E-2</v>
      </c>
      <c r="DQ133">
        <v>0.18453600000000001</v>
      </c>
      <c r="DR133">
        <v>25.6526</v>
      </c>
      <c r="DS133">
        <v>25.2971</v>
      </c>
      <c r="DT133">
        <v>42.4</v>
      </c>
      <c r="DU133">
        <v>25.4</v>
      </c>
      <c r="DV133">
        <v>13.899699999999999</v>
      </c>
      <c r="DW133">
        <v>62.221400000000003</v>
      </c>
      <c r="DX133">
        <v>37.079300000000003</v>
      </c>
      <c r="DY133">
        <v>1</v>
      </c>
      <c r="DZ133">
        <v>-0.144118</v>
      </c>
      <c r="EA133">
        <v>-0.71557499999999996</v>
      </c>
      <c r="EB133">
        <v>20.188700000000001</v>
      </c>
      <c r="EC133">
        <v>5.2411000000000003</v>
      </c>
      <c r="ED133">
        <v>12.039899999999999</v>
      </c>
      <c r="EE133">
        <v>5.0172499999999998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1.86876</v>
      </c>
      <c r="EL133">
        <v>1.86446</v>
      </c>
      <c r="EM133">
        <v>1.86907</v>
      </c>
      <c r="EN133">
        <v>1.8670800000000001</v>
      </c>
      <c r="EO133">
        <v>1.8632500000000001</v>
      </c>
      <c r="EP133">
        <v>1.8643099999999999</v>
      </c>
      <c r="EQ133">
        <v>1.87008</v>
      </c>
      <c r="ER133">
        <v>1.8692899999999999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-0.94399999999999995</v>
      </c>
      <c r="FG133">
        <v>0.19109999999999999</v>
      </c>
      <c r="FH133">
        <v>-0.68620417327404271</v>
      </c>
      <c r="FI133">
        <v>-6.1462078757559423E-4</v>
      </c>
      <c r="FJ133">
        <v>-1.8861989874597051E-7</v>
      </c>
      <c r="FK133">
        <v>1.1980462299894961E-10</v>
      </c>
      <c r="FL133">
        <v>0.1911242781723908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25.7</v>
      </c>
      <c r="FU133">
        <v>25.5</v>
      </c>
      <c r="FV133">
        <v>1.7602500000000001</v>
      </c>
      <c r="FW133">
        <v>2.5659200000000002</v>
      </c>
      <c r="FX133">
        <v>1.5490699999999999</v>
      </c>
      <c r="FY133">
        <v>2.33887</v>
      </c>
      <c r="FZ133">
        <v>1.50146</v>
      </c>
      <c r="GA133">
        <v>2.2973599999999998</v>
      </c>
      <c r="GB133">
        <v>30.803699999999999</v>
      </c>
      <c r="GC133">
        <v>23.973700000000001</v>
      </c>
      <c r="GD133">
        <v>19</v>
      </c>
      <c r="GE133">
        <v>287.05</v>
      </c>
      <c r="GF133">
        <v>597.93700000000001</v>
      </c>
      <c r="GG133">
        <v>26.0124</v>
      </c>
      <c r="GH133">
        <v>25.595600000000001</v>
      </c>
      <c r="GI133">
        <v>30.0002</v>
      </c>
      <c r="GJ133">
        <v>25.710799999999999</v>
      </c>
      <c r="GK133">
        <v>25.674800000000001</v>
      </c>
      <c r="GL133">
        <v>35.179900000000004</v>
      </c>
      <c r="GM133">
        <v>100</v>
      </c>
      <c r="GN133">
        <v>27.499600000000001</v>
      </c>
      <c r="GO133">
        <v>26.040600000000001</v>
      </c>
      <c r="GP133">
        <v>800</v>
      </c>
      <c r="GQ133">
        <v>0</v>
      </c>
      <c r="GR133">
        <v>99.715299999999999</v>
      </c>
      <c r="GS133">
        <v>99.427599999999998</v>
      </c>
    </row>
    <row r="134" spans="1:201" x14ac:dyDescent="0.25">
      <c r="A134">
        <v>118</v>
      </c>
      <c r="B134">
        <v>1690287810.5</v>
      </c>
      <c r="C134">
        <v>1271.900000095367</v>
      </c>
      <c r="D134" t="s">
        <v>569</v>
      </c>
      <c r="E134" t="s">
        <v>570</v>
      </c>
      <c r="F134" t="s">
        <v>330</v>
      </c>
      <c r="H134">
        <v>1690287810.5</v>
      </c>
      <c r="I134">
        <f t="shared" si="30"/>
        <v>2.7831273314752321E-3</v>
      </c>
      <c r="J134">
        <f t="shared" si="31"/>
        <v>2.7831273314752321</v>
      </c>
      <c r="K134">
        <f t="shared" si="32"/>
        <v>41.998593345145991</v>
      </c>
      <c r="L134">
        <f t="shared" si="33"/>
        <v>382.20699999999999</v>
      </c>
      <c r="M134">
        <f t="shared" si="34"/>
        <v>97.539378627962037</v>
      </c>
      <c r="N134">
        <f t="shared" si="35"/>
        <v>9.6993965733700485</v>
      </c>
      <c r="O134">
        <f t="shared" si="36"/>
        <v>38.006980547395997</v>
      </c>
      <c r="P134">
        <f t="shared" si="37"/>
        <v>0.25231246056353812</v>
      </c>
      <c r="Q134">
        <f t="shared" si="38"/>
        <v>2.2927620494445691</v>
      </c>
      <c r="R134">
        <f t="shared" si="39"/>
        <v>0.23783937458512511</v>
      </c>
      <c r="S134">
        <f t="shared" si="40"/>
        <v>0.14988073026630783</v>
      </c>
      <c r="T134">
        <f t="shared" si="41"/>
        <v>276.1125309469727</v>
      </c>
      <c r="U134">
        <f t="shared" si="42"/>
        <v>27.848367047621366</v>
      </c>
      <c r="V134">
        <f t="shared" si="43"/>
        <v>27.848367047621366</v>
      </c>
      <c r="W134">
        <f t="shared" si="44"/>
        <v>3.761423582740647</v>
      </c>
      <c r="X134">
        <f t="shared" si="45"/>
        <v>74.875362110172389</v>
      </c>
      <c r="Y134">
        <f t="shared" si="46"/>
        <v>2.6352217183311999</v>
      </c>
      <c r="Z134">
        <f t="shared" si="47"/>
        <v>3.5194777615281612</v>
      </c>
      <c r="AA134">
        <f t="shared" si="48"/>
        <v>1.1262018644094471</v>
      </c>
      <c r="AB134">
        <f t="shared" si="49"/>
        <v>-122.73591531805774</v>
      </c>
      <c r="AC134">
        <f t="shared" si="50"/>
        <v>-140.21614734695504</v>
      </c>
      <c r="AD134">
        <f t="shared" si="51"/>
        <v>-13.235372219682024</v>
      </c>
      <c r="AE134">
        <f t="shared" si="52"/>
        <v>-7.4903937722069713E-2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52294.830034297913</v>
      </c>
      <c r="AK134">
        <f t="shared" si="56"/>
        <v>1799.99</v>
      </c>
      <c r="AL134">
        <f t="shared" si="57"/>
        <v>1499.1035600006201</v>
      </c>
      <c r="AM134">
        <f t="shared" si="58"/>
        <v>0.832839938</v>
      </c>
      <c r="AN134">
        <f t="shared" si="59"/>
        <v>0.15339670273</v>
      </c>
      <c r="AO134">
        <v>29.1</v>
      </c>
      <c r="AP134">
        <v>0.5</v>
      </c>
      <c r="AQ134" t="s">
        <v>331</v>
      </c>
      <c r="AR134">
        <v>2</v>
      </c>
      <c r="AS134">
        <v>1690287810.5</v>
      </c>
      <c r="AT134">
        <v>382.20699999999999</v>
      </c>
      <c r="AU134">
        <v>799.93799999999999</v>
      </c>
      <c r="AV134">
        <v>26.500399999999999</v>
      </c>
      <c r="AW134">
        <v>0.21781400000000001</v>
      </c>
      <c r="AX134">
        <v>383.15</v>
      </c>
      <c r="AY134">
        <v>26.3093</v>
      </c>
      <c r="AZ134">
        <v>299.98099999999999</v>
      </c>
      <c r="BA134">
        <v>99.340800000000002</v>
      </c>
      <c r="BB134">
        <v>0.10002800000000001</v>
      </c>
      <c r="BC134">
        <v>26.713999999999999</v>
      </c>
      <c r="BD134">
        <v>27.002400000000002</v>
      </c>
      <c r="BE134">
        <v>28.311699999999998</v>
      </c>
      <c r="BF134">
        <v>0</v>
      </c>
      <c r="BG134">
        <v>0</v>
      </c>
      <c r="BH134">
        <v>9943.75</v>
      </c>
      <c r="BI134">
        <v>1087.67</v>
      </c>
      <c r="BJ134">
        <v>1.4016500000000001</v>
      </c>
      <c r="BK134">
        <v>-417.73099999999999</v>
      </c>
      <c r="BL134">
        <v>392.61099999999999</v>
      </c>
      <c r="BM134">
        <v>800.11300000000006</v>
      </c>
      <c r="BN134">
        <v>26.282599999999999</v>
      </c>
      <c r="BO134">
        <v>799.93799999999999</v>
      </c>
      <c r="BP134">
        <v>0.21781400000000001</v>
      </c>
      <c r="BQ134">
        <v>2.6325699999999999</v>
      </c>
      <c r="BR134">
        <v>2.1637799999999999E-2</v>
      </c>
      <c r="BS134">
        <v>21.870200000000001</v>
      </c>
      <c r="BT134">
        <v>-38.6646</v>
      </c>
      <c r="BU134">
        <v>1799.99</v>
      </c>
      <c r="BV134">
        <v>0.91001500000000002</v>
      </c>
      <c r="BW134">
        <v>3.4006399999999999E-2</v>
      </c>
      <c r="BX134">
        <v>2.1990900000000001E-2</v>
      </c>
      <c r="BY134">
        <v>3.3987700000000003E-2</v>
      </c>
      <c r="BZ134">
        <v>25</v>
      </c>
      <c r="CA134">
        <v>33528.300000000003</v>
      </c>
      <c r="CB134">
        <v>1690286268.5999999</v>
      </c>
      <c r="CC134" t="s">
        <v>332</v>
      </c>
      <c r="CD134">
        <v>1690286261.0999999</v>
      </c>
      <c r="CE134">
        <v>1690286268.5999999</v>
      </c>
      <c r="CF134">
        <v>1</v>
      </c>
      <c r="CG134">
        <v>-0.89900000000000002</v>
      </c>
      <c r="CH134">
        <v>3.4000000000000002E-2</v>
      </c>
      <c r="CI134">
        <v>-1.2370000000000001</v>
      </c>
      <c r="CJ134">
        <v>8.5999999999999993E-2</v>
      </c>
      <c r="CK134">
        <v>799</v>
      </c>
      <c r="CL134">
        <v>16</v>
      </c>
      <c r="CM134">
        <v>0.28999999999999998</v>
      </c>
      <c r="CN134">
        <v>0.09</v>
      </c>
      <c r="CO134">
        <v>-416.52687804878047</v>
      </c>
      <c r="CP134">
        <v>-6.8489059233452583</v>
      </c>
      <c r="CQ134">
        <v>0.67783544283766051</v>
      </c>
      <c r="CR134">
        <v>-1</v>
      </c>
      <c r="CS134">
        <v>26.22402682926829</v>
      </c>
      <c r="CT134">
        <v>0.30784181184675968</v>
      </c>
      <c r="CU134">
        <v>3.0391325980031188E-2</v>
      </c>
      <c r="CV134">
        <v>-1</v>
      </c>
      <c r="CW134">
        <v>0</v>
      </c>
      <c r="CX134">
        <v>0</v>
      </c>
      <c r="CY134" t="s">
        <v>333</v>
      </c>
      <c r="CZ134">
        <v>2.3646699999999998</v>
      </c>
      <c r="DA134">
        <v>2.7137699999999998</v>
      </c>
      <c r="DB134">
        <v>8.6934700000000004E-2</v>
      </c>
      <c r="DC134">
        <v>0.14655899999999999</v>
      </c>
      <c r="DD134">
        <v>0.122601</v>
      </c>
      <c r="DE134">
        <v>1.8356100000000001E-3</v>
      </c>
      <c r="DF134">
        <v>33337.800000000003</v>
      </c>
      <c r="DG134">
        <v>27476</v>
      </c>
      <c r="DH134">
        <v>31167.9</v>
      </c>
      <c r="DI134">
        <v>28051.4</v>
      </c>
      <c r="DJ134">
        <v>37110.300000000003</v>
      </c>
      <c r="DK134">
        <v>39801.800000000003</v>
      </c>
      <c r="DL134">
        <v>44349.3</v>
      </c>
      <c r="DM134">
        <v>42492.800000000003</v>
      </c>
      <c r="DN134">
        <v>1.4925999999999999</v>
      </c>
      <c r="DO134">
        <v>2.0632700000000002</v>
      </c>
      <c r="DP134">
        <v>8.2187399999999994E-2</v>
      </c>
      <c r="DQ134">
        <v>0.183947</v>
      </c>
      <c r="DR134">
        <v>25.6569</v>
      </c>
      <c r="DS134">
        <v>25.302499999999998</v>
      </c>
      <c r="DT134">
        <v>42</v>
      </c>
      <c r="DU134">
        <v>25.4</v>
      </c>
      <c r="DV134">
        <v>13.768599999999999</v>
      </c>
      <c r="DW134">
        <v>62.331400000000002</v>
      </c>
      <c r="DX134">
        <v>37.119399999999999</v>
      </c>
      <c r="DY134">
        <v>1</v>
      </c>
      <c r="DZ134">
        <v>-0.14425299999999999</v>
      </c>
      <c r="EA134">
        <v>-0.78460799999999997</v>
      </c>
      <c r="EB134">
        <v>20.188600000000001</v>
      </c>
      <c r="EC134">
        <v>5.2409499999999998</v>
      </c>
      <c r="ED134">
        <v>12.039899999999999</v>
      </c>
      <c r="EE134">
        <v>5.0166000000000004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1.86876</v>
      </c>
      <c r="EL134">
        <v>1.86446</v>
      </c>
      <c r="EM134">
        <v>1.8690599999999999</v>
      </c>
      <c r="EN134">
        <v>1.86707</v>
      </c>
      <c r="EO134">
        <v>1.8632500000000001</v>
      </c>
      <c r="EP134">
        <v>1.8643099999999999</v>
      </c>
      <c r="EQ134">
        <v>1.87009</v>
      </c>
      <c r="ER134">
        <v>1.8693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-0.94299999999999995</v>
      </c>
      <c r="FG134">
        <v>0.19109999999999999</v>
      </c>
      <c r="FH134">
        <v>-0.68620417327404271</v>
      </c>
      <c r="FI134">
        <v>-6.1462078757559423E-4</v>
      </c>
      <c r="FJ134">
        <v>-1.8861989874597051E-7</v>
      </c>
      <c r="FK134">
        <v>1.1980462299894961E-10</v>
      </c>
      <c r="FL134">
        <v>0.1911242781723908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25.8</v>
      </c>
      <c r="FU134">
        <v>25.7</v>
      </c>
      <c r="FV134">
        <v>1.7602500000000001</v>
      </c>
      <c r="FW134">
        <v>2.5671400000000002</v>
      </c>
      <c r="FX134">
        <v>1.5490699999999999</v>
      </c>
      <c r="FY134">
        <v>2.33887</v>
      </c>
      <c r="FZ134">
        <v>1.50146</v>
      </c>
      <c r="GA134">
        <v>2.33521</v>
      </c>
      <c r="GB134">
        <v>30.803699999999999</v>
      </c>
      <c r="GC134">
        <v>23.973700000000001</v>
      </c>
      <c r="GD134">
        <v>19</v>
      </c>
      <c r="GE134">
        <v>287.01799999999997</v>
      </c>
      <c r="GF134">
        <v>597.91600000000005</v>
      </c>
      <c r="GG134">
        <v>26.046800000000001</v>
      </c>
      <c r="GH134">
        <v>25.595600000000001</v>
      </c>
      <c r="GI134">
        <v>30.0001</v>
      </c>
      <c r="GJ134">
        <v>25.710799999999999</v>
      </c>
      <c r="GK134">
        <v>25.674800000000001</v>
      </c>
      <c r="GL134">
        <v>35.183399999999999</v>
      </c>
      <c r="GM134">
        <v>100</v>
      </c>
      <c r="GN134">
        <v>26.757899999999999</v>
      </c>
      <c r="GO134">
        <v>26.049499999999998</v>
      </c>
      <c r="GP134">
        <v>800</v>
      </c>
      <c r="GQ134">
        <v>0</v>
      </c>
      <c r="GR134">
        <v>99.716700000000003</v>
      </c>
      <c r="GS134">
        <v>99.427199999999999</v>
      </c>
    </row>
    <row r="135" spans="1:201" x14ac:dyDescent="0.25">
      <c r="A135">
        <v>119</v>
      </c>
      <c r="B135">
        <v>1690287820.5</v>
      </c>
      <c r="C135">
        <v>1281.900000095367</v>
      </c>
      <c r="D135" t="s">
        <v>571</v>
      </c>
      <c r="E135" t="s">
        <v>572</v>
      </c>
      <c r="F135" t="s">
        <v>330</v>
      </c>
      <c r="H135">
        <v>1690287820.5</v>
      </c>
      <c r="I135">
        <f t="shared" si="30"/>
        <v>2.7899792861290477E-3</v>
      </c>
      <c r="J135">
        <f t="shared" si="31"/>
        <v>2.7899792861290478</v>
      </c>
      <c r="K135">
        <f t="shared" si="32"/>
        <v>42.125929577238054</v>
      </c>
      <c r="L135">
        <f t="shared" si="33"/>
        <v>381.16899999999998</v>
      </c>
      <c r="M135">
        <f t="shared" si="34"/>
        <v>97.351868465407094</v>
      </c>
      <c r="N135">
        <f t="shared" si="35"/>
        <v>9.6805290099279055</v>
      </c>
      <c r="O135">
        <f t="shared" si="36"/>
        <v>37.9028941133922</v>
      </c>
      <c r="P135">
        <f t="shared" si="37"/>
        <v>0.25382403606105602</v>
      </c>
      <c r="Q135">
        <f t="shared" si="38"/>
        <v>2.3063859559208364</v>
      </c>
      <c r="R135">
        <f t="shared" si="39"/>
        <v>0.2392635813049844</v>
      </c>
      <c r="S135">
        <f t="shared" si="40"/>
        <v>0.1507782881228989</v>
      </c>
      <c r="T135">
        <f t="shared" si="41"/>
        <v>276.114925728</v>
      </c>
      <c r="U135">
        <f t="shared" si="42"/>
        <v>27.853020490689186</v>
      </c>
      <c r="V135">
        <f t="shared" si="43"/>
        <v>27.853020490689186</v>
      </c>
      <c r="W135">
        <f t="shared" si="44"/>
        <v>3.7624452533133064</v>
      </c>
      <c r="X135">
        <f t="shared" si="45"/>
        <v>74.960933215122651</v>
      </c>
      <c r="Y135">
        <f t="shared" si="46"/>
        <v>2.64025270507608</v>
      </c>
      <c r="Z135">
        <f t="shared" si="47"/>
        <v>3.5221716057070571</v>
      </c>
      <c r="AA135">
        <f t="shared" si="48"/>
        <v>1.1221925482372264</v>
      </c>
      <c r="AB135">
        <f t="shared" si="49"/>
        <v>-123.03808651829101</v>
      </c>
      <c r="AC135">
        <f t="shared" si="50"/>
        <v>-140.01150434301906</v>
      </c>
      <c r="AD135">
        <f t="shared" si="51"/>
        <v>-13.139145613790815</v>
      </c>
      <c r="AE135">
        <f t="shared" si="52"/>
        <v>-7.3810747100850449E-2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52808.09823873415</v>
      </c>
      <c r="AK135">
        <f t="shared" si="56"/>
        <v>1800</v>
      </c>
      <c r="AL135">
        <f t="shared" si="57"/>
        <v>1499.1127308</v>
      </c>
      <c r="AM135">
        <f t="shared" si="58"/>
        <v>0.83284040599999998</v>
      </c>
      <c r="AN135">
        <f t="shared" si="59"/>
        <v>0.15339718095999999</v>
      </c>
      <c r="AO135">
        <v>29.1</v>
      </c>
      <c r="AP135">
        <v>0.5</v>
      </c>
      <c r="AQ135" t="s">
        <v>331</v>
      </c>
      <c r="AR135">
        <v>2</v>
      </c>
      <c r="AS135">
        <v>1690287820.5</v>
      </c>
      <c r="AT135">
        <v>381.16899999999998</v>
      </c>
      <c r="AU135">
        <v>799.97199999999998</v>
      </c>
      <c r="AV135">
        <v>26.551600000000001</v>
      </c>
      <c r="AW135">
        <v>0.21578900000000001</v>
      </c>
      <c r="AX135">
        <v>382.11099999999999</v>
      </c>
      <c r="AY135">
        <v>26.360499999999998</v>
      </c>
      <c r="AZ135">
        <v>300.096</v>
      </c>
      <c r="BA135">
        <v>99.3386</v>
      </c>
      <c r="BB135">
        <v>9.9953799999999995E-2</v>
      </c>
      <c r="BC135">
        <v>26.727</v>
      </c>
      <c r="BD135">
        <v>27.025200000000002</v>
      </c>
      <c r="BE135">
        <v>28.302199999999999</v>
      </c>
      <c r="BF135">
        <v>0</v>
      </c>
      <c r="BG135">
        <v>0</v>
      </c>
      <c r="BH135">
        <v>10046.200000000001</v>
      </c>
      <c r="BI135">
        <v>1087.76</v>
      </c>
      <c r="BJ135">
        <v>1.4016500000000001</v>
      </c>
      <c r="BK135">
        <v>-418.80200000000002</v>
      </c>
      <c r="BL135">
        <v>391.56599999999997</v>
      </c>
      <c r="BM135">
        <v>800.14400000000001</v>
      </c>
      <c r="BN135">
        <v>26.335799999999999</v>
      </c>
      <c r="BO135">
        <v>799.97199999999998</v>
      </c>
      <c r="BP135">
        <v>0.21578900000000001</v>
      </c>
      <c r="BQ135">
        <v>2.6375999999999999</v>
      </c>
      <c r="BR135">
        <v>2.1436199999999999E-2</v>
      </c>
      <c r="BS135">
        <v>21.901499999999999</v>
      </c>
      <c r="BT135">
        <v>-38.755400000000002</v>
      </c>
      <c r="BU135">
        <v>1800</v>
      </c>
      <c r="BV135">
        <v>0.91001100000000001</v>
      </c>
      <c r="BW135">
        <v>3.4004899999999998E-2</v>
      </c>
      <c r="BX135">
        <v>2.1997800000000001E-2</v>
      </c>
      <c r="BY135">
        <v>3.3986200000000001E-2</v>
      </c>
      <c r="BZ135">
        <v>25</v>
      </c>
      <c r="CA135">
        <v>33528.400000000001</v>
      </c>
      <c r="CB135">
        <v>1690286268.5999999</v>
      </c>
      <c r="CC135" t="s">
        <v>332</v>
      </c>
      <c r="CD135">
        <v>1690286261.0999999</v>
      </c>
      <c r="CE135">
        <v>1690286268.5999999</v>
      </c>
      <c r="CF135">
        <v>1</v>
      </c>
      <c r="CG135">
        <v>-0.89900000000000002</v>
      </c>
      <c r="CH135">
        <v>3.4000000000000002E-2</v>
      </c>
      <c r="CI135">
        <v>-1.2370000000000001</v>
      </c>
      <c r="CJ135">
        <v>8.5999999999999993E-2</v>
      </c>
      <c r="CK135">
        <v>799</v>
      </c>
      <c r="CL135">
        <v>16</v>
      </c>
      <c r="CM135">
        <v>0.28999999999999998</v>
      </c>
      <c r="CN135">
        <v>0.09</v>
      </c>
      <c r="CO135">
        <v>-417.73599999999999</v>
      </c>
      <c r="CP135">
        <v>-6.8742889305809607</v>
      </c>
      <c r="CQ135">
        <v>0.66344788793091969</v>
      </c>
      <c r="CR135">
        <v>-1</v>
      </c>
      <c r="CS135">
        <v>26.280777499999999</v>
      </c>
      <c r="CT135">
        <v>0.32469681050652732</v>
      </c>
      <c r="CU135">
        <v>3.1265104249786263E-2</v>
      </c>
      <c r="CV135">
        <v>-1</v>
      </c>
      <c r="CW135">
        <v>0</v>
      </c>
      <c r="CX135">
        <v>0</v>
      </c>
      <c r="CY135" t="s">
        <v>333</v>
      </c>
      <c r="CZ135">
        <v>2.3650600000000002</v>
      </c>
      <c r="DA135">
        <v>2.7137899999999999</v>
      </c>
      <c r="DB135">
        <v>8.6751200000000001E-2</v>
      </c>
      <c r="DC135">
        <v>0.14656</v>
      </c>
      <c r="DD135">
        <v>0.122763</v>
      </c>
      <c r="DE135">
        <v>1.81873E-3</v>
      </c>
      <c r="DF135">
        <v>33344.800000000003</v>
      </c>
      <c r="DG135">
        <v>27476</v>
      </c>
      <c r="DH135">
        <v>31168.2</v>
      </c>
      <c r="DI135">
        <v>28051.4</v>
      </c>
      <c r="DJ135">
        <v>37103.5</v>
      </c>
      <c r="DK135">
        <v>39802.6</v>
      </c>
      <c r="DL135">
        <v>44349.599999999999</v>
      </c>
      <c r="DM135">
        <v>42493</v>
      </c>
      <c r="DN135">
        <v>1.4927999999999999</v>
      </c>
      <c r="DO135">
        <v>2.06325</v>
      </c>
      <c r="DP135">
        <v>8.32677E-2</v>
      </c>
      <c r="DQ135">
        <v>0.18305299999999999</v>
      </c>
      <c r="DR135">
        <v>25.661999999999999</v>
      </c>
      <c r="DS135">
        <v>25.307600000000001</v>
      </c>
      <c r="DT135">
        <v>41.5</v>
      </c>
      <c r="DU135">
        <v>25.4</v>
      </c>
      <c r="DV135">
        <v>13.601000000000001</v>
      </c>
      <c r="DW135">
        <v>61.901400000000002</v>
      </c>
      <c r="DX135">
        <v>37.007199999999997</v>
      </c>
      <c r="DY135">
        <v>1</v>
      </c>
      <c r="DZ135">
        <v>-0.14430100000000001</v>
      </c>
      <c r="EA135">
        <v>-0.72632600000000003</v>
      </c>
      <c r="EB135">
        <v>20.1889</v>
      </c>
      <c r="EC135">
        <v>5.2411000000000003</v>
      </c>
      <c r="ED135">
        <v>12.039899999999999</v>
      </c>
      <c r="EE135">
        <v>5.0174500000000002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1.8687499999999999</v>
      </c>
      <c r="EL135">
        <v>1.86446</v>
      </c>
      <c r="EM135">
        <v>1.8690599999999999</v>
      </c>
      <c r="EN135">
        <v>1.8670800000000001</v>
      </c>
      <c r="EO135">
        <v>1.8632500000000001</v>
      </c>
      <c r="EP135">
        <v>1.8643000000000001</v>
      </c>
      <c r="EQ135">
        <v>1.87008</v>
      </c>
      <c r="ER135">
        <v>1.8692899999999999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-0.94199999999999995</v>
      </c>
      <c r="FG135">
        <v>0.19109999999999999</v>
      </c>
      <c r="FH135">
        <v>-0.68620417327404271</v>
      </c>
      <c r="FI135">
        <v>-6.1462078757559423E-4</v>
      </c>
      <c r="FJ135">
        <v>-1.8861989874597051E-7</v>
      </c>
      <c r="FK135">
        <v>1.1980462299894961E-10</v>
      </c>
      <c r="FL135">
        <v>0.1911242781723908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26</v>
      </c>
      <c r="FU135">
        <v>25.9</v>
      </c>
      <c r="FV135">
        <v>1.7602500000000001</v>
      </c>
      <c r="FW135">
        <v>2.5708000000000002</v>
      </c>
      <c r="FX135">
        <v>1.5490699999999999</v>
      </c>
      <c r="FY135">
        <v>2.33887</v>
      </c>
      <c r="FZ135">
        <v>1.50146</v>
      </c>
      <c r="GA135">
        <v>2.3132299999999999</v>
      </c>
      <c r="GB135">
        <v>30.803699999999999</v>
      </c>
      <c r="GC135">
        <v>23.982399999999998</v>
      </c>
      <c r="GD135">
        <v>19</v>
      </c>
      <c r="GE135">
        <v>287.10399999999998</v>
      </c>
      <c r="GF135">
        <v>597.89499999999998</v>
      </c>
      <c r="GG135">
        <v>26.05</v>
      </c>
      <c r="GH135">
        <v>25.595600000000001</v>
      </c>
      <c r="GI135">
        <v>30.0001</v>
      </c>
      <c r="GJ135">
        <v>25.710799999999999</v>
      </c>
      <c r="GK135">
        <v>25.674800000000001</v>
      </c>
      <c r="GL135">
        <v>35.183599999999998</v>
      </c>
      <c r="GM135">
        <v>100</v>
      </c>
      <c r="GN135">
        <v>25.947099999999999</v>
      </c>
      <c r="GO135">
        <v>26.0321</v>
      </c>
      <c r="GP135">
        <v>800</v>
      </c>
      <c r="GQ135">
        <v>0</v>
      </c>
      <c r="GR135">
        <v>99.717399999999998</v>
      </c>
      <c r="GS135">
        <v>99.427400000000006</v>
      </c>
    </row>
    <row r="136" spans="1:201" x14ac:dyDescent="0.25">
      <c r="A136">
        <v>120</v>
      </c>
      <c r="B136">
        <v>1690287830.5</v>
      </c>
      <c r="C136">
        <v>1291.900000095367</v>
      </c>
      <c r="D136" t="s">
        <v>573</v>
      </c>
      <c r="E136" t="s">
        <v>574</v>
      </c>
      <c r="F136" t="s">
        <v>330</v>
      </c>
      <c r="H136">
        <v>1690287830.5</v>
      </c>
      <c r="I136">
        <f t="shared" si="30"/>
        <v>2.7963551406047383E-3</v>
      </c>
      <c r="J136">
        <f t="shared" si="31"/>
        <v>2.7963551406047382</v>
      </c>
      <c r="K136">
        <f t="shared" si="32"/>
        <v>42.237037281395587</v>
      </c>
      <c r="L136">
        <f t="shared" si="33"/>
        <v>380.14400000000001</v>
      </c>
      <c r="M136">
        <f t="shared" si="34"/>
        <v>97.540854381698296</v>
      </c>
      <c r="N136">
        <f t="shared" si="35"/>
        <v>9.6994143745340136</v>
      </c>
      <c r="O136">
        <f t="shared" si="36"/>
        <v>37.801331568864001</v>
      </c>
      <c r="P136">
        <f t="shared" si="37"/>
        <v>0.25571745388120082</v>
      </c>
      <c r="Q136">
        <f t="shared" si="38"/>
        <v>2.2982542221487048</v>
      </c>
      <c r="R136">
        <f t="shared" si="39"/>
        <v>0.24089673003170936</v>
      </c>
      <c r="S136">
        <f t="shared" si="40"/>
        <v>0.15182041033759341</v>
      </c>
      <c r="T136">
        <f t="shared" si="41"/>
        <v>276.11657202600003</v>
      </c>
      <c r="U136">
        <f t="shared" si="42"/>
        <v>27.854800414548652</v>
      </c>
      <c r="V136">
        <f t="shared" si="43"/>
        <v>27.854800414548652</v>
      </c>
      <c r="W136">
        <f t="shared" si="44"/>
        <v>3.7628361023440231</v>
      </c>
      <c r="X136">
        <f t="shared" si="45"/>
        <v>75.115480657332682</v>
      </c>
      <c r="Y136">
        <f t="shared" si="46"/>
        <v>2.6457272724383998</v>
      </c>
      <c r="Z136">
        <f t="shared" si="47"/>
        <v>3.5222130635199855</v>
      </c>
      <c r="AA136">
        <f t="shared" si="48"/>
        <v>1.1171088299056233</v>
      </c>
      <c r="AB136">
        <f t="shared" si="49"/>
        <v>-123.31926170066896</v>
      </c>
      <c r="AC136">
        <f t="shared" si="50"/>
        <v>-139.7136172437861</v>
      </c>
      <c r="AD136">
        <f t="shared" si="51"/>
        <v>-13.157711460870953</v>
      </c>
      <c r="AE136">
        <f t="shared" si="52"/>
        <v>-7.4018379325963224E-2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52500.01691664142</v>
      </c>
      <c r="AK136">
        <f t="shared" si="56"/>
        <v>1800</v>
      </c>
      <c r="AL136">
        <f t="shared" si="57"/>
        <v>1499.1120665999997</v>
      </c>
      <c r="AM136">
        <f t="shared" si="58"/>
        <v>0.83284003699999987</v>
      </c>
      <c r="AN136">
        <f t="shared" si="59"/>
        <v>0.15339809557</v>
      </c>
      <c r="AO136">
        <v>29.1</v>
      </c>
      <c r="AP136">
        <v>0.5</v>
      </c>
      <c r="AQ136" t="s">
        <v>331</v>
      </c>
      <c r="AR136">
        <v>2</v>
      </c>
      <c r="AS136">
        <v>1690287830.5</v>
      </c>
      <c r="AT136">
        <v>380.14400000000001</v>
      </c>
      <c r="AU136">
        <v>799.98099999999999</v>
      </c>
      <c r="AV136">
        <v>26.606400000000001</v>
      </c>
      <c r="AW136">
        <v>0.21435299999999999</v>
      </c>
      <c r="AX136">
        <v>381.08600000000001</v>
      </c>
      <c r="AY136">
        <v>26.415299999999998</v>
      </c>
      <c r="AZ136">
        <v>300.12400000000002</v>
      </c>
      <c r="BA136">
        <v>99.339399999999998</v>
      </c>
      <c r="BB136">
        <v>0.100106</v>
      </c>
      <c r="BC136">
        <v>26.7272</v>
      </c>
      <c r="BD136">
        <v>27.019500000000001</v>
      </c>
      <c r="BE136">
        <v>28.328399999999998</v>
      </c>
      <c r="BF136">
        <v>0</v>
      </c>
      <c r="BG136">
        <v>0</v>
      </c>
      <c r="BH136">
        <v>9985</v>
      </c>
      <c r="BI136">
        <v>1087.72</v>
      </c>
      <c r="BJ136">
        <v>1.4016500000000001</v>
      </c>
      <c r="BK136">
        <v>-419.83699999999999</v>
      </c>
      <c r="BL136">
        <v>390.53500000000003</v>
      </c>
      <c r="BM136">
        <v>800.15300000000002</v>
      </c>
      <c r="BN136">
        <v>26.392099999999999</v>
      </c>
      <c r="BO136">
        <v>799.98099999999999</v>
      </c>
      <c r="BP136">
        <v>0.21435299999999999</v>
      </c>
      <c r="BQ136">
        <v>2.6430600000000002</v>
      </c>
      <c r="BR136">
        <v>2.1293699999999999E-2</v>
      </c>
      <c r="BS136">
        <v>21.935400000000001</v>
      </c>
      <c r="BT136">
        <v>-38.820099999999996</v>
      </c>
      <c r="BU136">
        <v>1800</v>
      </c>
      <c r="BV136">
        <v>0.90999099999999999</v>
      </c>
      <c r="BW136">
        <v>3.4003100000000001E-2</v>
      </c>
      <c r="BX136">
        <v>2.2009600000000001E-2</v>
      </c>
      <c r="BY136">
        <v>3.3996100000000001E-2</v>
      </c>
      <c r="BZ136">
        <v>25</v>
      </c>
      <c r="CA136">
        <v>33528.199999999997</v>
      </c>
      <c r="CB136">
        <v>1690286268.5999999</v>
      </c>
      <c r="CC136" t="s">
        <v>332</v>
      </c>
      <c r="CD136">
        <v>1690286261.0999999</v>
      </c>
      <c r="CE136">
        <v>1690286268.5999999</v>
      </c>
      <c r="CF136">
        <v>1</v>
      </c>
      <c r="CG136">
        <v>-0.89900000000000002</v>
      </c>
      <c r="CH136">
        <v>3.4000000000000002E-2</v>
      </c>
      <c r="CI136">
        <v>-1.2370000000000001</v>
      </c>
      <c r="CJ136">
        <v>8.5999999999999993E-2</v>
      </c>
      <c r="CK136">
        <v>799</v>
      </c>
      <c r="CL136">
        <v>16</v>
      </c>
      <c r="CM136">
        <v>0.28999999999999998</v>
      </c>
      <c r="CN136">
        <v>0.09</v>
      </c>
      <c r="CO136">
        <v>-418.80745000000002</v>
      </c>
      <c r="CP136">
        <v>-6.2137485928698677</v>
      </c>
      <c r="CQ136">
        <v>0.59864271272604663</v>
      </c>
      <c r="CR136">
        <v>-1</v>
      </c>
      <c r="CS136">
        <v>26.3356925</v>
      </c>
      <c r="CT136">
        <v>0.32903977485923369</v>
      </c>
      <c r="CU136">
        <v>3.1662836160868783E-2</v>
      </c>
      <c r="CV136">
        <v>-1</v>
      </c>
      <c r="CW136">
        <v>0</v>
      </c>
      <c r="CX136">
        <v>0</v>
      </c>
      <c r="CY136" t="s">
        <v>333</v>
      </c>
      <c r="CZ136">
        <v>2.3651599999999999</v>
      </c>
      <c r="DA136">
        <v>2.7138900000000001</v>
      </c>
      <c r="DB136">
        <v>8.6571700000000001E-2</v>
      </c>
      <c r="DC136">
        <v>0.146562</v>
      </c>
      <c r="DD136">
        <v>0.12293999999999999</v>
      </c>
      <c r="DE136">
        <v>1.8067999999999999E-3</v>
      </c>
      <c r="DF136">
        <v>33350.800000000003</v>
      </c>
      <c r="DG136">
        <v>27476</v>
      </c>
      <c r="DH136">
        <v>31167.7</v>
      </c>
      <c r="DI136">
        <v>28051.5</v>
      </c>
      <c r="DJ136">
        <v>37095.5</v>
      </c>
      <c r="DK136">
        <v>39803.300000000003</v>
      </c>
      <c r="DL136">
        <v>44349.1</v>
      </c>
      <c r="DM136">
        <v>42493.2</v>
      </c>
      <c r="DN136">
        <v>1.4929699999999999</v>
      </c>
      <c r="DO136">
        <v>2.0632299999999999</v>
      </c>
      <c r="DP136">
        <v>8.2649299999999995E-2</v>
      </c>
      <c r="DQ136">
        <v>0.184529</v>
      </c>
      <c r="DR136">
        <v>25.666399999999999</v>
      </c>
      <c r="DS136">
        <v>25.309699999999999</v>
      </c>
      <c r="DT136">
        <v>41.1</v>
      </c>
      <c r="DU136">
        <v>25.4</v>
      </c>
      <c r="DV136">
        <v>13.472799999999999</v>
      </c>
      <c r="DW136">
        <v>61.681399999999996</v>
      </c>
      <c r="DX136">
        <v>36.674700000000001</v>
      </c>
      <c r="DY136">
        <v>1</v>
      </c>
      <c r="DZ136">
        <v>-0.144395</v>
      </c>
      <c r="EA136">
        <v>-0.61866600000000005</v>
      </c>
      <c r="EB136">
        <v>20.189399999999999</v>
      </c>
      <c r="EC136">
        <v>5.24125</v>
      </c>
      <c r="ED136">
        <v>12.039899999999999</v>
      </c>
      <c r="EE136">
        <v>5.01755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1.8687400000000001</v>
      </c>
      <c r="EL136">
        <v>1.8644499999999999</v>
      </c>
      <c r="EM136">
        <v>1.8690599999999999</v>
      </c>
      <c r="EN136">
        <v>1.86707</v>
      </c>
      <c r="EO136">
        <v>1.8632500000000001</v>
      </c>
      <c r="EP136">
        <v>1.8643099999999999</v>
      </c>
      <c r="EQ136">
        <v>1.87009</v>
      </c>
      <c r="ER136">
        <v>1.8692800000000001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-0.94199999999999995</v>
      </c>
      <c r="FG136">
        <v>0.19109999999999999</v>
      </c>
      <c r="FH136">
        <v>-0.68620417327404271</v>
      </c>
      <c r="FI136">
        <v>-6.1462078757559423E-4</v>
      </c>
      <c r="FJ136">
        <v>-1.8861989874597051E-7</v>
      </c>
      <c r="FK136">
        <v>1.1980462299894961E-10</v>
      </c>
      <c r="FL136">
        <v>0.1911242781723908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26.2</v>
      </c>
      <c r="FU136">
        <v>26</v>
      </c>
      <c r="FV136">
        <v>1.7602500000000001</v>
      </c>
      <c r="FW136">
        <v>2.5683600000000002</v>
      </c>
      <c r="FX136">
        <v>1.5490699999999999</v>
      </c>
      <c r="FY136">
        <v>2.33887</v>
      </c>
      <c r="FZ136">
        <v>1.50146</v>
      </c>
      <c r="GA136">
        <v>2.34375</v>
      </c>
      <c r="GB136">
        <v>30.825299999999999</v>
      </c>
      <c r="GC136">
        <v>23.982399999999998</v>
      </c>
      <c r="GD136">
        <v>19</v>
      </c>
      <c r="GE136">
        <v>287.18799999999999</v>
      </c>
      <c r="GF136">
        <v>597.87400000000002</v>
      </c>
      <c r="GG136">
        <v>26.013300000000001</v>
      </c>
      <c r="GH136">
        <v>25.595600000000001</v>
      </c>
      <c r="GI136">
        <v>30</v>
      </c>
      <c r="GJ136">
        <v>25.712900000000001</v>
      </c>
      <c r="GK136">
        <v>25.674800000000001</v>
      </c>
      <c r="GL136">
        <v>35.185299999999998</v>
      </c>
      <c r="GM136">
        <v>100</v>
      </c>
      <c r="GN136">
        <v>25.145099999999999</v>
      </c>
      <c r="GO136">
        <v>25.985199999999999</v>
      </c>
      <c r="GP136">
        <v>800</v>
      </c>
      <c r="GQ136">
        <v>0</v>
      </c>
      <c r="GR136">
        <v>99.716200000000001</v>
      </c>
      <c r="GS136">
        <v>99.427899999999994</v>
      </c>
    </row>
    <row r="137" spans="1:201" x14ac:dyDescent="0.25">
      <c r="A137">
        <v>121</v>
      </c>
      <c r="B137">
        <v>1690287840.5</v>
      </c>
      <c r="C137">
        <v>1301.900000095367</v>
      </c>
      <c r="D137" t="s">
        <v>575</v>
      </c>
      <c r="E137" t="s">
        <v>576</v>
      </c>
      <c r="F137" t="s">
        <v>330</v>
      </c>
      <c r="H137">
        <v>1690287840.5</v>
      </c>
      <c r="I137">
        <f t="shared" si="30"/>
        <v>2.800543873571567E-3</v>
      </c>
      <c r="J137">
        <f t="shared" si="31"/>
        <v>2.8005438735715669</v>
      </c>
      <c r="K137">
        <f t="shared" si="32"/>
        <v>42.344003643264266</v>
      </c>
      <c r="L137">
        <f t="shared" si="33"/>
        <v>379.05900000000003</v>
      </c>
      <c r="M137">
        <f t="shared" si="34"/>
        <v>97.801130998404105</v>
      </c>
      <c r="N137">
        <f t="shared" si="35"/>
        <v>9.7257855495821062</v>
      </c>
      <c r="O137">
        <f t="shared" si="36"/>
        <v>37.695336516090002</v>
      </c>
      <c r="P137">
        <f t="shared" si="37"/>
        <v>0.25764927574217361</v>
      </c>
      <c r="Q137">
        <f t="shared" si="38"/>
        <v>2.3032368967735537</v>
      </c>
      <c r="R137">
        <f t="shared" si="39"/>
        <v>0.24264134558735337</v>
      </c>
      <c r="S137">
        <f t="shared" si="40"/>
        <v>0.15292634355495766</v>
      </c>
      <c r="T137">
        <f t="shared" si="41"/>
        <v>276.11673132599998</v>
      </c>
      <c r="U137">
        <f t="shared" si="42"/>
        <v>27.844316801884631</v>
      </c>
      <c r="V137">
        <f t="shared" si="43"/>
        <v>27.844316801884631</v>
      </c>
      <c r="W137">
        <f t="shared" si="44"/>
        <v>3.7605345421074778</v>
      </c>
      <c r="X137">
        <f t="shared" si="45"/>
        <v>75.260210010363764</v>
      </c>
      <c r="Y137">
        <f t="shared" si="46"/>
        <v>2.6497486912049997</v>
      </c>
      <c r="Z137">
        <f t="shared" si="47"/>
        <v>3.5207830151418849</v>
      </c>
      <c r="AA137">
        <f t="shared" si="48"/>
        <v>1.1107858509024782</v>
      </c>
      <c r="AB137">
        <f t="shared" si="49"/>
        <v>-123.50398482450611</v>
      </c>
      <c r="AC137">
        <f t="shared" si="50"/>
        <v>-139.57153524405965</v>
      </c>
      <c r="AD137">
        <f t="shared" si="51"/>
        <v>-13.114755942711032</v>
      </c>
      <c r="AE137">
        <f t="shared" si="52"/>
        <v>-7.3544685276829114E-2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52689.99077795737</v>
      </c>
      <c r="AK137">
        <f t="shared" si="56"/>
        <v>1800</v>
      </c>
      <c r="AL137">
        <f t="shared" si="57"/>
        <v>1499.1120395999999</v>
      </c>
      <c r="AM137">
        <f t="shared" si="58"/>
        <v>0.83284002199999996</v>
      </c>
      <c r="AN137">
        <f t="shared" si="59"/>
        <v>0.15339818407</v>
      </c>
      <c r="AO137">
        <v>29.1</v>
      </c>
      <c r="AP137">
        <v>0.5</v>
      </c>
      <c r="AQ137" t="s">
        <v>331</v>
      </c>
      <c r="AR137">
        <v>2</v>
      </c>
      <c r="AS137">
        <v>1690287840.5</v>
      </c>
      <c r="AT137">
        <v>379.05900000000003</v>
      </c>
      <c r="AU137">
        <v>799.96400000000006</v>
      </c>
      <c r="AV137">
        <v>26.645499999999998</v>
      </c>
      <c r="AW137">
        <v>0.21216299999999999</v>
      </c>
      <c r="AX137">
        <v>380</v>
      </c>
      <c r="AY137">
        <v>26.4543</v>
      </c>
      <c r="AZ137">
        <v>300.09199999999998</v>
      </c>
      <c r="BA137">
        <v>99.344499999999996</v>
      </c>
      <c r="BB137">
        <v>0.10001</v>
      </c>
      <c r="BC137">
        <v>26.720300000000002</v>
      </c>
      <c r="BD137">
        <v>27.019300000000001</v>
      </c>
      <c r="BE137">
        <v>28.312200000000001</v>
      </c>
      <c r="BF137">
        <v>0</v>
      </c>
      <c r="BG137">
        <v>0</v>
      </c>
      <c r="BH137">
        <v>10021.9</v>
      </c>
      <c r="BI137">
        <v>1087.78</v>
      </c>
      <c r="BJ137">
        <v>1.4016500000000001</v>
      </c>
      <c r="BK137">
        <v>-420.90499999999997</v>
      </c>
      <c r="BL137">
        <v>389.43599999999998</v>
      </c>
      <c r="BM137">
        <v>800.13400000000001</v>
      </c>
      <c r="BN137">
        <v>26.433299999999999</v>
      </c>
      <c r="BO137">
        <v>799.96400000000006</v>
      </c>
      <c r="BP137">
        <v>0.21216299999999999</v>
      </c>
      <c r="BQ137">
        <v>2.6470799999999999</v>
      </c>
      <c r="BR137">
        <v>2.1077200000000001E-2</v>
      </c>
      <c r="BS137">
        <v>21.9602</v>
      </c>
      <c r="BT137">
        <v>-38.918999999999997</v>
      </c>
      <c r="BU137">
        <v>1800</v>
      </c>
      <c r="BV137">
        <v>0.90998599999999996</v>
      </c>
      <c r="BW137">
        <v>3.4002200000000003E-2</v>
      </c>
      <c r="BX137">
        <v>2.20091E-2</v>
      </c>
      <c r="BY137">
        <v>3.4003100000000001E-2</v>
      </c>
      <c r="BZ137">
        <v>25</v>
      </c>
      <c r="CA137">
        <v>33528.199999999997</v>
      </c>
      <c r="CB137">
        <v>1690286268.5999999</v>
      </c>
      <c r="CC137" t="s">
        <v>332</v>
      </c>
      <c r="CD137">
        <v>1690286261.0999999</v>
      </c>
      <c r="CE137">
        <v>1690286268.5999999</v>
      </c>
      <c r="CF137">
        <v>1</v>
      </c>
      <c r="CG137">
        <v>-0.89900000000000002</v>
      </c>
      <c r="CH137">
        <v>3.4000000000000002E-2</v>
      </c>
      <c r="CI137">
        <v>-1.2370000000000001</v>
      </c>
      <c r="CJ137">
        <v>8.5999999999999993E-2</v>
      </c>
      <c r="CK137">
        <v>799</v>
      </c>
      <c r="CL137">
        <v>16</v>
      </c>
      <c r="CM137">
        <v>0.28999999999999998</v>
      </c>
      <c r="CN137">
        <v>0.09</v>
      </c>
      <c r="CO137">
        <v>-419.7721951219512</v>
      </c>
      <c r="CP137">
        <v>-6.308696864111063</v>
      </c>
      <c r="CQ137">
        <v>0.62280311337129846</v>
      </c>
      <c r="CR137">
        <v>-1</v>
      </c>
      <c r="CS137">
        <v>26.384336585365851</v>
      </c>
      <c r="CT137">
        <v>0.30479372822299439</v>
      </c>
      <c r="CU137">
        <v>3.0150142628773531E-2</v>
      </c>
      <c r="CV137">
        <v>-1</v>
      </c>
      <c r="CW137">
        <v>0</v>
      </c>
      <c r="CX137">
        <v>0</v>
      </c>
      <c r="CY137" t="s">
        <v>333</v>
      </c>
      <c r="CZ137">
        <v>2.3650500000000001</v>
      </c>
      <c r="DA137">
        <v>2.7138200000000001</v>
      </c>
      <c r="DB137">
        <v>8.6385900000000002E-2</v>
      </c>
      <c r="DC137">
        <v>0.146567</v>
      </c>
      <c r="DD137">
        <v>0.123073</v>
      </c>
      <c r="DE137">
        <v>1.78867E-3</v>
      </c>
      <c r="DF137">
        <v>33358.300000000003</v>
      </c>
      <c r="DG137">
        <v>27475.7</v>
      </c>
      <c r="DH137">
        <v>31168.3</v>
      </c>
      <c r="DI137">
        <v>28051.3</v>
      </c>
      <c r="DJ137">
        <v>37090.400000000001</v>
      </c>
      <c r="DK137">
        <v>39803.800000000003</v>
      </c>
      <c r="DL137">
        <v>44349.8</v>
      </c>
      <c r="DM137">
        <v>42492.9</v>
      </c>
      <c r="DN137">
        <v>1.4928300000000001</v>
      </c>
      <c r="DO137">
        <v>2.0630199999999999</v>
      </c>
      <c r="DP137">
        <v>8.2492800000000005E-2</v>
      </c>
      <c r="DQ137">
        <v>0.18340300000000001</v>
      </c>
      <c r="DR137">
        <v>25.668800000000001</v>
      </c>
      <c r="DS137">
        <v>25.311800000000002</v>
      </c>
      <c r="DT137">
        <v>40.6</v>
      </c>
      <c r="DU137">
        <v>25.4</v>
      </c>
      <c r="DV137">
        <v>13.308</v>
      </c>
      <c r="DW137">
        <v>61.941400000000002</v>
      </c>
      <c r="DX137">
        <v>36.646599999999999</v>
      </c>
      <c r="DY137">
        <v>1</v>
      </c>
      <c r="DZ137">
        <v>-0.14416200000000001</v>
      </c>
      <c r="EA137">
        <v>-0.62074099999999999</v>
      </c>
      <c r="EB137">
        <v>20.189399999999999</v>
      </c>
      <c r="EC137">
        <v>5.24125</v>
      </c>
      <c r="ED137">
        <v>12.039899999999999</v>
      </c>
      <c r="EE137">
        <v>5.0175000000000001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1.8687400000000001</v>
      </c>
      <c r="EL137">
        <v>1.8644499999999999</v>
      </c>
      <c r="EM137">
        <v>1.8690599999999999</v>
      </c>
      <c r="EN137">
        <v>1.86707</v>
      </c>
      <c r="EO137">
        <v>1.8632500000000001</v>
      </c>
      <c r="EP137">
        <v>1.8643099999999999</v>
      </c>
      <c r="EQ137">
        <v>1.8701000000000001</v>
      </c>
      <c r="ER137">
        <v>1.86927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-0.94099999999999995</v>
      </c>
      <c r="FG137">
        <v>0.19120000000000001</v>
      </c>
      <c r="FH137">
        <v>-0.68620417327404271</v>
      </c>
      <c r="FI137">
        <v>-6.1462078757559423E-4</v>
      </c>
      <c r="FJ137">
        <v>-1.8861989874597051E-7</v>
      </c>
      <c r="FK137">
        <v>1.1980462299894961E-10</v>
      </c>
      <c r="FL137">
        <v>0.1911242781723908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26.3</v>
      </c>
      <c r="FU137">
        <v>26.2</v>
      </c>
      <c r="FV137">
        <v>1.7602500000000001</v>
      </c>
      <c r="FW137">
        <v>2.5683600000000002</v>
      </c>
      <c r="FX137">
        <v>1.5490699999999999</v>
      </c>
      <c r="FY137">
        <v>2.33887</v>
      </c>
      <c r="FZ137">
        <v>1.50146</v>
      </c>
      <c r="GA137">
        <v>2.34131</v>
      </c>
      <c r="GB137">
        <v>30.825299999999999</v>
      </c>
      <c r="GC137">
        <v>23.982399999999998</v>
      </c>
      <c r="GD137">
        <v>19</v>
      </c>
      <c r="GE137">
        <v>287.11700000000002</v>
      </c>
      <c r="GF137">
        <v>597.70600000000002</v>
      </c>
      <c r="GG137">
        <v>25.970199999999998</v>
      </c>
      <c r="GH137">
        <v>25.595600000000001</v>
      </c>
      <c r="GI137">
        <v>30.0002</v>
      </c>
      <c r="GJ137">
        <v>25.711300000000001</v>
      </c>
      <c r="GK137">
        <v>25.674800000000001</v>
      </c>
      <c r="GL137">
        <v>35.188899999999997</v>
      </c>
      <c r="GM137">
        <v>100</v>
      </c>
      <c r="GN137">
        <v>24.354199999999999</v>
      </c>
      <c r="GO137">
        <v>25.9556</v>
      </c>
      <c r="GP137">
        <v>800</v>
      </c>
      <c r="GQ137">
        <v>0</v>
      </c>
      <c r="GR137">
        <v>99.7179</v>
      </c>
      <c r="GS137">
        <v>99.427300000000002</v>
      </c>
    </row>
    <row r="138" spans="1:201" x14ac:dyDescent="0.25">
      <c r="A138">
        <v>122</v>
      </c>
      <c r="B138">
        <v>1690287850.5</v>
      </c>
      <c r="C138">
        <v>1311.900000095367</v>
      </c>
      <c r="D138" t="s">
        <v>577</v>
      </c>
      <c r="E138" t="s">
        <v>578</v>
      </c>
      <c r="F138" t="s">
        <v>330</v>
      </c>
      <c r="H138">
        <v>1690287850.5</v>
      </c>
      <c r="I138">
        <f t="shared" si="30"/>
        <v>2.806426648163747E-3</v>
      </c>
      <c r="J138">
        <f t="shared" si="31"/>
        <v>2.8064266481637468</v>
      </c>
      <c r="K138">
        <f t="shared" si="32"/>
        <v>42.451644450622901</v>
      </c>
      <c r="L138">
        <f t="shared" si="33"/>
        <v>378.02600000000001</v>
      </c>
      <c r="M138">
        <f t="shared" si="34"/>
        <v>97.980795707895354</v>
      </c>
      <c r="N138">
        <f t="shared" si="35"/>
        <v>9.7432026826910469</v>
      </c>
      <c r="O138">
        <f t="shared" si="36"/>
        <v>37.590875953971995</v>
      </c>
      <c r="P138">
        <f t="shared" si="37"/>
        <v>0.25954798112661759</v>
      </c>
      <c r="Q138">
        <f t="shared" si="38"/>
        <v>2.2965101010270272</v>
      </c>
      <c r="R138">
        <f t="shared" si="39"/>
        <v>0.2442832766745453</v>
      </c>
      <c r="S138">
        <f t="shared" si="40"/>
        <v>0.15397365449521258</v>
      </c>
      <c r="T138">
        <f t="shared" si="41"/>
        <v>276.11652457800005</v>
      </c>
      <c r="U138">
        <f t="shared" si="42"/>
        <v>27.842912126598055</v>
      </c>
      <c r="V138">
        <f t="shared" si="43"/>
        <v>27.842912126598055</v>
      </c>
      <c r="W138">
        <f t="shared" si="44"/>
        <v>3.7602262546486753</v>
      </c>
      <c r="X138">
        <f t="shared" si="45"/>
        <v>75.411028447483019</v>
      </c>
      <c r="Y138">
        <f t="shared" si="46"/>
        <v>2.6546680456964</v>
      </c>
      <c r="Z138">
        <f t="shared" si="47"/>
        <v>3.5202650067889434</v>
      </c>
      <c r="AA138">
        <f t="shared" si="48"/>
        <v>1.1055582089522753</v>
      </c>
      <c r="AB138">
        <f t="shared" si="49"/>
        <v>-123.76341518402124</v>
      </c>
      <c r="AC138">
        <f t="shared" si="50"/>
        <v>-139.2995164701135</v>
      </c>
      <c r="AD138">
        <f t="shared" si="51"/>
        <v>-13.127279965364743</v>
      </c>
      <c r="AE138">
        <f t="shared" si="52"/>
        <v>-7.3687041499425732E-2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52435.723738722663</v>
      </c>
      <c r="AK138">
        <f t="shared" si="56"/>
        <v>1800</v>
      </c>
      <c r="AL138">
        <f t="shared" si="57"/>
        <v>1499.1102557999998</v>
      </c>
      <c r="AM138">
        <f t="shared" si="58"/>
        <v>0.8328390309999999</v>
      </c>
      <c r="AN138">
        <f t="shared" si="59"/>
        <v>0.15339806921000002</v>
      </c>
      <c r="AO138">
        <v>29.1</v>
      </c>
      <c r="AP138">
        <v>0.5</v>
      </c>
      <c r="AQ138" t="s">
        <v>331</v>
      </c>
      <c r="AR138">
        <v>2</v>
      </c>
      <c r="AS138">
        <v>1690287850.5</v>
      </c>
      <c r="AT138">
        <v>378.02600000000001</v>
      </c>
      <c r="AU138">
        <v>799.94299999999998</v>
      </c>
      <c r="AV138">
        <v>26.696200000000001</v>
      </c>
      <c r="AW138">
        <v>0.21030599999999999</v>
      </c>
      <c r="AX138">
        <v>378.96600000000001</v>
      </c>
      <c r="AY138">
        <v>26.505099999999999</v>
      </c>
      <c r="AZ138">
        <v>300.11</v>
      </c>
      <c r="BA138">
        <v>99.3399</v>
      </c>
      <c r="BB138">
        <v>0.100022</v>
      </c>
      <c r="BC138">
        <v>26.7178</v>
      </c>
      <c r="BD138">
        <v>27.0061</v>
      </c>
      <c r="BE138">
        <v>28.3004</v>
      </c>
      <c r="BF138">
        <v>0</v>
      </c>
      <c r="BG138">
        <v>0</v>
      </c>
      <c r="BH138">
        <v>9971.8799999999992</v>
      </c>
      <c r="BI138">
        <v>1087.76</v>
      </c>
      <c r="BJ138">
        <v>1.3540000000000001</v>
      </c>
      <c r="BK138">
        <v>-421.91699999999997</v>
      </c>
      <c r="BL138">
        <v>388.39499999999998</v>
      </c>
      <c r="BM138">
        <v>800.11099999999999</v>
      </c>
      <c r="BN138">
        <v>26.485900000000001</v>
      </c>
      <c r="BO138">
        <v>799.94299999999998</v>
      </c>
      <c r="BP138">
        <v>0.21030599999999999</v>
      </c>
      <c r="BQ138">
        <v>2.6520000000000001</v>
      </c>
      <c r="BR138">
        <v>2.0891799999999999E-2</v>
      </c>
      <c r="BS138">
        <v>21.9907</v>
      </c>
      <c r="BT138">
        <v>-39.0045</v>
      </c>
      <c r="BU138">
        <v>1800</v>
      </c>
      <c r="BV138">
        <v>0.90997899999999998</v>
      </c>
      <c r="BW138">
        <v>3.4000299999999997E-2</v>
      </c>
      <c r="BX138">
        <v>2.2007800000000001E-2</v>
      </c>
      <c r="BY138">
        <v>3.4012899999999999E-2</v>
      </c>
      <c r="BZ138">
        <v>25</v>
      </c>
      <c r="CA138">
        <v>33528.199999999997</v>
      </c>
      <c r="CB138">
        <v>1690286268.5999999</v>
      </c>
      <c r="CC138" t="s">
        <v>332</v>
      </c>
      <c r="CD138">
        <v>1690286261.0999999</v>
      </c>
      <c r="CE138">
        <v>1690286268.5999999</v>
      </c>
      <c r="CF138">
        <v>1</v>
      </c>
      <c r="CG138">
        <v>-0.89900000000000002</v>
      </c>
      <c r="CH138">
        <v>3.4000000000000002E-2</v>
      </c>
      <c r="CI138">
        <v>-1.2370000000000001</v>
      </c>
      <c r="CJ138">
        <v>8.5999999999999993E-2</v>
      </c>
      <c r="CK138">
        <v>799</v>
      </c>
      <c r="CL138">
        <v>16</v>
      </c>
      <c r="CM138">
        <v>0.28999999999999998</v>
      </c>
      <c r="CN138">
        <v>0.09</v>
      </c>
      <c r="CO138">
        <v>-420.83436585365848</v>
      </c>
      <c r="CP138">
        <v>-6.3755540069685583</v>
      </c>
      <c r="CQ138">
        <v>0.62978888278756762</v>
      </c>
      <c r="CR138">
        <v>-1</v>
      </c>
      <c r="CS138">
        <v>26.432246341463419</v>
      </c>
      <c r="CT138">
        <v>0.27125226480841708</v>
      </c>
      <c r="CU138">
        <v>2.6810173692916731E-2</v>
      </c>
      <c r="CV138">
        <v>-1</v>
      </c>
      <c r="CW138">
        <v>0</v>
      </c>
      <c r="CX138">
        <v>0</v>
      </c>
      <c r="CY138" t="s">
        <v>333</v>
      </c>
      <c r="CZ138">
        <v>2.3650899999999999</v>
      </c>
      <c r="DA138">
        <v>2.7137899999999999</v>
      </c>
      <c r="DB138">
        <v>8.6200399999999996E-2</v>
      </c>
      <c r="DC138">
        <v>0.14655799999999999</v>
      </c>
      <c r="DD138">
        <v>0.12323099999999999</v>
      </c>
      <c r="DE138">
        <v>1.7731400000000001E-3</v>
      </c>
      <c r="DF138">
        <v>33364.6</v>
      </c>
      <c r="DG138">
        <v>27476.7</v>
      </c>
      <c r="DH138">
        <v>31167.9</v>
      </c>
      <c r="DI138">
        <v>28052</v>
      </c>
      <c r="DJ138">
        <v>37083.300000000003</v>
      </c>
      <c r="DK138">
        <v>39805.1</v>
      </c>
      <c r="DL138">
        <v>44349.4</v>
      </c>
      <c r="DM138">
        <v>42493.7</v>
      </c>
      <c r="DN138">
        <v>1.4930300000000001</v>
      </c>
      <c r="DO138">
        <v>2.0630500000000001</v>
      </c>
      <c r="DP138">
        <v>8.1569000000000003E-2</v>
      </c>
      <c r="DQ138">
        <v>0.18268100000000001</v>
      </c>
      <c r="DR138">
        <v>25.6707</v>
      </c>
      <c r="DS138">
        <v>25.311800000000002</v>
      </c>
      <c r="DT138">
        <v>40.200000000000003</v>
      </c>
      <c r="DU138">
        <v>25.4</v>
      </c>
      <c r="DV138">
        <v>13.178000000000001</v>
      </c>
      <c r="DW138">
        <v>61.961399999999998</v>
      </c>
      <c r="DX138">
        <v>36.430300000000003</v>
      </c>
      <c r="DY138">
        <v>1</v>
      </c>
      <c r="DZ138">
        <v>-0.14430599999999999</v>
      </c>
      <c r="EA138">
        <v>-0.59048699999999998</v>
      </c>
      <c r="EB138">
        <v>20.189599999999999</v>
      </c>
      <c r="EC138">
        <v>5.24125</v>
      </c>
      <c r="ED138">
        <v>12.039899999999999</v>
      </c>
      <c r="EE138">
        <v>5.01715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1.8687499999999999</v>
      </c>
      <c r="EL138">
        <v>1.86446</v>
      </c>
      <c r="EM138">
        <v>1.8690500000000001</v>
      </c>
      <c r="EN138">
        <v>1.86707</v>
      </c>
      <c r="EO138">
        <v>1.8632500000000001</v>
      </c>
      <c r="EP138">
        <v>1.86432</v>
      </c>
      <c r="EQ138">
        <v>1.8701099999999999</v>
      </c>
      <c r="ER138">
        <v>1.8692899999999999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-0.94</v>
      </c>
      <c r="FG138">
        <v>0.19109999999999999</v>
      </c>
      <c r="FH138">
        <v>-0.68620417327404271</v>
      </c>
      <c r="FI138">
        <v>-6.1462078757559423E-4</v>
      </c>
      <c r="FJ138">
        <v>-1.8861989874597051E-7</v>
      </c>
      <c r="FK138">
        <v>1.1980462299894961E-10</v>
      </c>
      <c r="FL138">
        <v>0.1911242781723908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26.5</v>
      </c>
      <c r="FU138">
        <v>26.4</v>
      </c>
      <c r="FV138">
        <v>1.7602500000000001</v>
      </c>
      <c r="FW138">
        <v>2.5708000000000002</v>
      </c>
      <c r="FX138">
        <v>1.5490699999999999</v>
      </c>
      <c r="FY138">
        <v>2.33887</v>
      </c>
      <c r="FZ138">
        <v>1.50146</v>
      </c>
      <c r="GA138">
        <v>2.34497</v>
      </c>
      <c r="GB138">
        <v>30.846900000000002</v>
      </c>
      <c r="GC138">
        <v>23.982399999999998</v>
      </c>
      <c r="GD138">
        <v>19</v>
      </c>
      <c r="GE138">
        <v>287.20600000000002</v>
      </c>
      <c r="GF138">
        <v>597.72699999999998</v>
      </c>
      <c r="GG138">
        <v>25.933900000000001</v>
      </c>
      <c r="GH138">
        <v>25.595600000000001</v>
      </c>
      <c r="GI138">
        <v>30.0001</v>
      </c>
      <c r="GJ138">
        <v>25.7118</v>
      </c>
      <c r="GK138">
        <v>25.674800000000001</v>
      </c>
      <c r="GL138">
        <v>35.191099999999999</v>
      </c>
      <c r="GM138">
        <v>100</v>
      </c>
      <c r="GN138">
        <v>23.5716</v>
      </c>
      <c r="GO138">
        <v>25.921500000000002</v>
      </c>
      <c r="GP138">
        <v>800</v>
      </c>
      <c r="GQ138">
        <v>0</v>
      </c>
      <c r="GR138">
        <v>99.716700000000003</v>
      </c>
      <c r="GS138">
        <v>99.429299999999998</v>
      </c>
    </row>
    <row r="139" spans="1:201" x14ac:dyDescent="0.25">
      <c r="A139">
        <v>123</v>
      </c>
      <c r="B139">
        <v>1690287860.5</v>
      </c>
      <c r="C139">
        <v>1321.900000095367</v>
      </c>
      <c r="D139" t="s">
        <v>579</v>
      </c>
      <c r="E139" t="s">
        <v>580</v>
      </c>
      <c r="F139" t="s">
        <v>330</v>
      </c>
      <c r="H139">
        <v>1690287860.5</v>
      </c>
      <c r="I139">
        <f t="shared" si="30"/>
        <v>2.8116915014332711E-3</v>
      </c>
      <c r="J139">
        <f t="shared" si="31"/>
        <v>2.8116915014332711</v>
      </c>
      <c r="K139">
        <f t="shared" si="32"/>
        <v>42.572876049893708</v>
      </c>
      <c r="L139">
        <f t="shared" si="33"/>
        <v>376.97</v>
      </c>
      <c r="M139">
        <f t="shared" si="34"/>
        <v>98.324384300814145</v>
      </c>
      <c r="N139">
        <f t="shared" si="35"/>
        <v>9.7775787331583128</v>
      </c>
      <c r="O139">
        <f t="shared" si="36"/>
        <v>37.48667109638</v>
      </c>
      <c r="P139">
        <f t="shared" si="37"/>
        <v>0.2616401571487918</v>
      </c>
      <c r="Q139">
        <f t="shared" si="38"/>
        <v>2.3056881986042468</v>
      </c>
      <c r="R139">
        <f t="shared" si="39"/>
        <v>0.24619406141091238</v>
      </c>
      <c r="S139">
        <f t="shared" si="40"/>
        <v>0.15518301456816652</v>
      </c>
      <c r="T139">
        <f t="shared" si="41"/>
        <v>276.11497923937105</v>
      </c>
      <c r="U139">
        <f t="shared" si="42"/>
        <v>27.832000926226616</v>
      </c>
      <c r="V139">
        <f t="shared" si="43"/>
        <v>27.832000926226616</v>
      </c>
      <c r="W139">
        <f t="shared" si="44"/>
        <v>3.7578322981258618</v>
      </c>
      <c r="X139">
        <f t="shared" si="45"/>
        <v>75.550573825836693</v>
      </c>
      <c r="Y139">
        <f t="shared" si="46"/>
        <v>2.6587821977979997</v>
      </c>
      <c r="Z139">
        <f t="shared" si="47"/>
        <v>3.519208476069513</v>
      </c>
      <c r="AA139">
        <f t="shared" si="48"/>
        <v>1.0990501003278621</v>
      </c>
      <c r="AB139">
        <f t="shared" si="49"/>
        <v>-123.99559521320725</v>
      </c>
      <c r="AC139">
        <f t="shared" si="50"/>
        <v>-139.13387577313213</v>
      </c>
      <c r="AD139">
        <f t="shared" si="51"/>
        <v>-13.058432652843461</v>
      </c>
      <c r="AE139">
        <f t="shared" si="52"/>
        <v>-7.2924399811796548E-2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52784.220005643838</v>
      </c>
      <c r="AK139">
        <f t="shared" si="56"/>
        <v>1799.99</v>
      </c>
      <c r="AL139">
        <f t="shared" si="57"/>
        <v>1499.1032036025999</v>
      </c>
      <c r="AM139">
        <f t="shared" si="58"/>
        <v>0.83283973999999994</v>
      </c>
      <c r="AN139">
        <f t="shared" si="59"/>
        <v>0.15339806290000002</v>
      </c>
      <c r="AO139">
        <v>29.1</v>
      </c>
      <c r="AP139">
        <v>0.5</v>
      </c>
      <c r="AQ139" t="s">
        <v>331</v>
      </c>
      <c r="AR139">
        <v>2</v>
      </c>
      <c r="AS139">
        <v>1690287860.5</v>
      </c>
      <c r="AT139">
        <v>376.97</v>
      </c>
      <c r="AU139">
        <v>799.96</v>
      </c>
      <c r="AV139">
        <v>26.736999999999998</v>
      </c>
      <c r="AW139">
        <v>0.20836499999999999</v>
      </c>
      <c r="AX139">
        <v>377.90899999999999</v>
      </c>
      <c r="AY139">
        <v>26.5459</v>
      </c>
      <c r="AZ139">
        <v>300.17599999999999</v>
      </c>
      <c r="BA139">
        <v>99.341999999999999</v>
      </c>
      <c r="BB139">
        <v>0.100054</v>
      </c>
      <c r="BC139">
        <v>26.712700000000002</v>
      </c>
      <c r="BD139">
        <v>26.986000000000001</v>
      </c>
      <c r="BE139">
        <v>28.283200000000001</v>
      </c>
      <c r="BF139">
        <v>0</v>
      </c>
      <c r="BG139">
        <v>0</v>
      </c>
      <c r="BH139">
        <v>10040.6</v>
      </c>
      <c r="BI139">
        <v>1087.8699999999999</v>
      </c>
      <c r="BJ139">
        <v>1.3540000000000001</v>
      </c>
      <c r="BK139">
        <v>-422.99</v>
      </c>
      <c r="BL139">
        <v>387.32600000000002</v>
      </c>
      <c r="BM139">
        <v>800.12699999999995</v>
      </c>
      <c r="BN139">
        <v>26.528600000000001</v>
      </c>
      <c r="BO139">
        <v>799.96</v>
      </c>
      <c r="BP139">
        <v>0.20836499999999999</v>
      </c>
      <c r="BQ139">
        <v>2.65611</v>
      </c>
      <c r="BR139">
        <v>2.06994E-2</v>
      </c>
      <c r="BS139">
        <v>22.015999999999998</v>
      </c>
      <c r="BT139">
        <v>-39.093899999999998</v>
      </c>
      <c r="BU139">
        <v>1799.99</v>
      </c>
      <c r="BV139">
        <v>0.90998299999999999</v>
      </c>
      <c r="BW139">
        <v>3.3998899999999999E-2</v>
      </c>
      <c r="BX139">
        <v>2.2006999999999999E-2</v>
      </c>
      <c r="BY139">
        <v>3.4011600000000003E-2</v>
      </c>
      <c r="BZ139">
        <v>25</v>
      </c>
      <c r="CA139">
        <v>33528.199999999997</v>
      </c>
      <c r="CB139">
        <v>1690286268.5999999</v>
      </c>
      <c r="CC139" t="s">
        <v>332</v>
      </c>
      <c r="CD139">
        <v>1690286261.0999999</v>
      </c>
      <c r="CE139">
        <v>1690286268.5999999</v>
      </c>
      <c r="CF139">
        <v>1</v>
      </c>
      <c r="CG139">
        <v>-0.89900000000000002</v>
      </c>
      <c r="CH139">
        <v>3.4000000000000002E-2</v>
      </c>
      <c r="CI139">
        <v>-1.2370000000000001</v>
      </c>
      <c r="CJ139">
        <v>8.5999999999999993E-2</v>
      </c>
      <c r="CK139">
        <v>799</v>
      </c>
      <c r="CL139">
        <v>16</v>
      </c>
      <c r="CM139">
        <v>0.28999999999999998</v>
      </c>
      <c r="CN139">
        <v>0.09</v>
      </c>
      <c r="CO139">
        <v>-421.83059999999989</v>
      </c>
      <c r="CP139">
        <v>-5.8844577861158491</v>
      </c>
      <c r="CQ139">
        <v>0.5670805410168841</v>
      </c>
      <c r="CR139">
        <v>-1</v>
      </c>
      <c r="CS139">
        <v>26.477655000000009</v>
      </c>
      <c r="CT139">
        <v>0.29216510318944738</v>
      </c>
      <c r="CU139">
        <v>2.8155061267914189E-2</v>
      </c>
      <c r="CV139">
        <v>-1</v>
      </c>
      <c r="CW139">
        <v>0</v>
      </c>
      <c r="CX139">
        <v>0</v>
      </c>
      <c r="CY139" t="s">
        <v>333</v>
      </c>
      <c r="CZ139">
        <v>2.36531</v>
      </c>
      <c r="DA139">
        <v>2.7138800000000001</v>
      </c>
      <c r="DB139">
        <v>8.6016499999999996E-2</v>
      </c>
      <c r="DC139">
        <v>0.146563</v>
      </c>
      <c r="DD139">
        <v>0.123365</v>
      </c>
      <c r="DE139">
        <v>1.75702E-3</v>
      </c>
      <c r="DF139">
        <v>33371.5</v>
      </c>
      <c r="DG139">
        <v>27476.7</v>
      </c>
      <c r="DH139">
        <v>31168.1</v>
      </c>
      <c r="DI139">
        <v>28052.2</v>
      </c>
      <c r="DJ139">
        <v>37077.9</v>
      </c>
      <c r="DK139">
        <v>39806.1</v>
      </c>
      <c r="DL139">
        <v>44349.8</v>
      </c>
      <c r="DM139">
        <v>42494.1</v>
      </c>
      <c r="DN139">
        <v>1.4931000000000001</v>
      </c>
      <c r="DO139">
        <v>2.0627800000000001</v>
      </c>
      <c r="DP139">
        <v>8.0339599999999997E-2</v>
      </c>
      <c r="DQ139">
        <v>0.181645</v>
      </c>
      <c r="DR139">
        <v>25.6707</v>
      </c>
      <c r="DS139">
        <v>25.311599999999999</v>
      </c>
      <c r="DT139">
        <v>39.799999999999997</v>
      </c>
      <c r="DU139">
        <v>25.4</v>
      </c>
      <c r="DV139">
        <v>13.044499999999999</v>
      </c>
      <c r="DW139">
        <v>62.041400000000003</v>
      </c>
      <c r="DX139">
        <v>36.506399999999999</v>
      </c>
      <c r="DY139">
        <v>1</v>
      </c>
      <c r="DZ139">
        <v>-0.144096</v>
      </c>
      <c r="EA139">
        <v>-0.84988799999999998</v>
      </c>
      <c r="EB139">
        <v>20.188099999999999</v>
      </c>
      <c r="EC139">
        <v>5.2413999999999996</v>
      </c>
      <c r="ED139">
        <v>12.039899999999999</v>
      </c>
      <c r="EE139">
        <v>5.0174000000000003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1.8687400000000001</v>
      </c>
      <c r="EL139">
        <v>1.8644499999999999</v>
      </c>
      <c r="EM139">
        <v>1.86907</v>
      </c>
      <c r="EN139">
        <v>1.86707</v>
      </c>
      <c r="EO139">
        <v>1.8632599999999999</v>
      </c>
      <c r="EP139">
        <v>1.86432</v>
      </c>
      <c r="EQ139">
        <v>1.87009</v>
      </c>
      <c r="ER139">
        <v>1.8692899999999999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-0.93899999999999995</v>
      </c>
      <c r="FG139">
        <v>0.19109999999999999</v>
      </c>
      <c r="FH139">
        <v>-0.68620417327404271</v>
      </c>
      <c r="FI139">
        <v>-6.1462078757559423E-4</v>
      </c>
      <c r="FJ139">
        <v>-1.8861989874597051E-7</v>
      </c>
      <c r="FK139">
        <v>1.1980462299894961E-10</v>
      </c>
      <c r="FL139">
        <v>0.1911242781723908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26.7</v>
      </c>
      <c r="FU139">
        <v>26.5</v>
      </c>
      <c r="FV139">
        <v>1.7602500000000001</v>
      </c>
      <c r="FW139">
        <v>2.5659200000000002</v>
      </c>
      <c r="FX139">
        <v>1.5490699999999999</v>
      </c>
      <c r="FY139">
        <v>2.33765</v>
      </c>
      <c r="FZ139">
        <v>1.50146</v>
      </c>
      <c r="GA139">
        <v>2.3779300000000001</v>
      </c>
      <c r="GB139">
        <v>30.846900000000002</v>
      </c>
      <c r="GC139">
        <v>23.991199999999999</v>
      </c>
      <c r="GD139">
        <v>19</v>
      </c>
      <c r="GE139">
        <v>287.233</v>
      </c>
      <c r="GF139">
        <v>597.49599999999998</v>
      </c>
      <c r="GG139">
        <v>25.960699999999999</v>
      </c>
      <c r="GH139">
        <v>25.595600000000001</v>
      </c>
      <c r="GI139">
        <v>30.0002</v>
      </c>
      <c r="GJ139">
        <v>25.710799999999999</v>
      </c>
      <c r="GK139">
        <v>25.674800000000001</v>
      </c>
      <c r="GL139">
        <v>35.190399999999997</v>
      </c>
      <c r="GM139">
        <v>100</v>
      </c>
      <c r="GN139">
        <v>22.8047</v>
      </c>
      <c r="GO139">
        <v>25.9876</v>
      </c>
      <c r="GP139">
        <v>800</v>
      </c>
      <c r="GQ139">
        <v>0</v>
      </c>
      <c r="GR139">
        <v>99.717500000000001</v>
      </c>
      <c r="GS139">
        <v>99.430099999999996</v>
      </c>
    </row>
    <row r="140" spans="1:201" x14ac:dyDescent="0.25">
      <c r="A140">
        <v>124</v>
      </c>
      <c r="B140">
        <v>1690287870.5</v>
      </c>
      <c r="C140">
        <v>1331.900000095367</v>
      </c>
      <c r="D140" t="s">
        <v>581</v>
      </c>
      <c r="E140" t="s">
        <v>582</v>
      </c>
      <c r="F140" t="s">
        <v>330</v>
      </c>
      <c r="H140">
        <v>1690287870.5</v>
      </c>
      <c r="I140">
        <f t="shared" si="30"/>
        <v>2.8172751133213026E-3</v>
      </c>
      <c r="J140">
        <f t="shared" si="31"/>
        <v>2.8172751133213025</v>
      </c>
      <c r="K140">
        <f t="shared" si="32"/>
        <v>42.66912109700332</v>
      </c>
      <c r="L140">
        <f t="shared" si="33"/>
        <v>376.084</v>
      </c>
      <c r="M140">
        <f t="shared" si="34"/>
        <v>98.499984761373923</v>
      </c>
      <c r="N140">
        <f t="shared" si="35"/>
        <v>9.7948820216642876</v>
      </c>
      <c r="O140">
        <f t="shared" si="36"/>
        <v>37.397959189128002</v>
      </c>
      <c r="P140">
        <f t="shared" si="37"/>
        <v>0.26332369477230477</v>
      </c>
      <c r="Q140">
        <f t="shared" si="38"/>
        <v>2.3039264096465599</v>
      </c>
      <c r="R140">
        <f t="shared" si="39"/>
        <v>0.2476733613119298</v>
      </c>
      <c r="S140">
        <f t="shared" si="40"/>
        <v>0.15612440033505715</v>
      </c>
      <c r="T140">
        <f t="shared" si="41"/>
        <v>276.11626568400004</v>
      </c>
      <c r="U140">
        <f t="shared" si="42"/>
        <v>27.8340771451074</v>
      </c>
      <c r="V140">
        <f t="shared" si="43"/>
        <v>27.8340771451074</v>
      </c>
      <c r="W140">
        <f t="shared" si="44"/>
        <v>3.7582877255250211</v>
      </c>
      <c r="X140">
        <f t="shared" si="45"/>
        <v>75.675974752588374</v>
      </c>
      <c r="Y140">
        <f t="shared" si="46"/>
        <v>2.6636812877214</v>
      </c>
      <c r="Z140">
        <f t="shared" si="47"/>
        <v>3.5198506480159915</v>
      </c>
      <c r="AA140">
        <f t="shared" si="48"/>
        <v>1.0946064378036211</v>
      </c>
      <c r="AB140">
        <f t="shared" si="49"/>
        <v>-124.24183249746945</v>
      </c>
      <c r="AC140">
        <f t="shared" si="50"/>
        <v>-138.90039970170642</v>
      </c>
      <c r="AD140">
        <f t="shared" si="51"/>
        <v>-13.046825881671625</v>
      </c>
      <c r="AE140">
        <f t="shared" si="52"/>
        <v>-7.2792396847432883E-2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52716.827295567258</v>
      </c>
      <c r="AK140">
        <f t="shared" si="56"/>
        <v>1800</v>
      </c>
      <c r="AL140">
        <f t="shared" si="57"/>
        <v>1499.1118073999999</v>
      </c>
      <c r="AM140">
        <f t="shared" si="58"/>
        <v>0.83283989299999994</v>
      </c>
      <c r="AN140">
        <f t="shared" si="59"/>
        <v>0.15339792538000002</v>
      </c>
      <c r="AO140">
        <v>29.1</v>
      </c>
      <c r="AP140">
        <v>0.5</v>
      </c>
      <c r="AQ140" t="s">
        <v>331</v>
      </c>
      <c r="AR140">
        <v>2</v>
      </c>
      <c r="AS140">
        <v>1690287870.5</v>
      </c>
      <c r="AT140">
        <v>376.084</v>
      </c>
      <c r="AU140">
        <v>799.99900000000002</v>
      </c>
      <c r="AV140">
        <v>26.7867</v>
      </c>
      <c r="AW140">
        <v>0.207006</v>
      </c>
      <c r="AX140">
        <v>377.02300000000002</v>
      </c>
      <c r="AY140">
        <v>26.595500000000001</v>
      </c>
      <c r="AZ140">
        <v>300.17899999999997</v>
      </c>
      <c r="BA140">
        <v>99.340400000000002</v>
      </c>
      <c r="BB140">
        <v>0.10004200000000001</v>
      </c>
      <c r="BC140">
        <v>26.715800000000002</v>
      </c>
      <c r="BD140">
        <v>27.0092</v>
      </c>
      <c r="BE140">
        <v>28.283999999999999</v>
      </c>
      <c r="BF140">
        <v>0</v>
      </c>
      <c r="BG140">
        <v>0</v>
      </c>
      <c r="BH140">
        <v>10027.5</v>
      </c>
      <c r="BI140">
        <v>1087.81</v>
      </c>
      <c r="BJ140">
        <v>1.33718</v>
      </c>
      <c r="BK140">
        <v>-423.91500000000002</v>
      </c>
      <c r="BL140">
        <v>386.43599999999998</v>
      </c>
      <c r="BM140">
        <v>800.16499999999996</v>
      </c>
      <c r="BN140">
        <v>26.579699999999999</v>
      </c>
      <c r="BO140">
        <v>799.99900000000002</v>
      </c>
      <c r="BP140">
        <v>0.207006</v>
      </c>
      <c r="BQ140">
        <v>2.661</v>
      </c>
      <c r="BR140">
        <v>2.0564099999999998E-2</v>
      </c>
      <c r="BS140">
        <v>22.046199999999999</v>
      </c>
      <c r="BT140">
        <v>-39.157299999999999</v>
      </c>
      <c r="BU140">
        <v>1800</v>
      </c>
      <c r="BV140">
        <v>0.90998699999999999</v>
      </c>
      <c r="BW140">
        <v>3.3997399999999997E-2</v>
      </c>
      <c r="BX140">
        <v>2.2005899999999998E-2</v>
      </c>
      <c r="BY140">
        <v>3.4009999999999999E-2</v>
      </c>
      <c r="BZ140">
        <v>25</v>
      </c>
      <c r="CA140">
        <v>33528.199999999997</v>
      </c>
      <c r="CB140">
        <v>1690286268.5999999</v>
      </c>
      <c r="CC140" t="s">
        <v>332</v>
      </c>
      <c r="CD140">
        <v>1690286261.0999999</v>
      </c>
      <c r="CE140">
        <v>1690286268.5999999</v>
      </c>
      <c r="CF140">
        <v>1</v>
      </c>
      <c r="CG140">
        <v>-0.89900000000000002</v>
      </c>
      <c r="CH140">
        <v>3.4000000000000002E-2</v>
      </c>
      <c r="CI140">
        <v>-1.2370000000000001</v>
      </c>
      <c r="CJ140">
        <v>8.5999999999999993E-2</v>
      </c>
      <c r="CK140">
        <v>799</v>
      </c>
      <c r="CL140">
        <v>16</v>
      </c>
      <c r="CM140">
        <v>0.28999999999999998</v>
      </c>
      <c r="CN140">
        <v>0.09</v>
      </c>
      <c r="CO140">
        <v>-422.84807499999999</v>
      </c>
      <c r="CP140">
        <v>-6.2562664165093356</v>
      </c>
      <c r="CQ140">
        <v>0.60274316203089795</v>
      </c>
      <c r="CR140">
        <v>-1</v>
      </c>
      <c r="CS140">
        <v>26.5254425</v>
      </c>
      <c r="CT140">
        <v>0.27911482176353802</v>
      </c>
      <c r="CU140">
        <v>2.6889671692863819E-2</v>
      </c>
      <c r="CV140">
        <v>-1</v>
      </c>
      <c r="CW140">
        <v>0</v>
      </c>
      <c r="CX140">
        <v>0</v>
      </c>
      <c r="CY140" t="s">
        <v>333</v>
      </c>
      <c r="CZ140">
        <v>2.3653200000000001</v>
      </c>
      <c r="DA140">
        <v>2.7138599999999999</v>
      </c>
      <c r="DB140">
        <v>8.58593E-2</v>
      </c>
      <c r="DC140">
        <v>0.146565</v>
      </c>
      <c r="DD140">
        <v>0.12352299999999999</v>
      </c>
      <c r="DE140">
        <v>1.7456699999999999E-3</v>
      </c>
      <c r="DF140">
        <v>33377.199999999997</v>
      </c>
      <c r="DG140">
        <v>27476.9</v>
      </c>
      <c r="DH140">
        <v>31168.1</v>
      </c>
      <c r="DI140">
        <v>28052.5</v>
      </c>
      <c r="DJ140">
        <v>37071.1</v>
      </c>
      <c r="DK140">
        <v>39807.199999999997</v>
      </c>
      <c r="DL140">
        <v>44349.8</v>
      </c>
      <c r="DM140">
        <v>42494.8</v>
      </c>
      <c r="DN140">
        <v>1.49308</v>
      </c>
      <c r="DO140">
        <v>2.0627499999999999</v>
      </c>
      <c r="DP140">
        <v>8.17552E-2</v>
      </c>
      <c r="DQ140">
        <v>0.181809</v>
      </c>
      <c r="DR140">
        <v>25.6707</v>
      </c>
      <c r="DS140">
        <v>25.309699999999999</v>
      </c>
      <c r="DT140">
        <v>39.4</v>
      </c>
      <c r="DU140">
        <v>25.5</v>
      </c>
      <c r="DV140">
        <v>12.9939</v>
      </c>
      <c r="DW140">
        <v>61.9114</v>
      </c>
      <c r="DX140">
        <v>36.286099999999998</v>
      </c>
      <c r="DY140">
        <v>1</v>
      </c>
      <c r="DZ140">
        <v>-0.14430899999999999</v>
      </c>
      <c r="EA140">
        <v>-0.75475800000000004</v>
      </c>
      <c r="EB140">
        <v>20.188800000000001</v>
      </c>
      <c r="EC140">
        <v>5.2413999999999996</v>
      </c>
      <c r="ED140">
        <v>12.039899999999999</v>
      </c>
      <c r="EE140">
        <v>5.0171999999999999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1.8687400000000001</v>
      </c>
      <c r="EL140">
        <v>1.8644499999999999</v>
      </c>
      <c r="EM140">
        <v>1.86907</v>
      </c>
      <c r="EN140">
        <v>1.86707</v>
      </c>
      <c r="EO140">
        <v>1.8632500000000001</v>
      </c>
      <c r="EP140">
        <v>1.86432</v>
      </c>
      <c r="EQ140">
        <v>1.87008</v>
      </c>
      <c r="ER140">
        <v>1.8693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-0.93899999999999995</v>
      </c>
      <c r="FG140">
        <v>0.19120000000000001</v>
      </c>
      <c r="FH140">
        <v>-0.68620417327404271</v>
      </c>
      <c r="FI140">
        <v>-6.1462078757559423E-4</v>
      </c>
      <c r="FJ140">
        <v>-1.8861989874597051E-7</v>
      </c>
      <c r="FK140">
        <v>1.1980462299894961E-10</v>
      </c>
      <c r="FL140">
        <v>0.1911242781723908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26.8</v>
      </c>
      <c r="FU140">
        <v>26.7</v>
      </c>
      <c r="FV140">
        <v>1.7602500000000001</v>
      </c>
      <c r="FW140">
        <v>2.5683600000000002</v>
      </c>
      <c r="FX140">
        <v>1.5490699999999999</v>
      </c>
      <c r="FY140">
        <v>2.33887</v>
      </c>
      <c r="FZ140">
        <v>1.50146</v>
      </c>
      <c r="GA140">
        <v>2.36328</v>
      </c>
      <c r="GB140">
        <v>30.846900000000002</v>
      </c>
      <c r="GC140">
        <v>23.991199999999999</v>
      </c>
      <c r="GD140">
        <v>19</v>
      </c>
      <c r="GE140">
        <v>287.22199999999998</v>
      </c>
      <c r="GF140">
        <v>597.47500000000002</v>
      </c>
      <c r="GG140">
        <v>25.9998</v>
      </c>
      <c r="GH140">
        <v>25.595600000000001</v>
      </c>
      <c r="GI140">
        <v>30.0001</v>
      </c>
      <c r="GJ140">
        <v>25.710799999999999</v>
      </c>
      <c r="GK140">
        <v>25.674800000000001</v>
      </c>
      <c r="GL140">
        <v>35.186799999999998</v>
      </c>
      <c r="GM140">
        <v>100</v>
      </c>
      <c r="GN140">
        <v>22.039899999999999</v>
      </c>
      <c r="GO140">
        <v>25.9984</v>
      </c>
      <c r="GP140">
        <v>800</v>
      </c>
      <c r="GQ140">
        <v>0</v>
      </c>
      <c r="GR140">
        <v>99.717500000000001</v>
      </c>
      <c r="GS140">
        <v>99.4315</v>
      </c>
    </row>
    <row r="141" spans="1:201" x14ac:dyDescent="0.25">
      <c r="A141">
        <v>125</v>
      </c>
      <c r="B141">
        <v>1690287880.5</v>
      </c>
      <c r="C141">
        <v>1341.900000095367</v>
      </c>
      <c r="D141" t="s">
        <v>583</v>
      </c>
      <c r="E141" t="s">
        <v>584</v>
      </c>
      <c r="F141" t="s">
        <v>330</v>
      </c>
      <c r="H141">
        <v>1690287880.5</v>
      </c>
      <c r="I141">
        <f t="shared" si="30"/>
        <v>2.8220658247569614E-3</v>
      </c>
      <c r="J141">
        <f t="shared" si="31"/>
        <v>2.8220658247569612</v>
      </c>
      <c r="K141">
        <f t="shared" si="32"/>
        <v>42.76487168276531</v>
      </c>
      <c r="L141">
        <f t="shared" si="33"/>
        <v>375.19799999999998</v>
      </c>
      <c r="M141">
        <f t="shared" si="34"/>
        <v>98.160204783297033</v>
      </c>
      <c r="N141">
        <f t="shared" si="35"/>
        <v>9.7610097326854568</v>
      </c>
      <c r="O141">
        <f t="shared" si="36"/>
        <v>37.309532287235996</v>
      </c>
      <c r="P141">
        <f t="shared" si="37"/>
        <v>0.26449309701008755</v>
      </c>
      <c r="Q141">
        <f t="shared" si="38"/>
        <v>2.302092335831734</v>
      </c>
      <c r="R141">
        <f t="shared" si="39"/>
        <v>0.24869615192050046</v>
      </c>
      <c r="S141">
        <f t="shared" si="40"/>
        <v>0.15677570511664368</v>
      </c>
      <c r="T141">
        <f t="shared" si="41"/>
        <v>276.11621685000011</v>
      </c>
      <c r="U141">
        <f t="shared" si="42"/>
        <v>27.839628773573541</v>
      </c>
      <c r="V141">
        <f t="shared" si="43"/>
        <v>27.839628773573541</v>
      </c>
      <c r="W141">
        <f t="shared" si="44"/>
        <v>3.7595057352864676</v>
      </c>
      <c r="X141">
        <f t="shared" si="45"/>
        <v>75.75881607367964</v>
      </c>
      <c r="Y141">
        <f t="shared" si="46"/>
        <v>2.6675861146483997</v>
      </c>
      <c r="Z141">
        <f t="shared" si="47"/>
        <v>3.5211560223618394</v>
      </c>
      <c r="AA141">
        <f t="shared" si="48"/>
        <v>1.0919196206380679</v>
      </c>
      <c r="AB141">
        <f t="shared" si="49"/>
        <v>-124.45310287178199</v>
      </c>
      <c r="AC141">
        <f t="shared" si="50"/>
        <v>-138.69694534523956</v>
      </c>
      <c r="AD141">
        <f t="shared" si="51"/>
        <v>-13.038866565799292</v>
      </c>
      <c r="AE141">
        <f t="shared" si="52"/>
        <v>-7.2697932820744882E-2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52646.197339198545</v>
      </c>
      <c r="AK141">
        <f t="shared" si="56"/>
        <v>1800</v>
      </c>
      <c r="AL141">
        <f t="shared" si="57"/>
        <v>1499.1122520000001</v>
      </c>
      <c r="AM141">
        <f t="shared" si="58"/>
        <v>0.83284014000000006</v>
      </c>
      <c r="AN141">
        <f t="shared" si="59"/>
        <v>0.15339789825000005</v>
      </c>
      <c r="AO141">
        <v>29.1</v>
      </c>
      <c r="AP141">
        <v>0.5</v>
      </c>
      <c r="AQ141" t="s">
        <v>331</v>
      </c>
      <c r="AR141">
        <v>2</v>
      </c>
      <c r="AS141">
        <v>1690287880.5</v>
      </c>
      <c r="AT141">
        <v>375.19799999999998</v>
      </c>
      <c r="AU141">
        <v>799.99199999999996</v>
      </c>
      <c r="AV141">
        <v>26.8262</v>
      </c>
      <c r="AW141">
        <v>0.20504900000000001</v>
      </c>
      <c r="AX141">
        <v>376.13499999999999</v>
      </c>
      <c r="AY141">
        <v>26.635100000000001</v>
      </c>
      <c r="AZ141">
        <v>300.209</v>
      </c>
      <c r="BA141">
        <v>99.339500000000001</v>
      </c>
      <c r="BB141">
        <v>0.100082</v>
      </c>
      <c r="BC141">
        <v>26.722100000000001</v>
      </c>
      <c r="BD141">
        <v>27.000399999999999</v>
      </c>
      <c r="BE141">
        <v>28.281600000000001</v>
      </c>
      <c r="BF141">
        <v>0</v>
      </c>
      <c r="BG141">
        <v>0</v>
      </c>
      <c r="BH141">
        <v>10013.799999999999</v>
      </c>
      <c r="BI141">
        <v>1087.82</v>
      </c>
      <c r="BJ141">
        <v>1.3455900000000001</v>
      </c>
      <c r="BK141">
        <v>-424.79399999999998</v>
      </c>
      <c r="BL141">
        <v>385.54</v>
      </c>
      <c r="BM141">
        <v>800.15599999999995</v>
      </c>
      <c r="BN141">
        <v>26.621200000000002</v>
      </c>
      <c r="BO141">
        <v>799.99199999999996</v>
      </c>
      <c r="BP141">
        <v>0.20504900000000001</v>
      </c>
      <c r="BQ141">
        <v>2.6649099999999999</v>
      </c>
      <c r="BR141">
        <v>2.0369499999999999E-2</v>
      </c>
      <c r="BS141">
        <v>22.0703</v>
      </c>
      <c r="BT141">
        <v>-39.249099999999999</v>
      </c>
      <c r="BU141">
        <v>1800</v>
      </c>
      <c r="BV141">
        <v>0.90998900000000005</v>
      </c>
      <c r="BW141">
        <v>3.3996600000000002E-2</v>
      </c>
      <c r="BX141">
        <v>2.2005500000000001E-2</v>
      </c>
      <c r="BY141">
        <v>3.4009299999999999E-2</v>
      </c>
      <c r="BZ141">
        <v>25</v>
      </c>
      <c r="CA141">
        <v>33528.300000000003</v>
      </c>
      <c r="CB141">
        <v>1690286268.5999999</v>
      </c>
      <c r="CC141" t="s">
        <v>332</v>
      </c>
      <c r="CD141">
        <v>1690286261.0999999</v>
      </c>
      <c r="CE141">
        <v>1690286268.5999999</v>
      </c>
      <c r="CF141">
        <v>1</v>
      </c>
      <c r="CG141">
        <v>-0.89900000000000002</v>
      </c>
      <c r="CH141">
        <v>3.4000000000000002E-2</v>
      </c>
      <c r="CI141">
        <v>-1.2370000000000001</v>
      </c>
      <c r="CJ141">
        <v>8.5999999999999993E-2</v>
      </c>
      <c r="CK141">
        <v>799</v>
      </c>
      <c r="CL141">
        <v>16</v>
      </c>
      <c r="CM141">
        <v>0.28999999999999998</v>
      </c>
      <c r="CN141">
        <v>0.09</v>
      </c>
      <c r="CO141">
        <v>-423.82951219512188</v>
      </c>
      <c r="CP141">
        <v>-5.2429547038314208</v>
      </c>
      <c r="CQ141">
        <v>0.51790733336074279</v>
      </c>
      <c r="CR141">
        <v>-1</v>
      </c>
      <c r="CS141">
        <v>26.57326097560976</v>
      </c>
      <c r="CT141">
        <v>0.28017700348435198</v>
      </c>
      <c r="CU141">
        <v>2.7670076097533771E-2</v>
      </c>
      <c r="CV141">
        <v>-1</v>
      </c>
      <c r="CW141">
        <v>0</v>
      </c>
      <c r="CX141">
        <v>0</v>
      </c>
      <c r="CY141" t="s">
        <v>333</v>
      </c>
      <c r="CZ141">
        <v>2.3654199999999999</v>
      </c>
      <c r="DA141">
        <v>2.7138900000000001</v>
      </c>
      <c r="DB141">
        <v>8.5702100000000003E-2</v>
      </c>
      <c r="DC141">
        <v>0.146563</v>
      </c>
      <c r="DD141">
        <v>0.123649</v>
      </c>
      <c r="DE141">
        <v>1.7293600000000001E-3</v>
      </c>
      <c r="DF141">
        <v>33383</v>
      </c>
      <c r="DG141">
        <v>27476.7</v>
      </c>
      <c r="DH141">
        <v>31168.1</v>
      </c>
      <c r="DI141">
        <v>28052.2</v>
      </c>
      <c r="DJ141">
        <v>37065.699999999997</v>
      </c>
      <c r="DK141">
        <v>39807.599999999999</v>
      </c>
      <c r="DL141">
        <v>44349.8</v>
      </c>
      <c r="DM141">
        <v>42494.5</v>
      </c>
      <c r="DN141">
        <v>1.4932700000000001</v>
      </c>
      <c r="DO141">
        <v>2.06257</v>
      </c>
      <c r="DP141">
        <v>8.1040000000000001E-2</v>
      </c>
      <c r="DQ141">
        <v>0.18165999999999999</v>
      </c>
      <c r="DR141">
        <v>25.6736</v>
      </c>
      <c r="DS141">
        <v>25.309699999999999</v>
      </c>
      <c r="DT141">
        <v>39</v>
      </c>
      <c r="DU141">
        <v>25.5</v>
      </c>
      <c r="DV141">
        <v>12.860799999999999</v>
      </c>
      <c r="DW141">
        <v>61.871400000000001</v>
      </c>
      <c r="DX141">
        <v>36.730800000000002</v>
      </c>
      <c r="DY141">
        <v>1</v>
      </c>
      <c r="DZ141">
        <v>-0.144182</v>
      </c>
      <c r="EA141">
        <v>-0.69818599999999997</v>
      </c>
      <c r="EB141">
        <v>20.1892</v>
      </c>
      <c r="EC141">
        <v>5.2416999999999998</v>
      </c>
      <c r="ED141">
        <v>12.039899999999999</v>
      </c>
      <c r="EE141">
        <v>5.0174000000000003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1.8687400000000001</v>
      </c>
      <c r="EL141">
        <v>1.8644499999999999</v>
      </c>
      <c r="EM141">
        <v>1.8690899999999999</v>
      </c>
      <c r="EN141">
        <v>1.86707</v>
      </c>
      <c r="EO141">
        <v>1.8632500000000001</v>
      </c>
      <c r="EP141">
        <v>1.86432</v>
      </c>
      <c r="EQ141">
        <v>1.8700699999999999</v>
      </c>
      <c r="ER141">
        <v>1.86927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-0.93700000000000006</v>
      </c>
      <c r="FG141">
        <v>0.19109999999999999</v>
      </c>
      <c r="FH141">
        <v>-0.68620417327404271</v>
      </c>
      <c r="FI141">
        <v>-6.1462078757559423E-4</v>
      </c>
      <c r="FJ141">
        <v>-1.8861989874597051E-7</v>
      </c>
      <c r="FK141">
        <v>1.1980462299894961E-10</v>
      </c>
      <c r="FL141">
        <v>0.1911242781723908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27</v>
      </c>
      <c r="FU141">
        <v>26.9</v>
      </c>
      <c r="FV141">
        <v>1.7602500000000001</v>
      </c>
      <c r="FW141">
        <v>2.5647000000000002</v>
      </c>
      <c r="FX141">
        <v>1.5490699999999999</v>
      </c>
      <c r="FY141">
        <v>2.33887</v>
      </c>
      <c r="FZ141">
        <v>1.50146</v>
      </c>
      <c r="GA141">
        <v>2.34619</v>
      </c>
      <c r="GB141">
        <v>30.868600000000001</v>
      </c>
      <c r="GC141">
        <v>23.991199999999999</v>
      </c>
      <c r="GD141">
        <v>19</v>
      </c>
      <c r="GE141">
        <v>287.30799999999999</v>
      </c>
      <c r="GF141">
        <v>597.32799999999997</v>
      </c>
      <c r="GG141">
        <v>25.998200000000001</v>
      </c>
      <c r="GH141">
        <v>25.595600000000001</v>
      </c>
      <c r="GI141">
        <v>30.0002</v>
      </c>
      <c r="GJ141">
        <v>25.710799999999999</v>
      </c>
      <c r="GK141">
        <v>25.674800000000001</v>
      </c>
      <c r="GL141">
        <v>35.188299999999998</v>
      </c>
      <c r="GM141">
        <v>100</v>
      </c>
      <c r="GN141">
        <v>21.2713</v>
      </c>
      <c r="GO141">
        <v>25.995999999999999</v>
      </c>
      <c r="GP141">
        <v>800</v>
      </c>
      <c r="GQ141">
        <v>0</v>
      </c>
      <c r="GR141">
        <v>99.717600000000004</v>
      </c>
      <c r="GS141">
        <v>99.430700000000002</v>
      </c>
    </row>
    <row r="142" spans="1:201" x14ac:dyDescent="0.25">
      <c r="A142">
        <v>126</v>
      </c>
      <c r="B142">
        <v>1690287890.5</v>
      </c>
      <c r="C142">
        <v>1351.900000095367</v>
      </c>
      <c r="D142" t="s">
        <v>585</v>
      </c>
      <c r="E142" t="s">
        <v>586</v>
      </c>
      <c r="F142" t="s">
        <v>330</v>
      </c>
      <c r="H142">
        <v>1690287890.5</v>
      </c>
      <c r="I142">
        <f t="shared" si="30"/>
        <v>2.8264784039687589E-3</v>
      </c>
      <c r="J142">
        <f t="shared" si="31"/>
        <v>2.8264784039687592</v>
      </c>
      <c r="K142">
        <f t="shared" si="32"/>
        <v>42.841885860539158</v>
      </c>
      <c r="L142">
        <f t="shared" si="33"/>
        <v>374.28100000000001</v>
      </c>
      <c r="M142">
        <f t="shared" si="34"/>
        <v>98.64600981954203</v>
      </c>
      <c r="N142">
        <f t="shared" si="35"/>
        <v>9.809318850508042</v>
      </c>
      <c r="O142">
        <f t="shared" si="36"/>
        <v>37.218349484214798</v>
      </c>
      <c r="P142">
        <f t="shared" si="37"/>
        <v>0.26639899002348011</v>
      </c>
      <c r="Q142">
        <f t="shared" si="38"/>
        <v>2.30424793965163</v>
      </c>
      <c r="R142">
        <f t="shared" si="39"/>
        <v>0.25039498076102196</v>
      </c>
      <c r="S142">
        <f t="shared" si="40"/>
        <v>0.15785457725090443</v>
      </c>
      <c r="T142">
        <f t="shared" si="41"/>
        <v>276.11601003000004</v>
      </c>
      <c r="U142">
        <f t="shared" si="42"/>
        <v>27.835340282026856</v>
      </c>
      <c r="V142">
        <f t="shared" si="43"/>
        <v>27.835340282026856</v>
      </c>
      <c r="W142">
        <f t="shared" si="44"/>
        <v>3.7585648235161981</v>
      </c>
      <c r="X142">
        <f t="shared" si="45"/>
        <v>75.903429888078392</v>
      </c>
      <c r="Y142">
        <f t="shared" si="46"/>
        <v>2.6723793389955204</v>
      </c>
      <c r="Z142">
        <f t="shared" si="47"/>
        <v>3.5207622935301002</v>
      </c>
      <c r="AA142">
        <f t="shared" si="48"/>
        <v>1.0861854845206778</v>
      </c>
      <c r="AB142">
        <f t="shared" si="49"/>
        <v>-124.64769761502227</v>
      </c>
      <c r="AC142">
        <f t="shared" si="50"/>
        <v>-138.53010239991698</v>
      </c>
      <c r="AD142">
        <f t="shared" si="51"/>
        <v>-13.010596224791058</v>
      </c>
      <c r="AE142">
        <f t="shared" si="52"/>
        <v>-7.2386209730268547E-2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52728.225301820647</v>
      </c>
      <c r="AK142">
        <f t="shared" si="56"/>
        <v>1800</v>
      </c>
      <c r="AL142">
        <f t="shared" si="57"/>
        <v>1499.1126840000002</v>
      </c>
      <c r="AM142">
        <f t="shared" si="58"/>
        <v>0.83284038000000005</v>
      </c>
      <c r="AN142">
        <f t="shared" si="59"/>
        <v>0.15339778335000001</v>
      </c>
      <c r="AO142">
        <v>29.1</v>
      </c>
      <c r="AP142">
        <v>0.5</v>
      </c>
      <c r="AQ142" t="s">
        <v>331</v>
      </c>
      <c r="AR142">
        <v>2</v>
      </c>
      <c r="AS142">
        <v>1690287890.5</v>
      </c>
      <c r="AT142">
        <v>374.28100000000001</v>
      </c>
      <c r="AU142">
        <v>799.96699999999998</v>
      </c>
      <c r="AV142">
        <v>26.874400000000001</v>
      </c>
      <c r="AW142">
        <v>0.203261</v>
      </c>
      <c r="AX142">
        <v>375.21800000000002</v>
      </c>
      <c r="AY142">
        <v>26.683299999999999</v>
      </c>
      <c r="AZ142">
        <v>300.10000000000002</v>
      </c>
      <c r="BA142">
        <v>99.339600000000004</v>
      </c>
      <c r="BB142">
        <v>9.9990800000000005E-2</v>
      </c>
      <c r="BC142">
        <v>26.720199999999998</v>
      </c>
      <c r="BD142">
        <v>27.012899999999998</v>
      </c>
      <c r="BE142">
        <v>28.295200000000001</v>
      </c>
      <c r="BF142">
        <v>0</v>
      </c>
      <c r="BG142">
        <v>0</v>
      </c>
      <c r="BH142">
        <v>10030</v>
      </c>
      <c r="BI142">
        <v>1087.77</v>
      </c>
      <c r="BJ142">
        <v>1.2839100000000001</v>
      </c>
      <c r="BK142">
        <v>-425.68700000000001</v>
      </c>
      <c r="BL142">
        <v>384.61700000000002</v>
      </c>
      <c r="BM142">
        <v>800.13</v>
      </c>
      <c r="BN142">
        <v>26.671099999999999</v>
      </c>
      <c r="BO142">
        <v>799.96699999999998</v>
      </c>
      <c r="BP142">
        <v>0.203261</v>
      </c>
      <c r="BQ142">
        <v>2.6696900000000001</v>
      </c>
      <c r="BR142">
        <v>2.0191799999999999E-2</v>
      </c>
      <c r="BS142">
        <v>22.099699999999999</v>
      </c>
      <c r="BT142">
        <v>-39.333599999999997</v>
      </c>
      <c r="BU142">
        <v>1800</v>
      </c>
      <c r="BV142">
        <v>0.90999300000000005</v>
      </c>
      <c r="BW142">
        <v>3.39951E-2</v>
      </c>
      <c r="BX142">
        <v>2.20045E-2</v>
      </c>
      <c r="BY142">
        <v>3.4007700000000002E-2</v>
      </c>
      <c r="BZ142">
        <v>25</v>
      </c>
      <c r="CA142">
        <v>33528.199999999997</v>
      </c>
      <c r="CB142">
        <v>1690286268.5999999</v>
      </c>
      <c r="CC142" t="s">
        <v>332</v>
      </c>
      <c r="CD142">
        <v>1690286261.0999999</v>
      </c>
      <c r="CE142">
        <v>1690286268.5999999</v>
      </c>
      <c r="CF142">
        <v>1</v>
      </c>
      <c r="CG142">
        <v>-0.89900000000000002</v>
      </c>
      <c r="CH142">
        <v>3.4000000000000002E-2</v>
      </c>
      <c r="CI142">
        <v>-1.2370000000000001</v>
      </c>
      <c r="CJ142">
        <v>8.5999999999999993E-2</v>
      </c>
      <c r="CK142">
        <v>799</v>
      </c>
      <c r="CL142">
        <v>16</v>
      </c>
      <c r="CM142">
        <v>0.28999999999999998</v>
      </c>
      <c r="CN142">
        <v>0.09</v>
      </c>
      <c r="CO142">
        <v>-424.74202439024401</v>
      </c>
      <c r="CP142">
        <v>-5.8561254355407213</v>
      </c>
      <c r="CQ142">
        <v>0.58019481538131745</v>
      </c>
      <c r="CR142">
        <v>-1</v>
      </c>
      <c r="CS142">
        <v>26.618102439024391</v>
      </c>
      <c r="CT142">
        <v>0.26191149825784921</v>
      </c>
      <c r="CU142">
        <v>2.5914422839884519E-2</v>
      </c>
      <c r="CV142">
        <v>-1</v>
      </c>
      <c r="CW142">
        <v>0</v>
      </c>
      <c r="CX142">
        <v>0</v>
      </c>
      <c r="CY142" t="s">
        <v>333</v>
      </c>
      <c r="CZ142">
        <v>2.3650799999999998</v>
      </c>
      <c r="DA142">
        <v>2.7138100000000001</v>
      </c>
      <c r="DB142">
        <v>8.5540400000000003E-2</v>
      </c>
      <c r="DC142">
        <v>0.14656</v>
      </c>
      <c r="DD142">
        <v>0.123803</v>
      </c>
      <c r="DE142">
        <v>1.7144700000000001E-3</v>
      </c>
      <c r="DF142">
        <v>33388.9</v>
      </c>
      <c r="DG142">
        <v>27477.1</v>
      </c>
      <c r="DH142">
        <v>31168.1</v>
      </c>
      <c r="DI142">
        <v>28052.5</v>
      </c>
      <c r="DJ142">
        <v>37058.9</v>
      </c>
      <c r="DK142">
        <v>39808.5</v>
      </c>
      <c r="DL142">
        <v>44349.7</v>
      </c>
      <c r="DM142">
        <v>42494.8</v>
      </c>
      <c r="DN142">
        <v>1.4927699999999999</v>
      </c>
      <c r="DO142">
        <v>2.0626199999999999</v>
      </c>
      <c r="DP142">
        <v>8.1539200000000006E-2</v>
      </c>
      <c r="DQ142">
        <v>0.18245</v>
      </c>
      <c r="DR142">
        <v>25.678000000000001</v>
      </c>
      <c r="DS142">
        <v>25.310400000000001</v>
      </c>
      <c r="DT142">
        <v>38.700000000000003</v>
      </c>
      <c r="DU142">
        <v>25.5</v>
      </c>
      <c r="DV142">
        <v>12.7621</v>
      </c>
      <c r="DW142">
        <v>61.861400000000003</v>
      </c>
      <c r="DX142">
        <v>37.099400000000003</v>
      </c>
      <c r="DY142">
        <v>1</v>
      </c>
      <c r="DZ142">
        <v>-0.14432400000000001</v>
      </c>
      <c r="EA142">
        <v>-0.71506499999999995</v>
      </c>
      <c r="EB142">
        <v>20.1889</v>
      </c>
      <c r="EC142">
        <v>5.2421499999999996</v>
      </c>
      <c r="ED142">
        <v>12.039899999999999</v>
      </c>
      <c r="EE142">
        <v>5.0174500000000002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1.8687400000000001</v>
      </c>
      <c r="EL142">
        <v>1.86446</v>
      </c>
      <c r="EM142">
        <v>1.8690800000000001</v>
      </c>
      <c r="EN142">
        <v>1.86707</v>
      </c>
      <c r="EO142">
        <v>1.8632500000000001</v>
      </c>
      <c r="EP142">
        <v>1.8643099999999999</v>
      </c>
      <c r="EQ142">
        <v>1.8701000000000001</v>
      </c>
      <c r="ER142">
        <v>1.86927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-0.93700000000000006</v>
      </c>
      <c r="FG142">
        <v>0.19109999999999999</v>
      </c>
      <c r="FH142">
        <v>-0.68620417327404271</v>
      </c>
      <c r="FI142">
        <v>-6.1462078757559423E-4</v>
      </c>
      <c r="FJ142">
        <v>-1.8861989874597051E-7</v>
      </c>
      <c r="FK142">
        <v>1.1980462299894961E-10</v>
      </c>
      <c r="FL142">
        <v>0.1911242781723908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27.2</v>
      </c>
      <c r="FU142">
        <v>27</v>
      </c>
      <c r="FV142">
        <v>1.7602500000000001</v>
      </c>
      <c r="FW142">
        <v>2.5622600000000002</v>
      </c>
      <c r="FX142">
        <v>1.5490699999999999</v>
      </c>
      <c r="FY142">
        <v>2.33765</v>
      </c>
      <c r="FZ142">
        <v>1.50146</v>
      </c>
      <c r="GA142">
        <v>2.3034699999999999</v>
      </c>
      <c r="GB142">
        <v>30.868600000000001</v>
      </c>
      <c r="GC142">
        <v>23.991199999999999</v>
      </c>
      <c r="GD142">
        <v>19</v>
      </c>
      <c r="GE142">
        <v>287.09300000000002</v>
      </c>
      <c r="GF142">
        <v>597.37</v>
      </c>
      <c r="GG142">
        <v>25.9983</v>
      </c>
      <c r="GH142">
        <v>25.5961</v>
      </c>
      <c r="GI142">
        <v>30</v>
      </c>
      <c r="GJ142">
        <v>25.710799999999999</v>
      </c>
      <c r="GK142">
        <v>25.674800000000001</v>
      </c>
      <c r="GL142">
        <v>35.191400000000002</v>
      </c>
      <c r="GM142">
        <v>100</v>
      </c>
      <c r="GN142">
        <v>20.5213</v>
      </c>
      <c r="GO142">
        <v>25.997</v>
      </c>
      <c r="GP142">
        <v>800</v>
      </c>
      <c r="GQ142">
        <v>0</v>
      </c>
      <c r="GR142">
        <v>99.717399999999998</v>
      </c>
      <c r="GS142">
        <v>99.4315</v>
      </c>
    </row>
    <row r="143" spans="1:201" x14ac:dyDescent="0.25">
      <c r="A143">
        <v>127</v>
      </c>
      <c r="B143">
        <v>1690287900.5</v>
      </c>
      <c r="C143">
        <v>1361.900000095367</v>
      </c>
      <c r="D143" t="s">
        <v>587</v>
      </c>
      <c r="E143" t="s">
        <v>588</v>
      </c>
      <c r="F143" t="s">
        <v>330</v>
      </c>
      <c r="H143">
        <v>1690287900.5</v>
      </c>
      <c r="I143">
        <f t="shared" si="30"/>
        <v>2.8304779784451462E-3</v>
      </c>
      <c r="J143">
        <f t="shared" si="31"/>
        <v>2.8304779784451464</v>
      </c>
      <c r="K143">
        <f t="shared" si="32"/>
        <v>42.933303629353105</v>
      </c>
      <c r="L143">
        <f t="shared" si="33"/>
        <v>373.29300000000001</v>
      </c>
      <c r="M143">
        <f t="shared" si="34"/>
        <v>98.404565730385571</v>
      </c>
      <c r="N143">
        <f t="shared" si="35"/>
        <v>9.7854567753429027</v>
      </c>
      <c r="O143">
        <f t="shared" si="36"/>
        <v>37.120660905575697</v>
      </c>
      <c r="P143">
        <f t="shared" si="37"/>
        <v>0.26780316923340453</v>
      </c>
      <c r="Q143">
        <f t="shared" si="38"/>
        <v>2.295774307918879</v>
      </c>
      <c r="R143">
        <f t="shared" si="39"/>
        <v>0.25157970061615631</v>
      </c>
      <c r="S143">
        <f t="shared" si="40"/>
        <v>0.15861296067746444</v>
      </c>
      <c r="T143">
        <f t="shared" si="41"/>
        <v>276.115733514</v>
      </c>
      <c r="U143">
        <f t="shared" si="42"/>
        <v>27.837498773870287</v>
      </c>
      <c r="V143">
        <f t="shared" si="43"/>
        <v>27.837498773870287</v>
      </c>
      <c r="W143">
        <f t="shared" si="44"/>
        <v>3.7590383793590014</v>
      </c>
      <c r="X143">
        <f t="shared" si="45"/>
        <v>76.020301577959344</v>
      </c>
      <c r="Y143">
        <f t="shared" si="46"/>
        <v>2.6764468559750099</v>
      </c>
      <c r="Z143">
        <f t="shared" si="47"/>
        <v>3.5207001293336035</v>
      </c>
      <c r="AA143">
        <f t="shared" si="48"/>
        <v>1.0825915233839916</v>
      </c>
      <c r="AB143">
        <f t="shared" si="49"/>
        <v>-124.82407884943095</v>
      </c>
      <c r="AC143">
        <f t="shared" si="50"/>
        <v>-138.32495938656268</v>
      </c>
      <c r="AD143">
        <f t="shared" si="51"/>
        <v>-13.039401263771458</v>
      </c>
      <c r="AE143">
        <f t="shared" si="52"/>
        <v>-7.2705985765111336E-2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52407.572650407252</v>
      </c>
      <c r="AK143">
        <f t="shared" si="56"/>
        <v>1800</v>
      </c>
      <c r="AL143">
        <f t="shared" si="57"/>
        <v>1499.1128334</v>
      </c>
      <c r="AM143">
        <f t="shared" si="58"/>
        <v>0.83284046300000003</v>
      </c>
      <c r="AN143">
        <f t="shared" si="59"/>
        <v>0.15339762972999998</v>
      </c>
      <c r="AO143">
        <v>29.1</v>
      </c>
      <c r="AP143">
        <v>0.5</v>
      </c>
      <c r="AQ143" t="s">
        <v>331</v>
      </c>
      <c r="AR143">
        <v>2</v>
      </c>
      <c r="AS143">
        <v>1690287900.5</v>
      </c>
      <c r="AT143">
        <v>373.29300000000001</v>
      </c>
      <c r="AU143">
        <v>799.94100000000003</v>
      </c>
      <c r="AV143">
        <v>26.914899999999999</v>
      </c>
      <c r="AW143">
        <v>0.20161299999999999</v>
      </c>
      <c r="AX143">
        <v>374.23</v>
      </c>
      <c r="AY143">
        <v>26.723800000000001</v>
      </c>
      <c r="AZ143">
        <v>300.03800000000001</v>
      </c>
      <c r="BA143">
        <v>99.341099999999997</v>
      </c>
      <c r="BB143">
        <v>9.9984900000000002E-2</v>
      </c>
      <c r="BC143">
        <v>26.719899999999999</v>
      </c>
      <c r="BD143">
        <v>27.008800000000001</v>
      </c>
      <c r="BE143">
        <v>28.280899999999999</v>
      </c>
      <c r="BF143">
        <v>0</v>
      </c>
      <c r="BG143">
        <v>0</v>
      </c>
      <c r="BH143">
        <v>9966.25</v>
      </c>
      <c r="BI143">
        <v>1087.67</v>
      </c>
      <c r="BJ143">
        <v>1.2642899999999999</v>
      </c>
      <c r="BK143">
        <v>-426.64699999999999</v>
      </c>
      <c r="BL143">
        <v>383.61799999999999</v>
      </c>
      <c r="BM143">
        <v>800.10199999999998</v>
      </c>
      <c r="BN143">
        <v>26.7133</v>
      </c>
      <c r="BO143">
        <v>799.94100000000003</v>
      </c>
      <c r="BP143">
        <v>0.20161299999999999</v>
      </c>
      <c r="BQ143">
        <v>2.6737600000000001</v>
      </c>
      <c r="BR143">
        <v>2.0028399999999998E-2</v>
      </c>
      <c r="BS143">
        <v>22.124700000000001</v>
      </c>
      <c r="BT143">
        <v>-39.411900000000003</v>
      </c>
      <c r="BU143">
        <v>1800</v>
      </c>
      <c r="BV143">
        <v>0.90999699999999994</v>
      </c>
      <c r="BW143">
        <v>3.3993500000000003E-2</v>
      </c>
      <c r="BX143">
        <v>2.2003399999999999E-2</v>
      </c>
      <c r="BY143">
        <v>3.4006099999999997E-2</v>
      </c>
      <c r="BZ143">
        <v>25</v>
      </c>
      <c r="CA143">
        <v>33528.400000000001</v>
      </c>
      <c r="CB143">
        <v>1690286268.5999999</v>
      </c>
      <c r="CC143" t="s">
        <v>332</v>
      </c>
      <c r="CD143">
        <v>1690286261.0999999</v>
      </c>
      <c r="CE143">
        <v>1690286268.5999999</v>
      </c>
      <c r="CF143">
        <v>1</v>
      </c>
      <c r="CG143">
        <v>-0.89900000000000002</v>
      </c>
      <c r="CH143">
        <v>3.4000000000000002E-2</v>
      </c>
      <c r="CI143">
        <v>-1.2370000000000001</v>
      </c>
      <c r="CJ143">
        <v>8.5999999999999993E-2</v>
      </c>
      <c r="CK143">
        <v>799</v>
      </c>
      <c r="CL143">
        <v>16</v>
      </c>
      <c r="CM143">
        <v>0.28999999999999998</v>
      </c>
      <c r="CN143">
        <v>0.09</v>
      </c>
      <c r="CO143">
        <v>-425.67587804878048</v>
      </c>
      <c r="CP143">
        <v>-5.7561742160282927</v>
      </c>
      <c r="CQ143">
        <v>0.57218490935514466</v>
      </c>
      <c r="CR143">
        <v>-1</v>
      </c>
      <c r="CS143">
        <v>26.663378048780491</v>
      </c>
      <c r="CT143">
        <v>0.2866724738675957</v>
      </c>
      <c r="CU143">
        <v>2.8322261451969429E-2</v>
      </c>
      <c r="CV143">
        <v>-1</v>
      </c>
      <c r="CW143">
        <v>0</v>
      </c>
      <c r="CX143">
        <v>0</v>
      </c>
      <c r="CY143" t="s">
        <v>333</v>
      </c>
      <c r="CZ143">
        <v>2.3648500000000001</v>
      </c>
      <c r="DA143">
        <v>2.71374</v>
      </c>
      <c r="DB143">
        <v>8.5367200000000004E-2</v>
      </c>
      <c r="DC143">
        <v>0.14655899999999999</v>
      </c>
      <c r="DD143">
        <v>0.123935</v>
      </c>
      <c r="DE143">
        <v>1.7007700000000001E-3</v>
      </c>
      <c r="DF143">
        <v>33394.9</v>
      </c>
      <c r="DG143">
        <v>27477.200000000001</v>
      </c>
      <c r="DH143">
        <v>31167.8</v>
      </c>
      <c r="DI143">
        <v>28052.6</v>
      </c>
      <c r="DJ143">
        <v>37053</v>
      </c>
      <c r="DK143">
        <v>39809.199999999997</v>
      </c>
      <c r="DL143">
        <v>44349.4</v>
      </c>
      <c r="DM143">
        <v>42495</v>
      </c>
      <c r="DN143">
        <v>1.4928699999999999</v>
      </c>
      <c r="DO143">
        <v>2.0625499999999999</v>
      </c>
      <c r="DP143">
        <v>8.1188999999999997E-2</v>
      </c>
      <c r="DQ143">
        <v>0.18148900000000001</v>
      </c>
      <c r="DR143">
        <v>25.679600000000001</v>
      </c>
      <c r="DS143">
        <v>25.311800000000002</v>
      </c>
      <c r="DT143">
        <v>38.4</v>
      </c>
      <c r="DU143">
        <v>25.5</v>
      </c>
      <c r="DV143">
        <v>12.6617</v>
      </c>
      <c r="DW143">
        <v>61.851399999999998</v>
      </c>
      <c r="DX143">
        <v>37.311700000000002</v>
      </c>
      <c r="DY143">
        <v>1</v>
      </c>
      <c r="DZ143">
        <v>-0.14423800000000001</v>
      </c>
      <c r="EA143">
        <v>-0.67514200000000002</v>
      </c>
      <c r="EB143">
        <v>20.189299999999999</v>
      </c>
      <c r="EC143">
        <v>5.2421499999999996</v>
      </c>
      <c r="ED143">
        <v>12.039899999999999</v>
      </c>
      <c r="EE143">
        <v>5.0172499999999998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1.8687499999999999</v>
      </c>
      <c r="EL143">
        <v>1.8644400000000001</v>
      </c>
      <c r="EM143">
        <v>1.86907</v>
      </c>
      <c r="EN143">
        <v>1.86707</v>
      </c>
      <c r="EO143">
        <v>1.8632500000000001</v>
      </c>
      <c r="EP143">
        <v>1.8643099999999999</v>
      </c>
      <c r="EQ143">
        <v>1.87008</v>
      </c>
      <c r="ER143">
        <v>1.8692899999999999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-0.93700000000000006</v>
      </c>
      <c r="FG143">
        <v>0.19109999999999999</v>
      </c>
      <c r="FH143">
        <v>-0.68620417327404271</v>
      </c>
      <c r="FI143">
        <v>-6.1462078757559423E-4</v>
      </c>
      <c r="FJ143">
        <v>-1.8861989874597051E-7</v>
      </c>
      <c r="FK143">
        <v>1.1980462299894961E-10</v>
      </c>
      <c r="FL143">
        <v>0.1911242781723908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27.3</v>
      </c>
      <c r="FU143">
        <v>27.2</v>
      </c>
      <c r="FV143">
        <v>1.7602500000000001</v>
      </c>
      <c r="FW143">
        <v>2.5695800000000002</v>
      </c>
      <c r="FX143">
        <v>1.5490699999999999</v>
      </c>
      <c r="FY143">
        <v>2.33765</v>
      </c>
      <c r="FZ143">
        <v>1.50146</v>
      </c>
      <c r="GA143">
        <v>2.3022499999999999</v>
      </c>
      <c r="GB143">
        <v>30.868600000000001</v>
      </c>
      <c r="GC143">
        <v>23.982399999999998</v>
      </c>
      <c r="GD143">
        <v>19</v>
      </c>
      <c r="GE143">
        <v>287.13600000000002</v>
      </c>
      <c r="GF143">
        <v>597.30700000000002</v>
      </c>
      <c r="GG143">
        <v>25.987400000000001</v>
      </c>
      <c r="GH143">
        <v>25.597799999999999</v>
      </c>
      <c r="GI143">
        <v>30.0001</v>
      </c>
      <c r="GJ143">
        <v>25.710799999999999</v>
      </c>
      <c r="GK143">
        <v>25.674800000000001</v>
      </c>
      <c r="GL143">
        <v>35.195399999999999</v>
      </c>
      <c r="GM143">
        <v>100</v>
      </c>
      <c r="GN143">
        <v>19.741800000000001</v>
      </c>
      <c r="GO143">
        <v>25.992899999999999</v>
      </c>
      <c r="GP143">
        <v>800</v>
      </c>
      <c r="GQ143">
        <v>0</v>
      </c>
      <c r="GR143">
        <v>99.716700000000003</v>
      </c>
      <c r="GS143">
        <v>99.431899999999999</v>
      </c>
    </row>
    <row r="144" spans="1:201" x14ac:dyDescent="0.25">
      <c r="A144">
        <v>128</v>
      </c>
      <c r="B144">
        <v>1690287910.5</v>
      </c>
      <c r="C144">
        <v>1371.900000095367</v>
      </c>
      <c r="D144" t="s">
        <v>589</v>
      </c>
      <c r="E144" t="s">
        <v>590</v>
      </c>
      <c r="F144" t="s">
        <v>330</v>
      </c>
      <c r="H144">
        <v>1690287910.5</v>
      </c>
      <c r="I144">
        <f t="shared" si="30"/>
        <v>2.8351190184196149E-3</v>
      </c>
      <c r="J144">
        <f t="shared" si="31"/>
        <v>2.8351190184196149</v>
      </c>
      <c r="K144">
        <f t="shared" si="32"/>
        <v>43.033478449239475</v>
      </c>
      <c r="L144">
        <f t="shared" si="33"/>
        <v>372.41199999999998</v>
      </c>
      <c r="M144">
        <f t="shared" si="34"/>
        <v>97.796768981265998</v>
      </c>
      <c r="N144">
        <f t="shared" si="35"/>
        <v>9.7247356512806142</v>
      </c>
      <c r="O144">
        <f t="shared" si="36"/>
        <v>37.031982662520001</v>
      </c>
      <c r="P144">
        <f t="shared" si="37"/>
        <v>0.26869989592395094</v>
      </c>
      <c r="Q144">
        <f t="shared" si="38"/>
        <v>2.3000723772473446</v>
      </c>
      <c r="R144">
        <f t="shared" si="39"/>
        <v>0.25239967925244094</v>
      </c>
      <c r="S144">
        <f t="shared" si="40"/>
        <v>0.15913184129995153</v>
      </c>
      <c r="T144">
        <f t="shared" si="41"/>
        <v>276.11398247690857</v>
      </c>
      <c r="U144">
        <f t="shared" si="42"/>
        <v>27.846155258071779</v>
      </c>
      <c r="V144">
        <f t="shared" si="43"/>
        <v>27.846155258071779</v>
      </c>
      <c r="W144">
        <f t="shared" si="44"/>
        <v>3.7609380658226432</v>
      </c>
      <c r="X144">
        <f t="shared" si="45"/>
        <v>76.071521694925607</v>
      </c>
      <c r="Y144">
        <f t="shared" si="46"/>
        <v>2.68015807413</v>
      </c>
      <c r="Z144">
        <f t="shared" si="47"/>
        <v>3.5232081788483289</v>
      </c>
      <c r="AA144">
        <f t="shared" si="48"/>
        <v>1.0807799916926433</v>
      </c>
      <c r="AB144">
        <f t="shared" si="49"/>
        <v>-125.02874871230502</v>
      </c>
      <c r="AC144">
        <f t="shared" si="50"/>
        <v>-138.15692546450353</v>
      </c>
      <c r="AD144">
        <f t="shared" si="51"/>
        <v>-13.000572210632969</v>
      </c>
      <c r="AE144">
        <f t="shared" si="52"/>
        <v>-7.2263910532939235E-2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52567.946203335741</v>
      </c>
      <c r="AK144">
        <f t="shared" si="56"/>
        <v>1799.99</v>
      </c>
      <c r="AL144">
        <f t="shared" si="57"/>
        <v>1499.1052267913601</v>
      </c>
      <c r="AM144">
        <f t="shared" si="58"/>
        <v>0.83284086400000001</v>
      </c>
      <c r="AN144">
        <f t="shared" si="59"/>
        <v>0.15339750914</v>
      </c>
      <c r="AO144">
        <v>29.1</v>
      </c>
      <c r="AP144">
        <v>0.5</v>
      </c>
      <c r="AQ144" t="s">
        <v>331</v>
      </c>
      <c r="AR144">
        <v>2</v>
      </c>
      <c r="AS144">
        <v>1690287910.5</v>
      </c>
      <c r="AT144">
        <v>372.41199999999998</v>
      </c>
      <c r="AU144">
        <v>799.97</v>
      </c>
      <c r="AV144">
        <v>26.952999999999999</v>
      </c>
      <c r="AW144">
        <v>0.200348</v>
      </c>
      <c r="AX144">
        <v>373.34699999999998</v>
      </c>
      <c r="AY144">
        <v>26.761800000000001</v>
      </c>
      <c r="AZ144">
        <v>300.07600000000002</v>
      </c>
      <c r="BA144">
        <v>99.338300000000004</v>
      </c>
      <c r="BB144">
        <v>9.9909999999999999E-2</v>
      </c>
      <c r="BC144">
        <v>26.731999999999999</v>
      </c>
      <c r="BD144">
        <v>26.985800000000001</v>
      </c>
      <c r="BE144">
        <v>28.29</v>
      </c>
      <c r="BF144">
        <v>0</v>
      </c>
      <c r="BG144">
        <v>0</v>
      </c>
      <c r="BH144">
        <v>9998.75</v>
      </c>
      <c r="BI144">
        <v>1087.74</v>
      </c>
      <c r="BJ144">
        <v>1.1605700000000001</v>
      </c>
      <c r="BK144">
        <v>-427.55900000000003</v>
      </c>
      <c r="BL144">
        <v>382.72699999999998</v>
      </c>
      <c r="BM144">
        <v>800.13099999999997</v>
      </c>
      <c r="BN144">
        <v>26.752600000000001</v>
      </c>
      <c r="BO144">
        <v>799.97</v>
      </c>
      <c r="BP144">
        <v>0.200348</v>
      </c>
      <c r="BQ144">
        <v>2.67746</v>
      </c>
      <c r="BR144">
        <v>1.9902300000000001E-2</v>
      </c>
      <c r="BS144">
        <v>22.147400000000001</v>
      </c>
      <c r="BT144">
        <v>-39.472700000000003</v>
      </c>
      <c r="BU144">
        <v>1799.99</v>
      </c>
      <c r="BV144">
        <v>0.91000199999999998</v>
      </c>
      <c r="BW144">
        <v>3.3991599999999997E-2</v>
      </c>
      <c r="BX144">
        <v>2.20022E-2</v>
      </c>
      <c r="BY144">
        <v>3.4004199999999998E-2</v>
      </c>
      <c r="BZ144">
        <v>25</v>
      </c>
      <c r="CA144">
        <v>33528.300000000003</v>
      </c>
      <c r="CB144">
        <v>1690286268.5999999</v>
      </c>
      <c r="CC144" t="s">
        <v>332</v>
      </c>
      <c r="CD144">
        <v>1690286261.0999999</v>
      </c>
      <c r="CE144">
        <v>1690286268.5999999</v>
      </c>
      <c r="CF144">
        <v>1</v>
      </c>
      <c r="CG144">
        <v>-0.89900000000000002</v>
      </c>
      <c r="CH144">
        <v>3.4000000000000002E-2</v>
      </c>
      <c r="CI144">
        <v>-1.2370000000000001</v>
      </c>
      <c r="CJ144">
        <v>8.5999999999999993E-2</v>
      </c>
      <c r="CK144">
        <v>799</v>
      </c>
      <c r="CL144">
        <v>16</v>
      </c>
      <c r="CM144">
        <v>0.28999999999999998</v>
      </c>
      <c r="CN144">
        <v>0.09</v>
      </c>
      <c r="CO144">
        <v>-426.59821951219521</v>
      </c>
      <c r="CP144">
        <v>-5.9310731707322963</v>
      </c>
      <c r="CQ144">
        <v>0.58800483290676531</v>
      </c>
      <c r="CR144">
        <v>-1</v>
      </c>
      <c r="CS144">
        <v>26.707821951219511</v>
      </c>
      <c r="CT144">
        <v>0.24655400696868049</v>
      </c>
      <c r="CU144">
        <v>2.4336377590790399E-2</v>
      </c>
      <c r="CV144">
        <v>-1</v>
      </c>
      <c r="CW144">
        <v>0</v>
      </c>
      <c r="CX144">
        <v>0</v>
      </c>
      <c r="CY144" t="s">
        <v>333</v>
      </c>
      <c r="CZ144">
        <v>2.3650000000000002</v>
      </c>
      <c r="DA144">
        <v>2.7136999999999998</v>
      </c>
      <c r="DB144">
        <v>8.5208800000000001E-2</v>
      </c>
      <c r="DC144">
        <v>0.14655799999999999</v>
      </c>
      <c r="DD144">
        <v>0.124054</v>
      </c>
      <c r="DE144">
        <v>1.6901799999999999E-3</v>
      </c>
      <c r="DF144">
        <v>33400.699999999997</v>
      </c>
      <c r="DG144">
        <v>27477.200000000001</v>
      </c>
      <c r="DH144">
        <v>31167.8</v>
      </c>
      <c r="DI144">
        <v>28052.6</v>
      </c>
      <c r="DJ144">
        <v>37048</v>
      </c>
      <c r="DK144">
        <v>39809.9</v>
      </c>
      <c r="DL144">
        <v>44349.5</v>
      </c>
      <c r="DM144">
        <v>42495.199999999997</v>
      </c>
      <c r="DN144">
        <v>1.49308</v>
      </c>
      <c r="DO144">
        <v>2.0623</v>
      </c>
      <c r="DP144">
        <v>7.9616900000000004E-2</v>
      </c>
      <c r="DQ144">
        <v>0.18191299999999999</v>
      </c>
      <c r="DR144">
        <v>25.682300000000001</v>
      </c>
      <c r="DS144">
        <v>25.314</v>
      </c>
      <c r="DT144">
        <v>38</v>
      </c>
      <c r="DU144">
        <v>25.5</v>
      </c>
      <c r="DV144">
        <v>12.5305</v>
      </c>
      <c r="DW144">
        <v>62.141399999999997</v>
      </c>
      <c r="DX144">
        <v>37.335700000000003</v>
      </c>
      <c r="DY144">
        <v>1</v>
      </c>
      <c r="DZ144">
        <v>-0.14433399999999999</v>
      </c>
      <c r="EA144">
        <v>-0.70581199999999999</v>
      </c>
      <c r="EB144">
        <v>20.188700000000001</v>
      </c>
      <c r="EC144">
        <v>5.2428999999999997</v>
      </c>
      <c r="ED144">
        <v>12.039899999999999</v>
      </c>
      <c r="EE144">
        <v>5.0171999999999999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1.8687499999999999</v>
      </c>
      <c r="EL144">
        <v>1.8644700000000001</v>
      </c>
      <c r="EM144">
        <v>1.8690800000000001</v>
      </c>
      <c r="EN144">
        <v>1.86707</v>
      </c>
      <c r="EO144">
        <v>1.8632500000000001</v>
      </c>
      <c r="EP144">
        <v>1.8643099999999999</v>
      </c>
      <c r="EQ144">
        <v>1.8701000000000001</v>
      </c>
      <c r="ER144">
        <v>1.8692800000000001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-0.93500000000000005</v>
      </c>
      <c r="FG144">
        <v>0.19120000000000001</v>
      </c>
      <c r="FH144">
        <v>-0.68620417327404271</v>
      </c>
      <c r="FI144">
        <v>-6.1462078757559423E-4</v>
      </c>
      <c r="FJ144">
        <v>-1.8861989874597051E-7</v>
      </c>
      <c r="FK144">
        <v>1.1980462299894961E-10</v>
      </c>
      <c r="FL144">
        <v>0.1911242781723908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27.5</v>
      </c>
      <c r="FU144">
        <v>27.4</v>
      </c>
      <c r="FV144">
        <v>1.7602500000000001</v>
      </c>
      <c r="FW144">
        <v>2.5695800000000002</v>
      </c>
      <c r="FX144">
        <v>1.5490699999999999</v>
      </c>
      <c r="FY144">
        <v>2.33765</v>
      </c>
      <c r="FZ144">
        <v>1.50146</v>
      </c>
      <c r="GA144">
        <v>2.2949199999999998</v>
      </c>
      <c r="GB144">
        <v>30.8902</v>
      </c>
      <c r="GC144">
        <v>23.973700000000001</v>
      </c>
      <c r="GD144">
        <v>19</v>
      </c>
      <c r="GE144">
        <v>287.22199999999998</v>
      </c>
      <c r="GF144">
        <v>597.11</v>
      </c>
      <c r="GG144">
        <v>25.990600000000001</v>
      </c>
      <c r="GH144">
        <v>25.597799999999999</v>
      </c>
      <c r="GI144">
        <v>30</v>
      </c>
      <c r="GJ144">
        <v>25.710799999999999</v>
      </c>
      <c r="GK144">
        <v>25.675899999999999</v>
      </c>
      <c r="GL144">
        <v>35.196599999999997</v>
      </c>
      <c r="GM144">
        <v>100</v>
      </c>
      <c r="GN144">
        <v>18.938700000000001</v>
      </c>
      <c r="GO144">
        <v>25.9907</v>
      </c>
      <c r="GP144">
        <v>800</v>
      </c>
      <c r="GQ144">
        <v>0</v>
      </c>
      <c r="GR144">
        <v>99.716800000000006</v>
      </c>
      <c r="GS144">
        <v>99.432299999999998</v>
      </c>
    </row>
    <row r="145" spans="1:201" x14ac:dyDescent="0.25">
      <c r="A145">
        <v>129</v>
      </c>
      <c r="B145">
        <v>1690287920.5</v>
      </c>
      <c r="C145">
        <v>1381.900000095367</v>
      </c>
      <c r="D145" t="s">
        <v>591</v>
      </c>
      <c r="E145" t="s">
        <v>592</v>
      </c>
      <c r="F145" t="s">
        <v>330</v>
      </c>
      <c r="H145">
        <v>1690287920.5</v>
      </c>
      <c r="I145">
        <f t="shared" ref="I145:I208" si="60">(J145)/1000</f>
        <v>2.8395111868632825E-3</v>
      </c>
      <c r="J145">
        <f t="shared" ref="J145:J208" si="61">1000*AZ145*AH145*(AV145-AW145)/(100*AO145*(1000-AH145*AV145))</f>
        <v>2.8395111868632825</v>
      </c>
      <c r="K145">
        <f t="shared" ref="K145:K208" si="62">AZ145*AH145*(AU145-AT145*(1000-AH145*AW145)/(1000-AH145*AV145))/(100*AO145)</f>
        <v>43.12396533514346</v>
      </c>
      <c r="L145">
        <f t="shared" ref="L145:L208" si="63">AT145 - IF(AH145&gt;1, K145*AO145*100/(AJ145*BH145), 0)</f>
        <v>371.52199999999999</v>
      </c>
      <c r="M145">
        <f t="shared" ref="M145:M208" si="64">((S145-I145/2)*L145-K145)/(S145+I145/2)</f>
        <v>98.130831849747125</v>
      </c>
      <c r="N145">
        <f t="shared" ref="N145:N208" si="65">M145*(BA145+BB145)/1000</f>
        <v>9.7583016088422596</v>
      </c>
      <c r="O145">
        <f t="shared" ref="O145:O208" si="66">(AT145 - IF(AH145&gt;1, K145*AO145*100/(AJ145*BH145), 0))*(BA145+BB145)/1000</f>
        <v>36.944797694891207</v>
      </c>
      <c r="P145">
        <f t="shared" ref="P145:P208" si="67">2/((1/R145-1/Q145)+SIGN(R145)*SQRT((1/R145-1/Q145)*(1/R145-1/Q145) + 4*AP145/((AP145+1)*(AP145+1))*(2*1/R145*1/Q145-1/Q145*1/Q145)))</f>
        <v>0.27056030302984097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2.3002032431628257</v>
      </c>
      <c r="R145">
        <f t="shared" ref="R145:R208" si="69">I145*(1000-(1000*0.61365*EXP(17.502*V145/(240.97+V145))/(BA145+BB145)+AV145)/2)/(1000*0.61365*EXP(17.502*V145/(240.97+V145))/(BA145+BB145)-AV145)</f>
        <v>0.25404191126044146</v>
      </c>
      <c r="S145">
        <f t="shared" ref="S145:S208" si="70">1/((AP145+1)/(P145/1.6)+1/(Q145/1.37)) + AP145/((AP145+1)/(P145/1.6) + AP145/(Q145/1.37))</f>
        <v>0.16017619686260753</v>
      </c>
      <c r="T145">
        <f t="shared" ref="T145:T208" si="71">(AK145*AN145)</f>
        <v>276.11552422799997</v>
      </c>
      <c r="U145">
        <f t="shared" ref="U145:U208" si="72">(BC145+(T145+2*0.95*0.0000000567*(((BC145+$B$7)+273)^4-(BC145+273)^4)-44100*I145)/(1.84*29.3*Q145+8*0.95*0.0000000567*(BC145+273)^3))</f>
        <v>27.839984843996149</v>
      </c>
      <c r="V145">
        <f t="shared" ref="V145:V208" si="73">($C$7*BD145+$D$7*BE145+$E$7*U145)</f>
        <v>27.839984843996149</v>
      </c>
      <c r="W145">
        <f t="shared" ref="W145:W208" si="74">0.61365*EXP(17.502*V145/(240.97+V145))</f>
        <v>3.7595838677655267</v>
      </c>
      <c r="X145">
        <f t="shared" ref="X145:X208" si="75">(Y145/Z145*100)</f>
        <v>76.204534699768161</v>
      </c>
      <c r="Y145">
        <f t="shared" ref="Y145:Y208" si="76">AV145*(BA145+BB145)/1000</f>
        <v>2.6841018726783203</v>
      </c>
      <c r="Z145">
        <f t="shared" ref="Z145:Z208" si="77">0.61365*EXP(17.502*BC145/(240.97+BC145))</f>
        <v>3.5222337925862122</v>
      </c>
      <c r="AA145">
        <f t="shared" ref="AA145:AA208" si="78">(W145-AV145*(BA145+BB145)/1000)</f>
        <v>1.0754819950872063</v>
      </c>
      <c r="AB145">
        <f t="shared" ref="AB145:AB208" si="79">(-I145*44100)</f>
        <v>-125.22244334067076</v>
      </c>
      <c r="AC145">
        <f t="shared" ref="AC145:AC208" si="80">2*29.3*Q145*0.92*(BC145-V145)</f>
        <v>-137.98244217277906</v>
      </c>
      <c r="AD145">
        <f t="shared" ref="AD145:AD208" si="81">2*0.95*0.0000000567*(((BC145+$B$7)+273)^4-(V145+273)^4)</f>
        <v>-12.982709516295952</v>
      </c>
      <c r="AE145">
        <f t="shared" ref="AE145:AE208" si="82">T145+AD145+AB145+AC145</f>
        <v>-7.2070801745780955E-2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52573.799728325379</v>
      </c>
      <c r="AK145">
        <f t="shared" ref="AK145:AK208" si="86">$B$11*BI145+$C$11*BJ145+$D$11*BU145</f>
        <v>1800</v>
      </c>
      <c r="AL145">
        <f t="shared" ref="AL145:AL208" si="87">AK145*AM145</f>
        <v>1499.1132798000001</v>
      </c>
      <c r="AM145">
        <f t="shared" ref="AM145:AM208" si="88">($B$11*$D$9+$C$11*$D$9+$D$11*(BV145*$E$9+BW145*$F$9+BX145*$G$9+BY145*$H$9))/($B$11+$C$11+$D$11)</f>
        <v>0.83284071100000001</v>
      </c>
      <c r="AN145">
        <f t="shared" ref="AN145:AN208" si="89">($B$11*$K$9+$C$11*$K$9+$D$11*(BV145*$L$9+BW145*$M$9+BX145*$N$9+BY145*$O$9))/($B$11+$C$11+$D$11)</f>
        <v>0.15339751346</v>
      </c>
      <c r="AO145">
        <v>29.1</v>
      </c>
      <c r="AP145">
        <v>0.5</v>
      </c>
      <c r="AQ145" t="s">
        <v>331</v>
      </c>
      <c r="AR145">
        <v>2</v>
      </c>
      <c r="AS145">
        <v>1690287920.5</v>
      </c>
      <c r="AT145">
        <v>371.52199999999999</v>
      </c>
      <c r="AU145">
        <v>799.94600000000003</v>
      </c>
      <c r="AV145">
        <v>26.991700000000002</v>
      </c>
      <c r="AW145">
        <v>0.198847</v>
      </c>
      <c r="AX145">
        <v>372.45699999999999</v>
      </c>
      <c r="AY145">
        <v>26.800599999999999</v>
      </c>
      <c r="AZ145">
        <v>300.07799999999997</v>
      </c>
      <c r="BA145">
        <v>99.341800000000006</v>
      </c>
      <c r="BB145">
        <v>9.99496E-2</v>
      </c>
      <c r="BC145">
        <v>26.7273</v>
      </c>
      <c r="BD145">
        <v>27.020700000000001</v>
      </c>
      <c r="BE145">
        <v>28.285299999999999</v>
      </c>
      <c r="BF145">
        <v>0</v>
      </c>
      <c r="BG145">
        <v>0</v>
      </c>
      <c r="BH145">
        <v>9999.3799999999992</v>
      </c>
      <c r="BI145">
        <v>1087.5999999999999</v>
      </c>
      <c r="BJ145">
        <v>1.3455900000000001</v>
      </c>
      <c r="BK145">
        <v>-428.42399999999998</v>
      </c>
      <c r="BL145">
        <v>381.82799999999997</v>
      </c>
      <c r="BM145">
        <v>800.10500000000002</v>
      </c>
      <c r="BN145">
        <v>26.7928</v>
      </c>
      <c r="BO145">
        <v>799.94600000000003</v>
      </c>
      <c r="BP145">
        <v>0.198847</v>
      </c>
      <c r="BQ145">
        <v>2.6814</v>
      </c>
      <c r="BR145">
        <v>1.9753900000000001E-2</v>
      </c>
      <c r="BS145">
        <v>22.171600000000002</v>
      </c>
      <c r="BT145">
        <v>-39.544800000000002</v>
      </c>
      <c r="BU145">
        <v>1800</v>
      </c>
      <c r="BV145">
        <v>0.91000099999999995</v>
      </c>
      <c r="BW145">
        <v>3.3995200000000003E-2</v>
      </c>
      <c r="BX145">
        <v>2.2001300000000001E-2</v>
      </c>
      <c r="BY145">
        <v>3.40028E-2</v>
      </c>
      <c r="BZ145">
        <v>25</v>
      </c>
      <c r="CA145">
        <v>33528.300000000003</v>
      </c>
      <c r="CB145">
        <v>1690286268.5999999</v>
      </c>
      <c r="CC145" t="s">
        <v>332</v>
      </c>
      <c r="CD145">
        <v>1690286261.0999999</v>
      </c>
      <c r="CE145">
        <v>1690286268.5999999</v>
      </c>
      <c r="CF145">
        <v>1</v>
      </c>
      <c r="CG145">
        <v>-0.89900000000000002</v>
      </c>
      <c r="CH145">
        <v>3.4000000000000002E-2</v>
      </c>
      <c r="CI145">
        <v>-1.2370000000000001</v>
      </c>
      <c r="CJ145">
        <v>8.5999999999999993E-2</v>
      </c>
      <c r="CK145">
        <v>799</v>
      </c>
      <c r="CL145">
        <v>16</v>
      </c>
      <c r="CM145">
        <v>0.28999999999999998</v>
      </c>
      <c r="CN145">
        <v>0.09</v>
      </c>
      <c r="CO145">
        <v>-427.56542499999989</v>
      </c>
      <c r="CP145">
        <v>-5.3173621013126144</v>
      </c>
      <c r="CQ145">
        <v>0.51603114671015538</v>
      </c>
      <c r="CR145">
        <v>-1</v>
      </c>
      <c r="CS145">
        <v>26.751290000000001</v>
      </c>
      <c r="CT145">
        <v>0.24268818011250309</v>
      </c>
      <c r="CU145">
        <v>2.3358615113058399E-2</v>
      </c>
      <c r="CV145">
        <v>-1</v>
      </c>
      <c r="CW145">
        <v>0</v>
      </c>
      <c r="CX145">
        <v>0</v>
      </c>
      <c r="CY145" t="s">
        <v>333</v>
      </c>
      <c r="CZ145">
        <v>2.3650000000000002</v>
      </c>
      <c r="DA145">
        <v>2.71374</v>
      </c>
      <c r="DB145">
        <v>8.5054199999999996E-2</v>
      </c>
      <c r="DC145">
        <v>0.14656</v>
      </c>
      <c r="DD145">
        <v>0.124182</v>
      </c>
      <c r="DE145">
        <v>1.6777300000000001E-3</v>
      </c>
      <c r="DF145">
        <v>33406.400000000001</v>
      </c>
      <c r="DG145">
        <v>27477.5</v>
      </c>
      <c r="DH145">
        <v>31167.9</v>
      </c>
      <c r="DI145">
        <v>28053</v>
      </c>
      <c r="DJ145">
        <v>37042.5</v>
      </c>
      <c r="DK145">
        <v>39811</v>
      </c>
      <c r="DL145">
        <v>44349.5</v>
      </c>
      <c r="DM145">
        <v>42495.9</v>
      </c>
      <c r="DN145">
        <v>1.49318</v>
      </c>
      <c r="DO145">
        <v>2.0623999999999998</v>
      </c>
      <c r="DP145">
        <v>8.15168E-2</v>
      </c>
      <c r="DQ145">
        <v>0.18154799999999999</v>
      </c>
      <c r="DR145">
        <v>25.686199999999999</v>
      </c>
      <c r="DS145">
        <v>25.315300000000001</v>
      </c>
      <c r="DT145">
        <v>37.700000000000003</v>
      </c>
      <c r="DU145">
        <v>25.5</v>
      </c>
      <c r="DV145">
        <v>12.430099999999999</v>
      </c>
      <c r="DW145">
        <v>61.861400000000003</v>
      </c>
      <c r="DX145">
        <v>36.8309</v>
      </c>
      <c r="DY145">
        <v>1</v>
      </c>
      <c r="DZ145">
        <v>-0.14419999999999999</v>
      </c>
      <c r="EA145">
        <v>-0.71586899999999998</v>
      </c>
      <c r="EB145">
        <v>20.188500000000001</v>
      </c>
      <c r="EC145">
        <v>5.2426000000000004</v>
      </c>
      <c r="ED145">
        <v>12.039899999999999</v>
      </c>
      <c r="EE145">
        <v>5.01715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1.8687400000000001</v>
      </c>
      <c r="EL145">
        <v>1.8644400000000001</v>
      </c>
      <c r="EM145">
        <v>1.86907</v>
      </c>
      <c r="EN145">
        <v>1.86707</v>
      </c>
      <c r="EO145">
        <v>1.8632500000000001</v>
      </c>
      <c r="EP145">
        <v>1.86432</v>
      </c>
      <c r="EQ145">
        <v>1.87008</v>
      </c>
      <c r="ER145">
        <v>1.86927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-0.93500000000000005</v>
      </c>
      <c r="FG145">
        <v>0.19109999999999999</v>
      </c>
      <c r="FH145">
        <v>-0.68620417327404271</v>
      </c>
      <c r="FI145">
        <v>-6.1462078757559423E-4</v>
      </c>
      <c r="FJ145">
        <v>-1.8861989874597051E-7</v>
      </c>
      <c r="FK145">
        <v>1.1980462299894961E-10</v>
      </c>
      <c r="FL145">
        <v>0.1911242781723908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27.7</v>
      </c>
      <c r="FU145">
        <v>27.5</v>
      </c>
      <c r="FV145">
        <v>1.7602500000000001</v>
      </c>
      <c r="FW145">
        <v>2.5659200000000002</v>
      </c>
      <c r="FX145">
        <v>1.5490699999999999</v>
      </c>
      <c r="FY145">
        <v>2.33765</v>
      </c>
      <c r="FZ145">
        <v>1.50146</v>
      </c>
      <c r="GA145">
        <v>2.34131</v>
      </c>
      <c r="GB145">
        <v>30.8902</v>
      </c>
      <c r="GC145">
        <v>23.982399999999998</v>
      </c>
      <c r="GD145">
        <v>19</v>
      </c>
      <c r="GE145">
        <v>287.26499999999999</v>
      </c>
      <c r="GF145">
        <v>597.20699999999999</v>
      </c>
      <c r="GG145">
        <v>25.992999999999999</v>
      </c>
      <c r="GH145">
        <v>25.597799999999999</v>
      </c>
      <c r="GI145">
        <v>30.0001</v>
      </c>
      <c r="GJ145">
        <v>25.710799999999999</v>
      </c>
      <c r="GK145">
        <v>25.6769</v>
      </c>
      <c r="GL145">
        <v>35.195300000000003</v>
      </c>
      <c r="GM145">
        <v>100</v>
      </c>
      <c r="GN145">
        <v>18.147400000000001</v>
      </c>
      <c r="GO145">
        <v>25.991700000000002</v>
      </c>
      <c r="GP145">
        <v>800</v>
      </c>
      <c r="GQ145">
        <v>0</v>
      </c>
      <c r="GR145">
        <v>99.716999999999999</v>
      </c>
      <c r="GS145">
        <v>99.433800000000005</v>
      </c>
    </row>
    <row r="146" spans="1:201" x14ac:dyDescent="0.25">
      <c r="A146">
        <v>130</v>
      </c>
      <c r="B146">
        <v>1690287930.5</v>
      </c>
      <c r="C146">
        <v>1391.900000095367</v>
      </c>
      <c r="D146" t="s">
        <v>593</v>
      </c>
      <c r="E146" t="s">
        <v>594</v>
      </c>
      <c r="F146" t="s">
        <v>330</v>
      </c>
      <c r="H146">
        <v>1690287930.5</v>
      </c>
      <c r="I146">
        <f t="shared" si="60"/>
        <v>2.8441524833139995E-3</v>
      </c>
      <c r="J146">
        <f t="shared" si="61"/>
        <v>2.8441524833139993</v>
      </c>
      <c r="K146">
        <f t="shared" si="62"/>
        <v>43.211410144650429</v>
      </c>
      <c r="L146">
        <f t="shared" si="63"/>
        <v>370.72</v>
      </c>
      <c r="M146">
        <f t="shared" si="64"/>
        <v>98.116419337662037</v>
      </c>
      <c r="N146">
        <f t="shared" si="65"/>
        <v>9.7569544220892208</v>
      </c>
      <c r="O146">
        <f t="shared" si="66"/>
        <v>36.865370421935999</v>
      </c>
      <c r="P146">
        <f t="shared" si="67"/>
        <v>0.27193026716010171</v>
      </c>
      <c r="Q146">
        <f t="shared" si="68"/>
        <v>2.304289533923217</v>
      </c>
      <c r="R146">
        <f t="shared" si="69"/>
        <v>0.2552773417710405</v>
      </c>
      <c r="S146">
        <f t="shared" si="70"/>
        <v>0.16095948252478737</v>
      </c>
      <c r="T146">
        <f t="shared" si="71"/>
        <v>276.11406677044027</v>
      </c>
      <c r="U146">
        <f t="shared" si="72"/>
        <v>27.842357221524381</v>
      </c>
      <c r="V146">
        <f t="shared" si="73"/>
        <v>27.842357221524381</v>
      </c>
      <c r="W146">
        <f t="shared" si="74"/>
        <v>3.7601044743758605</v>
      </c>
      <c r="X146">
        <f t="shared" si="75"/>
        <v>76.29225896540089</v>
      </c>
      <c r="Y146">
        <f t="shared" si="76"/>
        <v>2.6880932970910805</v>
      </c>
      <c r="Z146">
        <f t="shared" si="77"/>
        <v>3.5234155254337804</v>
      </c>
      <c r="AA146">
        <f t="shared" si="78"/>
        <v>1.07201117728478</v>
      </c>
      <c r="AB146">
        <f t="shared" si="79"/>
        <v>-125.42712451414738</v>
      </c>
      <c r="AC146">
        <f t="shared" si="80"/>
        <v>-137.81418002612676</v>
      </c>
      <c r="AD146">
        <f t="shared" si="81"/>
        <v>-12.944404794646056</v>
      </c>
      <c r="AE146">
        <f t="shared" si="82"/>
        <v>-7.1642564479930115E-2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52727.618931369514</v>
      </c>
      <c r="AK146">
        <f t="shared" si="86"/>
        <v>1799.99</v>
      </c>
      <c r="AL146">
        <f t="shared" si="87"/>
        <v>1499.1020192091798</v>
      </c>
      <c r="AM146">
        <f t="shared" si="88"/>
        <v>0.8328390819999999</v>
      </c>
      <c r="AN146">
        <f t="shared" si="89"/>
        <v>0.15339755596999999</v>
      </c>
      <c r="AO146">
        <v>29.1</v>
      </c>
      <c r="AP146">
        <v>0.5</v>
      </c>
      <c r="AQ146" t="s">
        <v>331</v>
      </c>
      <c r="AR146">
        <v>2</v>
      </c>
      <c r="AS146">
        <v>1690287930.5</v>
      </c>
      <c r="AT146">
        <v>370.72</v>
      </c>
      <c r="AU146">
        <v>799.96799999999996</v>
      </c>
      <c r="AV146">
        <v>27.031600000000001</v>
      </c>
      <c r="AW146">
        <v>0.197216</v>
      </c>
      <c r="AX146">
        <v>371.654</v>
      </c>
      <c r="AY146">
        <v>26.840499999999999</v>
      </c>
      <c r="AZ146">
        <v>300.09100000000001</v>
      </c>
      <c r="BA146">
        <v>99.342699999999994</v>
      </c>
      <c r="BB146">
        <v>9.9926299999999996E-2</v>
      </c>
      <c r="BC146">
        <v>26.733000000000001</v>
      </c>
      <c r="BD146">
        <v>27.006599999999999</v>
      </c>
      <c r="BE146">
        <v>28.282599999999999</v>
      </c>
      <c r="BF146">
        <v>0</v>
      </c>
      <c r="BG146">
        <v>0</v>
      </c>
      <c r="BH146">
        <v>10030</v>
      </c>
      <c r="BI146">
        <v>1087.49</v>
      </c>
      <c r="BJ146">
        <v>1.28952</v>
      </c>
      <c r="BK146">
        <v>-429.24799999999999</v>
      </c>
      <c r="BL146">
        <v>381.01900000000001</v>
      </c>
      <c r="BM146">
        <v>800.125</v>
      </c>
      <c r="BN146">
        <v>26.834399999999999</v>
      </c>
      <c r="BO146">
        <v>799.96799999999996</v>
      </c>
      <c r="BP146">
        <v>0.197216</v>
      </c>
      <c r="BQ146">
        <v>2.6853899999999999</v>
      </c>
      <c r="BR146">
        <v>1.9591999999999998E-2</v>
      </c>
      <c r="BS146">
        <v>22.196000000000002</v>
      </c>
      <c r="BT146">
        <v>-39.623899999999999</v>
      </c>
      <c r="BU146">
        <v>1799.99</v>
      </c>
      <c r="BV146">
        <v>0.90999099999999999</v>
      </c>
      <c r="BW146">
        <v>3.4008400000000001E-2</v>
      </c>
      <c r="BX146">
        <v>2.2000100000000002E-2</v>
      </c>
      <c r="BY146">
        <v>3.4000900000000001E-2</v>
      </c>
      <c r="BZ146">
        <v>25</v>
      </c>
      <c r="CA146">
        <v>33528.1</v>
      </c>
      <c r="CB146">
        <v>1690286268.5999999</v>
      </c>
      <c r="CC146" t="s">
        <v>332</v>
      </c>
      <c r="CD146">
        <v>1690286261.0999999</v>
      </c>
      <c r="CE146">
        <v>1690286268.5999999</v>
      </c>
      <c r="CF146">
        <v>1</v>
      </c>
      <c r="CG146">
        <v>-0.89900000000000002</v>
      </c>
      <c r="CH146">
        <v>3.4000000000000002E-2</v>
      </c>
      <c r="CI146">
        <v>-1.2370000000000001</v>
      </c>
      <c r="CJ146">
        <v>8.5999999999999993E-2</v>
      </c>
      <c r="CK146">
        <v>799</v>
      </c>
      <c r="CL146">
        <v>16</v>
      </c>
      <c r="CM146">
        <v>0.28999999999999998</v>
      </c>
      <c r="CN146">
        <v>0.09</v>
      </c>
      <c r="CO146">
        <v>-428.306825</v>
      </c>
      <c r="CP146">
        <v>-4.777699812382096</v>
      </c>
      <c r="CQ146">
        <v>0.46120157672648632</v>
      </c>
      <c r="CR146">
        <v>-1</v>
      </c>
      <c r="CS146">
        <v>26.7881225</v>
      </c>
      <c r="CT146">
        <v>0.2480206378986459</v>
      </c>
      <c r="CU146">
        <v>2.3867147792520069E-2</v>
      </c>
      <c r="CV146">
        <v>-1</v>
      </c>
      <c r="CW146">
        <v>0</v>
      </c>
      <c r="CX146">
        <v>0</v>
      </c>
      <c r="CY146" t="s">
        <v>333</v>
      </c>
      <c r="CZ146">
        <v>2.36504</v>
      </c>
      <c r="DA146">
        <v>2.71374</v>
      </c>
      <c r="DB146">
        <v>8.4912299999999996E-2</v>
      </c>
      <c r="DC146">
        <v>0.146564</v>
      </c>
      <c r="DD146">
        <v>0.124311</v>
      </c>
      <c r="DE146">
        <v>1.6641399999999999E-3</v>
      </c>
      <c r="DF146">
        <v>33411.800000000003</v>
      </c>
      <c r="DG146">
        <v>27477.5</v>
      </c>
      <c r="DH146">
        <v>31168.1</v>
      </c>
      <c r="DI146">
        <v>28053.1</v>
      </c>
      <c r="DJ146">
        <v>37037.1</v>
      </c>
      <c r="DK146">
        <v>39811.599999999999</v>
      </c>
      <c r="DL146">
        <v>44349.7</v>
      </c>
      <c r="DM146">
        <v>42496</v>
      </c>
      <c r="DN146">
        <v>1.4928300000000001</v>
      </c>
      <c r="DO146">
        <v>2.0624500000000001</v>
      </c>
      <c r="DP146">
        <v>8.0294900000000002E-2</v>
      </c>
      <c r="DQ146">
        <v>0.181094</v>
      </c>
      <c r="DR146">
        <v>25.6921</v>
      </c>
      <c r="DS146">
        <v>25.3201</v>
      </c>
      <c r="DT146">
        <v>37.299999999999997</v>
      </c>
      <c r="DU146">
        <v>25.5</v>
      </c>
      <c r="DV146">
        <v>12.2995</v>
      </c>
      <c r="DW146">
        <v>61.401400000000002</v>
      </c>
      <c r="DX146">
        <v>36.478400000000001</v>
      </c>
      <c r="DY146">
        <v>1</v>
      </c>
      <c r="DZ146">
        <v>-0.144256</v>
      </c>
      <c r="EA146">
        <v>-0.65543600000000002</v>
      </c>
      <c r="EB146">
        <v>20.189299999999999</v>
      </c>
      <c r="EC146">
        <v>5.2431999999999999</v>
      </c>
      <c r="ED146">
        <v>12.039899999999999</v>
      </c>
      <c r="EE146">
        <v>5.0172999999999996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1.8687400000000001</v>
      </c>
      <c r="EL146">
        <v>1.86446</v>
      </c>
      <c r="EM146">
        <v>1.86907</v>
      </c>
      <c r="EN146">
        <v>1.86707</v>
      </c>
      <c r="EO146">
        <v>1.8632500000000001</v>
      </c>
      <c r="EP146">
        <v>1.8643099999999999</v>
      </c>
      <c r="EQ146">
        <v>1.8701000000000001</v>
      </c>
      <c r="ER146">
        <v>1.86927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-0.93400000000000005</v>
      </c>
      <c r="FG146">
        <v>0.19109999999999999</v>
      </c>
      <c r="FH146">
        <v>-0.68620417327404271</v>
      </c>
      <c r="FI146">
        <v>-6.1462078757559423E-4</v>
      </c>
      <c r="FJ146">
        <v>-1.8861989874597051E-7</v>
      </c>
      <c r="FK146">
        <v>1.1980462299894961E-10</v>
      </c>
      <c r="FL146">
        <v>0.1911242781723908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27.8</v>
      </c>
      <c r="FU146">
        <v>27.7</v>
      </c>
      <c r="FV146">
        <v>1.7602500000000001</v>
      </c>
      <c r="FW146">
        <v>2.5683600000000002</v>
      </c>
      <c r="FX146">
        <v>1.5490699999999999</v>
      </c>
      <c r="FY146">
        <v>2.33765</v>
      </c>
      <c r="FZ146">
        <v>1.50146</v>
      </c>
      <c r="GA146">
        <v>2.34253</v>
      </c>
      <c r="GB146">
        <v>30.8902</v>
      </c>
      <c r="GC146">
        <v>23.982399999999998</v>
      </c>
      <c r="GD146">
        <v>19</v>
      </c>
      <c r="GE146">
        <v>287.12299999999999</v>
      </c>
      <c r="GF146">
        <v>597.24800000000005</v>
      </c>
      <c r="GG146">
        <v>25.9818</v>
      </c>
      <c r="GH146">
        <v>25.597799999999999</v>
      </c>
      <c r="GI146">
        <v>30</v>
      </c>
      <c r="GJ146">
        <v>25.712599999999998</v>
      </c>
      <c r="GK146">
        <v>25.6769</v>
      </c>
      <c r="GL146">
        <v>35.198500000000003</v>
      </c>
      <c r="GM146">
        <v>100</v>
      </c>
      <c r="GN146">
        <v>17.3672</v>
      </c>
      <c r="GO146">
        <v>25.962800000000001</v>
      </c>
      <c r="GP146">
        <v>800</v>
      </c>
      <c r="GQ146">
        <v>0</v>
      </c>
      <c r="GR146">
        <v>99.717299999999994</v>
      </c>
      <c r="GS146">
        <v>99.433999999999997</v>
      </c>
    </row>
    <row r="147" spans="1:201" x14ac:dyDescent="0.25">
      <c r="A147">
        <v>131</v>
      </c>
      <c r="B147">
        <v>1690287940.5</v>
      </c>
      <c r="C147">
        <v>1401.900000095367</v>
      </c>
      <c r="D147" t="s">
        <v>595</v>
      </c>
      <c r="E147" t="s">
        <v>596</v>
      </c>
      <c r="F147" t="s">
        <v>330</v>
      </c>
      <c r="H147">
        <v>1690287940.5</v>
      </c>
      <c r="I147">
        <f t="shared" si="60"/>
        <v>2.8496378275954066E-3</v>
      </c>
      <c r="J147">
        <f t="shared" si="61"/>
        <v>2.8496378275954064</v>
      </c>
      <c r="K147">
        <f t="shared" si="62"/>
        <v>43.30209554709203</v>
      </c>
      <c r="L147">
        <f t="shared" si="63"/>
        <v>369.92599999999999</v>
      </c>
      <c r="M147">
        <f t="shared" si="64"/>
        <v>98.65486933167162</v>
      </c>
      <c r="N147">
        <f t="shared" si="65"/>
        <v>9.8105337539051227</v>
      </c>
      <c r="O147">
        <f t="shared" si="66"/>
        <v>36.786542154813006</v>
      </c>
      <c r="P147">
        <f t="shared" si="67"/>
        <v>0.27396604074903075</v>
      </c>
      <c r="Q147">
        <f t="shared" si="68"/>
        <v>2.3008879755143465</v>
      </c>
      <c r="R147">
        <f t="shared" si="69"/>
        <v>0.25704783026768113</v>
      </c>
      <c r="S147">
        <f t="shared" si="70"/>
        <v>0.16208779136958545</v>
      </c>
      <c r="T147">
        <f t="shared" si="71"/>
        <v>276.11532423000006</v>
      </c>
      <c r="U147">
        <f t="shared" si="72"/>
        <v>27.838786067246112</v>
      </c>
      <c r="V147">
        <f t="shared" si="73"/>
        <v>27.838786067246112</v>
      </c>
      <c r="W147">
        <f t="shared" si="74"/>
        <v>3.7593208260086302</v>
      </c>
      <c r="X147">
        <f t="shared" si="75"/>
        <v>76.436633355739232</v>
      </c>
      <c r="Y147">
        <f t="shared" si="76"/>
        <v>2.6926572248037002</v>
      </c>
      <c r="Z147">
        <f t="shared" si="77"/>
        <v>3.522731322129224</v>
      </c>
      <c r="AA147">
        <f t="shared" si="78"/>
        <v>1.06666360120493</v>
      </c>
      <c r="AB147">
        <f t="shared" si="79"/>
        <v>-125.66902819695743</v>
      </c>
      <c r="AC147">
        <f t="shared" si="80"/>
        <v>-137.5771052945594</v>
      </c>
      <c r="AD147">
        <f t="shared" si="81"/>
        <v>-12.94079666684677</v>
      </c>
      <c r="AE147">
        <f t="shared" si="82"/>
        <v>-7.1605928363538851E-2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52599.327363783043</v>
      </c>
      <c r="AK147">
        <f t="shared" si="86"/>
        <v>1800</v>
      </c>
      <c r="AL147">
        <f t="shared" si="87"/>
        <v>1499.1104969999999</v>
      </c>
      <c r="AM147">
        <f t="shared" si="88"/>
        <v>0.83283916499999999</v>
      </c>
      <c r="AN147">
        <f t="shared" si="89"/>
        <v>0.15339740235000002</v>
      </c>
      <c r="AO147">
        <v>29.1</v>
      </c>
      <c r="AP147">
        <v>0.5</v>
      </c>
      <c r="AQ147" t="s">
        <v>331</v>
      </c>
      <c r="AR147">
        <v>2</v>
      </c>
      <c r="AS147">
        <v>1690287940.5</v>
      </c>
      <c r="AT147">
        <v>369.92599999999999</v>
      </c>
      <c r="AU147">
        <v>800.00099999999998</v>
      </c>
      <c r="AV147">
        <v>27.077400000000001</v>
      </c>
      <c r="AW147">
        <v>0.195663</v>
      </c>
      <c r="AX147">
        <v>370.86</v>
      </c>
      <c r="AY147">
        <v>26.886299999999999</v>
      </c>
      <c r="AZ147">
        <v>300.12599999999998</v>
      </c>
      <c r="BA147">
        <v>99.343000000000004</v>
      </c>
      <c r="BB147">
        <v>9.9975499999999995E-2</v>
      </c>
      <c r="BC147">
        <v>26.729700000000001</v>
      </c>
      <c r="BD147">
        <v>26.9985</v>
      </c>
      <c r="BE147">
        <v>28.278199999999998</v>
      </c>
      <c r="BF147">
        <v>0</v>
      </c>
      <c r="BG147">
        <v>0</v>
      </c>
      <c r="BH147">
        <v>10004.4</v>
      </c>
      <c r="BI147">
        <v>1087.54</v>
      </c>
      <c r="BJ147">
        <v>1.28952</v>
      </c>
      <c r="BK147">
        <v>-430.07600000000002</v>
      </c>
      <c r="BL147">
        <v>380.221</v>
      </c>
      <c r="BM147">
        <v>800.15800000000002</v>
      </c>
      <c r="BN147">
        <v>26.881799999999998</v>
      </c>
      <c r="BO147">
        <v>800.00099999999998</v>
      </c>
      <c r="BP147">
        <v>0.195663</v>
      </c>
      <c r="BQ147">
        <v>2.6899500000000001</v>
      </c>
      <c r="BR147">
        <v>1.9437699999999999E-2</v>
      </c>
      <c r="BS147">
        <v>22.2239</v>
      </c>
      <c r="BT147">
        <v>-39.699800000000003</v>
      </c>
      <c r="BU147">
        <v>1800</v>
      </c>
      <c r="BV147">
        <v>0.909995</v>
      </c>
      <c r="BW147">
        <v>3.4006799999999997E-2</v>
      </c>
      <c r="BX147">
        <v>2.1999000000000001E-2</v>
      </c>
      <c r="BY147">
        <v>3.3999300000000003E-2</v>
      </c>
      <c r="BZ147">
        <v>25</v>
      </c>
      <c r="CA147">
        <v>33528.300000000003</v>
      </c>
      <c r="CB147">
        <v>1690286268.5999999</v>
      </c>
      <c r="CC147" t="s">
        <v>332</v>
      </c>
      <c r="CD147">
        <v>1690286261.0999999</v>
      </c>
      <c r="CE147">
        <v>1690286268.5999999</v>
      </c>
      <c r="CF147">
        <v>1</v>
      </c>
      <c r="CG147">
        <v>-0.89900000000000002</v>
      </c>
      <c r="CH147">
        <v>3.4000000000000002E-2</v>
      </c>
      <c r="CI147">
        <v>-1.2370000000000001</v>
      </c>
      <c r="CJ147">
        <v>8.5999999999999993E-2</v>
      </c>
      <c r="CK147">
        <v>799</v>
      </c>
      <c r="CL147">
        <v>16</v>
      </c>
      <c r="CM147">
        <v>0.28999999999999998</v>
      </c>
      <c r="CN147">
        <v>0.09</v>
      </c>
      <c r="CO147">
        <v>-429.23807499999998</v>
      </c>
      <c r="CP147">
        <v>-5.3942026266412189</v>
      </c>
      <c r="CQ147">
        <v>0.52044237853483744</v>
      </c>
      <c r="CR147">
        <v>-1</v>
      </c>
      <c r="CS147">
        <v>26.834160000000001</v>
      </c>
      <c r="CT147">
        <v>0.25815309568476602</v>
      </c>
      <c r="CU147">
        <v>2.485255318875729E-2</v>
      </c>
      <c r="CV147">
        <v>-1</v>
      </c>
      <c r="CW147">
        <v>0</v>
      </c>
      <c r="CX147">
        <v>0</v>
      </c>
      <c r="CY147" t="s">
        <v>333</v>
      </c>
      <c r="CZ147">
        <v>2.3651499999999999</v>
      </c>
      <c r="DA147">
        <v>2.7137699999999998</v>
      </c>
      <c r="DB147">
        <v>8.4771700000000005E-2</v>
      </c>
      <c r="DC147">
        <v>0.146568</v>
      </c>
      <c r="DD147">
        <v>0.124458</v>
      </c>
      <c r="DE147">
        <v>1.6512E-3</v>
      </c>
      <c r="DF147">
        <v>33417.4</v>
      </c>
      <c r="DG147">
        <v>27477.4</v>
      </c>
      <c r="DH147">
        <v>31168.5</v>
      </c>
      <c r="DI147">
        <v>28053.1</v>
      </c>
      <c r="DJ147">
        <v>37031.300000000003</v>
      </c>
      <c r="DK147">
        <v>39812.199999999997</v>
      </c>
      <c r="DL147">
        <v>44350.3</v>
      </c>
      <c r="DM147">
        <v>42496.1</v>
      </c>
      <c r="DN147">
        <v>1.4931000000000001</v>
      </c>
      <c r="DO147">
        <v>2.0621200000000002</v>
      </c>
      <c r="DP147">
        <v>7.9646700000000001E-2</v>
      </c>
      <c r="DQ147">
        <v>0.180669</v>
      </c>
      <c r="DR147">
        <v>25.694500000000001</v>
      </c>
      <c r="DS147">
        <v>25.322500000000002</v>
      </c>
      <c r="DT147">
        <v>36.9</v>
      </c>
      <c r="DU147">
        <v>25.5</v>
      </c>
      <c r="DV147">
        <v>12.167899999999999</v>
      </c>
      <c r="DW147">
        <v>61.6614</v>
      </c>
      <c r="DX147">
        <v>36.4223</v>
      </c>
      <c r="DY147">
        <v>1</v>
      </c>
      <c r="DZ147">
        <v>-0.14425299999999999</v>
      </c>
      <c r="EA147">
        <v>-0.63582499999999997</v>
      </c>
      <c r="EB147">
        <v>20.189299999999999</v>
      </c>
      <c r="EC147">
        <v>5.2424499999999998</v>
      </c>
      <c r="ED147">
        <v>12.039899999999999</v>
      </c>
      <c r="EE147">
        <v>5.0174500000000002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1.8687400000000001</v>
      </c>
      <c r="EL147">
        <v>1.8644700000000001</v>
      </c>
      <c r="EM147">
        <v>1.8690800000000001</v>
      </c>
      <c r="EN147">
        <v>1.86707</v>
      </c>
      <c r="EO147">
        <v>1.8632500000000001</v>
      </c>
      <c r="EP147">
        <v>1.8643099999999999</v>
      </c>
      <c r="EQ147">
        <v>1.87009</v>
      </c>
      <c r="ER147">
        <v>1.86931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-0.93400000000000005</v>
      </c>
      <c r="FG147">
        <v>0.19109999999999999</v>
      </c>
      <c r="FH147">
        <v>-0.68620417327404271</v>
      </c>
      <c r="FI147">
        <v>-6.1462078757559423E-4</v>
      </c>
      <c r="FJ147">
        <v>-1.8861989874597051E-7</v>
      </c>
      <c r="FK147">
        <v>1.1980462299894961E-10</v>
      </c>
      <c r="FL147">
        <v>0.1911242781723908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28</v>
      </c>
      <c r="FU147">
        <v>27.9</v>
      </c>
      <c r="FV147">
        <v>1.7602500000000001</v>
      </c>
      <c r="FW147">
        <v>2.5659200000000002</v>
      </c>
      <c r="FX147">
        <v>1.5490699999999999</v>
      </c>
      <c r="FY147">
        <v>2.33887</v>
      </c>
      <c r="FZ147">
        <v>1.50146</v>
      </c>
      <c r="GA147">
        <v>2.36816</v>
      </c>
      <c r="GB147">
        <v>30.911899999999999</v>
      </c>
      <c r="GC147">
        <v>23.991199999999999</v>
      </c>
      <c r="GD147">
        <v>19</v>
      </c>
      <c r="GE147">
        <v>287.24200000000002</v>
      </c>
      <c r="GF147">
        <v>596.976</v>
      </c>
      <c r="GG147">
        <v>25.952200000000001</v>
      </c>
      <c r="GH147">
        <v>25.597799999999999</v>
      </c>
      <c r="GI147">
        <v>30.0001</v>
      </c>
      <c r="GJ147">
        <v>25.712900000000001</v>
      </c>
      <c r="GK147">
        <v>25.6769</v>
      </c>
      <c r="GL147">
        <v>35.201300000000003</v>
      </c>
      <c r="GM147">
        <v>100</v>
      </c>
      <c r="GN147">
        <v>16.981300000000001</v>
      </c>
      <c r="GO147">
        <v>25.9499</v>
      </c>
      <c r="GP147">
        <v>800</v>
      </c>
      <c r="GQ147">
        <v>0</v>
      </c>
      <c r="GR147">
        <v>99.718699999999998</v>
      </c>
      <c r="GS147">
        <v>99.434200000000004</v>
      </c>
    </row>
    <row r="148" spans="1:201" x14ac:dyDescent="0.25">
      <c r="A148">
        <v>132</v>
      </c>
      <c r="B148">
        <v>1690287950.5</v>
      </c>
      <c r="C148">
        <v>1411.900000095367</v>
      </c>
      <c r="D148" t="s">
        <v>597</v>
      </c>
      <c r="E148" t="s">
        <v>598</v>
      </c>
      <c r="F148" t="s">
        <v>330</v>
      </c>
      <c r="H148">
        <v>1690287950.5</v>
      </c>
      <c r="I148">
        <f t="shared" si="60"/>
        <v>2.8560272829452355E-3</v>
      </c>
      <c r="J148">
        <f t="shared" si="61"/>
        <v>2.8560272829452353</v>
      </c>
      <c r="K148">
        <f t="shared" si="62"/>
        <v>43.391790495121612</v>
      </c>
      <c r="L148">
        <f t="shared" si="63"/>
        <v>369.12799999999999</v>
      </c>
      <c r="M148">
        <f t="shared" si="64"/>
        <v>99.258636274295966</v>
      </c>
      <c r="N148">
        <f t="shared" si="65"/>
        <v>9.8704577544371954</v>
      </c>
      <c r="O148">
        <f t="shared" si="66"/>
        <v>36.706753857784001</v>
      </c>
      <c r="P148">
        <f t="shared" si="67"/>
        <v>0.27608098140808535</v>
      </c>
      <c r="Q148">
        <f t="shared" si="68"/>
        <v>2.2994516913768939</v>
      </c>
      <c r="R148">
        <f t="shared" si="69"/>
        <v>0.25889932789939146</v>
      </c>
      <c r="S148">
        <f t="shared" si="70"/>
        <v>0.16326659830119938</v>
      </c>
      <c r="T148">
        <f t="shared" si="71"/>
        <v>276.11382773176825</v>
      </c>
      <c r="U148">
        <f t="shared" si="72"/>
        <v>27.835032252361014</v>
      </c>
      <c r="V148">
        <f t="shared" si="73"/>
        <v>27.835032252361014</v>
      </c>
      <c r="W148">
        <f t="shared" si="74"/>
        <v>3.7584972485160435</v>
      </c>
      <c r="X148">
        <f t="shared" si="75"/>
        <v>76.57368964639474</v>
      </c>
      <c r="Y148">
        <f t="shared" si="76"/>
        <v>2.6971202460478003</v>
      </c>
      <c r="Z148">
        <f t="shared" si="77"/>
        <v>3.5222545217589456</v>
      </c>
      <c r="AA148">
        <f t="shared" si="78"/>
        <v>1.0613770024682432</v>
      </c>
      <c r="AB148">
        <f t="shared" si="79"/>
        <v>-125.95080317788489</v>
      </c>
      <c r="AC148">
        <f t="shared" si="80"/>
        <v>-137.31099890687906</v>
      </c>
      <c r="AD148">
        <f t="shared" si="81"/>
        <v>-12.92344264758451</v>
      </c>
      <c r="AE148">
        <f t="shared" si="82"/>
        <v>-7.1417000580225931E-2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52545.335512707214</v>
      </c>
      <c r="AK148">
        <f t="shared" si="86"/>
        <v>1799.99</v>
      </c>
      <c r="AL148">
        <f t="shared" si="87"/>
        <v>1499.1030002037298</v>
      </c>
      <c r="AM148">
        <f t="shared" si="88"/>
        <v>0.83283962699999992</v>
      </c>
      <c r="AN148">
        <f t="shared" si="89"/>
        <v>0.15339742316999996</v>
      </c>
      <c r="AO148">
        <v>29.1</v>
      </c>
      <c r="AP148">
        <v>0.5</v>
      </c>
      <c r="AQ148" t="s">
        <v>331</v>
      </c>
      <c r="AR148">
        <v>2</v>
      </c>
      <c r="AS148">
        <v>1690287950.5</v>
      </c>
      <c r="AT148">
        <v>369.12799999999999</v>
      </c>
      <c r="AU148">
        <v>799.87400000000002</v>
      </c>
      <c r="AV148">
        <v>27.122599999999998</v>
      </c>
      <c r="AW148">
        <v>0.19431200000000001</v>
      </c>
      <c r="AX148">
        <v>370.06099999999998</v>
      </c>
      <c r="AY148">
        <v>26.9314</v>
      </c>
      <c r="AZ148">
        <v>300.26499999999999</v>
      </c>
      <c r="BA148">
        <v>99.341700000000003</v>
      </c>
      <c r="BB148">
        <v>0.100103</v>
      </c>
      <c r="BC148">
        <v>26.727399999999999</v>
      </c>
      <c r="BD148">
        <v>27.022099999999998</v>
      </c>
      <c r="BE148">
        <v>28.281600000000001</v>
      </c>
      <c r="BF148">
        <v>0</v>
      </c>
      <c r="BG148">
        <v>0</v>
      </c>
      <c r="BH148">
        <v>9993.75</v>
      </c>
      <c r="BI148">
        <v>1087.56</v>
      </c>
      <c r="BJ148">
        <v>1.28952</v>
      </c>
      <c r="BK148">
        <v>-430.74599999999998</v>
      </c>
      <c r="BL148">
        <v>379.41899999999998</v>
      </c>
      <c r="BM148">
        <v>800.029</v>
      </c>
      <c r="BN148">
        <v>26.9282</v>
      </c>
      <c r="BO148">
        <v>799.87400000000002</v>
      </c>
      <c r="BP148">
        <v>0.19431200000000001</v>
      </c>
      <c r="BQ148">
        <v>2.6943999999999999</v>
      </c>
      <c r="BR148">
        <v>1.9303299999999999E-2</v>
      </c>
      <c r="BS148">
        <v>22.251000000000001</v>
      </c>
      <c r="BT148">
        <v>-39.766500000000001</v>
      </c>
      <c r="BU148">
        <v>1799.99</v>
      </c>
      <c r="BV148">
        <v>0.90999699999999994</v>
      </c>
      <c r="BW148">
        <v>3.40062E-2</v>
      </c>
      <c r="BX148">
        <v>2.19986E-2</v>
      </c>
      <c r="BY148">
        <v>3.39987E-2</v>
      </c>
      <c r="BZ148">
        <v>25</v>
      </c>
      <c r="CA148">
        <v>33528.199999999997</v>
      </c>
      <c r="CB148">
        <v>1690286268.5999999</v>
      </c>
      <c r="CC148" t="s">
        <v>332</v>
      </c>
      <c r="CD148">
        <v>1690286261.0999999</v>
      </c>
      <c r="CE148">
        <v>1690286268.5999999</v>
      </c>
      <c r="CF148">
        <v>1</v>
      </c>
      <c r="CG148">
        <v>-0.89900000000000002</v>
      </c>
      <c r="CH148">
        <v>3.4000000000000002E-2</v>
      </c>
      <c r="CI148">
        <v>-1.2370000000000001</v>
      </c>
      <c r="CJ148">
        <v>8.5999999999999993E-2</v>
      </c>
      <c r="CK148">
        <v>799</v>
      </c>
      <c r="CL148">
        <v>16</v>
      </c>
      <c r="CM148">
        <v>0.28999999999999998</v>
      </c>
      <c r="CN148">
        <v>0.09</v>
      </c>
      <c r="CO148">
        <v>-430.07597500000003</v>
      </c>
      <c r="CP148">
        <v>-4.5511857410866829</v>
      </c>
      <c r="CQ148">
        <v>0.43922787294865251</v>
      </c>
      <c r="CR148">
        <v>-1</v>
      </c>
      <c r="CS148">
        <v>26.880452500000001</v>
      </c>
      <c r="CT148">
        <v>0.29566941838650679</v>
      </c>
      <c r="CU148">
        <v>2.8463696066217459E-2</v>
      </c>
      <c r="CV148">
        <v>-1</v>
      </c>
      <c r="CW148">
        <v>0</v>
      </c>
      <c r="CX148">
        <v>0</v>
      </c>
      <c r="CY148" t="s">
        <v>333</v>
      </c>
      <c r="CZ148">
        <v>2.3655900000000001</v>
      </c>
      <c r="DA148">
        <v>2.7138900000000001</v>
      </c>
      <c r="DB148">
        <v>8.4628999999999996E-2</v>
      </c>
      <c r="DC148">
        <v>0.14655099999999999</v>
      </c>
      <c r="DD148">
        <v>0.124601</v>
      </c>
      <c r="DE148">
        <v>1.63992E-3</v>
      </c>
      <c r="DF148">
        <v>33422.5</v>
      </c>
      <c r="DG148">
        <v>27478.3</v>
      </c>
      <c r="DH148">
        <v>31168.400000000001</v>
      </c>
      <c r="DI148">
        <v>28053.4</v>
      </c>
      <c r="DJ148">
        <v>37025.199999999997</v>
      </c>
      <c r="DK148">
        <v>39813.1</v>
      </c>
      <c r="DL148">
        <v>44350.3</v>
      </c>
      <c r="DM148">
        <v>42496.5</v>
      </c>
      <c r="DN148">
        <v>1.4936</v>
      </c>
      <c r="DO148">
        <v>2.0621499999999999</v>
      </c>
      <c r="DP148">
        <v>8.10921E-2</v>
      </c>
      <c r="DQ148">
        <v>0.180751</v>
      </c>
      <c r="DR148">
        <v>25.694500000000001</v>
      </c>
      <c r="DS148">
        <v>25.3246</v>
      </c>
      <c r="DT148">
        <v>36.6</v>
      </c>
      <c r="DU148">
        <v>25.5</v>
      </c>
      <c r="DV148">
        <v>12.071099999999999</v>
      </c>
      <c r="DW148">
        <v>61.681399999999996</v>
      </c>
      <c r="DX148">
        <v>36.7027</v>
      </c>
      <c r="DY148">
        <v>1</v>
      </c>
      <c r="DZ148">
        <v>-0.144263</v>
      </c>
      <c r="EA148">
        <v>-0.65291699999999997</v>
      </c>
      <c r="EB148">
        <v>20.189299999999999</v>
      </c>
      <c r="EC148">
        <v>5.2424499999999998</v>
      </c>
      <c r="ED148">
        <v>12.039899999999999</v>
      </c>
      <c r="EE148">
        <v>5.0174500000000002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1.8687400000000001</v>
      </c>
      <c r="EL148">
        <v>1.86446</v>
      </c>
      <c r="EM148">
        <v>1.86907</v>
      </c>
      <c r="EN148">
        <v>1.86707</v>
      </c>
      <c r="EO148">
        <v>1.8632500000000001</v>
      </c>
      <c r="EP148">
        <v>1.8643099999999999</v>
      </c>
      <c r="EQ148">
        <v>1.8701099999999999</v>
      </c>
      <c r="ER148">
        <v>1.8692800000000001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-0.93300000000000005</v>
      </c>
      <c r="FG148">
        <v>0.19120000000000001</v>
      </c>
      <c r="FH148">
        <v>-0.68620417327404271</v>
      </c>
      <c r="FI148">
        <v>-6.1462078757559423E-4</v>
      </c>
      <c r="FJ148">
        <v>-1.8861989874597051E-7</v>
      </c>
      <c r="FK148">
        <v>1.1980462299894961E-10</v>
      </c>
      <c r="FL148">
        <v>0.1911242781723908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28.2</v>
      </c>
      <c r="FU148">
        <v>28</v>
      </c>
      <c r="FV148">
        <v>1.7602500000000001</v>
      </c>
      <c r="FW148">
        <v>2.5647000000000002</v>
      </c>
      <c r="FX148">
        <v>1.5490699999999999</v>
      </c>
      <c r="FY148">
        <v>2.33887</v>
      </c>
      <c r="FZ148">
        <v>1.50146</v>
      </c>
      <c r="GA148">
        <v>2.35107</v>
      </c>
      <c r="GB148">
        <v>30.911899999999999</v>
      </c>
      <c r="GC148">
        <v>23.991199999999999</v>
      </c>
      <c r="GD148">
        <v>19</v>
      </c>
      <c r="GE148">
        <v>287.45699999999999</v>
      </c>
      <c r="GF148">
        <v>596.99699999999996</v>
      </c>
      <c r="GG148">
        <v>25.943200000000001</v>
      </c>
      <c r="GH148">
        <v>25.597799999999999</v>
      </c>
      <c r="GI148">
        <v>30</v>
      </c>
      <c r="GJ148">
        <v>25.712900000000001</v>
      </c>
      <c r="GK148">
        <v>25.6769</v>
      </c>
      <c r="GL148">
        <v>35.2074</v>
      </c>
      <c r="GM148">
        <v>100</v>
      </c>
      <c r="GN148">
        <v>16.219100000000001</v>
      </c>
      <c r="GO148">
        <v>25.9329</v>
      </c>
      <c r="GP148">
        <v>800</v>
      </c>
      <c r="GQ148">
        <v>0</v>
      </c>
      <c r="GR148">
        <v>99.718599999999995</v>
      </c>
      <c r="GS148">
        <v>99.435299999999998</v>
      </c>
    </row>
    <row r="149" spans="1:201" x14ac:dyDescent="0.25">
      <c r="A149">
        <v>133</v>
      </c>
      <c r="B149">
        <v>1690287960.5</v>
      </c>
      <c r="C149">
        <v>1421.900000095367</v>
      </c>
      <c r="D149" t="s">
        <v>599</v>
      </c>
      <c r="E149" t="s">
        <v>600</v>
      </c>
      <c r="F149" t="s">
        <v>330</v>
      </c>
      <c r="H149">
        <v>1690287960.5</v>
      </c>
      <c r="I149">
        <f t="shared" si="60"/>
        <v>2.8587990053794681E-3</v>
      </c>
      <c r="J149">
        <f t="shared" si="61"/>
        <v>2.8587990053794683</v>
      </c>
      <c r="K149">
        <f t="shared" si="62"/>
        <v>43.476664106257452</v>
      </c>
      <c r="L149">
        <f t="shared" si="63"/>
        <v>368.23700000000002</v>
      </c>
      <c r="M149">
        <f t="shared" si="64"/>
        <v>99.494407431883843</v>
      </c>
      <c r="N149">
        <f t="shared" si="65"/>
        <v>9.8940530025263147</v>
      </c>
      <c r="O149">
        <f t="shared" si="66"/>
        <v>36.618705407995996</v>
      </c>
      <c r="P149">
        <f t="shared" si="67"/>
        <v>0.2778393928082461</v>
      </c>
      <c r="Q149">
        <f t="shared" si="68"/>
        <v>2.3034734413384079</v>
      </c>
      <c r="R149">
        <f t="shared" si="69"/>
        <v>0.26047390503109352</v>
      </c>
      <c r="S149">
        <f t="shared" si="70"/>
        <v>0.1642658825516978</v>
      </c>
      <c r="T149">
        <f t="shared" si="71"/>
        <v>276.11349388762301</v>
      </c>
      <c r="U149">
        <f t="shared" si="72"/>
        <v>27.826266763070109</v>
      </c>
      <c r="V149">
        <f t="shared" si="73"/>
        <v>27.826266763070109</v>
      </c>
      <c r="W149">
        <f t="shared" si="74"/>
        <v>3.7565747353045689</v>
      </c>
      <c r="X149">
        <f t="shared" si="75"/>
        <v>76.699500239683502</v>
      </c>
      <c r="Y149">
        <f t="shared" si="76"/>
        <v>2.700581915356</v>
      </c>
      <c r="Z149">
        <f t="shared" si="77"/>
        <v>3.5209902371159751</v>
      </c>
      <c r="AA149">
        <f t="shared" si="78"/>
        <v>1.0559928199485689</v>
      </c>
      <c r="AB149">
        <f t="shared" si="79"/>
        <v>-126.07303613723454</v>
      </c>
      <c r="AC149">
        <f t="shared" si="80"/>
        <v>-137.22014296373615</v>
      </c>
      <c r="AD149">
        <f t="shared" si="81"/>
        <v>-12.891385163895498</v>
      </c>
      <c r="AE149">
        <f t="shared" si="82"/>
        <v>-7.1070377243188432E-2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52698.753793394841</v>
      </c>
      <c r="AK149">
        <f t="shared" si="86"/>
        <v>1799.99</v>
      </c>
      <c r="AL149">
        <f t="shared" si="87"/>
        <v>1499.10288860435</v>
      </c>
      <c r="AM149">
        <f t="shared" si="88"/>
        <v>0.832839565</v>
      </c>
      <c r="AN149">
        <f t="shared" si="89"/>
        <v>0.15339723769999999</v>
      </c>
      <c r="AO149">
        <v>29.1</v>
      </c>
      <c r="AP149">
        <v>0.5</v>
      </c>
      <c r="AQ149" t="s">
        <v>331</v>
      </c>
      <c r="AR149">
        <v>2</v>
      </c>
      <c r="AS149">
        <v>1690287960.5</v>
      </c>
      <c r="AT149">
        <v>368.23700000000002</v>
      </c>
      <c r="AU149">
        <v>799.95899999999995</v>
      </c>
      <c r="AV149">
        <v>27.157</v>
      </c>
      <c r="AW149">
        <v>0.193025</v>
      </c>
      <c r="AX149">
        <v>369.17</v>
      </c>
      <c r="AY149">
        <v>26.965900000000001</v>
      </c>
      <c r="AZ149">
        <v>300.14800000000002</v>
      </c>
      <c r="BA149">
        <v>99.343299999999999</v>
      </c>
      <c r="BB149">
        <v>0.100008</v>
      </c>
      <c r="BC149">
        <v>26.721299999999999</v>
      </c>
      <c r="BD149">
        <v>26.997800000000002</v>
      </c>
      <c r="BE149">
        <v>28.283999999999999</v>
      </c>
      <c r="BF149">
        <v>0</v>
      </c>
      <c r="BG149">
        <v>0</v>
      </c>
      <c r="BH149">
        <v>10023.799999999999</v>
      </c>
      <c r="BI149">
        <v>1087.43</v>
      </c>
      <c r="BJ149">
        <v>1.28952</v>
      </c>
      <c r="BK149">
        <v>-431.72199999999998</v>
      </c>
      <c r="BL149">
        <v>378.51600000000002</v>
      </c>
      <c r="BM149">
        <v>800.11300000000006</v>
      </c>
      <c r="BN149">
        <v>26.963899999999999</v>
      </c>
      <c r="BO149">
        <v>799.95899999999995</v>
      </c>
      <c r="BP149">
        <v>0.193025</v>
      </c>
      <c r="BQ149">
        <v>2.6978599999999999</v>
      </c>
      <c r="BR149">
        <v>1.91757E-2</v>
      </c>
      <c r="BS149">
        <v>22.272099999999998</v>
      </c>
      <c r="BT149">
        <v>-39.830100000000002</v>
      </c>
      <c r="BU149">
        <v>1799.99</v>
      </c>
      <c r="BV149">
        <v>0.91000099999999995</v>
      </c>
      <c r="BW149">
        <v>3.40045E-2</v>
      </c>
      <c r="BX149">
        <v>2.19975E-2</v>
      </c>
      <c r="BY149">
        <v>3.3996999999999999E-2</v>
      </c>
      <c r="BZ149">
        <v>25</v>
      </c>
      <c r="CA149">
        <v>33528.300000000003</v>
      </c>
      <c r="CB149">
        <v>1690286268.5999999</v>
      </c>
      <c r="CC149" t="s">
        <v>332</v>
      </c>
      <c r="CD149">
        <v>1690286261.0999999</v>
      </c>
      <c r="CE149">
        <v>1690286268.5999999</v>
      </c>
      <c r="CF149">
        <v>1</v>
      </c>
      <c r="CG149">
        <v>-0.89900000000000002</v>
      </c>
      <c r="CH149">
        <v>3.4000000000000002E-2</v>
      </c>
      <c r="CI149">
        <v>-1.2370000000000001</v>
      </c>
      <c r="CJ149">
        <v>8.5999999999999993E-2</v>
      </c>
      <c r="CK149">
        <v>799</v>
      </c>
      <c r="CL149">
        <v>16</v>
      </c>
      <c r="CM149">
        <v>0.28999999999999998</v>
      </c>
      <c r="CN149">
        <v>0.09</v>
      </c>
      <c r="CO149">
        <v>-430.76452499999988</v>
      </c>
      <c r="CP149">
        <v>-4.6716585365834788</v>
      </c>
      <c r="CQ149">
        <v>0.45212807850762832</v>
      </c>
      <c r="CR149">
        <v>-1</v>
      </c>
      <c r="CS149">
        <v>26.921232499999999</v>
      </c>
      <c r="CT149">
        <v>0.24938949343339409</v>
      </c>
      <c r="CU149">
        <v>2.4074160291690301E-2</v>
      </c>
      <c r="CV149">
        <v>-1</v>
      </c>
      <c r="CW149">
        <v>0</v>
      </c>
      <c r="CX149">
        <v>0</v>
      </c>
      <c r="CY149" t="s">
        <v>333</v>
      </c>
      <c r="CZ149">
        <v>2.3652199999999999</v>
      </c>
      <c r="DA149">
        <v>2.7138200000000001</v>
      </c>
      <c r="DB149">
        <v>8.44718E-2</v>
      </c>
      <c r="DC149">
        <v>0.146563</v>
      </c>
      <c r="DD149">
        <v>0.124713</v>
      </c>
      <c r="DE149">
        <v>1.6292100000000001E-3</v>
      </c>
      <c r="DF149">
        <v>33427.9</v>
      </c>
      <c r="DG149">
        <v>27478</v>
      </c>
      <c r="DH149">
        <v>31168.1</v>
      </c>
      <c r="DI149">
        <v>28053.599999999999</v>
      </c>
      <c r="DJ149">
        <v>37020</v>
      </c>
      <c r="DK149">
        <v>39813.9</v>
      </c>
      <c r="DL149">
        <v>44349.8</v>
      </c>
      <c r="DM149">
        <v>42496.9</v>
      </c>
      <c r="DN149">
        <v>1.49312</v>
      </c>
      <c r="DO149">
        <v>2.0622500000000001</v>
      </c>
      <c r="DP149">
        <v>7.9736100000000004E-2</v>
      </c>
      <c r="DQ149">
        <v>0.18090000000000001</v>
      </c>
      <c r="DR149">
        <v>25.692399999999999</v>
      </c>
      <c r="DS149">
        <v>25.3246</v>
      </c>
      <c r="DT149">
        <v>36.200000000000003</v>
      </c>
      <c r="DU149">
        <v>25.6</v>
      </c>
      <c r="DV149">
        <v>12.006399999999999</v>
      </c>
      <c r="DW149">
        <v>61.851399999999998</v>
      </c>
      <c r="DX149">
        <v>37.203499999999998</v>
      </c>
      <c r="DY149">
        <v>1</v>
      </c>
      <c r="DZ149">
        <v>-0.14428099999999999</v>
      </c>
      <c r="EA149">
        <v>-0.58350199999999997</v>
      </c>
      <c r="EB149">
        <v>20.189599999999999</v>
      </c>
      <c r="EC149">
        <v>5.2421499999999996</v>
      </c>
      <c r="ED149">
        <v>12.039899999999999</v>
      </c>
      <c r="EE149">
        <v>5.0171000000000001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1.8687400000000001</v>
      </c>
      <c r="EL149">
        <v>1.8644700000000001</v>
      </c>
      <c r="EM149">
        <v>1.86907</v>
      </c>
      <c r="EN149">
        <v>1.86707</v>
      </c>
      <c r="EO149">
        <v>1.8632500000000001</v>
      </c>
      <c r="EP149">
        <v>1.8643099999999999</v>
      </c>
      <c r="EQ149">
        <v>1.87012</v>
      </c>
      <c r="ER149">
        <v>1.8693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-0.93300000000000005</v>
      </c>
      <c r="FG149">
        <v>0.19109999999999999</v>
      </c>
      <c r="FH149">
        <v>-0.68620417327404271</v>
      </c>
      <c r="FI149">
        <v>-6.1462078757559423E-4</v>
      </c>
      <c r="FJ149">
        <v>-1.8861989874597051E-7</v>
      </c>
      <c r="FK149">
        <v>1.1980462299894961E-10</v>
      </c>
      <c r="FL149">
        <v>0.1911242781723908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28.3</v>
      </c>
      <c r="FU149">
        <v>28.2</v>
      </c>
      <c r="FV149">
        <v>1.7614700000000001</v>
      </c>
      <c r="FW149">
        <v>2.5659200000000002</v>
      </c>
      <c r="FX149">
        <v>1.5490699999999999</v>
      </c>
      <c r="FY149">
        <v>2.33887</v>
      </c>
      <c r="FZ149">
        <v>1.50146</v>
      </c>
      <c r="GA149">
        <v>2.2949199999999998</v>
      </c>
      <c r="GB149">
        <v>30.933499999999999</v>
      </c>
      <c r="GC149">
        <v>23.982399999999998</v>
      </c>
      <c r="GD149">
        <v>19</v>
      </c>
      <c r="GE149">
        <v>287.25299999999999</v>
      </c>
      <c r="GF149">
        <v>597.08100000000002</v>
      </c>
      <c r="GG149">
        <v>25.9163</v>
      </c>
      <c r="GH149">
        <v>25.597799999999999</v>
      </c>
      <c r="GI149">
        <v>29.9999</v>
      </c>
      <c r="GJ149">
        <v>25.712900000000001</v>
      </c>
      <c r="GK149">
        <v>25.6769</v>
      </c>
      <c r="GL149">
        <v>35.209099999999999</v>
      </c>
      <c r="GM149">
        <v>100</v>
      </c>
      <c r="GN149">
        <v>15.4681</v>
      </c>
      <c r="GO149">
        <v>25.900099999999998</v>
      </c>
      <c r="GP149">
        <v>800</v>
      </c>
      <c r="GQ149">
        <v>0</v>
      </c>
      <c r="GR149">
        <v>99.717600000000004</v>
      </c>
      <c r="GS149">
        <v>99.436000000000007</v>
      </c>
    </row>
    <row r="150" spans="1:201" x14ac:dyDescent="0.25">
      <c r="A150">
        <v>134</v>
      </c>
      <c r="B150">
        <v>1690287970.5</v>
      </c>
      <c r="C150">
        <v>1431.900000095367</v>
      </c>
      <c r="D150" t="s">
        <v>601</v>
      </c>
      <c r="E150" t="s">
        <v>602</v>
      </c>
      <c r="F150" t="s">
        <v>330</v>
      </c>
      <c r="H150">
        <v>1690287970.5</v>
      </c>
      <c r="I150">
        <f t="shared" si="60"/>
        <v>2.8606056231557813E-3</v>
      </c>
      <c r="J150">
        <f t="shared" si="61"/>
        <v>2.8606056231557813</v>
      </c>
      <c r="K150">
        <f t="shared" si="62"/>
        <v>43.544954099074708</v>
      </c>
      <c r="L150">
        <f t="shared" si="63"/>
        <v>367.59699999999998</v>
      </c>
      <c r="M150">
        <f t="shared" si="64"/>
        <v>98.955142649134928</v>
      </c>
      <c r="N150">
        <f t="shared" si="65"/>
        <v>9.840412182235891</v>
      </c>
      <c r="O150">
        <f t="shared" si="66"/>
        <v>36.555007654116991</v>
      </c>
      <c r="P150">
        <f t="shared" si="67"/>
        <v>0.27843470386140862</v>
      </c>
      <c r="Q150">
        <f t="shared" si="68"/>
        <v>2.2978049245637386</v>
      </c>
      <c r="R150">
        <f t="shared" si="69"/>
        <v>0.26095710520005655</v>
      </c>
      <c r="S150">
        <f t="shared" si="70"/>
        <v>0.16457697760296952</v>
      </c>
      <c r="T150">
        <f t="shared" si="71"/>
        <v>276.11474434200005</v>
      </c>
      <c r="U150">
        <f t="shared" si="72"/>
        <v>27.82967893880609</v>
      </c>
      <c r="V150">
        <f t="shared" si="73"/>
        <v>27.82967893880609</v>
      </c>
      <c r="W150">
        <f t="shared" si="74"/>
        <v>3.7573230173989893</v>
      </c>
      <c r="X150">
        <f t="shared" si="75"/>
        <v>76.751073753740329</v>
      </c>
      <c r="Y150">
        <f t="shared" si="76"/>
        <v>2.7026363967096998</v>
      </c>
      <c r="Z150">
        <f t="shared" si="77"/>
        <v>3.5213010900423938</v>
      </c>
      <c r="AA150">
        <f t="shared" si="78"/>
        <v>1.0546866206892895</v>
      </c>
      <c r="AB150">
        <f t="shared" si="79"/>
        <v>-126.15270798116995</v>
      </c>
      <c r="AC150">
        <f t="shared" si="80"/>
        <v>-137.11934284503346</v>
      </c>
      <c r="AD150">
        <f t="shared" si="81"/>
        <v>-12.91401110050222</v>
      </c>
      <c r="AE150">
        <f t="shared" si="82"/>
        <v>-7.1317584705553827E-2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52483.875569630742</v>
      </c>
      <c r="AK150">
        <f t="shared" si="86"/>
        <v>1800</v>
      </c>
      <c r="AL150">
        <f t="shared" si="87"/>
        <v>1499.1109812</v>
      </c>
      <c r="AM150">
        <f t="shared" si="88"/>
        <v>0.83283943399999993</v>
      </c>
      <c r="AN150">
        <f t="shared" si="89"/>
        <v>0.15339708019000003</v>
      </c>
      <c r="AO150">
        <v>29.1</v>
      </c>
      <c r="AP150">
        <v>0.5</v>
      </c>
      <c r="AQ150" t="s">
        <v>331</v>
      </c>
      <c r="AR150">
        <v>2</v>
      </c>
      <c r="AS150">
        <v>1690287970.5</v>
      </c>
      <c r="AT150">
        <v>367.59699999999998</v>
      </c>
      <c r="AU150">
        <v>800.06200000000001</v>
      </c>
      <c r="AV150">
        <v>27.177700000000002</v>
      </c>
      <c r="AW150">
        <v>0.19150500000000001</v>
      </c>
      <c r="AX150">
        <v>368.529</v>
      </c>
      <c r="AY150">
        <v>26.986499999999999</v>
      </c>
      <c r="AZ150">
        <v>300.084</v>
      </c>
      <c r="BA150">
        <v>99.343199999999996</v>
      </c>
      <c r="BB150">
        <v>9.9960999999999994E-2</v>
      </c>
      <c r="BC150">
        <v>26.722799999999999</v>
      </c>
      <c r="BD150">
        <v>26.9878</v>
      </c>
      <c r="BE150">
        <v>28.271599999999999</v>
      </c>
      <c r="BF150">
        <v>0</v>
      </c>
      <c r="BG150">
        <v>0</v>
      </c>
      <c r="BH150">
        <v>9981.25</v>
      </c>
      <c r="BI150">
        <v>1087.44</v>
      </c>
      <c r="BJ150">
        <v>1.26709</v>
      </c>
      <c r="BK150">
        <v>-432.46499999999997</v>
      </c>
      <c r="BL150">
        <v>377.86599999999999</v>
      </c>
      <c r="BM150">
        <v>800.21500000000003</v>
      </c>
      <c r="BN150">
        <v>26.9862</v>
      </c>
      <c r="BO150">
        <v>800.06200000000001</v>
      </c>
      <c r="BP150">
        <v>0.19150500000000001</v>
      </c>
      <c r="BQ150">
        <v>2.6999200000000001</v>
      </c>
      <c r="BR150">
        <v>1.9024800000000001E-2</v>
      </c>
      <c r="BS150">
        <v>22.284600000000001</v>
      </c>
      <c r="BT150">
        <v>-39.905900000000003</v>
      </c>
      <c r="BU150">
        <v>1800</v>
      </c>
      <c r="BV150">
        <v>0.91000400000000004</v>
      </c>
      <c r="BW150">
        <v>3.4003100000000001E-2</v>
      </c>
      <c r="BX150">
        <v>2.1996700000000001E-2</v>
      </c>
      <c r="BY150">
        <v>3.3995699999999997E-2</v>
      </c>
      <c r="BZ150">
        <v>25</v>
      </c>
      <c r="CA150">
        <v>33528.400000000001</v>
      </c>
      <c r="CB150">
        <v>1690286268.5999999</v>
      </c>
      <c r="CC150" t="s">
        <v>332</v>
      </c>
      <c r="CD150">
        <v>1690286261.0999999</v>
      </c>
      <c r="CE150">
        <v>1690286268.5999999</v>
      </c>
      <c r="CF150">
        <v>1</v>
      </c>
      <c r="CG150">
        <v>-0.89900000000000002</v>
      </c>
      <c r="CH150">
        <v>3.4000000000000002E-2</v>
      </c>
      <c r="CI150">
        <v>-1.2370000000000001</v>
      </c>
      <c r="CJ150">
        <v>8.5999999999999993E-2</v>
      </c>
      <c r="CK150">
        <v>799</v>
      </c>
      <c r="CL150">
        <v>16</v>
      </c>
      <c r="CM150">
        <v>0.28999999999999998</v>
      </c>
      <c r="CN150">
        <v>0.09</v>
      </c>
      <c r="CO150">
        <v>-431.57056097560968</v>
      </c>
      <c r="CP150">
        <v>-4.8188989547040437</v>
      </c>
      <c r="CQ150">
        <v>0.47868784312955581</v>
      </c>
      <c r="CR150">
        <v>-1</v>
      </c>
      <c r="CS150">
        <v>26.957821951219511</v>
      </c>
      <c r="CT150">
        <v>0.18092613240420641</v>
      </c>
      <c r="CU150">
        <v>1.7965434456676289E-2</v>
      </c>
      <c r="CV150">
        <v>-1</v>
      </c>
      <c r="CW150">
        <v>0</v>
      </c>
      <c r="CX150">
        <v>0</v>
      </c>
      <c r="CY150" t="s">
        <v>333</v>
      </c>
      <c r="CZ150">
        <v>2.3650099999999998</v>
      </c>
      <c r="DA150">
        <v>2.71373</v>
      </c>
      <c r="DB150">
        <v>8.4358000000000002E-2</v>
      </c>
      <c r="DC150">
        <v>0.14657600000000001</v>
      </c>
      <c r="DD150">
        <v>0.124779</v>
      </c>
      <c r="DE150">
        <v>1.6165299999999999E-3</v>
      </c>
      <c r="DF150">
        <v>33432.6</v>
      </c>
      <c r="DG150">
        <v>27477.7</v>
      </c>
      <c r="DH150">
        <v>31168.6</v>
      </c>
      <c r="DI150">
        <v>28053.7</v>
      </c>
      <c r="DJ150">
        <v>37017.699999999997</v>
      </c>
      <c r="DK150">
        <v>39814.400000000001</v>
      </c>
      <c r="DL150">
        <v>44350.400000000001</v>
      </c>
      <c r="DM150">
        <v>42496.9</v>
      </c>
      <c r="DN150">
        <v>1.4933799999999999</v>
      </c>
      <c r="DO150">
        <v>2.06203</v>
      </c>
      <c r="DP150">
        <v>7.9125200000000007E-2</v>
      </c>
      <c r="DQ150">
        <v>0.18002799999999999</v>
      </c>
      <c r="DR150">
        <v>25.692399999999999</v>
      </c>
      <c r="DS150">
        <v>25.326499999999999</v>
      </c>
      <c r="DT150">
        <v>35.9</v>
      </c>
      <c r="DU150">
        <v>25.6</v>
      </c>
      <c r="DV150">
        <v>11.9063</v>
      </c>
      <c r="DW150">
        <v>62.231400000000001</v>
      </c>
      <c r="DX150">
        <v>37.439900000000002</v>
      </c>
      <c r="DY150">
        <v>1</v>
      </c>
      <c r="DZ150">
        <v>-0.144235</v>
      </c>
      <c r="EA150">
        <v>-0.64978800000000003</v>
      </c>
      <c r="EB150">
        <v>20.1892</v>
      </c>
      <c r="EC150">
        <v>5.2418500000000003</v>
      </c>
      <c r="ED150">
        <v>12.039899999999999</v>
      </c>
      <c r="EE150">
        <v>5.0171000000000001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1.8687400000000001</v>
      </c>
      <c r="EL150">
        <v>1.8644700000000001</v>
      </c>
      <c r="EM150">
        <v>1.8690800000000001</v>
      </c>
      <c r="EN150">
        <v>1.8670800000000001</v>
      </c>
      <c r="EO150">
        <v>1.8632500000000001</v>
      </c>
      <c r="EP150">
        <v>1.86432</v>
      </c>
      <c r="EQ150">
        <v>1.8701000000000001</v>
      </c>
      <c r="ER150">
        <v>1.86931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-0.93200000000000005</v>
      </c>
      <c r="FG150">
        <v>0.19120000000000001</v>
      </c>
      <c r="FH150">
        <v>-0.68620417327404271</v>
      </c>
      <c r="FI150">
        <v>-6.1462078757559423E-4</v>
      </c>
      <c r="FJ150">
        <v>-1.8861989874597051E-7</v>
      </c>
      <c r="FK150">
        <v>1.1980462299894961E-10</v>
      </c>
      <c r="FL150">
        <v>0.1911242781723908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28.5</v>
      </c>
      <c r="FU150">
        <v>28.4</v>
      </c>
      <c r="FV150">
        <v>1.7602500000000001</v>
      </c>
      <c r="FW150">
        <v>2.5720200000000002</v>
      </c>
      <c r="FX150">
        <v>1.5490699999999999</v>
      </c>
      <c r="FY150">
        <v>2.33887</v>
      </c>
      <c r="FZ150">
        <v>1.50146</v>
      </c>
      <c r="GA150">
        <v>2.2595200000000002</v>
      </c>
      <c r="GB150">
        <v>30.933499999999999</v>
      </c>
      <c r="GC150">
        <v>23.982399999999998</v>
      </c>
      <c r="GD150">
        <v>19</v>
      </c>
      <c r="GE150">
        <v>287.358</v>
      </c>
      <c r="GF150">
        <v>596.89200000000005</v>
      </c>
      <c r="GG150">
        <v>25.892600000000002</v>
      </c>
      <c r="GH150">
        <v>25.597799999999999</v>
      </c>
      <c r="GI150">
        <v>30.0001</v>
      </c>
      <c r="GJ150">
        <v>25.712399999999999</v>
      </c>
      <c r="GK150">
        <v>25.6769</v>
      </c>
      <c r="GL150">
        <v>35.207900000000002</v>
      </c>
      <c r="GM150">
        <v>100</v>
      </c>
      <c r="GN150">
        <v>14.7006</v>
      </c>
      <c r="GO150">
        <v>25.942299999999999</v>
      </c>
      <c r="GP150">
        <v>800</v>
      </c>
      <c r="GQ150">
        <v>0</v>
      </c>
      <c r="GR150">
        <v>99.719099999999997</v>
      </c>
      <c r="GS150">
        <v>99.436300000000003</v>
      </c>
    </row>
    <row r="151" spans="1:201" x14ac:dyDescent="0.25">
      <c r="A151">
        <v>135</v>
      </c>
      <c r="B151">
        <v>1690287980.5</v>
      </c>
      <c r="C151">
        <v>1441.900000095367</v>
      </c>
      <c r="D151" t="s">
        <v>603</v>
      </c>
      <c r="E151" t="s">
        <v>604</v>
      </c>
      <c r="F151" t="s">
        <v>330</v>
      </c>
      <c r="H151">
        <v>1690287980.5</v>
      </c>
      <c r="I151">
        <f t="shared" si="60"/>
        <v>2.8636885227033611E-3</v>
      </c>
      <c r="J151">
        <f t="shared" si="61"/>
        <v>2.8636885227033613</v>
      </c>
      <c r="K151">
        <f t="shared" si="62"/>
        <v>43.616878448490098</v>
      </c>
      <c r="L151">
        <f t="shared" si="63"/>
        <v>366.88400000000001</v>
      </c>
      <c r="M151">
        <f t="shared" si="64"/>
        <v>98.944711637851142</v>
      </c>
      <c r="N151">
        <f t="shared" si="65"/>
        <v>9.8394900314623381</v>
      </c>
      <c r="O151">
        <f t="shared" si="66"/>
        <v>36.484531623234801</v>
      </c>
      <c r="P151">
        <f t="shared" si="67"/>
        <v>0.27969692166737792</v>
      </c>
      <c r="Q151">
        <f t="shared" si="68"/>
        <v>2.2960683054068198</v>
      </c>
      <c r="R151">
        <f t="shared" si="69"/>
        <v>0.26205345202995756</v>
      </c>
      <c r="S151">
        <f t="shared" si="70"/>
        <v>0.16527577156272494</v>
      </c>
      <c r="T151">
        <f t="shared" si="71"/>
        <v>276.11473037400003</v>
      </c>
      <c r="U151">
        <f t="shared" si="72"/>
        <v>27.82684254767376</v>
      </c>
      <c r="V151">
        <f t="shared" si="73"/>
        <v>27.82684254767376</v>
      </c>
      <c r="W151">
        <f t="shared" si="74"/>
        <v>3.7567009943905281</v>
      </c>
      <c r="X151">
        <f t="shared" si="75"/>
        <v>76.838284667574129</v>
      </c>
      <c r="Y151">
        <f t="shared" si="76"/>
        <v>2.7052933535712702</v>
      </c>
      <c r="Z151">
        <f t="shared" si="77"/>
        <v>3.5207622935301002</v>
      </c>
      <c r="AA151">
        <f t="shared" si="78"/>
        <v>1.0514076408192579</v>
      </c>
      <c r="AB151">
        <f t="shared" si="79"/>
        <v>-126.28866385121823</v>
      </c>
      <c r="AC151">
        <f t="shared" si="80"/>
        <v>-136.98644990756918</v>
      </c>
      <c r="AD151">
        <f t="shared" si="81"/>
        <v>-12.910902468504659</v>
      </c>
      <c r="AE151">
        <f t="shared" si="82"/>
        <v>-7.1285853292067713E-2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52418.700652592706</v>
      </c>
      <c r="AK151">
        <f t="shared" si="86"/>
        <v>1800</v>
      </c>
      <c r="AL151">
        <f t="shared" si="87"/>
        <v>1499.1129234</v>
      </c>
      <c r="AM151">
        <f t="shared" si="88"/>
        <v>0.83284051300000006</v>
      </c>
      <c r="AN151">
        <f t="shared" si="89"/>
        <v>0.15339707243</v>
      </c>
      <c r="AO151">
        <v>29.1</v>
      </c>
      <c r="AP151">
        <v>0.5</v>
      </c>
      <c r="AQ151" t="s">
        <v>331</v>
      </c>
      <c r="AR151">
        <v>2</v>
      </c>
      <c r="AS151">
        <v>1690287980.5</v>
      </c>
      <c r="AT151">
        <v>366.88400000000001</v>
      </c>
      <c r="AU151">
        <v>800.029</v>
      </c>
      <c r="AV151">
        <v>27.2041</v>
      </c>
      <c r="AW151">
        <v>0.19009499999999999</v>
      </c>
      <c r="AX151">
        <v>367.815</v>
      </c>
      <c r="AY151">
        <v>27.013000000000002</v>
      </c>
      <c r="AZ151">
        <v>300.08999999999997</v>
      </c>
      <c r="BA151">
        <v>99.344399999999993</v>
      </c>
      <c r="BB151">
        <v>9.9924700000000005E-2</v>
      </c>
      <c r="BC151">
        <v>26.720199999999998</v>
      </c>
      <c r="BD151">
        <v>26.975999999999999</v>
      </c>
      <c r="BE151">
        <v>28.260899999999999</v>
      </c>
      <c r="BF151">
        <v>0</v>
      </c>
      <c r="BG151">
        <v>0</v>
      </c>
      <c r="BH151">
        <v>9968.1200000000008</v>
      </c>
      <c r="BI151">
        <v>1087.3399999999999</v>
      </c>
      <c r="BJ151">
        <v>1.25027</v>
      </c>
      <c r="BK151">
        <v>-433.14600000000002</v>
      </c>
      <c r="BL151">
        <v>377.14299999999997</v>
      </c>
      <c r="BM151">
        <v>800.18100000000004</v>
      </c>
      <c r="BN151">
        <v>27.013999999999999</v>
      </c>
      <c r="BO151">
        <v>800.029</v>
      </c>
      <c r="BP151">
        <v>0.19009499999999999</v>
      </c>
      <c r="BQ151">
        <v>2.7025800000000002</v>
      </c>
      <c r="BR151">
        <v>1.88849E-2</v>
      </c>
      <c r="BS151">
        <v>22.300799999999999</v>
      </c>
      <c r="BT151">
        <v>-39.976599999999998</v>
      </c>
      <c r="BU151">
        <v>1800</v>
      </c>
      <c r="BV151">
        <v>0.91000999999999999</v>
      </c>
      <c r="BW151">
        <v>3.4001200000000002E-2</v>
      </c>
      <c r="BX151">
        <v>2.1995399999999998E-2</v>
      </c>
      <c r="BY151">
        <v>3.3993700000000002E-2</v>
      </c>
      <c r="BZ151">
        <v>25</v>
      </c>
      <c r="CA151">
        <v>33528.400000000001</v>
      </c>
      <c r="CB151">
        <v>1690286268.5999999</v>
      </c>
      <c r="CC151" t="s">
        <v>332</v>
      </c>
      <c r="CD151">
        <v>1690286261.0999999</v>
      </c>
      <c r="CE151">
        <v>1690286268.5999999</v>
      </c>
      <c r="CF151">
        <v>1</v>
      </c>
      <c r="CG151">
        <v>-0.89900000000000002</v>
      </c>
      <c r="CH151">
        <v>3.4000000000000002E-2</v>
      </c>
      <c r="CI151">
        <v>-1.2370000000000001</v>
      </c>
      <c r="CJ151">
        <v>8.5999999999999993E-2</v>
      </c>
      <c r="CK151">
        <v>799</v>
      </c>
      <c r="CL151">
        <v>16</v>
      </c>
      <c r="CM151">
        <v>0.28999999999999998</v>
      </c>
      <c r="CN151">
        <v>0.09</v>
      </c>
      <c r="CO151">
        <v>-432.32247500000011</v>
      </c>
      <c r="CP151">
        <v>-4.2910356472784326</v>
      </c>
      <c r="CQ151">
        <v>0.41465389106458223</v>
      </c>
      <c r="CR151">
        <v>-1</v>
      </c>
      <c r="CS151">
        <v>26.984347499999998</v>
      </c>
      <c r="CT151">
        <v>0.14468330206380881</v>
      </c>
      <c r="CU151">
        <v>1.3968285283097671E-2</v>
      </c>
      <c r="CV151">
        <v>-1</v>
      </c>
      <c r="CW151">
        <v>0</v>
      </c>
      <c r="CX151">
        <v>0</v>
      </c>
      <c r="CY151" t="s">
        <v>333</v>
      </c>
      <c r="CZ151">
        <v>2.36504</v>
      </c>
      <c r="DA151">
        <v>2.7136900000000002</v>
      </c>
      <c r="DB151">
        <v>8.4231700000000007E-2</v>
      </c>
      <c r="DC151">
        <v>0.14657400000000001</v>
      </c>
      <c r="DD151">
        <v>0.124865</v>
      </c>
      <c r="DE151">
        <v>1.60479E-3</v>
      </c>
      <c r="DF151">
        <v>33437</v>
      </c>
      <c r="DG151">
        <v>27478</v>
      </c>
      <c r="DH151">
        <v>31168.400000000001</v>
      </c>
      <c r="DI151">
        <v>28053.9</v>
      </c>
      <c r="DJ151">
        <v>37013.699999999997</v>
      </c>
      <c r="DK151">
        <v>39815.199999999997</v>
      </c>
      <c r="DL151">
        <v>44350.1</v>
      </c>
      <c r="DM151">
        <v>42497.3</v>
      </c>
      <c r="DN151">
        <v>1.49312</v>
      </c>
      <c r="DO151">
        <v>2.0621800000000001</v>
      </c>
      <c r="DP151">
        <v>7.8275800000000006E-2</v>
      </c>
      <c r="DQ151">
        <v>0.17935000000000001</v>
      </c>
      <c r="DR151">
        <v>25.694500000000001</v>
      </c>
      <c r="DS151">
        <v>25.326799999999999</v>
      </c>
      <c r="DT151">
        <v>35.6</v>
      </c>
      <c r="DU151">
        <v>25.6</v>
      </c>
      <c r="DV151">
        <v>11.8089</v>
      </c>
      <c r="DW151">
        <v>61.981400000000001</v>
      </c>
      <c r="DX151">
        <v>36.7468</v>
      </c>
      <c r="DY151">
        <v>1</v>
      </c>
      <c r="DZ151">
        <v>-0.14408499999999999</v>
      </c>
      <c r="EA151">
        <v>-0.74051500000000003</v>
      </c>
      <c r="EB151">
        <v>20.188600000000001</v>
      </c>
      <c r="EC151">
        <v>5.2424499999999998</v>
      </c>
      <c r="ED151">
        <v>12.039899999999999</v>
      </c>
      <c r="EE151">
        <v>5.0174000000000003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1.8687400000000001</v>
      </c>
      <c r="EL151">
        <v>1.86446</v>
      </c>
      <c r="EM151">
        <v>1.8690800000000001</v>
      </c>
      <c r="EN151">
        <v>1.8670800000000001</v>
      </c>
      <c r="EO151">
        <v>1.8632500000000001</v>
      </c>
      <c r="EP151">
        <v>1.86432</v>
      </c>
      <c r="EQ151">
        <v>1.87008</v>
      </c>
      <c r="ER151">
        <v>1.8692800000000001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-0.93100000000000005</v>
      </c>
      <c r="FG151">
        <v>0.19109999999999999</v>
      </c>
      <c r="FH151">
        <v>-0.68620417327404271</v>
      </c>
      <c r="FI151">
        <v>-6.1462078757559423E-4</v>
      </c>
      <c r="FJ151">
        <v>-1.8861989874597051E-7</v>
      </c>
      <c r="FK151">
        <v>1.1980462299894961E-10</v>
      </c>
      <c r="FL151">
        <v>0.1911242781723908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28.7</v>
      </c>
      <c r="FU151">
        <v>28.5</v>
      </c>
      <c r="FV151">
        <v>1.7614700000000001</v>
      </c>
      <c r="FW151">
        <v>2.5671400000000002</v>
      </c>
      <c r="FX151">
        <v>1.5490699999999999</v>
      </c>
      <c r="FY151">
        <v>2.33765</v>
      </c>
      <c r="FZ151">
        <v>1.50146</v>
      </c>
      <c r="GA151">
        <v>2.32056</v>
      </c>
      <c r="GB151">
        <v>30.933499999999999</v>
      </c>
      <c r="GC151">
        <v>23.973700000000001</v>
      </c>
      <c r="GD151">
        <v>19</v>
      </c>
      <c r="GE151">
        <v>287.25299999999999</v>
      </c>
      <c r="GF151">
        <v>597.01800000000003</v>
      </c>
      <c r="GG151">
        <v>25.9481</v>
      </c>
      <c r="GH151">
        <v>25.599900000000002</v>
      </c>
      <c r="GI151">
        <v>30</v>
      </c>
      <c r="GJ151">
        <v>25.712900000000001</v>
      </c>
      <c r="GK151">
        <v>25.6769</v>
      </c>
      <c r="GL151">
        <v>35.211300000000001</v>
      </c>
      <c r="GM151">
        <v>100</v>
      </c>
      <c r="GN151">
        <v>13.928599999999999</v>
      </c>
      <c r="GO151">
        <v>25.954000000000001</v>
      </c>
      <c r="GP151">
        <v>800</v>
      </c>
      <c r="GQ151">
        <v>0</v>
      </c>
      <c r="GR151">
        <v>99.718400000000003</v>
      </c>
      <c r="GS151">
        <v>99.437100000000001</v>
      </c>
    </row>
    <row r="152" spans="1:201" x14ac:dyDescent="0.25">
      <c r="A152">
        <v>136</v>
      </c>
      <c r="B152">
        <v>1690287990.5</v>
      </c>
      <c r="C152">
        <v>1451.900000095367</v>
      </c>
      <c r="D152" t="s">
        <v>605</v>
      </c>
      <c r="E152" t="s">
        <v>606</v>
      </c>
      <c r="F152" t="s">
        <v>330</v>
      </c>
      <c r="H152">
        <v>1690287990.5</v>
      </c>
      <c r="I152">
        <f t="shared" si="60"/>
        <v>2.8678570075433185E-3</v>
      </c>
      <c r="J152">
        <f t="shared" si="61"/>
        <v>2.8678570075433187</v>
      </c>
      <c r="K152">
        <f t="shared" si="62"/>
        <v>43.70221023037643</v>
      </c>
      <c r="L152">
        <f t="shared" si="63"/>
        <v>366.16199999999998</v>
      </c>
      <c r="M152">
        <f t="shared" si="64"/>
        <v>98.604785229756203</v>
      </c>
      <c r="N152">
        <f t="shared" si="65"/>
        <v>9.805402425766399</v>
      </c>
      <c r="O152">
        <f t="shared" si="66"/>
        <v>36.411678750251994</v>
      </c>
      <c r="P152">
        <f t="shared" si="67"/>
        <v>0.28067267949458446</v>
      </c>
      <c r="Q152">
        <f t="shared" si="68"/>
        <v>2.2980302669644872</v>
      </c>
      <c r="R152">
        <f t="shared" si="69"/>
        <v>0.26292422167480567</v>
      </c>
      <c r="S152">
        <f t="shared" si="70"/>
        <v>0.16582865317021581</v>
      </c>
      <c r="T152">
        <f t="shared" si="71"/>
        <v>276.11450418600003</v>
      </c>
      <c r="U152">
        <f t="shared" si="72"/>
        <v>27.830614554208776</v>
      </c>
      <c r="V152">
        <f t="shared" si="73"/>
        <v>27.830614554208776</v>
      </c>
      <c r="W152">
        <f t="shared" si="74"/>
        <v>3.7575282183687881</v>
      </c>
      <c r="X152">
        <f t="shared" si="75"/>
        <v>76.891659061502267</v>
      </c>
      <c r="Y152">
        <f t="shared" si="76"/>
        <v>2.7081286754964</v>
      </c>
      <c r="Z152">
        <f t="shared" si="77"/>
        <v>3.5220057787155907</v>
      </c>
      <c r="AA152">
        <f t="shared" si="78"/>
        <v>1.0493995428723881</v>
      </c>
      <c r="AB152">
        <f t="shared" si="79"/>
        <v>-126.47249403266035</v>
      </c>
      <c r="AC152">
        <f t="shared" si="80"/>
        <v>-136.82747386337385</v>
      </c>
      <c r="AD152">
        <f t="shared" si="81"/>
        <v>-12.885537881377154</v>
      </c>
      <c r="AE152">
        <f t="shared" si="82"/>
        <v>-7.1001591411317122E-2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52491.764196056763</v>
      </c>
      <c r="AK152">
        <f t="shared" si="86"/>
        <v>1800</v>
      </c>
      <c r="AL152">
        <f t="shared" si="87"/>
        <v>1499.1129486</v>
      </c>
      <c r="AM152">
        <f t="shared" si="88"/>
        <v>0.832840527</v>
      </c>
      <c r="AN152">
        <f t="shared" si="89"/>
        <v>0.15339694677000001</v>
      </c>
      <c r="AO152">
        <v>29.1</v>
      </c>
      <c r="AP152">
        <v>0.5</v>
      </c>
      <c r="AQ152" t="s">
        <v>331</v>
      </c>
      <c r="AR152">
        <v>2</v>
      </c>
      <c r="AS152">
        <v>1690287990.5</v>
      </c>
      <c r="AT152">
        <v>366.16199999999998</v>
      </c>
      <c r="AU152">
        <v>800.00199999999995</v>
      </c>
      <c r="AV152">
        <v>27.2334</v>
      </c>
      <c r="AW152">
        <v>0.18881800000000001</v>
      </c>
      <c r="AX152">
        <v>367.09300000000002</v>
      </c>
      <c r="AY152">
        <v>27.042300000000001</v>
      </c>
      <c r="AZ152">
        <v>300.178</v>
      </c>
      <c r="BA152">
        <v>99.341399999999993</v>
      </c>
      <c r="BB152">
        <v>0.100046</v>
      </c>
      <c r="BC152">
        <v>26.726199999999999</v>
      </c>
      <c r="BD152">
        <v>27.015499999999999</v>
      </c>
      <c r="BE152">
        <v>28.269600000000001</v>
      </c>
      <c r="BF152">
        <v>0</v>
      </c>
      <c r="BG152">
        <v>0</v>
      </c>
      <c r="BH152">
        <v>9983.1200000000008</v>
      </c>
      <c r="BI152">
        <v>1087.2</v>
      </c>
      <c r="BJ152">
        <v>1.1773899999999999</v>
      </c>
      <c r="BK152">
        <v>-433.84</v>
      </c>
      <c r="BL152">
        <v>376.41300000000001</v>
      </c>
      <c r="BM152">
        <v>800.15300000000002</v>
      </c>
      <c r="BN152">
        <v>27.044599999999999</v>
      </c>
      <c r="BO152">
        <v>800.00199999999995</v>
      </c>
      <c r="BP152">
        <v>0.18881800000000001</v>
      </c>
      <c r="BQ152">
        <v>2.7054100000000001</v>
      </c>
      <c r="BR152">
        <v>1.87575E-2</v>
      </c>
      <c r="BS152">
        <v>22.318000000000001</v>
      </c>
      <c r="BT152">
        <v>-40.041400000000003</v>
      </c>
      <c r="BU152">
        <v>1800</v>
      </c>
      <c r="BV152">
        <v>0.91001299999999996</v>
      </c>
      <c r="BW152">
        <v>3.39999E-2</v>
      </c>
      <c r="BX152">
        <v>2.19946E-2</v>
      </c>
      <c r="BY152">
        <v>3.3992500000000002E-2</v>
      </c>
      <c r="BZ152">
        <v>25</v>
      </c>
      <c r="CA152">
        <v>33528.400000000001</v>
      </c>
      <c r="CB152">
        <v>1690286268.5999999</v>
      </c>
      <c r="CC152" t="s">
        <v>332</v>
      </c>
      <c r="CD152">
        <v>1690286261.0999999</v>
      </c>
      <c r="CE152">
        <v>1690286268.5999999</v>
      </c>
      <c r="CF152">
        <v>1</v>
      </c>
      <c r="CG152">
        <v>-0.89900000000000002</v>
      </c>
      <c r="CH152">
        <v>3.4000000000000002E-2</v>
      </c>
      <c r="CI152">
        <v>-1.2370000000000001</v>
      </c>
      <c r="CJ152">
        <v>8.5999999999999993E-2</v>
      </c>
      <c r="CK152">
        <v>799</v>
      </c>
      <c r="CL152">
        <v>16</v>
      </c>
      <c r="CM152">
        <v>0.28999999999999998</v>
      </c>
      <c r="CN152">
        <v>0.09</v>
      </c>
      <c r="CO152">
        <v>-433.05443902439032</v>
      </c>
      <c r="CP152">
        <v>-4.2219930313590162</v>
      </c>
      <c r="CQ152">
        <v>0.41775065785183108</v>
      </c>
      <c r="CR152">
        <v>-1</v>
      </c>
      <c r="CS152">
        <v>27.010948780487801</v>
      </c>
      <c r="CT152">
        <v>0.17061533101042661</v>
      </c>
      <c r="CU152">
        <v>1.685499306424449E-2</v>
      </c>
      <c r="CV152">
        <v>-1</v>
      </c>
      <c r="CW152">
        <v>0</v>
      </c>
      <c r="CX152">
        <v>0</v>
      </c>
      <c r="CY152" t="s">
        <v>333</v>
      </c>
      <c r="CZ152">
        <v>2.36531</v>
      </c>
      <c r="DA152">
        <v>2.7138200000000001</v>
      </c>
      <c r="DB152">
        <v>8.4100599999999998E-2</v>
      </c>
      <c r="DC152">
        <v>0.146566</v>
      </c>
      <c r="DD152">
        <v>0.124955</v>
      </c>
      <c r="DE152">
        <v>1.59409E-3</v>
      </c>
      <c r="DF152">
        <v>33441.699999999997</v>
      </c>
      <c r="DG152">
        <v>27478.3</v>
      </c>
      <c r="DH152">
        <v>31168.400000000001</v>
      </c>
      <c r="DI152">
        <v>28054</v>
      </c>
      <c r="DJ152">
        <v>37009.9</v>
      </c>
      <c r="DK152">
        <v>39815.9</v>
      </c>
      <c r="DL152">
        <v>44350.2</v>
      </c>
      <c r="DM152">
        <v>42497.599999999999</v>
      </c>
      <c r="DN152">
        <v>1.4935700000000001</v>
      </c>
      <c r="DO152">
        <v>2.0619000000000001</v>
      </c>
      <c r="DP152">
        <v>8.0555699999999994E-2</v>
      </c>
      <c r="DQ152">
        <v>0.179753</v>
      </c>
      <c r="DR152">
        <v>25.6967</v>
      </c>
      <c r="DS152">
        <v>25.328900000000001</v>
      </c>
      <c r="DT152">
        <v>35.299999999999997</v>
      </c>
      <c r="DU152">
        <v>25.6</v>
      </c>
      <c r="DV152">
        <v>11.7104</v>
      </c>
      <c r="DW152">
        <v>62.331400000000002</v>
      </c>
      <c r="DX152">
        <v>36.310099999999998</v>
      </c>
      <c r="DY152">
        <v>1</v>
      </c>
      <c r="DZ152">
        <v>-0.14424500000000001</v>
      </c>
      <c r="EA152">
        <v>-0.69914500000000002</v>
      </c>
      <c r="EB152">
        <v>20.188800000000001</v>
      </c>
      <c r="EC152">
        <v>5.242</v>
      </c>
      <c r="ED152">
        <v>12.039899999999999</v>
      </c>
      <c r="EE152">
        <v>5.0175999999999998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1.8687499999999999</v>
      </c>
      <c r="EL152">
        <v>1.8644700000000001</v>
      </c>
      <c r="EM152">
        <v>1.86907</v>
      </c>
      <c r="EN152">
        <v>1.86707</v>
      </c>
      <c r="EO152">
        <v>1.8632500000000001</v>
      </c>
      <c r="EP152">
        <v>1.86432</v>
      </c>
      <c r="EQ152">
        <v>1.8701000000000001</v>
      </c>
      <c r="ER152">
        <v>1.8693299999999999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-0.93100000000000005</v>
      </c>
      <c r="FG152">
        <v>0.19109999999999999</v>
      </c>
      <c r="FH152">
        <v>-0.68620417327404271</v>
      </c>
      <c r="FI152">
        <v>-6.1462078757559423E-4</v>
      </c>
      <c r="FJ152">
        <v>-1.8861989874597051E-7</v>
      </c>
      <c r="FK152">
        <v>1.1980462299894961E-10</v>
      </c>
      <c r="FL152">
        <v>0.1911242781723908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28.8</v>
      </c>
      <c r="FU152">
        <v>28.7</v>
      </c>
      <c r="FV152">
        <v>1.7602500000000001</v>
      </c>
      <c r="FW152">
        <v>2.5708000000000002</v>
      </c>
      <c r="FX152">
        <v>1.5490699999999999</v>
      </c>
      <c r="FY152">
        <v>2.33765</v>
      </c>
      <c r="FZ152">
        <v>1.50146</v>
      </c>
      <c r="GA152">
        <v>2.3559600000000001</v>
      </c>
      <c r="GB152">
        <v>30.955200000000001</v>
      </c>
      <c r="GC152">
        <v>23.982399999999998</v>
      </c>
      <c r="GD152">
        <v>19</v>
      </c>
      <c r="GE152">
        <v>287.44600000000003</v>
      </c>
      <c r="GF152">
        <v>596.78700000000003</v>
      </c>
      <c r="GG152">
        <v>25.960999999999999</v>
      </c>
      <c r="GH152">
        <v>25.599900000000002</v>
      </c>
      <c r="GI152">
        <v>30.0001</v>
      </c>
      <c r="GJ152">
        <v>25.712900000000001</v>
      </c>
      <c r="GK152">
        <v>25.6769</v>
      </c>
      <c r="GL152">
        <v>35.209499999999998</v>
      </c>
      <c r="GM152">
        <v>100</v>
      </c>
      <c r="GN152">
        <v>13.557399999999999</v>
      </c>
      <c r="GO152">
        <v>25.951599999999999</v>
      </c>
      <c r="GP152">
        <v>800</v>
      </c>
      <c r="GQ152">
        <v>0</v>
      </c>
      <c r="GR152">
        <v>99.718400000000003</v>
      </c>
      <c r="GS152">
        <v>99.437600000000003</v>
      </c>
    </row>
    <row r="153" spans="1:201" x14ac:dyDescent="0.25">
      <c r="A153">
        <v>137</v>
      </c>
      <c r="B153">
        <v>1690288000.5</v>
      </c>
      <c r="C153">
        <v>1461.900000095367</v>
      </c>
      <c r="D153" t="s">
        <v>607</v>
      </c>
      <c r="E153" t="s">
        <v>608</v>
      </c>
      <c r="F153" t="s">
        <v>330</v>
      </c>
      <c r="H153">
        <v>1690288000.5</v>
      </c>
      <c r="I153">
        <f t="shared" si="60"/>
        <v>2.8718953620930376E-3</v>
      </c>
      <c r="J153">
        <f t="shared" si="61"/>
        <v>2.8718953620930376</v>
      </c>
      <c r="K153">
        <f t="shared" si="62"/>
        <v>43.780845587949948</v>
      </c>
      <c r="L153">
        <f t="shared" si="63"/>
        <v>365.41399999999999</v>
      </c>
      <c r="M153">
        <f t="shared" si="64"/>
        <v>98.841364747262247</v>
      </c>
      <c r="N153">
        <f t="shared" si="65"/>
        <v>9.8290442649592595</v>
      </c>
      <c r="O153">
        <f t="shared" si="66"/>
        <v>36.337725508138597</v>
      </c>
      <c r="P153">
        <f t="shared" si="67"/>
        <v>0.28227696162033872</v>
      </c>
      <c r="Q153">
        <f t="shared" si="68"/>
        <v>2.301123637767593</v>
      </c>
      <c r="R153">
        <f t="shared" si="69"/>
        <v>0.26435446687763792</v>
      </c>
      <c r="S153">
        <f t="shared" si="70"/>
        <v>0.16673688940438872</v>
      </c>
      <c r="T153">
        <f t="shared" si="71"/>
        <v>276.11417946600005</v>
      </c>
      <c r="U153">
        <f t="shared" si="72"/>
        <v>27.827342291160246</v>
      </c>
      <c r="V153">
        <f t="shared" si="73"/>
        <v>27.827342291160246</v>
      </c>
      <c r="W153">
        <f t="shared" si="74"/>
        <v>3.7568105820446709</v>
      </c>
      <c r="X153">
        <f t="shared" si="75"/>
        <v>76.993542087767509</v>
      </c>
      <c r="Y153">
        <f t="shared" si="76"/>
        <v>2.7116212479571802</v>
      </c>
      <c r="Z153">
        <f t="shared" si="77"/>
        <v>3.5218814129451439</v>
      </c>
      <c r="AA153">
        <f t="shared" si="78"/>
        <v>1.0451893340874907</v>
      </c>
      <c r="AB153">
        <f t="shared" si="79"/>
        <v>-126.65058546830296</v>
      </c>
      <c r="AC153">
        <f t="shared" si="80"/>
        <v>-136.68014078137696</v>
      </c>
      <c r="AD153">
        <f t="shared" si="81"/>
        <v>-12.854110927474427</v>
      </c>
      <c r="AE153">
        <f t="shared" si="82"/>
        <v>-7.0657711154296976E-2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52608.963798741126</v>
      </c>
      <c r="AK153">
        <f t="shared" si="86"/>
        <v>1800</v>
      </c>
      <c r="AL153">
        <f t="shared" si="87"/>
        <v>1499.1135336</v>
      </c>
      <c r="AM153">
        <f t="shared" si="88"/>
        <v>0.83284085200000002</v>
      </c>
      <c r="AN153">
        <f t="shared" si="89"/>
        <v>0.15339676637000002</v>
      </c>
      <c r="AO153">
        <v>29.1</v>
      </c>
      <c r="AP153">
        <v>0.5</v>
      </c>
      <c r="AQ153" t="s">
        <v>331</v>
      </c>
      <c r="AR153">
        <v>2</v>
      </c>
      <c r="AS153">
        <v>1690288000.5</v>
      </c>
      <c r="AT153">
        <v>365.41399999999999</v>
      </c>
      <c r="AU153">
        <v>799.99099999999999</v>
      </c>
      <c r="AV153">
        <v>27.2682</v>
      </c>
      <c r="AW153">
        <v>0.18767700000000001</v>
      </c>
      <c r="AX153">
        <v>366.34500000000003</v>
      </c>
      <c r="AY153">
        <v>27.077100000000002</v>
      </c>
      <c r="AZ153">
        <v>300.19099999999997</v>
      </c>
      <c r="BA153">
        <v>99.342699999999994</v>
      </c>
      <c r="BB153">
        <v>9.9919900000000006E-2</v>
      </c>
      <c r="BC153">
        <v>26.7256</v>
      </c>
      <c r="BD153">
        <v>26.995999999999999</v>
      </c>
      <c r="BE153">
        <v>28.281300000000002</v>
      </c>
      <c r="BF153">
        <v>0</v>
      </c>
      <c r="BG153">
        <v>0</v>
      </c>
      <c r="BH153">
        <v>10006.200000000001</v>
      </c>
      <c r="BI153">
        <v>1087.06</v>
      </c>
      <c r="BJ153">
        <v>1.2334499999999999</v>
      </c>
      <c r="BK153">
        <v>-434.577</v>
      </c>
      <c r="BL153">
        <v>375.65699999999998</v>
      </c>
      <c r="BM153">
        <v>800.14099999999996</v>
      </c>
      <c r="BN153">
        <v>27.080500000000001</v>
      </c>
      <c r="BO153">
        <v>799.99099999999999</v>
      </c>
      <c r="BP153">
        <v>0.18767700000000001</v>
      </c>
      <c r="BQ153">
        <v>2.7088999999999999</v>
      </c>
      <c r="BR153">
        <v>1.8644299999999999E-2</v>
      </c>
      <c r="BS153">
        <v>22.339200000000002</v>
      </c>
      <c r="BT153">
        <v>-40.099299999999999</v>
      </c>
      <c r="BU153">
        <v>1800</v>
      </c>
      <c r="BV153">
        <v>0.91001900000000002</v>
      </c>
      <c r="BW153">
        <v>3.3997600000000003E-2</v>
      </c>
      <c r="BX153">
        <v>2.1993100000000002E-2</v>
      </c>
      <c r="BY153">
        <v>3.3990100000000002E-2</v>
      </c>
      <c r="BZ153">
        <v>25</v>
      </c>
      <c r="CA153">
        <v>33528.5</v>
      </c>
      <c r="CB153">
        <v>1690286268.5999999</v>
      </c>
      <c r="CC153" t="s">
        <v>332</v>
      </c>
      <c r="CD153">
        <v>1690286261.0999999</v>
      </c>
      <c r="CE153">
        <v>1690286268.5999999</v>
      </c>
      <c r="CF153">
        <v>1</v>
      </c>
      <c r="CG153">
        <v>-0.89900000000000002</v>
      </c>
      <c r="CH153">
        <v>3.4000000000000002E-2</v>
      </c>
      <c r="CI153">
        <v>-1.2370000000000001</v>
      </c>
      <c r="CJ153">
        <v>8.5999999999999993E-2</v>
      </c>
      <c r="CK153">
        <v>799</v>
      </c>
      <c r="CL153">
        <v>16</v>
      </c>
      <c r="CM153">
        <v>0.28999999999999998</v>
      </c>
      <c r="CN153">
        <v>0.09</v>
      </c>
      <c r="CO153">
        <v>-433.81382500000001</v>
      </c>
      <c r="CP153">
        <v>-4.334983114444019</v>
      </c>
      <c r="CQ153">
        <v>0.41822301990085919</v>
      </c>
      <c r="CR153">
        <v>-1</v>
      </c>
      <c r="CS153">
        <v>27.043777500000001</v>
      </c>
      <c r="CT153">
        <v>0.1998270168855035</v>
      </c>
      <c r="CU153">
        <v>1.9263728708378419E-2</v>
      </c>
      <c r="CV153">
        <v>-1</v>
      </c>
      <c r="CW153">
        <v>0</v>
      </c>
      <c r="CX153">
        <v>0</v>
      </c>
      <c r="CY153" t="s">
        <v>333</v>
      </c>
      <c r="CZ153">
        <v>2.36537</v>
      </c>
      <c r="DA153">
        <v>2.7137199999999999</v>
      </c>
      <c r="DB153">
        <v>8.3968200000000007E-2</v>
      </c>
      <c r="DC153">
        <v>0.146566</v>
      </c>
      <c r="DD153">
        <v>0.12506700000000001</v>
      </c>
      <c r="DE153">
        <v>1.5845799999999999E-3</v>
      </c>
      <c r="DF153">
        <v>33446.699999999997</v>
      </c>
      <c r="DG153">
        <v>27478.400000000001</v>
      </c>
      <c r="DH153">
        <v>31168.5</v>
      </c>
      <c r="DI153">
        <v>28054.1</v>
      </c>
      <c r="DJ153">
        <v>37005.199999999997</v>
      </c>
      <c r="DK153">
        <v>39816.6</v>
      </c>
      <c r="DL153">
        <v>44350.400000000001</v>
      </c>
      <c r="DM153">
        <v>42497.9</v>
      </c>
      <c r="DN153">
        <v>1.49312</v>
      </c>
      <c r="DO153">
        <v>2.0617700000000001</v>
      </c>
      <c r="DP153">
        <v>7.9229499999999994E-2</v>
      </c>
      <c r="DQ153">
        <v>0.18032599999999999</v>
      </c>
      <c r="DR153">
        <v>25.698899999999998</v>
      </c>
      <c r="DS153">
        <v>25.331299999999999</v>
      </c>
      <c r="DT153">
        <v>35.1</v>
      </c>
      <c r="DU153">
        <v>25.6</v>
      </c>
      <c r="DV153">
        <v>11.643599999999999</v>
      </c>
      <c r="DW153">
        <v>62.081400000000002</v>
      </c>
      <c r="DX153">
        <v>36.4223</v>
      </c>
      <c r="DY153">
        <v>1</v>
      </c>
      <c r="DZ153">
        <v>-0.14374500000000001</v>
      </c>
      <c r="EA153">
        <v>-0.59048999999999996</v>
      </c>
      <c r="EB153">
        <v>20.189699999999998</v>
      </c>
      <c r="EC153">
        <v>5.242</v>
      </c>
      <c r="ED153">
        <v>12.039899999999999</v>
      </c>
      <c r="EE153">
        <v>5.0177500000000004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1.8687499999999999</v>
      </c>
      <c r="EL153">
        <v>1.8644700000000001</v>
      </c>
      <c r="EM153">
        <v>1.8691</v>
      </c>
      <c r="EN153">
        <v>1.8670800000000001</v>
      </c>
      <c r="EO153">
        <v>1.8632500000000001</v>
      </c>
      <c r="EP153">
        <v>1.86432</v>
      </c>
      <c r="EQ153">
        <v>1.8701000000000001</v>
      </c>
      <c r="ER153">
        <v>1.8693200000000001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-0.93100000000000005</v>
      </c>
      <c r="FG153">
        <v>0.19109999999999999</v>
      </c>
      <c r="FH153">
        <v>-0.68620417327404271</v>
      </c>
      <c r="FI153">
        <v>-6.1462078757559423E-4</v>
      </c>
      <c r="FJ153">
        <v>-1.8861989874597051E-7</v>
      </c>
      <c r="FK153">
        <v>1.1980462299894961E-10</v>
      </c>
      <c r="FL153">
        <v>0.1911242781723908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29</v>
      </c>
      <c r="FU153">
        <v>28.9</v>
      </c>
      <c r="FV153">
        <v>1.7614700000000001</v>
      </c>
      <c r="FW153">
        <v>2.5610400000000002</v>
      </c>
      <c r="FX153">
        <v>1.5490699999999999</v>
      </c>
      <c r="FY153">
        <v>2.33765</v>
      </c>
      <c r="FZ153">
        <v>1.50146</v>
      </c>
      <c r="GA153">
        <v>2.36816</v>
      </c>
      <c r="GB153">
        <v>30.955200000000001</v>
      </c>
      <c r="GC153">
        <v>23.991199999999999</v>
      </c>
      <c r="GD153">
        <v>19</v>
      </c>
      <c r="GE153">
        <v>287.25299999999999</v>
      </c>
      <c r="GF153">
        <v>596.68200000000002</v>
      </c>
      <c r="GG153">
        <v>25.931699999999999</v>
      </c>
      <c r="GH153">
        <v>25.599900000000002</v>
      </c>
      <c r="GI153">
        <v>30.0001</v>
      </c>
      <c r="GJ153">
        <v>25.712900000000001</v>
      </c>
      <c r="GK153">
        <v>25.6769</v>
      </c>
      <c r="GL153">
        <v>35.212499999999999</v>
      </c>
      <c r="GM153">
        <v>100</v>
      </c>
      <c r="GN153">
        <v>12.763999999999999</v>
      </c>
      <c r="GO153">
        <v>25.943200000000001</v>
      </c>
      <c r="GP153">
        <v>800</v>
      </c>
      <c r="GQ153">
        <v>0</v>
      </c>
      <c r="GR153">
        <v>99.718900000000005</v>
      </c>
      <c r="GS153">
        <v>99.438299999999998</v>
      </c>
    </row>
    <row r="154" spans="1:201" x14ac:dyDescent="0.25">
      <c r="A154">
        <v>138</v>
      </c>
      <c r="B154">
        <v>1690288010.5</v>
      </c>
      <c r="C154">
        <v>1471.900000095367</v>
      </c>
      <c r="D154" t="s">
        <v>609</v>
      </c>
      <c r="E154" t="s">
        <v>610</v>
      </c>
      <c r="F154" t="s">
        <v>330</v>
      </c>
      <c r="H154">
        <v>1690288010.5</v>
      </c>
      <c r="I154">
        <f t="shared" si="60"/>
        <v>2.8757183684857625E-3</v>
      </c>
      <c r="J154">
        <f t="shared" si="61"/>
        <v>2.8757183684857623</v>
      </c>
      <c r="K154">
        <f t="shared" si="62"/>
        <v>43.860080729343295</v>
      </c>
      <c r="L154">
        <f t="shared" si="63"/>
        <v>364.69900000000001</v>
      </c>
      <c r="M154">
        <f t="shared" si="64"/>
        <v>98.586299057481469</v>
      </c>
      <c r="N154">
        <f t="shared" si="65"/>
        <v>9.803788713653649</v>
      </c>
      <c r="O154">
        <f t="shared" si="66"/>
        <v>36.267026699075998</v>
      </c>
      <c r="P154">
        <f t="shared" si="67"/>
        <v>0.28333245113563799</v>
      </c>
      <c r="Q154">
        <f t="shared" si="68"/>
        <v>2.2998116818807333</v>
      </c>
      <c r="R154">
        <f t="shared" si="69"/>
        <v>0.26527067765801315</v>
      </c>
      <c r="S154">
        <f t="shared" si="70"/>
        <v>0.16732091175586414</v>
      </c>
      <c r="T154">
        <f t="shared" si="71"/>
        <v>276.11402085000003</v>
      </c>
      <c r="U154">
        <f t="shared" si="72"/>
        <v>27.831667714153632</v>
      </c>
      <c r="V154">
        <f t="shared" si="73"/>
        <v>27.831667714153632</v>
      </c>
      <c r="W154">
        <f t="shared" si="74"/>
        <v>3.757759211131726</v>
      </c>
      <c r="X154">
        <f t="shared" si="75"/>
        <v>77.061225637582595</v>
      </c>
      <c r="Y154">
        <f t="shared" si="76"/>
        <v>2.7148037208276001</v>
      </c>
      <c r="Z154">
        <f t="shared" si="77"/>
        <v>3.5229179115256586</v>
      </c>
      <c r="AA154">
        <f t="shared" si="78"/>
        <v>1.0429554903041258</v>
      </c>
      <c r="AB154">
        <f t="shared" si="79"/>
        <v>-126.81918005022213</v>
      </c>
      <c r="AC154">
        <f t="shared" si="80"/>
        <v>-136.51857528536439</v>
      </c>
      <c r="AD154">
        <f t="shared" si="81"/>
        <v>-12.84683897300309</v>
      </c>
      <c r="AE154">
        <f t="shared" si="82"/>
        <v>-7.0573458589620941E-2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52558.441318438701</v>
      </c>
      <c r="AK154">
        <f t="shared" si="86"/>
        <v>1800</v>
      </c>
      <c r="AL154">
        <f t="shared" si="87"/>
        <v>1499.1135299999996</v>
      </c>
      <c r="AM154">
        <f t="shared" si="88"/>
        <v>0.83284084999999985</v>
      </c>
      <c r="AN154">
        <f t="shared" si="89"/>
        <v>0.15339667825000003</v>
      </c>
      <c r="AO154">
        <v>29.1</v>
      </c>
      <c r="AP154">
        <v>0.5</v>
      </c>
      <c r="AQ154" t="s">
        <v>331</v>
      </c>
      <c r="AR154">
        <v>2</v>
      </c>
      <c r="AS154">
        <v>1690288010.5</v>
      </c>
      <c r="AT154">
        <v>364.69900000000001</v>
      </c>
      <c r="AU154">
        <v>800</v>
      </c>
      <c r="AV154">
        <v>27.299900000000001</v>
      </c>
      <c r="AW154">
        <v>0.18656</v>
      </c>
      <c r="AX154">
        <v>365.62900000000002</v>
      </c>
      <c r="AY154">
        <v>27.108699999999999</v>
      </c>
      <c r="AZ154">
        <v>300.21699999999998</v>
      </c>
      <c r="BA154">
        <v>99.343699999999998</v>
      </c>
      <c r="BB154">
        <v>0.100024</v>
      </c>
      <c r="BC154">
        <v>26.730599999999999</v>
      </c>
      <c r="BD154">
        <v>26.9833</v>
      </c>
      <c r="BE154">
        <v>28.2636</v>
      </c>
      <c r="BF154">
        <v>0</v>
      </c>
      <c r="BG154">
        <v>0</v>
      </c>
      <c r="BH154">
        <v>9996.25</v>
      </c>
      <c r="BI154">
        <v>1087.07</v>
      </c>
      <c r="BJ154">
        <v>1.2474700000000001</v>
      </c>
      <c r="BK154">
        <v>-435.30099999999999</v>
      </c>
      <c r="BL154">
        <v>374.93400000000003</v>
      </c>
      <c r="BM154">
        <v>800.149</v>
      </c>
      <c r="BN154">
        <v>27.113299999999999</v>
      </c>
      <c r="BO154">
        <v>800</v>
      </c>
      <c r="BP154">
        <v>0.18656</v>
      </c>
      <c r="BQ154">
        <v>2.7120700000000002</v>
      </c>
      <c r="BR154">
        <v>1.8533500000000001E-2</v>
      </c>
      <c r="BS154">
        <v>22.3584</v>
      </c>
      <c r="BT154">
        <v>-40.156300000000002</v>
      </c>
      <c r="BU154">
        <v>1800</v>
      </c>
      <c r="BV154">
        <v>0.91002099999999997</v>
      </c>
      <c r="BW154">
        <v>3.3996800000000001E-2</v>
      </c>
      <c r="BX154">
        <v>2.1992500000000002E-2</v>
      </c>
      <c r="BY154">
        <v>3.39893E-2</v>
      </c>
      <c r="BZ154">
        <v>25</v>
      </c>
      <c r="CA154">
        <v>33528.5</v>
      </c>
      <c r="CB154">
        <v>1690286268.5999999</v>
      </c>
      <c r="CC154" t="s">
        <v>332</v>
      </c>
      <c r="CD154">
        <v>1690286261.0999999</v>
      </c>
      <c r="CE154">
        <v>1690286268.5999999</v>
      </c>
      <c r="CF154">
        <v>1</v>
      </c>
      <c r="CG154">
        <v>-0.89900000000000002</v>
      </c>
      <c r="CH154">
        <v>3.4000000000000002E-2</v>
      </c>
      <c r="CI154">
        <v>-1.2370000000000001</v>
      </c>
      <c r="CJ154">
        <v>8.5999999999999993E-2</v>
      </c>
      <c r="CK154">
        <v>799</v>
      </c>
      <c r="CL154">
        <v>16</v>
      </c>
      <c r="CM154">
        <v>0.28999999999999998</v>
      </c>
      <c r="CN154">
        <v>0.09</v>
      </c>
      <c r="CO154">
        <v>-434.452675</v>
      </c>
      <c r="CP154">
        <v>-4.1581575984977794</v>
      </c>
      <c r="CQ154">
        <v>0.40231948669558742</v>
      </c>
      <c r="CR154">
        <v>-1</v>
      </c>
      <c r="CS154">
        <v>27.075297500000001</v>
      </c>
      <c r="CT154">
        <v>0.2180611632269974</v>
      </c>
      <c r="CU154">
        <v>2.1002922266913068E-2</v>
      </c>
      <c r="CV154">
        <v>-1</v>
      </c>
      <c r="CW154">
        <v>0</v>
      </c>
      <c r="CX154">
        <v>0</v>
      </c>
      <c r="CY154" t="s">
        <v>333</v>
      </c>
      <c r="CZ154">
        <v>2.36544</v>
      </c>
      <c r="DA154">
        <v>2.7138100000000001</v>
      </c>
      <c r="DB154">
        <v>8.3841399999999996E-2</v>
      </c>
      <c r="DC154">
        <v>0.146569</v>
      </c>
      <c r="DD154">
        <v>0.125169</v>
      </c>
      <c r="DE154">
        <v>1.5752699999999999E-3</v>
      </c>
      <c r="DF154">
        <v>33451.1</v>
      </c>
      <c r="DG154">
        <v>27478.2</v>
      </c>
      <c r="DH154">
        <v>31168.2</v>
      </c>
      <c r="DI154">
        <v>28053.9</v>
      </c>
      <c r="DJ154">
        <v>37000.5</v>
      </c>
      <c r="DK154">
        <v>39816.699999999997</v>
      </c>
      <c r="DL154">
        <v>44350</v>
      </c>
      <c r="DM154">
        <v>42497.7</v>
      </c>
      <c r="DN154">
        <v>1.4937</v>
      </c>
      <c r="DO154">
        <v>2.0617999999999999</v>
      </c>
      <c r="DP154">
        <v>7.8342899999999993E-2</v>
      </c>
      <c r="DQ154">
        <v>0.17887400000000001</v>
      </c>
      <c r="DR154">
        <v>25.700800000000001</v>
      </c>
      <c r="DS154">
        <v>25.337399999999999</v>
      </c>
      <c r="DT154">
        <v>34.799999999999997</v>
      </c>
      <c r="DU154">
        <v>25.6</v>
      </c>
      <c r="DV154">
        <v>11.543799999999999</v>
      </c>
      <c r="DW154">
        <v>62.011400000000002</v>
      </c>
      <c r="DX154">
        <v>37.147399999999998</v>
      </c>
      <c r="DY154">
        <v>1</v>
      </c>
      <c r="DZ154">
        <v>-0.14419699999999999</v>
      </c>
      <c r="EA154">
        <v>-0.67240500000000003</v>
      </c>
      <c r="EB154">
        <v>20.1891</v>
      </c>
      <c r="EC154">
        <v>5.2426000000000004</v>
      </c>
      <c r="ED154">
        <v>12.039899999999999</v>
      </c>
      <c r="EE154">
        <v>5.0174000000000003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1.86876</v>
      </c>
      <c r="EL154">
        <v>1.8644700000000001</v>
      </c>
      <c r="EM154">
        <v>1.86907</v>
      </c>
      <c r="EN154">
        <v>1.86707</v>
      </c>
      <c r="EO154">
        <v>1.8632500000000001</v>
      </c>
      <c r="EP154">
        <v>1.86432</v>
      </c>
      <c r="EQ154">
        <v>1.8701000000000001</v>
      </c>
      <c r="ER154">
        <v>1.86934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-0.93</v>
      </c>
      <c r="FG154">
        <v>0.19120000000000001</v>
      </c>
      <c r="FH154">
        <v>-0.68620417327404271</v>
      </c>
      <c r="FI154">
        <v>-6.1462078757559423E-4</v>
      </c>
      <c r="FJ154">
        <v>-1.8861989874597051E-7</v>
      </c>
      <c r="FK154">
        <v>1.1980462299894961E-10</v>
      </c>
      <c r="FL154">
        <v>0.1911242781723908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29.2</v>
      </c>
      <c r="FU154">
        <v>29</v>
      </c>
      <c r="FV154">
        <v>1.7614700000000001</v>
      </c>
      <c r="FW154">
        <v>2.5708000000000002</v>
      </c>
      <c r="FX154">
        <v>1.5490699999999999</v>
      </c>
      <c r="FY154">
        <v>2.33765</v>
      </c>
      <c r="FZ154">
        <v>1.50146</v>
      </c>
      <c r="GA154">
        <v>2.3071299999999999</v>
      </c>
      <c r="GB154">
        <v>30.955200000000001</v>
      </c>
      <c r="GC154">
        <v>23.991199999999999</v>
      </c>
      <c r="GD154">
        <v>19</v>
      </c>
      <c r="GE154">
        <v>287.5</v>
      </c>
      <c r="GF154">
        <v>596.70299999999997</v>
      </c>
      <c r="GG154">
        <v>25.937100000000001</v>
      </c>
      <c r="GH154">
        <v>25.599900000000002</v>
      </c>
      <c r="GI154">
        <v>30.0001</v>
      </c>
      <c r="GJ154">
        <v>25.712900000000001</v>
      </c>
      <c r="GK154">
        <v>25.6769</v>
      </c>
      <c r="GL154">
        <v>35.213299999999997</v>
      </c>
      <c r="GM154">
        <v>100</v>
      </c>
      <c r="GN154">
        <v>11.979699999999999</v>
      </c>
      <c r="GO154">
        <v>25.9376</v>
      </c>
      <c r="GP154">
        <v>800</v>
      </c>
      <c r="GQ154">
        <v>0</v>
      </c>
      <c r="GR154">
        <v>99.718100000000007</v>
      </c>
      <c r="GS154">
        <v>99.437600000000003</v>
      </c>
    </row>
    <row r="155" spans="1:201" x14ac:dyDescent="0.25">
      <c r="A155">
        <v>139</v>
      </c>
      <c r="B155">
        <v>1690288020.5</v>
      </c>
      <c r="C155">
        <v>1481.900000095367</v>
      </c>
      <c r="D155" t="s">
        <v>611</v>
      </c>
      <c r="E155" t="s">
        <v>612</v>
      </c>
      <c r="F155" t="s">
        <v>330</v>
      </c>
      <c r="H155">
        <v>1690288020.5</v>
      </c>
      <c r="I155">
        <f t="shared" si="60"/>
        <v>2.8777363607687526E-3</v>
      </c>
      <c r="J155">
        <f t="shared" si="61"/>
        <v>2.8777363607687527</v>
      </c>
      <c r="K155">
        <f t="shared" si="62"/>
        <v>43.903175873277632</v>
      </c>
      <c r="L155">
        <f t="shared" si="63"/>
        <v>364.06099999999998</v>
      </c>
      <c r="M155">
        <f t="shared" si="64"/>
        <v>98.518711799018902</v>
      </c>
      <c r="N155">
        <f t="shared" si="65"/>
        <v>9.7969109796329032</v>
      </c>
      <c r="O155">
        <f t="shared" si="66"/>
        <v>36.203002891798391</v>
      </c>
      <c r="P155">
        <f t="shared" si="67"/>
        <v>0.28425906965708742</v>
      </c>
      <c r="Q155">
        <f t="shared" si="68"/>
        <v>2.3004510535878464</v>
      </c>
      <c r="R155">
        <f t="shared" si="69"/>
        <v>0.26608773353392834</v>
      </c>
      <c r="S155">
        <f t="shared" si="70"/>
        <v>0.16784056280988224</v>
      </c>
      <c r="T155">
        <f t="shared" si="71"/>
        <v>276.11238772176847</v>
      </c>
      <c r="U155">
        <f t="shared" si="72"/>
        <v>27.832917588065325</v>
      </c>
      <c r="V155">
        <f t="shared" si="73"/>
        <v>27.832917588065325</v>
      </c>
      <c r="W155">
        <f t="shared" si="74"/>
        <v>3.7580333658428264</v>
      </c>
      <c r="X155">
        <f t="shared" si="75"/>
        <v>77.130172354622957</v>
      </c>
      <c r="Y155">
        <f t="shared" si="76"/>
        <v>2.7175844815235202</v>
      </c>
      <c r="Z155">
        <f t="shared" si="77"/>
        <v>3.5233740552644259</v>
      </c>
      <c r="AA155">
        <f t="shared" si="78"/>
        <v>1.0404488843193063</v>
      </c>
      <c r="AB155">
        <f t="shared" si="79"/>
        <v>-126.90817350990199</v>
      </c>
      <c r="AC155">
        <f t="shared" si="80"/>
        <v>-136.43869241843217</v>
      </c>
      <c r="AD155">
        <f t="shared" si="81"/>
        <v>-12.835974391171558</v>
      </c>
      <c r="AE155">
        <f t="shared" si="82"/>
        <v>-7.0452597737215683E-2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52582.224381109656</v>
      </c>
      <c r="AK155">
        <f t="shared" si="86"/>
        <v>1799.99</v>
      </c>
      <c r="AL155">
        <f t="shared" si="87"/>
        <v>1499.10577038834</v>
      </c>
      <c r="AM155">
        <f t="shared" si="88"/>
        <v>0.83284116600000002</v>
      </c>
      <c r="AN155">
        <f t="shared" si="89"/>
        <v>0.15339662316000002</v>
      </c>
      <c r="AO155">
        <v>29.1</v>
      </c>
      <c r="AP155">
        <v>0.5</v>
      </c>
      <c r="AQ155" t="s">
        <v>331</v>
      </c>
      <c r="AR155">
        <v>2</v>
      </c>
      <c r="AS155">
        <v>1690288020.5</v>
      </c>
      <c r="AT155">
        <v>364.06099999999998</v>
      </c>
      <c r="AU155">
        <v>799.952</v>
      </c>
      <c r="AV155">
        <v>27.328299999999999</v>
      </c>
      <c r="AW155">
        <v>0.185334</v>
      </c>
      <c r="AX155">
        <v>364.99099999999999</v>
      </c>
      <c r="AY155">
        <v>27.1372</v>
      </c>
      <c r="AZ155">
        <v>300.09100000000001</v>
      </c>
      <c r="BA155">
        <v>99.342200000000005</v>
      </c>
      <c r="BB155">
        <v>9.9934400000000007E-2</v>
      </c>
      <c r="BC155">
        <v>26.732800000000001</v>
      </c>
      <c r="BD155">
        <v>27.022300000000001</v>
      </c>
      <c r="BE155">
        <v>28.273800000000001</v>
      </c>
      <c r="BF155">
        <v>0</v>
      </c>
      <c r="BG155">
        <v>0</v>
      </c>
      <c r="BH155">
        <v>10001.200000000001</v>
      </c>
      <c r="BI155">
        <v>1087</v>
      </c>
      <c r="BJ155">
        <v>1.28952</v>
      </c>
      <c r="BK155">
        <v>-435.892</v>
      </c>
      <c r="BL155">
        <v>374.28899999999999</v>
      </c>
      <c r="BM155">
        <v>800.101</v>
      </c>
      <c r="BN155">
        <v>27.143000000000001</v>
      </c>
      <c r="BO155">
        <v>799.952</v>
      </c>
      <c r="BP155">
        <v>0.185334</v>
      </c>
      <c r="BQ155">
        <v>2.7148599999999998</v>
      </c>
      <c r="BR155">
        <v>1.8411400000000001E-2</v>
      </c>
      <c r="BS155">
        <v>22.375299999999999</v>
      </c>
      <c r="BT155">
        <v>-40.219499999999996</v>
      </c>
      <c r="BU155">
        <v>1799.99</v>
      </c>
      <c r="BV155">
        <v>0.91002400000000006</v>
      </c>
      <c r="BW155">
        <v>3.3995699999999997E-2</v>
      </c>
      <c r="BX155">
        <v>2.1991799999999999E-2</v>
      </c>
      <c r="BY155">
        <v>3.3988200000000003E-2</v>
      </c>
      <c r="BZ155">
        <v>25</v>
      </c>
      <c r="CA155">
        <v>33528.400000000001</v>
      </c>
      <c r="CB155">
        <v>1690286268.5999999</v>
      </c>
      <c r="CC155" t="s">
        <v>332</v>
      </c>
      <c r="CD155">
        <v>1690286261.0999999</v>
      </c>
      <c r="CE155">
        <v>1690286268.5999999</v>
      </c>
      <c r="CF155">
        <v>1</v>
      </c>
      <c r="CG155">
        <v>-0.89900000000000002</v>
      </c>
      <c r="CH155">
        <v>3.4000000000000002E-2</v>
      </c>
      <c r="CI155">
        <v>-1.2370000000000001</v>
      </c>
      <c r="CJ155">
        <v>8.5999999999999993E-2</v>
      </c>
      <c r="CK155">
        <v>799</v>
      </c>
      <c r="CL155">
        <v>16</v>
      </c>
      <c r="CM155">
        <v>0.28999999999999998</v>
      </c>
      <c r="CN155">
        <v>0.09</v>
      </c>
      <c r="CO155">
        <v>-435.18660975609748</v>
      </c>
      <c r="CP155">
        <v>-4.158773519164134</v>
      </c>
      <c r="CQ155">
        <v>0.41212867266382502</v>
      </c>
      <c r="CR155">
        <v>-1</v>
      </c>
      <c r="CS155">
        <v>27.110326829268288</v>
      </c>
      <c r="CT155">
        <v>0.1910550522647364</v>
      </c>
      <c r="CU155">
        <v>1.8851111429875379E-2</v>
      </c>
      <c r="CV155">
        <v>-1</v>
      </c>
      <c r="CW155">
        <v>0</v>
      </c>
      <c r="CX155">
        <v>0</v>
      </c>
      <c r="CY155" t="s">
        <v>333</v>
      </c>
      <c r="CZ155">
        <v>2.3650199999999999</v>
      </c>
      <c r="DA155">
        <v>2.71373</v>
      </c>
      <c r="DB155">
        <v>8.3726099999999998E-2</v>
      </c>
      <c r="DC155">
        <v>0.146561</v>
      </c>
      <c r="DD155">
        <v>0.12525800000000001</v>
      </c>
      <c r="DE155">
        <v>1.5650099999999999E-3</v>
      </c>
      <c r="DF155">
        <v>33455.5</v>
      </c>
      <c r="DG155">
        <v>27479.5</v>
      </c>
      <c r="DH155">
        <v>31168.5</v>
      </c>
      <c r="DI155">
        <v>28055</v>
      </c>
      <c r="DJ155">
        <v>36997</v>
      </c>
      <c r="DK155">
        <v>39818.699999999997</v>
      </c>
      <c r="DL155">
        <v>44350.400000000001</v>
      </c>
      <c r="DM155">
        <v>42499.3</v>
      </c>
      <c r="DN155">
        <v>1.4933000000000001</v>
      </c>
      <c r="DO155">
        <v>2.0618500000000002</v>
      </c>
      <c r="DP155">
        <v>8.0399200000000004E-2</v>
      </c>
      <c r="DQ155">
        <v>0.17905199999999999</v>
      </c>
      <c r="DR155">
        <v>25.706199999999999</v>
      </c>
      <c r="DS155">
        <v>25.3446</v>
      </c>
      <c r="DT155">
        <v>34.5</v>
      </c>
      <c r="DU155">
        <v>25.6</v>
      </c>
      <c r="DV155">
        <v>11.445600000000001</v>
      </c>
      <c r="DW155">
        <v>61.431399999999996</v>
      </c>
      <c r="DX155">
        <v>37.339700000000001</v>
      </c>
      <c r="DY155">
        <v>1</v>
      </c>
      <c r="DZ155">
        <v>-0.144182</v>
      </c>
      <c r="EA155">
        <v>-0.69033</v>
      </c>
      <c r="EB155">
        <v>20.189299999999999</v>
      </c>
      <c r="EC155">
        <v>5.2424499999999998</v>
      </c>
      <c r="ED155">
        <v>12.039899999999999</v>
      </c>
      <c r="EE155">
        <v>5.0176999999999996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1.8687400000000001</v>
      </c>
      <c r="EL155">
        <v>1.8644700000000001</v>
      </c>
      <c r="EM155">
        <v>1.8690800000000001</v>
      </c>
      <c r="EN155">
        <v>1.86707</v>
      </c>
      <c r="EO155">
        <v>1.8632500000000001</v>
      </c>
      <c r="EP155">
        <v>1.8643099999999999</v>
      </c>
      <c r="EQ155">
        <v>1.87008</v>
      </c>
      <c r="ER155">
        <v>1.86931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-0.93</v>
      </c>
      <c r="FG155">
        <v>0.19109999999999999</v>
      </c>
      <c r="FH155">
        <v>-0.68620417327404271</v>
      </c>
      <c r="FI155">
        <v>-6.1462078757559423E-4</v>
      </c>
      <c r="FJ155">
        <v>-1.8861989874597051E-7</v>
      </c>
      <c r="FK155">
        <v>1.1980462299894961E-10</v>
      </c>
      <c r="FL155">
        <v>0.1911242781723908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29.3</v>
      </c>
      <c r="FU155">
        <v>29.2</v>
      </c>
      <c r="FV155">
        <v>1.7614700000000001</v>
      </c>
      <c r="FW155">
        <v>2.5695800000000002</v>
      </c>
      <c r="FX155">
        <v>1.5490699999999999</v>
      </c>
      <c r="FY155">
        <v>2.33887</v>
      </c>
      <c r="FZ155">
        <v>1.50146</v>
      </c>
      <c r="GA155">
        <v>2.2729499999999998</v>
      </c>
      <c r="GB155">
        <v>30.955200000000001</v>
      </c>
      <c r="GC155">
        <v>23.982399999999998</v>
      </c>
      <c r="GD155">
        <v>19</v>
      </c>
      <c r="GE155">
        <v>287.32799999999997</v>
      </c>
      <c r="GF155">
        <v>596.745</v>
      </c>
      <c r="GG155">
        <v>25.941700000000001</v>
      </c>
      <c r="GH155">
        <v>25.599900000000002</v>
      </c>
      <c r="GI155">
        <v>30.0002</v>
      </c>
      <c r="GJ155">
        <v>25.712900000000001</v>
      </c>
      <c r="GK155">
        <v>25.6769</v>
      </c>
      <c r="GL155">
        <v>35.215499999999999</v>
      </c>
      <c r="GM155">
        <v>100</v>
      </c>
      <c r="GN155">
        <v>11.586600000000001</v>
      </c>
      <c r="GO155">
        <v>25.939299999999999</v>
      </c>
      <c r="GP155">
        <v>800</v>
      </c>
      <c r="GQ155">
        <v>0</v>
      </c>
      <c r="GR155">
        <v>99.718800000000002</v>
      </c>
      <c r="GS155">
        <v>99.441400000000002</v>
      </c>
    </row>
    <row r="156" spans="1:201" x14ac:dyDescent="0.25">
      <c r="A156">
        <v>140</v>
      </c>
      <c r="B156">
        <v>1690288030.5</v>
      </c>
      <c r="C156">
        <v>1491.900000095367</v>
      </c>
      <c r="D156" t="s">
        <v>613</v>
      </c>
      <c r="E156" t="s">
        <v>614</v>
      </c>
      <c r="F156" t="s">
        <v>330</v>
      </c>
      <c r="H156">
        <v>1690288030.5</v>
      </c>
      <c r="I156">
        <f t="shared" si="60"/>
        <v>2.8821800908992801E-3</v>
      </c>
      <c r="J156">
        <f t="shared" si="61"/>
        <v>2.8821800908992801</v>
      </c>
      <c r="K156">
        <f t="shared" si="62"/>
        <v>43.972473487342477</v>
      </c>
      <c r="L156">
        <f t="shared" si="63"/>
        <v>363.46100000000001</v>
      </c>
      <c r="M156">
        <f t="shared" si="64"/>
        <v>98.995170564582011</v>
      </c>
      <c r="N156">
        <f t="shared" si="65"/>
        <v>9.844390585978573</v>
      </c>
      <c r="O156">
        <f t="shared" si="66"/>
        <v>36.143703034847803</v>
      </c>
      <c r="P156">
        <f t="shared" si="67"/>
        <v>0.28594480439706271</v>
      </c>
      <c r="Q156">
        <f t="shared" si="68"/>
        <v>2.3024612957835329</v>
      </c>
      <c r="R156">
        <f t="shared" si="69"/>
        <v>0.26757972273949632</v>
      </c>
      <c r="S156">
        <f t="shared" si="70"/>
        <v>0.16878896818728936</v>
      </c>
      <c r="T156">
        <f t="shared" si="71"/>
        <v>276.1125391909269</v>
      </c>
      <c r="U156">
        <f t="shared" si="72"/>
        <v>27.829097961803168</v>
      </c>
      <c r="V156">
        <f t="shared" si="73"/>
        <v>27.829097961803168</v>
      </c>
      <c r="W156">
        <f t="shared" si="74"/>
        <v>3.7571956013260905</v>
      </c>
      <c r="X156">
        <f t="shared" si="75"/>
        <v>77.232601688083065</v>
      </c>
      <c r="Y156">
        <f t="shared" si="76"/>
        <v>2.7209532468936199</v>
      </c>
      <c r="Z156">
        <f t="shared" si="77"/>
        <v>3.5230630425770846</v>
      </c>
      <c r="AA156">
        <f t="shared" si="78"/>
        <v>1.0362423544324706</v>
      </c>
      <c r="AB156">
        <f t="shared" si="79"/>
        <v>-127.10414200865826</v>
      </c>
      <c r="AC156">
        <f t="shared" si="80"/>
        <v>-136.26998306870692</v>
      </c>
      <c r="AD156">
        <f t="shared" si="81"/>
        <v>-12.808568859234429</v>
      </c>
      <c r="AE156">
        <f t="shared" si="82"/>
        <v>-7.0154745672681429E-2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52658.639631919068</v>
      </c>
      <c r="AK156">
        <f t="shared" si="86"/>
        <v>1799.99</v>
      </c>
      <c r="AL156">
        <f t="shared" si="87"/>
        <v>1499.1065803838401</v>
      </c>
      <c r="AM156">
        <f t="shared" si="88"/>
        <v>0.83284161600000006</v>
      </c>
      <c r="AN156">
        <f t="shared" si="89"/>
        <v>0.15339670730999999</v>
      </c>
      <c r="AO156">
        <v>29.1</v>
      </c>
      <c r="AP156">
        <v>0.5</v>
      </c>
      <c r="AQ156" t="s">
        <v>331</v>
      </c>
      <c r="AR156">
        <v>2</v>
      </c>
      <c r="AS156">
        <v>1690288030.5</v>
      </c>
      <c r="AT156">
        <v>363.46100000000001</v>
      </c>
      <c r="AU156">
        <v>799.92399999999998</v>
      </c>
      <c r="AV156">
        <v>27.361899999999999</v>
      </c>
      <c r="AW156">
        <v>0.184118</v>
      </c>
      <c r="AX156">
        <v>364.39</v>
      </c>
      <c r="AY156">
        <v>27.1707</v>
      </c>
      <c r="AZ156">
        <v>300.15899999999999</v>
      </c>
      <c r="BA156">
        <v>99.343199999999996</v>
      </c>
      <c r="BB156">
        <v>9.9939799999999995E-2</v>
      </c>
      <c r="BC156">
        <v>26.731300000000001</v>
      </c>
      <c r="BD156">
        <v>27.0078</v>
      </c>
      <c r="BE156">
        <v>28.2745</v>
      </c>
      <c r="BF156">
        <v>0</v>
      </c>
      <c r="BG156">
        <v>0</v>
      </c>
      <c r="BH156">
        <v>10016.200000000001</v>
      </c>
      <c r="BI156">
        <v>1087.01</v>
      </c>
      <c r="BJ156">
        <v>1.28952</v>
      </c>
      <c r="BK156">
        <v>-436.464</v>
      </c>
      <c r="BL156">
        <v>373.68599999999998</v>
      </c>
      <c r="BM156">
        <v>800.072</v>
      </c>
      <c r="BN156">
        <v>27.177700000000002</v>
      </c>
      <c r="BO156">
        <v>799.92399999999998</v>
      </c>
      <c r="BP156">
        <v>0.184118</v>
      </c>
      <c r="BQ156">
        <v>2.71821</v>
      </c>
      <c r="BR156">
        <v>1.8290899999999999E-2</v>
      </c>
      <c r="BS156">
        <v>22.395600000000002</v>
      </c>
      <c r="BT156">
        <v>-40.282299999999999</v>
      </c>
      <c r="BU156">
        <v>1799.99</v>
      </c>
      <c r="BV156">
        <v>0.910026</v>
      </c>
      <c r="BW156">
        <v>3.3993900000000001E-2</v>
      </c>
      <c r="BX156">
        <v>2.19933E-2</v>
      </c>
      <c r="BY156">
        <v>3.3986500000000003E-2</v>
      </c>
      <c r="BZ156">
        <v>25</v>
      </c>
      <c r="CA156">
        <v>33528.5</v>
      </c>
      <c r="CB156">
        <v>1690286268.5999999</v>
      </c>
      <c r="CC156" t="s">
        <v>332</v>
      </c>
      <c r="CD156">
        <v>1690286261.0999999</v>
      </c>
      <c r="CE156">
        <v>1690286268.5999999</v>
      </c>
      <c r="CF156">
        <v>1</v>
      </c>
      <c r="CG156">
        <v>-0.89900000000000002</v>
      </c>
      <c r="CH156">
        <v>3.4000000000000002E-2</v>
      </c>
      <c r="CI156">
        <v>-1.2370000000000001</v>
      </c>
      <c r="CJ156">
        <v>8.5999999999999993E-2</v>
      </c>
      <c r="CK156">
        <v>799</v>
      </c>
      <c r="CL156">
        <v>16</v>
      </c>
      <c r="CM156">
        <v>0.28999999999999998</v>
      </c>
      <c r="CN156">
        <v>0.09</v>
      </c>
      <c r="CO156">
        <v>-435.91764999999998</v>
      </c>
      <c r="CP156">
        <v>-3.8255459662275668</v>
      </c>
      <c r="CQ156">
        <v>0.3691489909237205</v>
      </c>
      <c r="CR156">
        <v>-1</v>
      </c>
      <c r="CS156">
        <v>27.143552499999998</v>
      </c>
      <c r="CT156">
        <v>0.1864266416510478</v>
      </c>
      <c r="CU156">
        <v>1.7964645661687609E-2</v>
      </c>
      <c r="CV156">
        <v>-1</v>
      </c>
      <c r="CW156">
        <v>0</v>
      </c>
      <c r="CX156">
        <v>0</v>
      </c>
      <c r="CY156" t="s">
        <v>333</v>
      </c>
      <c r="CZ156">
        <v>2.3652700000000002</v>
      </c>
      <c r="DA156">
        <v>2.7137500000000001</v>
      </c>
      <c r="DB156">
        <v>8.3619700000000005E-2</v>
      </c>
      <c r="DC156">
        <v>0.14655899999999999</v>
      </c>
      <c r="DD156">
        <v>0.12536600000000001</v>
      </c>
      <c r="DE156">
        <v>1.55488E-3</v>
      </c>
      <c r="DF156">
        <v>33459.5</v>
      </c>
      <c r="DG156">
        <v>27479.8</v>
      </c>
      <c r="DH156">
        <v>31168.5</v>
      </c>
      <c r="DI156">
        <v>28055.3</v>
      </c>
      <c r="DJ156">
        <v>36992.5</v>
      </c>
      <c r="DK156">
        <v>39819.699999999997</v>
      </c>
      <c r="DL156">
        <v>44350.5</v>
      </c>
      <c r="DM156">
        <v>42499.9</v>
      </c>
      <c r="DN156">
        <v>1.4935</v>
      </c>
      <c r="DO156">
        <v>2.0618699999999999</v>
      </c>
      <c r="DP156">
        <v>7.9080499999999998E-2</v>
      </c>
      <c r="DQ156">
        <v>0.17871000000000001</v>
      </c>
      <c r="DR156">
        <v>25.713200000000001</v>
      </c>
      <c r="DS156">
        <v>25.350999999999999</v>
      </c>
      <c r="DT156">
        <v>34.299999999999997</v>
      </c>
      <c r="DU156">
        <v>25.6</v>
      </c>
      <c r="DV156">
        <v>11.3786</v>
      </c>
      <c r="DW156">
        <v>61.901400000000002</v>
      </c>
      <c r="DX156">
        <v>36.7027</v>
      </c>
      <c r="DY156">
        <v>1</v>
      </c>
      <c r="DZ156">
        <v>-0.144233</v>
      </c>
      <c r="EA156">
        <v>-0.59574300000000002</v>
      </c>
      <c r="EB156">
        <v>20.189299999999999</v>
      </c>
      <c r="EC156">
        <v>5.2421499999999996</v>
      </c>
      <c r="ED156">
        <v>12.039899999999999</v>
      </c>
      <c r="EE156">
        <v>5.0177500000000004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1.8687499999999999</v>
      </c>
      <c r="EL156">
        <v>1.8644700000000001</v>
      </c>
      <c r="EM156">
        <v>1.8690800000000001</v>
      </c>
      <c r="EN156">
        <v>1.86707</v>
      </c>
      <c r="EO156">
        <v>1.8632500000000001</v>
      </c>
      <c r="EP156">
        <v>1.86432</v>
      </c>
      <c r="EQ156">
        <v>1.8701000000000001</v>
      </c>
      <c r="ER156">
        <v>1.8692899999999999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-0.92900000000000005</v>
      </c>
      <c r="FG156">
        <v>0.19120000000000001</v>
      </c>
      <c r="FH156">
        <v>-0.68620417327404271</v>
      </c>
      <c r="FI156">
        <v>-6.1462078757559423E-4</v>
      </c>
      <c r="FJ156">
        <v>-1.8861989874597051E-7</v>
      </c>
      <c r="FK156">
        <v>1.1980462299894961E-10</v>
      </c>
      <c r="FL156">
        <v>0.1911242781723908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29.5</v>
      </c>
      <c r="FU156">
        <v>29.4</v>
      </c>
      <c r="FV156">
        <v>1.7614700000000001</v>
      </c>
      <c r="FW156">
        <v>2.5708000000000002</v>
      </c>
      <c r="FX156">
        <v>1.5490699999999999</v>
      </c>
      <c r="FY156">
        <v>2.33765</v>
      </c>
      <c r="FZ156">
        <v>1.50146</v>
      </c>
      <c r="GA156">
        <v>2.3059099999999999</v>
      </c>
      <c r="GB156">
        <v>30.976900000000001</v>
      </c>
      <c r="GC156">
        <v>23.982399999999998</v>
      </c>
      <c r="GD156">
        <v>19</v>
      </c>
      <c r="GE156">
        <v>287.41399999999999</v>
      </c>
      <c r="GF156">
        <v>596.76599999999996</v>
      </c>
      <c r="GG156">
        <v>25.9254</v>
      </c>
      <c r="GH156">
        <v>25.599900000000002</v>
      </c>
      <c r="GI156">
        <v>30.0001</v>
      </c>
      <c r="GJ156">
        <v>25.712900000000001</v>
      </c>
      <c r="GK156">
        <v>25.6769</v>
      </c>
      <c r="GL156">
        <v>35.219099999999997</v>
      </c>
      <c r="GM156">
        <v>100</v>
      </c>
      <c r="GN156">
        <v>10.8188</v>
      </c>
      <c r="GO156">
        <v>25.911300000000001</v>
      </c>
      <c r="GP156">
        <v>800</v>
      </c>
      <c r="GQ156">
        <v>0</v>
      </c>
      <c r="GR156">
        <v>99.719099999999997</v>
      </c>
      <c r="GS156">
        <v>99.442800000000005</v>
      </c>
    </row>
    <row r="157" spans="1:201" x14ac:dyDescent="0.25">
      <c r="A157">
        <v>141</v>
      </c>
      <c r="B157">
        <v>1690288040.5</v>
      </c>
      <c r="C157">
        <v>1501.900000095367</v>
      </c>
      <c r="D157" t="s">
        <v>615</v>
      </c>
      <c r="E157" t="s">
        <v>616</v>
      </c>
      <c r="F157" t="s">
        <v>330</v>
      </c>
      <c r="H157">
        <v>1690288040.5</v>
      </c>
      <c r="I157">
        <f t="shared" si="60"/>
        <v>2.885493091805818E-3</v>
      </c>
      <c r="J157">
        <f t="shared" si="61"/>
        <v>2.8854930918058179</v>
      </c>
      <c r="K157">
        <f t="shared" si="62"/>
        <v>44.054114213197941</v>
      </c>
      <c r="L157">
        <f t="shared" si="63"/>
        <v>362.74</v>
      </c>
      <c r="M157">
        <f t="shared" si="64"/>
        <v>98.453597812535719</v>
      </c>
      <c r="N157">
        <f t="shared" si="65"/>
        <v>9.7903267798699076</v>
      </c>
      <c r="O157">
        <f t="shared" si="66"/>
        <v>36.07123777124</v>
      </c>
      <c r="P157">
        <f t="shared" si="67"/>
        <v>0.28676530129530053</v>
      </c>
      <c r="Q157">
        <f t="shared" si="68"/>
        <v>2.2931835342313183</v>
      </c>
      <c r="R157">
        <f t="shared" si="69"/>
        <v>0.26822879068596439</v>
      </c>
      <c r="S157">
        <f t="shared" si="70"/>
        <v>0.16920847729318272</v>
      </c>
      <c r="T157">
        <f t="shared" si="71"/>
        <v>276.11362348690295</v>
      </c>
      <c r="U157">
        <f t="shared" si="72"/>
        <v>27.835982290667886</v>
      </c>
      <c r="V157">
        <f t="shared" si="73"/>
        <v>27.835982290667886</v>
      </c>
      <c r="W157">
        <f t="shared" si="74"/>
        <v>3.7587056696370857</v>
      </c>
      <c r="X157">
        <f t="shared" si="75"/>
        <v>77.296483294938866</v>
      </c>
      <c r="Y157">
        <f t="shared" si="76"/>
        <v>2.7238289195764001</v>
      </c>
      <c r="Z157">
        <f t="shared" si="77"/>
        <v>3.5238717254226595</v>
      </c>
      <c r="AA157">
        <f t="shared" si="78"/>
        <v>1.0348767500606857</v>
      </c>
      <c r="AB157">
        <f t="shared" si="79"/>
        <v>-127.25024534863657</v>
      </c>
      <c r="AC157">
        <f t="shared" si="80"/>
        <v>-136.0898364490952</v>
      </c>
      <c r="AD157">
        <f t="shared" si="81"/>
        <v>-12.844080681482952</v>
      </c>
      <c r="AE157">
        <f t="shared" si="82"/>
        <v>-7.0538992311782067E-2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52307.045179783527</v>
      </c>
      <c r="AK157">
        <f t="shared" si="86"/>
        <v>1799.99</v>
      </c>
      <c r="AL157">
        <f t="shared" si="87"/>
        <v>1499.1059935871001</v>
      </c>
      <c r="AM157">
        <f t="shared" si="88"/>
        <v>0.83284129000000007</v>
      </c>
      <c r="AN157">
        <f t="shared" si="89"/>
        <v>0.15339730969999998</v>
      </c>
      <c r="AO157">
        <v>29.1</v>
      </c>
      <c r="AP157">
        <v>0.5</v>
      </c>
      <c r="AQ157" t="s">
        <v>331</v>
      </c>
      <c r="AR157">
        <v>2</v>
      </c>
      <c r="AS157">
        <v>1690288040.5</v>
      </c>
      <c r="AT157">
        <v>362.74</v>
      </c>
      <c r="AU157">
        <v>799.98599999999999</v>
      </c>
      <c r="AV157">
        <v>27.391400000000001</v>
      </c>
      <c r="AW157">
        <v>0.183203</v>
      </c>
      <c r="AX157">
        <v>363.66899999999998</v>
      </c>
      <c r="AY157">
        <v>27.200199999999999</v>
      </c>
      <c r="AZ157">
        <v>300.15899999999999</v>
      </c>
      <c r="BA157">
        <v>99.340999999999994</v>
      </c>
      <c r="BB157">
        <v>0.100026</v>
      </c>
      <c r="BC157">
        <v>26.735199999999999</v>
      </c>
      <c r="BD157">
        <v>27.0059</v>
      </c>
      <c r="BE157">
        <v>28.251999999999999</v>
      </c>
      <c r="BF157">
        <v>0</v>
      </c>
      <c r="BG157">
        <v>0</v>
      </c>
      <c r="BH157">
        <v>9946.8799999999992</v>
      </c>
      <c r="BI157">
        <v>1086.93</v>
      </c>
      <c r="BJ157">
        <v>1.28952</v>
      </c>
      <c r="BK157">
        <v>-437.24599999999998</v>
      </c>
      <c r="BL157">
        <v>372.95600000000002</v>
      </c>
      <c r="BM157">
        <v>800.13300000000004</v>
      </c>
      <c r="BN157">
        <v>27.208200000000001</v>
      </c>
      <c r="BO157">
        <v>799.98599999999999</v>
      </c>
      <c r="BP157">
        <v>0.183203</v>
      </c>
      <c r="BQ157">
        <v>2.7210899999999998</v>
      </c>
      <c r="BR157">
        <v>1.81995E-2</v>
      </c>
      <c r="BS157">
        <v>22.413</v>
      </c>
      <c r="BT157">
        <v>-40.330100000000002</v>
      </c>
      <c r="BU157">
        <v>1799.99</v>
      </c>
      <c r="BV157">
        <v>0.91000999999999999</v>
      </c>
      <c r="BW157">
        <v>3.39922E-2</v>
      </c>
      <c r="BX157">
        <v>2.1999999999999999E-2</v>
      </c>
      <c r="BY157">
        <v>3.3997800000000002E-2</v>
      </c>
      <c r="BZ157">
        <v>25</v>
      </c>
      <c r="CA157">
        <v>33528.300000000003</v>
      </c>
      <c r="CB157">
        <v>1690286268.5999999</v>
      </c>
      <c r="CC157" t="s">
        <v>332</v>
      </c>
      <c r="CD157">
        <v>1690286261.0999999</v>
      </c>
      <c r="CE157">
        <v>1690286268.5999999</v>
      </c>
      <c r="CF157">
        <v>1</v>
      </c>
      <c r="CG157">
        <v>-0.89900000000000002</v>
      </c>
      <c r="CH157">
        <v>3.4000000000000002E-2</v>
      </c>
      <c r="CI157">
        <v>-1.2370000000000001</v>
      </c>
      <c r="CJ157">
        <v>8.5999999999999993E-2</v>
      </c>
      <c r="CK157">
        <v>799</v>
      </c>
      <c r="CL157">
        <v>16</v>
      </c>
      <c r="CM157">
        <v>0.28999999999999998</v>
      </c>
      <c r="CN157">
        <v>0.09</v>
      </c>
      <c r="CO157">
        <v>-436.4871</v>
      </c>
      <c r="CP157">
        <v>-3.8998424015013291</v>
      </c>
      <c r="CQ157">
        <v>0.3787153152435247</v>
      </c>
      <c r="CR157">
        <v>-1</v>
      </c>
      <c r="CS157">
        <v>27.172374999999999</v>
      </c>
      <c r="CT157">
        <v>0.20156172607865341</v>
      </c>
      <c r="CU157">
        <v>1.9408680403365849E-2</v>
      </c>
      <c r="CV157">
        <v>-1</v>
      </c>
      <c r="CW157">
        <v>0</v>
      </c>
      <c r="CX157">
        <v>0</v>
      </c>
      <c r="CY157" t="s">
        <v>333</v>
      </c>
      <c r="CZ157">
        <v>2.3652600000000001</v>
      </c>
      <c r="DA157">
        <v>2.7137699999999998</v>
      </c>
      <c r="DB157">
        <v>8.3488900000000005E-2</v>
      </c>
      <c r="DC157">
        <v>0.146563</v>
      </c>
      <c r="DD157">
        <v>0.12545799999999999</v>
      </c>
      <c r="DE157">
        <v>1.54721E-3</v>
      </c>
      <c r="DF157">
        <v>33464.199999999997</v>
      </c>
      <c r="DG157">
        <v>27479.4</v>
      </c>
      <c r="DH157">
        <v>31168.5</v>
      </c>
      <c r="DI157">
        <v>28055</v>
      </c>
      <c r="DJ157">
        <v>36988.5</v>
      </c>
      <c r="DK157">
        <v>39819.5</v>
      </c>
      <c r="DL157">
        <v>44350.5</v>
      </c>
      <c r="DM157">
        <v>42499.5</v>
      </c>
      <c r="DN157">
        <v>1.49353</v>
      </c>
      <c r="DO157">
        <v>2.06168</v>
      </c>
      <c r="DP157">
        <v>7.8663200000000003E-2</v>
      </c>
      <c r="DQ157">
        <v>0.177033</v>
      </c>
      <c r="DR157">
        <v>25.7181</v>
      </c>
      <c r="DS157">
        <v>25.355799999999999</v>
      </c>
      <c r="DT157">
        <v>34</v>
      </c>
      <c r="DU157">
        <v>25.7</v>
      </c>
      <c r="DV157">
        <v>11.3459</v>
      </c>
      <c r="DW157">
        <v>62.131399999999999</v>
      </c>
      <c r="DX157">
        <v>36.258000000000003</v>
      </c>
      <c r="DY157">
        <v>1</v>
      </c>
      <c r="DZ157">
        <v>-0.14432400000000001</v>
      </c>
      <c r="EA157">
        <v>-0.60450199999999998</v>
      </c>
      <c r="EB157">
        <v>20.1891</v>
      </c>
      <c r="EC157">
        <v>5.2423000000000002</v>
      </c>
      <c r="ED157">
        <v>12.039899999999999</v>
      </c>
      <c r="EE157">
        <v>5.0176499999999997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1.8687400000000001</v>
      </c>
      <c r="EL157">
        <v>1.8644700000000001</v>
      </c>
      <c r="EM157">
        <v>1.8690800000000001</v>
      </c>
      <c r="EN157">
        <v>1.8670800000000001</v>
      </c>
      <c r="EO157">
        <v>1.8632500000000001</v>
      </c>
      <c r="EP157">
        <v>1.86432</v>
      </c>
      <c r="EQ157">
        <v>1.8701000000000001</v>
      </c>
      <c r="ER157">
        <v>1.8693299999999999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-0.92900000000000005</v>
      </c>
      <c r="FG157">
        <v>0.19120000000000001</v>
      </c>
      <c r="FH157">
        <v>-0.68620417327404271</v>
      </c>
      <c r="FI157">
        <v>-6.1462078757559423E-4</v>
      </c>
      <c r="FJ157">
        <v>-1.8861989874597051E-7</v>
      </c>
      <c r="FK157">
        <v>1.1980462299894961E-10</v>
      </c>
      <c r="FL157">
        <v>0.1911242781723908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29.7</v>
      </c>
      <c r="FU157">
        <v>29.5</v>
      </c>
      <c r="FV157">
        <v>1.7614700000000001</v>
      </c>
      <c r="FW157">
        <v>2.5647000000000002</v>
      </c>
      <c r="FX157">
        <v>1.5490699999999999</v>
      </c>
      <c r="FY157">
        <v>2.33765</v>
      </c>
      <c r="FZ157">
        <v>1.50146</v>
      </c>
      <c r="GA157">
        <v>2.36084</v>
      </c>
      <c r="GB157">
        <v>30.976900000000001</v>
      </c>
      <c r="GC157">
        <v>23.991199999999999</v>
      </c>
      <c r="GD157">
        <v>19</v>
      </c>
      <c r="GE157">
        <v>287.42500000000001</v>
      </c>
      <c r="GF157">
        <v>596.59900000000005</v>
      </c>
      <c r="GG157">
        <v>25.899100000000001</v>
      </c>
      <c r="GH157">
        <v>25.599900000000002</v>
      </c>
      <c r="GI157">
        <v>30</v>
      </c>
      <c r="GJ157">
        <v>25.712900000000001</v>
      </c>
      <c r="GK157">
        <v>25.6769</v>
      </c>
      <c r="GL157">
        <v>35.218499999999999</v>
      </c>
      <c r="GM157">
        <v>100</v>
      </c>
      <c r="GN157">
        <v>10.0406</v>
      </c>
      <c r="GO157">
        <v>25.897400000000001</v>
      </c>
      <c r="GP157">
        <v>800</v>
      </c>
      <c r="GQ157">
        <v>0</v>
      </c>
      <c r="GR157">
        <v>99.718900000000005</v>
      </c>
      <c r="GS157">
        <v>99.441699999999997</v>
      </c>
    </row>
    <row r="158" spans="1:201" x14ac:dyDescent="0.25">
      <c r="A158">
        <v>142</v>
      </c>
      <c r="B158">
        <v>1690288050.5</v>
      </c>
      <c r="C158">
        <v>1511.900000095367</v>
      </c>
      <c r="D158" t="s">
        <v>617</v>
      </c>
      <c r="E158" t="s">
        <v>618</v>
      </c>
      <c r="F158" t="s">
        <v>330</v>
      </c>
      <c r="H158">
        <v>1690288050.5</v>
      </c>
      <c r="I158">
        <f t="shared" si="60"/>
        <v>2.8877934455659336E-3</v>
      </c>
      <c r="J158">
        <f t="shared" si="61"/>
        <v>2.8877934455659338</v>
      </c>
      <c r="K158">
        <f t="shared" si="62"/>
        <v>44.116096756852819</v>
      </c>
      <c r="L158">
        <f t="shared" si="63"/>
        <v>362.065</v>
      </c>
      <c r="M158">
        <f t="shared" si="64"/>
        <v>98.499120070863214</v>
      </c>
      <c r="N158">
        <f t="shared" si="65"/>
        <v>9.7949678287730251</v>
      </c>
      <c r="O158">
        <f t="shared" si="66"/>
        <v>36.004535110296501</v>
      </c>
      <c r="P158">
        <f t="shared" si="67"/>
        <v>0.28796747051323085</v>
      </c>
      <c r="Q158">
        <f t="shared" si="68"/>
        <v>2.299624990546381</v>
      </c>
      <c r="R158">
        <f t="shared" si="69"/>
        <v>0.26932935872154495</v>
      </c>
      <c r="S158">
        <f t="shared" si="70"/>
        <v>0.16990478354973171</v>
      </c>
      <c r="T158">
        <f t="shared" si="71"/>
        <v>276.11517601427778</v>
      </c>
      <c r="U158">
        <f t="shared" si="72"/>
        <v>27.831227152228227</v>
      </c>
      <c r="V158">
        <f t="shared" si="73"/>
        <v>27.831227152228227</v>
      </c>
      <c r="W158">
        <f t="shared" si="74"/>
        <v>3.7576625798418495</v>
      </c>
      <c r="X158">
        <f t="shared" si="75"/>
        <v>77.368882376721231</v>
      </c>
      <c r="Y158">
        <f t="shared" si="76"/>
        <v>2.72618764349428</v>
      </c>
      <c r="Z158">
        <f t="shared" si="77"/>
        <v>3.5236228826727065</v>
      </c>
      <c r="AA158">
        <f t="shared" si="78"/>
        <v>1.0314749363475695</v>
      </c>
      <c r="AB158">
        <f t="shared" si="79"/>
        <v>-127.35169094945768</v>
      </c>
      <c r="AC158">
        <f t="shared" si="80"/>
        <v>-136.03135033058132</v>
      </c>
      <c r="AD158">
        <f t="shared" si="81"/>
        <v>-12.802217715887142</v>
      </c>
      <c r="AE158">
        <f t="shared" si="82"/>
        <v>-7.0082981648369014E-2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52550.747366448384</v>
      </c>
      <c r="AK158">
        <f t="shared" si="86"/>
        <v>1799.99</v>
      </c>
      <c r="AL158">
        <f t="shared" si="87"/>
        <v>1499.1060871865798</v>
      </c>
      <c r="AM158">
        <f t="shared" si="88"/>
        <v>0.83284134199999993</v>
      </c>
      <c r="AN158">
        <f t="shared" si="89"/>
        <v>0.15339817221999999</v>
      </c>
      <c r="AO158">
        <v>29.1</v>
      </c>
      <c r="AP158">
        <v>0.5</v>
      </c>
      <c r="AQ158" t="s">
        <v>331</v>
      </c>
      <c r="AR158">
        <v>2</v>
      </c>
      <c r="AS158">
        <v>1690288050.5</v>
      </c>
      <c r="AT158">
        <v>362.065</v>
      </c>
      <c r="AU158">
        <v>799.95799999999997</v>
      </c>
      <c r="AV158">
        <v>27.4148</v>
      </c>
      <c r="AW158">
        <v>0.182029</v>
      </c>
      <c r="AX158">
        <v>362.99400000000003</v>
      </c>
      <c r="AY158">
        <v>27.223700000000001</v>
      </c>
      <c r="AZ158">
        <v>300.12</v>
      </c>
      <c r="BA158">
        <v>99.342200000000005</v>
      </c>
      <c r="BB158">
        <v>9.9986099999999994E-2</v>
      </c>
      <c r="BC158">
        <v>26.734000000000002</v>
      </c>
      <c r="BD158">
        <v>27.0044</v>
      </c>
      <c r="BE158">
        <v>28.2577</v>
      </c>
      <c r="BF158">
        <v>0</v>
      </c>
      <c r="BG158">
        <v>0</v>
      </c>
      <c r="BH158">
        <v>9995</v>
      </c>
      <c r="BI158">
        <v>1086.99</v>
      </c>
      <c r="BJ158">
        <v>1.28952</v>
      </c>
      <c r="BK158">
        <v>-437.892</v>
      </c>
      <c r="BL158">
        <v>372.27100000000002</v>
      </c>
      <c r="BM158">
        <v>800.10299999999995</v>
      </c>
      <c r="BN158">
        <v>27.232700000000001</v>
      </c>
      <c r="BO158">
        <v>799.95799999999997</v>
      </c>
      <c r="BP158">
        <v>0.182029</v>
      </c>
      <c r="BQ158">
        <v>2.7234400000000001</v>
      </c>
      <c r="BR158">
        <v>1.8083100000000001E-2</v>
      </c>
      <c r="BS158">
        <v>22.427299999999999</v>
      </c>
      <c r="BT158">
        <v>-40.391300000000001</v>
      </c>
      <c r="BU158">
        <v>1799.99</v>
      </c>
      <c r="BV158">
        <v>0.90999200000000002</v>
      </c>
      <c r="BW158">
        <v>3.3990800000000002E-2</v>
      </c>
      <c r="BX158">
        <v>2.2009600000000001E-2</v>
      </c>
      <c r="BY158">
        <v>3.4008200000000002E-2</v>
      </c>
      <c r="BZ158">
        <v>25</v>
      </c>
      <c r="CA158">
        <v>33528.199999999997</v>
      </c>
      <c r="CB158">
        <v>1690286268.5999999</v>
      </c>
      <c r="CC158" t="s">
        <v>332</v>
      </c>
      <c r="CD158">
        <v>1690286261.0999999</v>
      </c>
      <c r="CE158">
        <v>1690286268.5999999</v>
      </c>
      <c r="CF158">
        <v>1</v>
      </c>
      <c r="CG158">
        <v>-0.89900000000000002</v>
      </c>
      <c r="CH158">
        <v>3.4000000000000002E-2</v>
      </c>
      <c r="CI158">
        <v>-1.2370000000000001</v>
      </c>
      <c r="CJ158">
        <v>8.5999999999999993E-2</v>
      </c>
      <c r="CK158">
        <v>799</v>
      </c>
      <c r="CL158">
        <v>16</v>
      </c>
      <c r="CM158">
        <v>0.28999999999999998</v>
      </c>
      <c r="CN158">
        <v>0.09</v>
      </c>
      <c r="CO158">
        <v>-437.14236585365859</v>
      </c>
      <c r="CP158">
        <v>-4.0036933797918186</v>
      </c>
      <c r="CQ158">
        <v>0.39800966749488981</v>
      </c>
      <c r="CR158">
        <v>-1</v>
      </c>
      <c r="CS158">
        <v>27.203329268292681</v>
      </c>
      <c r="CT158">
        <v>0.15923205574913771</v>
      </c>
      <c r="CU158">
        <v>1.5751937455784178E-2</v>
      </c>
      <c r="CV158">
        <v>-1</v>
      </c>
      <c r="CW158">
        <v>0</v>
      </c>
      <c r="CX158">
        <v>0</v>
      </c>
      <c r="CY158" t="s">
        <v>333</v>
      </c>
      <c r="CZ158">
        <v>2.3651200000000001</v>
      </c>
      <c r="DA158">
        <v>2.7137699999999998</v>
      </c>
      <c r="DB158">
        <v>8.3368999999999999E-2</v>
      </c>
      <c r="DC158">
        <v>0.146562</v>
      </c>
      <c r="DD158">
        <v>0.12553400000000001</v>
      </c>
      <c r="DE158">
        <v>1.5374200000000001E-3</v>
      </c>
      <c r="DF158">
        <v>33469.1</v>
      </c>
      <c r="DG158">
        <v>27480.2</v>
      </c>
      <c r="DH158">
        <v>31169</v>
      </c>
      <c r="DI158">
        <v>28055.8</v>
      </c>
      <c r="DJ158">
        <v>36985.800000000003</v>
      </c>
      <c r="DK158">
        <v>39821</v>
      </c>
      <c r="DL158">
        <v>44351.199999999997</v>
      </c>
      <c r="DM158">
        <v>42500.6</v>
      </c>
      <c r="DN158">
        <v>1.49335</v>
      </c>
      <c r="DO158">
        <v>2.0616300000000001</v>
      </c>
      <c r="DP158">
        <v>7.8245999999999996E-2</v>
      </c>
      <c r="DQ158">
        <v>0.17707000000000001</v>
      </c>
      <c r="DR158">
        <v>25.723500000000001</v>
      </c>
      <c r="DS158">
        <v>25.361000000000001</v>
      </c>
      <c r="DT158">
        <v>33.799999999999997</v>
      </c>
      <c r="DU158">
        <v>25.7</v>
      </c>
      <c r="DV158">
        <v>11.2781</v>
      </c>
      <c r="DW158">
        <v>62.181399999999996</v>
      </c>
      <c r="DX158">
        <v>36.742800000000003</v>
      </c>
      <c r="DY158">
        <v>1</v>
      </c>
      <c r="DZ158">
        <v>-0.144284</v>
      </c>
      <c r="EA158">
        <v>-0.61885900000000005</v>
      </c>
      <c r="EB158">
        <v>20.189</v>
      </c>
      <c r="EC158">
        <v>5.2426000000000004</v>
      </c>
      <c r="ED158">
        <v>12.039899999999999</v>
      </c>
      <c r="EE158">
        <v>5.0176499999999997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1.8687499999999999</v>
      </c>
      <c r="EL158">
        <v>1.86446</v>
      </c>
      <c r="EM158">
        <v>1.86907</v>
      </c>
      <c r="EN158">
        <v>1.86707</v>
      </c>
      <c r="EO158">
        <v>1.8632500000000001</v>
      </c>
      <c r="EP158">
        <v>1.86432</v>
      </c>
      <c r="EQ158">
        <v>1.8701099999999999</v>
      </c>
      <c r="ER158">
        <v>1.8693500000000001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-0.92900000000000005</v>
      </c>
      <c r="FG158">
        <v>0.19109999999999999</v>
      </c>
      <c r="FH158">
        <v>-0.68620417327404271</v>
      </c>
      <c r="FI158">
        <v>-6.1462078757559423E-4</v>
      </c>
      <c r="FJ158">
        <v>-1.8861989874597051E-7</v>
      </c>
      <c r="FK158">
        <v>1.1980462299894961E-10</v>
      </c>
      <c r="FL158">
        <v>0.1911242781723908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29.8</v>
      </c>
      <c r="FU158">
        <v>29.7</v>
      </c>
      <c r="FV158">
        <v>1.7614700000000001</v>
      </c>
      <c r="FW158">
        <v>2.5634800000000002</v>
      </c>
      <c r="FX158">
        <v>1.5490699999999999</v>
      </c>
      <c r="FY158">
        <v>2.33887</v>
      </c>
      <c r="FZ158">
        <v>1.50146</v>
      </c>
      <c r="GA158">
        <v>2.3535200000000001</v>
      </c>
      <c r="GB158">
        <v>30.9985</v>
      </c>
      <c r="GC158">
        <v>23.991199999999999</v>
      </c>
      <c r="GD158">
        <v>19</v>
      </c>
      <c r="GE158">
        <v>287.35000000000002</v>
      </c>
      <c r="GF158">
        <v>596.55700000000002</v>
      </c>
      <c r="GG158">
        <v>25.889099999999999</v>
      </c>
      <c r="GH158">
        <v>25.599900000000002</v>
      </c>
      <c r="GI158">
        <v>30.0001</v>
      </c>
      <c r="GJ158">
        <v>25.712900000000001</v>
      </c>
      <c r="GK158">
        <v>25.6769</v>
      </c>
      <c r="GL158">
        <v>35.221800000000002</v>
      </c>
      <c r="GM158">
        <v>100</v>
      </c>
      <c r="GN158">
        <v>9.6599299999999992</v>
      </c>
      <c r="GO158">
        <v>25.883700000000001</v>
      </c>
      <c r="GP158">
        <v>800</v>
      </c>
      <c r="GQ158">
        <v>0</v>
      </c>
      <c r="GR158">
        <v>99.720500000000001</v>
      </c>
      <c r="GS158">
        <v>99.444299999999998</v>
      </c>
    </row>
    <row r="159" spans="1:201" x14ac:dyDescent="0.25">
      <c r="A159">
        <v>143</v>
      </c>
      <c r="B159">
        <v>1690288060.5</v>
      </c>
      <c r="C159">
        <v>1521.900000095367</v>
      </c>
      <c r="D159" t="s">
        <v>619</v>
      </c>
      <c r="E159" t="s">
        <v>620</v>
      </c>
      <c r="F159" t="s">
        <v>330</v>
      </c>
      <c r="H159">
        <v>1690288060.5</v>
      </c>
      <c r="I159">
        <f t="shared" si="60"/>
        <v>2.8908755431673308E-3</v>
      </c>
      <c r="J159">
        <f t="shared" si="61"/>
        <v>2.890875543167331</v>
      </c>
      <c r="K159">
        <f t="shared" si="62"/>
        <v>44.176889727961104</v>
      </c>
      <c r="L159">
        <f t="shared" si="63"/>
        <v>361.49299999999999</v>
      </c>
      <c r="M159">
        <f t="shared" si="64"/>
        <v>98.67928781828131</v>
      </c>
      <c r="N159">
        <f t="shared" si="65"/>
        <v>9.8128888301788795</v>
      </c>
      <c r="O159">
        <f t="shared" si="66"/>
        <v>35.947671495361995</v>
      </c>
      <c r="P159">
        <f t="shared" si="67"/>
        <v>0.28927418616705219</v>
      </c>
      <c r="Q159">
        <f t="shared" si="68"/>
        <v>2.2972911290750058</v>
      </c>
      <c r="R159">
        <f t="shared" si="69"/>
        <v>0.27045469580011794</v>
      </c>
      <c r="S159">
        <f t="shared" si="70"/>
        <v>0.17062290913955183</v>
      </c>
      <c r="T159">
        <f t="shared" si="71"/>
        <v>276.11672374800003</v>
      </c>
      <c r="U159">
        <f t="shared" si="72"/>
        <v>27.830155382725923</v>
      </c>
      <c r="V159">
        <f t="shared" si="73"/>
        <v>27.830155382725923</v>
      </c>
      <c r="W159">
        <f t="shared" si="74"/>
        <v>3.7574275107741104</v>
      </c>
      <c r="X159">
        <f t="shared" si="75"/>
        <v>77.458316251601502</v>
      </c>
      <c r="Y159">
        <f t="shared" si="76"/>
        <v>2.7291622794598003</v>
      </c>
      <c r="Z159">
        <f t="shared" si="77"/>
        <v>3.523394790295836</v>
      </c>
      <c r="AA159">
        <f t="shared" si="78"/>
        <v>1.0282652313143101</v>
      </c>
      <c r="AB159">
        <f t="shared" si="79"/>
        <v>-127.48761145367929</v>
      </c>
      <c r="AC159">
        <f t="shared" si="80"/>
        <v>-135.89679015654556</v>
      </c>
      <c r="AD159">
        <f t="shared" si="81"/>
        <v>-12.802408216394547</v>
      </c>
      <c r="AE159">
        <f t="shared" si="82"/>
        <v>-7.0086078619368664E-2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52462.657147138947</v>
      </c>
      <c r="AK159">
        <f t="shared" si="86"/>
        <v>1800</v>
      </c>
      <c r="AL159">
        <f t="shared" si="87"/>
        <v>1499.1100218000001</v>
      </c>
      <c r="AM159">
        <f t="shared" si="88"/>
        <v>0.83283890100000002</v>
      </c>
      <c r="AN159">
        <f t="shared" si="89"/>
        <v>0.15339817986000001</v>
      </c>
      <c r="AO159">
        <v>29.1</v>
      </c>
      <c r="AP159">
        <v>0.5</v>
      </c>
      <c r="AQ159" t="s">
        <v>331</v>
      </c>
      <c r="AR159">
        <v>2</v>
      </c>
      <c r="AS159">
        <v>1690288060.5</v>
      </c>
      <c r="AT159">
        <v>361.49299999999999</v>
      </c>
      <c r="AU159">
        <v>800.01700000000005</v>
      </c>
      <c r="AV159">
        <v>27.444700000000001</v>
      </c>
      <c r="AW159">
        <v>0.18079500000000001</v>
      </c>
      <c r="AX159">
        <v>362.42099999999999</v>
      </c>
      <c r="AY159">
        <v>27.253599999999999</v>
      </c>
      <c r="AZ159">
        <v>300.08800000000002</v>
      </c>
      <c r="BA159">
        <v>99.342200000000005</v>
      </c>
      <c r="BB159">
        <v>0.100034</v>
      </c>
      <c r="BC159">
        <v>26.732900000000001</v>
      </c>
      <c r="BD159">
        <v>26.991800000000001</v>
      </c>
      <c r="BE159">
        <v>28.244599999999998</v>
      </c>
      <c r="BF159">
        <v>0</v>
      </c>
      <c r="BG159">
        <v>0</v>
      </c>
      <c r="BH159">
        <v>9977.5</v>
      </c>
      <c r="BI159">
        <v>1086.93</v>
      </c>
      <c r="BJ159">
        <v>1.28952</v>
      </c>
      <c r="BK159">
        <v>-438.52300000000002</v>
      </c>
      <c r="BL159">
        <v>371.69400000000002</v>
      </c>
      <c r="BM159">
        <v>800.16099999999994</v>
      </c>
      <c r="BN159">
        <v>27.2639</v>
      </c>
      <c r="BO159">
        <v>800.01700000000005</v>
      </c>
      <c r="BP159">
        <v>0.18079500000000001</v>
      </c>
      <c r="BQ159">
        <v>2.7264200000000001</v>
      </c>
      <c r="BR159">
        <v>1.79606E-2</v>
      </c>
      <c r="BS159">
        <v>22.4452</v>
      </c>
      <c r="BT159">
        <v>-40.456200000000003</v>
      </c>
      <c r="BU159">
        <v>1800</v>
      </c>
      <c r="BV159">
        <v>0.90997600000000001</v>
      </c>
      <c r="BW159">
        <v>3.4003199999999997E-2</v>
      </c>
      <c r="BX159">
        <v>2.2008300000000001E-2</v>
      </c>
      <c r="BY159">
        <v>3.4012800000000003E-2</v>
      </c>
      <c r="BZ159">
        <v>25</v>
      </c>
      <c r="CA159">
        <v>33528.300000000003</v>
      </c>
      <c r="CB159">
        <v>1690286268.5999999</v>
      </c>
      <c r="CC159" t="s">
        <v>332</v>
      </c>
      <c r="CD159">
        <v>1690286261.0999999</v>
      </c>
      <c r="CE159">
        <v>1690286268.5999999</v>
      </c>
      <c r="CF159">
        <v>1</v>
      </c>
      <c r="CG159">
        <v>-0.89900000000000002</v>
      </c>
      <c r="CH159">
        <v>3.4000000000000002E-2</v>
      </c>
      <c r="CI159">
        <v>-1.2370000000000001</v>
      </c>
      <c r="CJ159">
        <v>8.5999999999999993E-2</v>
      </c>
      <c r="CK159">
        <v>799</v>
      </c>
      <c r="CL159">
        <v>16</v>
      </c>
      <c r="CM159">
        <v>0.28999999999999998</v>
      </c>
      <c r="CN159">
        <v>0.09</v>
      </c>
      <c r="CO159">
        <v>-437.81882926829269</v>
      </c>
      <c r="CP159">
        <v>-4.1168571428572411</v>
      </c>
      <c r="CQ159">
        <v>0.40758461054500572</v>
      </c>
      <c r="CR159">
        <v>-1</v>
      </c>
      <c r="CS159">
        <v>27.23047804878048</v>
      </c>
      <c r="CT159">
        <v>0.1653156794424899</v>
      </c>
      <c r="CU159">
        <v>1.6367688458088569E-2</v>
      </c>
      <c r="CV159">
        <v>-1</v>
      </c>
      <c r="CW159">
        <v>0</v>
      </c>
      <c r="CX159">
        <v>0</v>
      </c>
      <c r="CY159" t="s">
        <v>333</v>
      </c>
      <c r="CZ159">
        <v>2.3650199999999999</v>
      </c>
      <c r="DA159">
        <v>2.7138</v>
      </c>
      <c r="DB159">
        <v>8.3266400000000004E-2</v>
      </c>
      <c r="DC159">
        <v>0.146569</v>
      </c>
      <c r="DD159">
        <v>0.12562899999999999</v>
      </c>
      <c r="DE159">
        <v>1.5271200000000001E-3</v>
      </c>
      <c r="DF159">
        <v>33472.9</v>
      </c>
      <c r="DG159">
        <v>27480.3</v>
      </c>
      <c r="DH159">
        <v>31169</v>
      </c>
      <c r="DI159">
        <v>28056.1</v>
      </c>
      <c r="DJ159">
        <v>36981.699999999997</v>
      </c>
      <c r="DK159">
        <v>39821.699999999997</v>
      </c>
      <c r="DL159">
        <v>44351.199999999997</v>
      </c>
      <c r="DM159">
        <v>42500.9</v>
      </c>
      <c r="DN159">
        <v>1.4934799999999999</v>
      </c>
      <c r="DO159">
        <v>2.06155</v>
      </c>
      <c r="DP159">
        <v>7.7255099999999993E-2</v>
      </c>
      <c r="DQ159">
        <v>0.17602699999999999</v>
      </c>
      <c r="DR159">
        <v>25.7271</v>
      </c>
      <c r="DS159">
        <v>25.364899999999999</v>
      </c>
      <c r="DT159">
        <v>33.5</v>
      </c>
      <c r="DU159">
        <v>25.7</v>
      </c>
      <c r="DV159">
        <v>11.177199999999999</v>
      </c>
      <c r="DW159">
        <v>62.4114</v>
      </c>
      <c r="DX159">
        <v>37.415900000000001</v>
      </c>
      <c r="DY159">
        <v>1</v>
      </c>
      <c r="DZ159">
        <v>-0.14435000000000001</v>
      </c>
      <c r="EA159">
        <v>-0.60794400000000004</v>
      </c>
      <c r="EB159">
        <v>20.1891</v>
      </c>
      <c r="EC159">
        <v>5.2418500000000003</v>
      </c>
      <c r="ED159">
        <v>12.039899999999999</v>
      </c>
      <c r="EE159">
        <v>5.01755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1.8687400000000001</v>
      </c>
      <c r="EL159">
        <v>1.8644700000000001</v>
      </c>
      <c r="EM159">
        <v>1.8690599999999999</v>
      </c>
      <c r="EN159">
        <v>1.86707</v>
      </c>
      <c r="EO159">
        <v>1.8632500000000001</v>
      </c>
      <c r="EP159">
        <v>1.8643000000000001</v>
      </c>
      <c r="EQ159">
        <v>1.8701000000000001</v>
      </c>
      <c r="ER159">
        <v>1.8693200000000001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-0.92800000000000005</v>
      </c>
      <c r="FG159">
        <v>0.19109999999999999</v>
      </c>
      <c r="FH159">
        <v>-0.68620417327404271</v>
      </c>
      <c r="FI159">
        <v>-6.1462078757559423E-4</v>
      </c>
      <c r="FJ159">
        <v>-1.8861989874597051E-7</v>
      </c>
      <c r="FK159">
        <v>1.1980462299894961E-10</v>
      </c>
      <c r="FL159">
        <v>0.1911242781723908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30</v>
      </c>
      <c r="FU159">
        <v>29.9</v>
      </c>
      <c r="FV159">
        <v>1.7614700000000001</v>
      </c>
      <c r="FW159">
        <v>2.5708000000000002</v>
      </c>
      <c r="FX159">
        <v>1.5490699999999999</v>
      </c>
      <c r="FY159">
        <v>2.33887</v>
      </c>
      <c r="FZ159">
        <v>1.50146</v>
      </c>
      <c r="GA159">
        <v>2.3107899999999999</v>
      </c>
      <c r="GB159">
        <v>30.9985</v>
      </c>
      <c r="GC159">
        <v>23.991199999999999</v>
      </c>
      <c r="GD159">
        <v>19</v>
      </c>
      <c r="GE159">
        <v>287.40300000000002</v>
      </c>
      <c r="GF159">
        <v>596.49400000000003</v>
      </c>
      <c r="GG159">
        <v>25.876300000000001</v>
      </c>
      <c r="GH159">
        <v>25.599900000000002</v>
      </c>
      <c r="GI159">
        <v>30.0001</v>
      </c>
      <c r="GJ159">
        <v>25.712900000000001</v>
      </c>
      <c r="GK159">
        <v>25.6769</v>
      </c>
      <c r="GL159">
        <v>35.222999999999999</v>
      </c>
      <c r="GM159">
        <v>100</v>
      </c>
      <c r="GN159">
        <v>8.9061900000000005</v>
      </c>
      <c r="GO159">
        <v>25.8734</v>
      </c>
      <c r="GP159">
        <v>800</v>
      </c>
      <c r="GQ159">
        <v>0</v>
      </c>
      <c r="GR159">
        <v>99.720600000000005</v>
      </c>
      <c r="GS159">
        <v>99.445400000000006</v>
      </c>
    </row>
    <row r="160" spans="1:201" x14ac:dyDescent="0.25">
      <c r="A160">
        <v>144</v>
      </c>
      <c r="B160">
        <v>1690288070.5</v>
      </c>
      <c r="C160">
        <v>1531.900000095367</v>
      </c>
      <c r="D160" t="s">
        <v>621</v>
      </c>
      <c r="E160" t="s">
        <v>622</v>
      </c>
      <c r="F160" t="s">
        <v>330</v>
      </c>
      <c r="H160">
        <v>1690288070.5</v>
      </c>
      <c r="I160">
        <f t="shared" si="60"/>
        <v>2.8935693273917902E-3</v>
      </c>
      <c r="J160">
        <f t="shared" si="61"/>
        <v>2.8935693273917904</v>
      </c>
      <c r="K160">
        <f t="shared" si="62"/>
        <v>44.235217151989964</v>
      </c>
      <c r="L160">
        <f t="shared" si="63"/>
        <v>360.88</v>
      </c>
      <c r="M160">
        <f t="shared" si="64"/>
        <v>99.064753748788661</v>
      </c>
      <c r="N160">
        <f t="shared" si="65"/>
        <v>9.8511604892634015</v>
      </c>
      <c r="O160">
        <f t="shared" si="66"/>
        <v>35.886495073520003</v>
      </c>
      <c r="P160">
        <f t="shared" si="67"/>
        <v>0.29081593975244502</v>
      </c>
      <c r="Q160">
        <f t="shared" si="68"/>
        <v>2.3012020866843828</v>
      </c>
      <c r="R160">
        <f t="shared" si="69"/>
        <v>0.27183243167616217</v>
      </c>
      <c r="S160">
        <f t="shared" si="70"/>
        <v>0.17149749226131383</v>
      </c>
      <c r="T160">
        <f t="shared" si="71"/>
        <v>276.11648874000002</v>
      </c>
      <c r="U160">
        <f t="shared" si="72"/>
        <v>27.821278590906442</v>
      </c>
      <c r="V160">
        <f t="shared" si="73"/>
        <v>27.821278590906442</v>
      </c>
      <c r="W160">
        <f t="shared" si="74"/>
        <v>3.7554810748900382</v>
      </c>
      <c r="X160">
        <f t="shared" si="75"/>
        <v>77.552917971626556</v>
      </c>
      <c r="Y160">
        <f t="shared" si="76"/>
        <v>2.7314825536978002</v>
      </c>
      <c r="Z160">
        <f t="shared" si="77"/>
        <v>3.5220886913592833</v>
      </c>
      <c r="AA160">
        <f t="shared" si="78"/>
        <v>1.023998521192238</v>
      </c>
      <c r="AB160">
        <f t="shared" si="79"/>
        <v>-127.60640733797796</v>
      </c>
      <c r="AC160">
        <f t="shared" si="80"/>
        <v>-135.80846076682894</v>
      </c>
      <c r="AD160">
        <f t="shared" si="81"/>
        <v>-12.77137459203162</v>
      </c>
      <c r="AE160">
        <f t="shared" si="82"/>
        <v>-6.9753956838496833E-2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52611.735033760298</v>
      </c>
      <c r="AK160">
        <f t="shared" si="86"/>
        <v>1800</v>
      </c>
      <c r="AL160">
        <f t="shared" si="87"/>
        <v>1499.108013</v>
      </c>
      <c r="AM160">
        <f t="shared" si="88"/>
        <v>0.83283778500000005</v>
      </c>
      <c r="AN160">
        <f t="shared" si="89"/>
        <v>0.15339804930000001</v>
      </c>
      <c r="AO160">
        <v>29.1</v>
      </c>
      <c r="AP160">
        <v>0.5</v>
      </c>
      <c r="AQ160" t="s">
        <v>331</v>
      </c>
      <c r="AR160">
        <v>2</v>
      </c>
      <c r="AS160">
        <v>1690288070.5</v>
      </c>
      <c r="AT160">
        <v>360.88</v>
      </c>
      <c r="AU160">
        <v>799.95600000000002</v>
      </c>
      <c r="AV160">
        <v>27.4682</v>
      </c>
      <c r="AW160">
        <v>0.17991299999999999</v>
      </c>
      <c r="AX160">
        <v>361.80799999999999</v>
      </c>
      <c r="AY160">
        <v>27.277000000000001</v>
      </c>
      <c r="AZ160">
        <v>300.09199999999998</v>
      </c>
      <c r="BA160">
        <v>99.3416</v>
      </c>
      <c r="BB160">
        <v>0.10002900000000001</v>
      </c>
      <c r="BC160">
        <v>26.726600000000001</v>
      </c>
      <c r="BD160">
        <v>26.998200000000001</v>
      </c>
      <c r="BE160">
        <v>28.257899999999999</v>
      </c>
      <c r="BF160">
        <v>0</v>
      </c>
      <c r="BG160">
        <v>0</v>
      </c>
      <c r="BH160">
        <v>10006.9</v>
      </c>
      <c r="BI160">
        <v>1086.8499999999999</v>
      </c>
      <c r="BJ160">
        <v>1.28952</v>
      </c>
      <c r="BK160">
        <v>-439.07600000000002</v>
      </c>
      <c r="BL160">
        <v>371.07299999999998</v>
      </c>
      <c r="BM160">
        <v>800.1</v>
      </c>
      <c r="BN160">
        <v>27.2882</v>
      </c>
      <c r="BO160">
        <v>799.95600000000002</v>
      </c>
      <c r="BP160">
        <v>0.17991299999999999</v>
      </c>
      <c r="BQ160">
        <v>2.7287300000000001</v>
      </c>
      <c r="BR160">
        <v>1.7872900000000001E-2</v>
      </c>
      <c r="BS160">
        <v>22.459199999999999</v>
      </c>
      <c r="BT160">
        <v>-40.502800000000001</v>
      </c>
      <c r="BU160">
        <v>1800</v>
      </c>
      <c r="BV160">
        <v>0.90997300000000003</v>
      </c>
      <c r="BW160">
        <v>3.4007700000000002E-2</v>
      </c>
      <c r="BX160">
        <v>2.2007499999999999E-2</v>
      </c>
      <c r="BY160">
        <v>3.4011399999999997E-2</v>
      </c>
      <c r="BZ160">
        <v>25</v>
      </c>
      <c r="CA160">
        <v>33528.199999999997</v>
      </c>
      <c r="CB160">
        <v>1690286268.5999999</v>
      </c>
      <c r="CC160" t="s">
        <v>332</v>
      </c>
      <c r="CD160">
        <v>1690286261.0999999</v>
      </c>
      <c r="CE160">
        <v>1690286268.5999999</v>
      </c>
      <c r="CF160">
        <v>1</v>
      </c>
      <c r="CG160">
        <v>-0.89900000000000002</v>
      </c>
      <c r="CH160">
        <v>3.4000000000000002E-2</v>
      </c>
      <c r="CI160">
        <v>-1.2370000000000001</v>
      </c>
      <c r="CJ160">
        <v>8.5999999999999993E-2</v>
      </c>
      <c r="CK160">
        <v>799</v>
      </c>
      <c r="CL160">
        <v>16</v>
      </c>
      <c r="CM160">
        <v>0.28999999999999998</v>
      </c>
      <c r="CN160">
        <v>0.09</v>
      </c>
      <c r="CO160">
        <v>-438.43867499999999</v>
      </c>
      <c r="CP160">
        <v>-3.6461651031894959</v>
      </c>
      <c r="CQ160">
        <v>0.35429058606601099</v>
      </c>
      <c r="CR160">
        <v>-1</v>
      </c>
      <c r="CS160">
        <v>27.258189999999999</v>
      </c>
      <c r="CT160">
        <v>0.1752090056284577</v>
      </c>
      <c r="CU160">
        <v>1.6891207772092541E-2</v>
      </c>
      <c r="CV160">
        <v>-1</v>
      </c>
      <c r="CW160">
        <v>0</v>
      </c>
      <c r="CX160">
        <v>0</v>
      </c>
      <c r="CY160" t="s">
        <v>333</v>
      </c>
      <c r="CZ160">
        <v>2.3650500000000001</v>
      </c>
      <c r="DA160">
        <v>2.7138300000000002</v>
      </c>
      <c r="DB160">
        <v>8.3155999999999994E-2</v>
      </c>
      <c r="DC160">
        <v>0.14656</v>
      </c>
      <c r="DD160">
        <v>0.12570300000000001</v>
      </c>
      <c r="DE160">
        <v>1.5197399999999999E-3</v>
      </c>
      <c r="DF160">
        <v>33476.699999999997</v>
      </c>
      <c r="DG160">
        <v>27479.9</v>
      </c>
      <c r="DH160">
        <v>31168.799999999999</v>
      </c>
      <c r="DI160">
        <v>28055.4</v>
      </c>
      <c r="DJ160">
        <v>36978.300000000003</v>
      </c>
      <c r="DK160">
        <v>39821.199999999997</v>
      </c>
      <c r="DL160">
        <v>44350.9</v>
      </c>
      <c r="DM160">
        <v>42500.1</v>
      </c>
      <c r="DN160">
        <v>1.4936</v>
      </c>
      <c r="DO160">
        <v>2.0618300000000001</v>
      </c>
      <c r="DP160">
        <v>7.74339E-2</v>
      </c>
      <c r="DQ160">
        <v>0.17671300000000001</v>
      </c>
      <c r="DR160">
        <v>25.730499999999999</v>
      </c>
      <c r="DS160">
        <v>25.367000000000001</v>
      </c>
      <c r="DT160">
        <v>33.299999999999997</v>
      </c>
      <c r="DU160">
        <v>25.7</v>
      </c>
      <c r="DV160">
        <v>11.111499999999999</v>
      </c>
      <c r="DW160">
        <v>61.861400000000003</v>
      </c>
      <c r="DX160">
        <v>37.115400000000001</v>
      </c>
      <c r="DY160">
        <v>1</v>
      </c>
      <c r="DZ160">
        <v>-0.14419999999999999</v>
      </c>
      <c r="EA160">
        <v>-0.64228200000000002</v>
      </c>
      <c r="EB160">
        <v>20.189</v>
      </c>
      <c r="EC160">
        <v>5.2421499999999996</v>
      </c>
      <c r="ED160">
        <v>12.039899999999999</v>
      </c>
      <c r="EE160">
        <v>5.0173500000000004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1.8687499999999999</v>
      </c>
      <c r="EL160">
        <v>1.8644700000000001</v>
      </c>
      <c r="EM160">
        <v>1.8690599999999999</v>
      </c>
      <c r="EN160">
        <v>1.86707</v>
      </c>
      <c r="EO160">
        <v>1.8632500000000001</v>
      </c>
      <c r="EP160">
        <v>1.8643099999999999</v>
      </c>
      <c r="EQ160">
        <v>1.8701000000000001</v>
      </c>
      <c r="ER160">
        <v>1.86931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-0.92800000000000005</v>
      </c>
      <c r="FG160">
        <v>0.19120000000000001</v>
      </c>
      <c r="FH160">
        <v>-0.68620417327404271</v>
      </c>
      <c r="FI160">
        <v>-6.1462078757559423E-4</v>
      </c>
      <c r="FJ160">
        <v>-1.8861989874597051E-7</v>
      </c>
      <c r="FK160">
        <v>1.1980462299894961E-10</v>
      </c>
      <c r="FL160">
        <v>0.1911242781723908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30.2</v>
      </c>
      <c r="FU160">
        <v>30</v>
      </c>
      <c r="FV160">
        <v>1.7614700000000001</v>
      </c>
      <c r="FW160">
        <v>2.5732400000000002</v>
      </c>
      <c r="FX160">
        <v>1.5490699999999999</v>
      </c>
      <c r="FY160">
        <v>2.33887</v>
      </c>
      <c r="FZ160">
        <v>1.50146</v>
      </c>
      <c r="GA160">
        <v>2.2631800000000002</v>
      </c>
      <c r="GB160">
        <v>30.9985</v>
      </c>
      <c r="GC160">
        <v>23.973700000000001</v>
      </c>
      <c r="GD160">
        <v>19</v>
      </c>
      <c r="GE160">
        <v>287.45699999999999</v>
      </c>
      <c r="GF160">
        <v>596.72400000000005</v>
      </c>
      <c r="GG160">
        <v>25.869800000000001</v>
      </c>
      <c r="GH160">
        <v>25.601500000000001</v>
      </c>
      <c r="GI160">
        <v>30.0001</v>
      </c>
      <c r="GJ160">
        <v>25.712900000000001</v>
      </c>
      <c r="GK160">
        <v>25.6769</v>
      </c>
      <c r="GL160">
        <v>35.226199999999999</v>
      </c>
      <c r="GM160">
        <v>100</v>
      </c>
      <c r="GN160">
        <v>8.1622900000000005</v>
      </c>
      <c r="GO160">
        <v>25.904599999999999</v>
      </c>
      <c r="GP160">
        <v>800</v>
      </c>
      <c r="GQ160">
        <v>0</v>
      </c>
      <c r="GR160">
        <v>99.719899999999996</v>
      </c>
      <c r="GS160">
        <v>99.443200000000004</v>
      </c>
    </row>
    <row r="161" spans="1:201" x14ac:dyDescent="0.25">
      <c r="A161">
        <v>145</v>
      </c>
      <c r="B161">
        <v>1690288080.5</v>
      </c>
      <c r="C161">
        <v>1541.900000095367</v>
      </c>
      <c r="D161" t="s">
        <v>623</v>
      </c>
      <c r="E161" t="s">
        <v>624</v>
      </c>
      <c r="F161" t="s">
        <v>330</v>
      </c>
      <c r="H161">
        <v>1690288080.5</v>
      </c>
      <c r="I161">
        <f t="shared" si="60"/>
        <v>2.895998669584066E-3</v>
      </c>
      <c r="J161">
        <f t="shared" si="61"/>
        <v>2.895998669584066</v>
      </c>
      <c r="K161">
        <f t="shared" si="62"/>
        <v>44.287121126800827</v>
      </c>
      <c r="L161">
        <f t="shared" si="63"/>
        <v>360.38400000000001</v>
      </c>
      <c r="M161">
        <f t="shared" si="64"/>
        <v>98.82907869615039</v>
      </c>
      <c r="N161">
        <f t="shared" si="65"/>
        <v>9.8277985813285191</v>
      </c>
      <c r="O161">
        <f t="shared" si="66"/>
        <v>35.8374418810752</v>
      </c>
      <c r="P161">
        <f t="shared" si="67"/>
        <v>0.29151112385800898</v>
      </c>
      <c r="Q161">
        <f t="shared" si="68"/>
        <v>2.2965436073946628</v>
      </c>
      <c r="R161">
        <f t="shared" si="69"/>
        <v>0.27240397420009937</v>
      </c>
      <c r="S161">
        <f t="shared" si="70"/>
        <v>0.17186471252460062</v>
      </c>
      <c r="T161">
        <f t="shared" si="71"/>
        <v>276.11648438399999</v>
      </c>
      <c r="U161">
        <f t="shared" si="72"/>
        <v>27.825514841938091</v>
      </c>
      <c r="V161">
        <f t="shared" si="73"/>
        <v>27.825514841938091</v>
      </c>
      <c r="W161">
        <f t="shared" si="74"/>
        <v>3.7564098582578533</v>
      </c>
      <c r="X161">
        <f t="shared" si="75"/>
        <v>77.602478899066526</v>
      </c>
      <c r="Y161">
        <f t="shared" si="76"/>
        <v>2.7337107426731198</v>
      </c>
      <c r="Z161">
        <f t="shared" si="77"/>
        <v>3.5227105905066689</v>
      </c>
      <c r="AA161">
        <f t="shared" si="78"/>
        <v>1.0226991155847336</v>
      </c>
      <c r="AB161">
        <f t="shared" si="79"/>
        <v>-127.71354132865731</v>
      </c>
      <c r="AC161">
        <f t="shared" si="80"/>
        <v>-135.68659629534386</v>
      </c>
      <c r="AD161">
        <f t="shared" si="81"/>
        <v>-12.786259945908663</v>
      </c>
      <c r="AE161">
        <f t="shared" si="82"/>
        <v>-6.9913185909854292E-2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52434.978958117536</v>
      </c>
      <c r="AK161">
        <f t="shared" si="86"/>
        <v>1800</v>
      </c>
      <c r="AL161">
        <f t="shared" si="87"/>
        <v>1499.1096743999999</v>
      </c>
      <c r="AM161">
        <f t="shared" si="88"/>
        <v>0.83283870799999993</v>
      </c>
      <c r="AN161">
        <f t="shared" si="89"/>
        <v>0.15339804688</v>
      </c>
      <c r="AO161">
        <v>29.1</v>
      </c>
      <c r="AP161">
        <v>0.5</v>
      </c>
      <c r="AQ161" t="s">
        <v>331</v>
      </c>
      <c r="AR161">
        <v>2</v>
      </c>
      <c r="AS161">
        <v>1690288080.5</v>
      </c>
      <c r="AT161">
        <v>360.38400000000001</v>
      </c>
      <c r="AU161">
        <v>799.97400000000005</v>
      </c>
      <c r="AV161">
        <v>27.490400000000001</v>
      </c>
      <c r="AW161">
        <v>0.17882500000000001</v>
      </c>
      <c r="AX161">
        <v>361.31200000000001</v>
      </c>
      <c r="AY161">
        <v>27.299199999999999</v>
      </c>
      <c r="AZ161">
        <v>300.08100000000002</v>
      </c>
      <c r="BA161">
        <v>99.342399999999998</v>
      </c>
      <c r="BB161">
        <v>9.9977800000000006E-2</v>
      </c>
      <c r="BC161">
        <v>26.729600000000001</v>
      </c>
      <c r="BD161">
        <v>26.994700000000002</v>
      </c>
      <c r="BE161">
        <v>28.270299999999999</v>
      </c>
      <c r="BF161">
        <v>0</v>
      </c>
      <c r="BG161">
        <v>0</v>
      </c>
      <c r="BH161">
        <v>9971.8799999999992</v>
      </c>
      <c r="BI161">
        <v>1086.81</v>
      </c>
      <c r="BJ161">
        <v>1.28952</v>
      </c>
      <c r="BK161">
        <v>-439.589</v>
      </c>
      <c r="BL161">
        <v>370.572</v>
      </c>
      <c r="BM161">
        <v>800.11699999999996</v>
      </c>
      <c r="BN161">
        <v>27.311499999999999</v>
      </c>
      <c r="BO161">
        <v>799.97400000000005</v>
      </c>
      <c r="BP161">
        <v>0.17882500000000001</v>
      </c>
      <c r="BQ161">
        <v>2.7309600000000001</v>
      </c>
      <c r="BR161">
        <v>1.77649E-2</v>
      </c>
      <c r="BS161">
        <v>22.4726</v>
      </c>
      <c r="BT161">
        <v>-40.560499999999998</v>
      </c>
      <c r="BU161">
        <v>1800</v>
      </c>
      <c r="BV161">
        <v>0.90997799999999995</v>
      </c>
      <c r="BW161">
        <v>3.4006099999999997E-2</v>
      </c>
      <c r="BX161">
        <v>2.2006399999999999E-2</v>
      </c>
      <c r="BY161">
        <v>3.40098E-2</v>
      </c>
      <c r="BZ161">
        <v>25</v>
      </c>
      <c r="CA161">
        <v>33528.199999999997</v>
      </c>
      <c r="CB161">
        <v>1690286268.5999999</v>
      </c>
      <c r="CC161" t="s">
        <v>332</v>
      </c>
      <c r="CD161">
        <v>1690286261.0999999</v>
      </c>
      <c r="CE161">
        <v>1690286268.5999999</v>
      </c>
      <c r="CF161">
        <v>1</v>
      </c>
      <c r="CG161">
        <v>-0.89900000000000002</v>
      </c>
      <c r="CH161">
        <v>3.4000000000000002E-2</v>
      </c>
      <c r="CI161">
        <v>-1.2370000000000001</v>
      </c>
      <c r="CJ161">
        <v>8.5999999999999993E-2</v>
      </c>
      <c r="CK161">
        <v>799</v>
      </c>
      <c r="CL161">
        <v>16</v>
      </c>
      <c r="CM161">
        <v>0.28999999999999998</v>
      </c>
      <c r="CN161">
        <v>0.09</v>
      </c>
      <c r="CO161">
        <v>-438.99592682926829</v>
      </c>
      <c r="CP161">
        <v>-3.1641533101043531</v>
      </c>
      <c r="CQ161">
        <v>0.31564323718817222</v>
      </c>
      <c r="CR161">
        <v>-1</v>
      </c>
      <c r="CS161">
        <v>27.28511951219512</v>
      </c>
      <c r="CT161">
        <v>0.14144738675962559</v>
      </c>
      <c r="CU161">
        <v>1.397480694071818E-2</v>
      </c>
      <c r="CV161">
        <v>-1</v>
      </c>
      <c r="CW161">
        <v>0</v>
      </c>
      <c r="CX161">
        <v>0</v>
      </c>
      <c r="CY161" t="s">
        <v>333</v>
      </c>
      <c r="CZ161">
        <v>2.3650000000000002</v>
      </c>
      <c r="DA161">
        <v>2.71374</v>
      </c>
      <c r="DB161">
        <v>8.3067600000000005E-2</v>
      </c>
      <c r="DC161">
        <v>0.146563</v>
      </c>
      <c r="DD161">
        <v>0.125775</v>
      </c>
      <c r="DE161">
        <v>1.5106500000000001E-3</v>
      </c>
      <c r="DF161">
        <v>33480.1</v>
      </c>
      <c r="DG161">
        <v>27479.7</v>
      </c>
      <c r="DH161">
        <v>31168.9</v>
      </c>
      <c r="DI161">
        <v>28055.3</v>
      </c>
      <c r="DJ161">
        <v>36975.4</v>
      </c>
      <c r="DK161">
        <v>39821.599999999999</v>
      </c>
      <c r="DL161">
        <v>44351.1</v>
      </c>
      <c r="DM161">
        <v>42500.1</v>
      </c>
      <c r="DN161">
        <v>1.49332</v>
      </c>
      <c r="DO161">
        <v>2.0615199999999998</v>
      </c>
      <c r="DP161">
        <v>7.7031600000000006E-2</v>
      </c>
      <c r="DQ161">
        <v>0.17732400000000001</v>
      </c>
      <c r="DR161">
        <v>25.733599999999999</v>
      </c>
      <c r="DS161">
        <v>25.369499999999999</v>
      </c>
      <c r="DT161">
        <v>33</v>
      </c>
      <c r="DU161">
        <v>25.7</v>
      </c>
      <c r="DV161">
        <v>11.009600000000001</v>
      </c>
      <c r="DW161">
        <v>62.061399999999999</v>
      </c>
      <c r="DX161">
        <v>37.067300000000003</v>
      </c>
      <c r="DY161">
        <v>1</v>
      </c>
      <c r="DZ161">
        <v>-0.14409</v>
      </c>
      <c r="EA161">
        <v>-0.66080899999999998</v>
      </c>
      <c r="EB161">
        <v>20.189299999999999</v>
      </c>
      <c r="EC161">
        <v>5.2421499999999996</v>
      </c>
      <c r="ED161">
        <v>12.039899999999999</v>
      </c>
      <c r="EE161">
        <v>5.0174000000000003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1.8687499999999999</v>
      </c>
      <c r="EL161">
        <v>1.8644700000000001</v>
      </c>
      <c r="EM161">
        <v>1.8690500000000001</v>
      </c>
      <c r="EN161">
        <v>1.86707</v>
      </c>
      <c r="EO161">
        <v>1.8632500000000001</v>
      </c>
      <c r="EP161">
        <v>1.86432</v>
      </c>
      <c r="EQ161">
        <v>1.87012</v>
      </c>
      <c r="ER161">
        <v>1.8693299999999999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-0.92800000000000005</v>
      </c>
      <c r="FG161">
        <v>0.19120000000000001</v>
      </c>
      <c r="FH161">
        <v>-0.68620417327404271</v>
      </c>
      <c r="FI161">
        <v>-6.1462078757559423E-4</v>
      </c>
      <c r="FJ161">
        <v>-1.8861989874597051E-7</v>
      </c>
      <c r="FK161">
        <v>1.1980462299894961E-10</v>
      </c>
      <c r="FL161">
        <v>0.1911242781723908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30.3</v>
      </c>
      <c r="FU161">
        <v>30.2</v>
      </c>
      <c r="FV161">
        <v>1.7614700000000001</v>
      </c>
      <c r="FW161">
        <v>2.5659200000000002</v>
      </c>
      <c r="FX161">
        <v>1.5490699999999999</v>
      </c>
      <c r="FY161">
        <v>2.34009</v>
      </c>
      <c r="FZ161">
        <v>1.50146</v>
      </c>
      <c r="GA161">
        <v>2.3754900000000001</v>
      </c>
      <c r="GB161">
        <v>31.020199999999999</v>
      </c>
      <c r="GC161">
        <v>23.991199999999999</v>
      </c>
      <c r="GD161">
        <v>19</v>
      </c>
      <c r="GE161">
        <v>287.339</v>
      </c>
      <c r="GF161">
        <v>596.49699999999996</v>
      </c>
      <c r="GG161">
        <v>25.901800000000001</v>
      </c>
      <c r="GH161">
        <v>25.6021</v>
      </c>
      <c r="GI161">
        <v>30.0002</v>
      </c>
      <c r="GJ161">
        <v>25.712900000000001</v>
      </c>
      <c r="GK161">
        <v>25.678999999999998</v>
      </c>
      <c r="GL161">
        <v>35.228200000000001</v>
      </c>
      <c r="GM161">
        <v>100</v>
      </c>
      <c r="GN161">
        <v>7.7903500000000001</v>
      </c>
      <c r="GO161">
        <v>25.890699999999999</v>
      </c>
      <c r="GP161">
        <v>800</v>
      </c>
      <c r="GQ161">
        <v>0</v>
      </c>
      <c r="GR161">
        <v>99.720399999999998</v>
      </c>
      <c r="GS161">
        <v>99.442899999999995</v>
      </c>
    </row>
    <row r="162" spans="1:201" x14ac:dyDescent="0.25">
      <c r="A162">
        <v>146</v>
      </c>
      <c r="B162">
        <v>1690288090.5</v>
      </c>
      <c r="C162">
        <v>1551.900000095367</v>
      </c>
      <c r="D162" t="s">
        <v>625</v>
      </c>
      <c r="E162" t="s">
        <v>626</v>
      </c>
      <c r="F162" t="s">
        <v>330</v>
      </c>
      <c r="H162">
        <v>1690288090.5</v>
      </c>
      <c r="I162">
        <f t="shared" si="60"/>
        <v>2.8993441128616778E-3</v>
      </c>
      <c r="J162">
        <f t="shared" si="61"/>
        <v>2.8993441128616779</v>
      </c>
      <c r="K162">
        <f t="shared" si="62"/>
        <v>44.372391584799487</v>
      </c>
      <c r="L162">
        <f t="shared" si="63"/>
        <v>359.72199999999998</v>
      </c>
      <c r="M162">
        <f t="shared" si="64"/>
        <v>98.552964411776486</v>
      </c>
      <c r="N162">
        <f t="shared" si="65"/>
        <v>9.8007671845215754</v>
      </c>
      <c r="O162">
        <f t="shared" si="66"/>
        <v>35.773166177121993</v>
      </c>
      <c r="P162">
        <f t="shared" si="67"/>
        <v>0.2925222308698458</v>
      </c>
      <c r="Q162">
        <f t="shared" si="68"/>
        <v>2.3002676082065685</v>
      </c>
      <c r="R162">
        <f t="shared" si="69"/>
        <v>0.27331594276995275</v>
      </c>
      <c r="S162">
        <f t="shared" si="70"/>
        <v>0.1724428774392574</v>
      </c>
      <c r="T162">
        <f t="shared" si="71"/>
        <v>276.11631876600006</v>
      </c>
      <c r="U162">
        <f t="shared" si="72"/>
        <v>27.82460163163173</v>
      </c>
      <c r="V162">
        <f t="shared" si="73"/>
        <v>27.82460163163173</v>
      </c>
      <c r="W162">
        <f t="shared" si="74"/>
        <v>3.7562096231169426</v>
      </c>
      <c r="X162">
        <f t="shared" si="75"/>
        <v>77.650981519297218</v>
      </c>
      <c r="Y162">
        <f t="shared" si="76"/>
        <v>2.7357091318192999</v>
      </c>
      <c r="Z162">
        <f t="shared" si="77"/>
        <v>3.523083776010536</v>
      </c>
      <c r="AA162">
        <f t="shared" si="78"/>
        <v>1.0205004912976428</v>
      </c>
      <c r="AB162">
        <f t="shared" si="79"/>
        <v>-127.8610753772</v>
      </c>
      <c r="AC162">
        <f t="shared" si="80"/>
        <v>-135.57015057935754</v>
      </c>
      <c r="AD162">
        <f t="shared" si="81"/>
        <v>-12.754660663819584</v>
      </c>
      <c r="AE162">
        <f t="shared" si="82"/>
        <v>-6.9567854377083904E-2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52575.620803493912</v>
      </c>
      <c r="AK162">
        <f t="shared" si="86"/>
        <v>1800</v>
      </c>
      <c r="AL162">
        <f t="shared" si="87"/>
        <v>1499.1092855999998</v>
      </c>
      <c r="AM162">
        <f t="shared" si="88"/>
        <v>0.83283849199999993</v>
      </c>
      <c r="AN162">
        <f t="shared" si="89"/>
        <v>0.15339795487000002</v>
      </c>
      <c r="AO162">
        <v>29.1</v>
      </c>
      <c r="AP162">
        <v>0.5</v>
      </c>
      <c r="AQ162" t="s">
        <v>331</v>
      </c>
      <c r="AR162">
        <v>2</v>
      </c>
      <c r="AS162">
        <v>1690288090.5</v>
      </c>
      <c r="AT162">
        <v>359.72199999999998</v>
      </c>
      <c r="AU162">
        <v>799.95299999999997</v>
      </c>
      <c r="AV162">
        <v>27.5093</v>
      </c>
      <c r="AW162">
        <v>0.177818</v>
      </c>
      <c r="AX162">
        <v>360.64800000000002</v>
      </c>
      <c r="AY162">
        <v>27.318200000000001</v>
      </c>
      <c r="AZ162">
        <v>300.20299999999997</v>
      </c>
      <c r="BA162">
        <v>99.346599999999995</v>
      </c>
      <c r="BB162">
        <v>0.100101</v>
      </c>
      <c r="BC162">
        <v>26.731400000000001</v>
      </c>
      <c r="BD162">
        <v>27.001899999999999</v>
      </c>
      <c r="BE162">
        <v>28.274799999999999</v>
      </c>
      <c r="BF162">
        <v>0</v>
      </c>
      <c r="BG162">
        <v>0</v>
      </c>
      <c r="BH162">
        <v>9999.3799999999992</v>
      </c>
      <c r="BI162">
        <v>1086.8499999999999</v>
      </c>
      <c r="BJ162">
        <v>1.28952</v>
      </c>
      <c r="BK162">
        <v>-440.23099999999999</v>
      </c>
      <c r="BL162">
        <v>369.89699999999999</v>
      </c>
      <c r="BM162">
        <v>800.09500000000003</v>
      </c>
      <c r="BN162">
        <v>27.331499999999998</v>
      </c>
      <c r="BO162">
        <v>799.95299999999997</v>
      </c>
      <c r="BP162">
        <v>0.177818</v>
      </c>
      <c r="BQ162">
        <v>2.7329599999999998</v>
      </c>
      <c r="BR162">
        <v>1.76656E-2</v>
      </c>
      <c r="BS162">
        <v>22.4846</v>
      </c>
      <c r="BT162">
        <v>-40.613900000000001</v>
      </c>
      <c r="BU162">
        <v>1800</v>
      </c>
      <c r="BV162">
        <v>0.90997899999999998</v>
      </c>
      <c r="BW162">
        <v>3.4005500000000001E-2</v>
      </c>
      <c r="BX162">
        <v>2.2006100000000001E-2</v>
      </c>
      <c r="BY162">
        <v>3.4009299999999999E-2</v>
      </c>
      <c r="BZ162">
        <v>25</v>
      </c>
      <c r="CA162">
        <v>33528.199999999997</v>
      </c>
      <c r="CB162">
        <v>1690286268.5999999</v>
      </c>
      <c r="CC162" t="s">
        <v>332</v>
      </c>
      <c r="CD162">
        <v>1690286261.0999999</v>
      </c>
      <c r="CE162">
        <v>1690286268.5999999</v>
      </c>
      <c r="CF162">
        <v>1</v>
      </c>
      <c r="CG162">
        <v>-0.89900000000000002</v>
      </c>
      <c r="CH162">
        <v>3.4000000000000002E-2</v>
      </c>
      <c r="CI162">
        <v>-1.2370000000000001</v>
      </c>
      <c r="CJ162">
        <v>8.5999999999999993E-2</v>
      </c>
      <c r="CK162">
        <v>799</v>
      </c>
      <c r="CL162">
        <v>16</v>
      </c>
      <c r="CM162">
        <v>0.28999999999999998</v>
      </c>
      <c r="CN162">
        <v>0.09</v>
      </c>
      <c r="CO162">
        <v>-439.55417499999999</v>
      </c>
      <c r="CP162">
        <v>-3.8558836772993259</v>
      </c>
      <c r="CQ162">
        <v>0.37570140321137752</v>
      </c>
      <c r="CR162">
        <v>-1</v>
      </c>
      <c r="CS162">
        <v>27.30808</v>
      </c>
      <c r="CT162">
        <v>0.1427684803000446</v>
      </c>
      <c r="CU162">
        <v>1.3754366579381311E-2</v>
      </c>
      <c r="CV162">
        <v>-1</v>
      </c>
      <c r="CW162">
        <v>0</v>
      </c>
      <c r="CX162">
        <v>0</v>
      </c>
      <c r="CY162" t="s">
        <v>333</v>
      </c>
      <c r="CZ162">
        <v>2.3654099999999998</v>
      </c>
      <c r="DA162">
        <v>2.7138900000000001</v>
      </c>
      <c r="DB162">
        <v>8.2951899999999995E-2</v>
      </c>
      <c r="DC162">
        <v>0.146567</v>
      </c>
      <c r="DD162">
        <v>0.12584000000000001</v>
      </c>
      <c r="DE162">
        <v>1.5023E-3</v>
      </c>
      <c r="DF162">
        <v>33484.6</v>
      </c>
      <c r="DG162">
        <v>27479.8</v>
      </c>
      <c r="DH162">
        <v>31169.3</v>
      </c>
      <c r="DI162">
        <v>28055.599999999999</v>
      </c>
      <c r="DJ162">
        <v>36973</v>
      </c>
      <c r="DK162">
        <v>39822</v>
      </c>
      <c r="DL162">
        <v>44351.6</v>
      </c>
      <c r="DM162">
        <v>42500.2</v>
      </c>
      <c r="DN162">
        <v>1.4936499999999999</v>
      </c>
      <c r="DO162">
        <v>2.0617299999999998</v>
      </c>
      <c r="DP162">
        <v>7.7463699999999996E-2</v>
      </c>
      <c r="DQ162">
        <v>0.17748800000000001</v>
      </c>
      <c r="DR162">
        <v>25.733799999999999</v>
      </c>
      <c r="DS162">
        <v>25.371300000000002</v>
      </c>
      <c r="DT162">
        <v>32.799999999999997</v>
      </c>
      <c r="DU162">
        <v>25.7</v>
      </c>
      <c r="DV162">
        <v>10.9445</v>
      </c>
      <c r="DW162">
        <v>61.991399999999999</v>
      </c>
      <c r="DX162">
        <v>36.3902</v>
      </c>
      <c r="DY162">
        <v>1</v>
      </c>
      <c r="DZ162">
        <v>-0.144012</v>
      </c>
      <c r="EA162">
        <v>-0.65635900000000003</v>
      </c>
      <c r="EB162">
        <v>20.1892</v>
      </c>
      <c r="EC162">
        <v>5.2421499999999996</v>
      </c>
      <c r="ED162">
        <v>12.039899999999999</v>
      </c>
      <c r="EE162">
        <v>5.0171000000000001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1.8687400000000001</v>
      </c>
      <c r="EL162">
        <v>1.8644700000000001</v>
      </c>
      <c r="EM162">
        <v>1.8690800000000001</v>
      </c>
      <c r="EN162">
        <v>1.8670800000000001</v>
      </c>
      <c r="EO162">
        <v>1.8632599999999999</v>
      </c>
      <c r="EP162">
        <v>1.86432</v>
      </c>
      <c r="EQ162">
        <v>1.87009</v>
      </c>
      <c r="ER162">
        <v>1.86931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-0.92600000000000005</v>
      </c>
      <c r="FG162">
        <v>0.19109999999999999</v>
      </c>
      <c r="FH162">
        <v>-0.68620417327404271</v>
      </c>
      <c r="FI162">
        <v>-6.1462078757559423E-4</v>
      </c>
      <c r="FJ162">
        <v>-1.8861989874597051E-7</v>
      </c>
      <c r="FK162">
        <v>1.1980462299894961E-10</v>
      </c>
      <c r="FL162">
        <v>0.1911242781723908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30.5</v>
      </c>
      <c r="FU162">
        <v>30.4</v>
      </c>
      <c r="FV162">
        <v>1.7626999999999999</v>
      </c>
      <c r="FW162">
        <v>2.5659200000000002</v>
      </c>
      <c r="FX162">
        <v>1.5490699999999999</v>
      </c>
      <c r="FY162">
        <v>2.34131</v>
      </c>
      <c r="FZ162">
        <v>1.50146</v>
      </c>
      <c r="GA162">
        <v>2.3571800000000001</v>
      </c>
      <c r="GB162">
        <v>31.020199999999999</v>
      </c>
      <c r="GC162">
        <v>23.982399999999998</v>
      </c>
      <c r="GD162">
        <v>19</v>
      </c>
      <c r="GE162">
        <v>287.47899999999998</v>
      </c>
      <c r="GF162">
        <v>596.66499999999996</v>
      </c>
      <c r="GG162">
        <v>25.8965</v>
      </c>
      <c r="GH162">
        <v>25.6021</v>
      </c>
      <c r="GI162">
        <v>30.0002</v>
      </c>
      <c r="GJ162">
        <v>25.712900000000001</v>
      </c>
      <c r="GK162">
        <v>25.678999999999998</v>
      </c>
      <c r="GL162">
        <v>35.232599999999998</v>
      </c>
      <c r="GM162">
        <v>100</v>
      </c>
      <c r="GN162">
        <v>6.9978999999999996</v>
      </c>
      <c r="GO162">
        <v>25.896599999999999</v>
      </c>
      <c r="GP162">
        <v>800</v>
      </c>
      <c r="GQ162">
        <v>0</v>
      </c>
      <c r="GR162">
        <v>99.721400000000003</v>
      </c>
      <c r="GS162">
        <v>99.4435</v>
      </c>
    </row>
    <row r="163" spans="1:201" x14ac:dyDescent="0.25">
      <c r="A163">
        <v>147</v>
      </c>
      <c r="B163">
        <v>1690288100.5</v>
      </c>
      <c r="C163">
        <v>1561.900000095367</v>
      </c>
      <c r="D163" t="s">
        <v>627</v>
      </c>
      <c r="E163" t="s">
        <v>628</v>
      </c>
      <c r="F163" t="s">
        <v>330</v>
      </c>
      <c r="H163">
        <v>1690288100.5</v>
      </c>
      <c r="I163">
        <f t="shared" si="60"/>
        <v>2.9000581139885205E-3</v>
      </c>
      <c r="J163">
        <f t="shared" si="61"/>
        <v>2.9000581139885204</v>
      </c>
      <c r="K163">
        <f t="shared" si="62"/>
        <v>44.392851532596204</v>
      </c>
      <c r="L163">
        <f t="shared" si="63"/>
        <v>359.29</v>
      </c>
      <c r="M163">
        <f t="shared" si="64"/>
        <v>98.601727584643911</v>
      </c>
      <c r="N163">
        <f t="shared" si="65"/>
        <v>9.8052792539843328</v>
      </c>
      <c r="O163">
        <f t="shared" si="66"/>
        <v>35.728976250845001</v>
      </c>
      <c r="P163">
        <f t="shared" si="67"/>
        <v>0.29323351364920219</v>
      </c>
      <c r="Q163">
        <f t="shared" si="68"/>
        <v>2.3001407661409905</v>
      </c>
      <c r="R163">
        <f t="shared" si="69"/>
        <v>0.27393602466158024</v>
      </c>
      <c r="S163">
        <f t="shared" si="70"/>
        <v>0.17283787807209819</v>
      </c>
      <c r="T163">
        <f t="shared" si="71"/>
        <v>276.1147146048412</v>
      </c>
      <c r="U163">
        <f t="shared" si="72"/>
        <v>27.824812361202088</v>
      </c>
      <c r="V163">
        <f t="shared" si="73"/>
        <v>27.824812361202088</v>
      </c>
      <c r="W163">
        <f t="shared" si="74"/>
        <v>3.7562558279287752</v>
      </c>
      <c r="X163">
        <f t="shared" si="75"/>
        <v>77.710272579431688</v>
      </c>
      <c r="Y163">
        <f t="shared" si="76"/>
        <v>2.7378624543979497</v>
      </c>
      <c r="Z163">
        <f t="shared" si="77"/>
        <v>3.5231667108096154</v>
      </c>
      <c r="AA163">
        <f t="shared" si="78"/>
        <v>1.0183933735308255</v>
      </c>
      <c r="AB163">
        <f t="shared" si="79"/>
        <v>-127.89256282689375</v>
      </c>
      <c r="AC163">
        <f t="shared" si="80"/>
        <v>-135.53920441292411</v>
      </c>
      <c r="AD163">
        <f t="shared" si="81"/>
        <v>-12.752491288488722</v>
      </c>
      <c r="AE163">
        <f t="shared" si="82"/>
        <v>-6.9543923465403168E-2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52570.680105163185</v>
      </c>
      <c r="AK163">
        <f t="shared" si="86"/>
        <v>1799.99</v>
      </c>
      <c r="AL163">
        <f t="shared" si="87"/>
        <v>1499.1016520112198</v>
      </c>
      <c r="AM163">
        <f t="shared" si="88"/>
        <v>0.83283887799999989</v>
      </c>
      <c r="AN163">
        <f t="shared" si="89"/>
        <v>0.15339791587999999</v>
      </c>
      <c r="AO163">
        <v>29.1</v>
      </c>
      <c r="AP163">
        <v>0.5</v>
      </c>
      <c r="AQ163" t="s">
        <v>331</v>
      </c>
      <c r="AR163">
        <v>2</v>
      </c>
      <c r="AS163">
        <v>1690288100.5</v>
      </c>
      <c r="AT163">
        <v>359.29</v>
      </c>
      <c r="AU163">
        <v>799.99300000000005</v>
      </c>
      <c r="AV163">
        <v>27.5319</v>
      </c>
      <c r="AW163">
        <v>0.176736</v>
      </c>
      <c r="AX163">
        <v>360.21600000000001</v>
      </c>
      <c r="AY163">
        <v>27.340699999999998</v>
      </c>
      <c r="AZ163">
        <v>300.01</v>
      </c>
      <c r="BA163">
        <v>99.343400000000003</v>
      </c>
      <c r="BB163">
        <v>9.9880499999999997E-2</v>
      </c>
      <c r="BC163">
        <v>26.7318</v>
      </c>
      <c r="BD163">
        <v>27.0228</v>
      </c>
      <c r="BE163">
        <v>28.257100000000001</v>
      </c>
      <c r="BF163">
        <v>0</v>
      </c>
      <c r="BG163">
        <v>0</v>
      </c>
      <c r="BH163">
        <v>9998.75</v>
      </c>
      <c r="BI163">
        <v>1086.8599999999999</v>
      </c>
      <c r="BJ163">
        <v>1.28952</v>
      </c>
      <c r="BK163">
        <v>-440.70299999999997</v>
      </c>
      <c r="BL163">
        <v>369.46199999999999</v>
      </c>
      <c r="BM163">
        <v>800.13400000000001</v>
      </c>
      <c r="BN163">
        <v>27.3551</v>
      </c>
      <c r="BO163">
        <v>799.99300000000005</v>
      </c>
      <c r="BP163">
        <v>0.176736</v>
      </c>
      <c r="BQ163">
        <v>2.7351100000000002</v>
      </c>
      <c r="BR163">
        <v>1.75576E-2</v>
      </c>
      <c r="BS163">
        <v>22.497599999999998</v>
      </c>
      <c r="BT163">
        <v>-40.6723</v>
      </c>
      <c r="BU163">
        <v>1799.99</v>
      </c>
      <c r="BV163">
        <v>0.90998199999999996</v>
      </c>
      <c r="BW163">
        <v>3.40045E-2</v>
      </c>
      <c r="BX163">
        <v>2.2005400000000001E-2</v>
      </c>
      <c r="BY163">
        <v>3.4008200000000002E-2</v>
      </c>
      <c r="BZ163">
        <v>25</v>
      </c>
      <c r="CA163">
        <v>33528.1</v>
      </c>
      <c r="CB163">
        <v>1690286268.5999999</v>
      </c>
      <c r="CC163" t="s">
        <v>332</v>
      </c>
      <c r="CD163">
        <v>1690286261.0999999</v>
      </c>
      <c r="CE163">
        <v>1690286268.5999999</v>
      </c>
      <c r="CF163">
        <v>1</v>
      </c>
      <c r="CG163">
        <v>-0.89900000000000002</v>
      </c>
      <c r="CH163">
        <v>3.4000000000000002E-2</v>
      </c>
      <c r="CI163">
        <v>-1.2370000000000001</v>
      </c>
      <c r="CJ163">
        <v>8.5999999999999993E-2</v>
      </c>
      <c r="CK163">
        <v>799</v>
      </c>
      <c r="CL163">
        <v>16</v>
      </c>
      <c r="CM163">
        <v>0.28999999999999998</v>
      </c>
      <c r="CN163">
        <v>0.09</v>
      </c>
      <c r="CO163">
        <v>-440.14932499999998</v>
      </c>
      <c r="CP163">
        <v>-3.3892795497172612</v>
      </c>
      <c r="CQ163">
        <v>0.33688576606172971</v>
      </c>
      <c r="CR163">
        <v>-1</v>
      </c>
      <c r="CS163">
        <v>27.330287500000001</v>
      </c>
      <c r="CT163">
        <v>0.12715834896804601</v>
      </c>
      <c r="CU163">
        <v>1.226548383676729E-2</v>
      </c>
      <c r="CV163">
        <v>-1</v>
      </c>
      <c r="CW163">
        <v>0</v>
      </c>
      <c r="CX163">
        <v>0</v>
      </c>
      <c r="CY163" t="s">
        <v>333</v>
      </c>
      <c r="CZ163">
        <v>2.36477</v>
      </c>
      <c r="DA163">
        <v>2.71367</v>
      </c>
      <c r="DB163">
        <v>8.2871700000000006E-2</v>
      </c>
      <c r="DC163">
        <v>0.146567</v>
      </c>
      <c r="DD163">
        <v>0.12590799999999999</v>
      </c>
      <c r="DE163">
        <v>1.49321E-3</v>
      </c>
      <c r="DF163">
        <v>33487.800000000003</v>
      </c>
      <c r="DG163">
        <v>27480.3</v>
      </c>
      <c r="DH163">
        <v>31169.5</v>
      </c>
      <c r="DI163">
        <v>28056.1</v>
      </c>
      <c r="DJ163">
        <v>36970.300000000003</v>
      </c>
      <c r="DK163">
        <v>39823.1</v>
      </c>
      <c r="DL163">
        <v>44351.8</v>
      </c>
      <c r="DM163">
        <v>42501</v>
      </c>
      <c r="DN163">
        <v>1.49335</v>
      </c>
      <c r="DO163">
        <v>2.0620799999999999</v>
      </c>
      <c r="DP163">
        <v>7.8685599999999994E-2</v>
      </c>
      <c r="DQ163">
        <v>0.17627300000000001</v>
      </c>
      <c r="DR163">
        <v>25.7347</v>
      </c>
      <c r="DS163">
        <v>25.3735</v>
      </c>
      <c r="DT163">
        <v>32.6</v>
      </c>
      <c r="DU163">
        <v>25.8</v>
      </c>
      <c r="DV163">
        <v>10.9437</v>
      </c>
      <c r="DW163">
        <v>62.311399999999999</v>
      </c>
      <c r="DX163">
        <v>37.0593</v>
      </c>
      <c r="DY163">
        <v>1</v>
      </c>
      <c r="DZ163">
        <v>-0.144314</v>
      </c>
      <c r="EA163">
        <v>-0.62990199999999996</v>
      </c>
      <c r="EB163">
        <v>20.1892</v>
      </c>
      <c r="EC163">
        <v>5.2426000000000004</v>
      </c>
      <c r="ED163">
        <v>12.039899999999999</v>
      </c>
      <c r="EE163">
        <v>5.0176999999999996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1.8687400000000001</v>
      </c>
      <c r="EL163">
        <v>1.8644499999999999</v>
      </c>
      <c r="EM163">
        <v>1.8690599999999999</v>
      </c>
      <c r="EN163">
        <v>1.86707</v>
      </c>
      <c r="EO163">
        <v>1.8632500000000001</v>
      </c>
      <c r="EP163">
        <v>1.86432</v>
      </c>
      <c r="EQ163">
        <v>1.8701000000000001</v>
      </c>
      <c r="ER163">
        <v>1.8693299999999999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-0.92600000000000005</v>
      </c>
      <c r="FG163">
        <v>0.19120000000000001</v>
      </c>
      <c r="FH163">
        <v>-0.68620417327404271</v>
      </c>
      <c r="FI163">
        <v>-6.1462078757559423E-4</v>
      </c>
      <c r="FJ163">
        <v>-1.8861989874597051E-7</v>
      </c>
      <c r="FK163">
        <v>1.1980462299894961E-10</v>
      </c>
      <c r="FL163">
        <v>0.1911242781723908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30.7</v>
      </c>
      <c r="FU163">
        <v>30.5</v>
      </c>
      <c r="FV163">
        <v>1.7626999999999999</v>
      </c>
      <c r="FW163">
        <v>2.5720200000000002</v>
      </c>
      <c r="FX163">
        <v>1.5490699999999999</v>
      </c>
      <c r="FY163">
        <v>2.34009</v>
      </c>
      <c r="FZ163">
        <v>1.50146</v>
      </c>
      <c r="GA163">
        <v>2.31934</v>
      </c>
      <c r="GB163">
        <v>31.020199999999999</v>
      </c>
      <c r="GC163">
        <v>23.973700000000001</v>
      </c>
      <c r="GD163">
        <v>19</v>
      </c>
      <c r="GE163">
        <v>287.35000000000002</v>
      </c>
      <c r="GF163">
        <v>596.95799999999997</v>
      </c>
      <c r="GG163">
        <v>25.895299999999999</v>
      </c>
      <c r="GH163">
        <v>25.6021</v>
      </c>
      <c r="GI163">
        <v>30.0001</v>
      </c>
      <c r="GJ163">
        <v>25.712900000000001</v>
      </c>
      <c r="GK163">
        <v>25.678999999999998</v>
      </c>
      <c r="GL163">
        <v>35.233600000000003</v>
      </c>
      <c r="GM163">
        <v>100</v>
      </c>
      <c r="GN163">
        <v>6.6014799999999996</v>
      </c>
      <c r="GO163">
        <v>25.879200000000001</v>
      </c>
      <c r="GP163">
        <v>800</v>
      </c>
      <c r="GQ163">
        <v>0</v>
      </c>
      <c r="GR163">
        <v>99.722099999999998</v>
      </c>
      <c r="GS163">
        <v>99.445300000000003</v>
      </c>
    </row>
    <row r="164" spans="1:201" x14ac:dyDescent="0.25">
      <c r="A164">
        <v>148</v>
      </c>
      <c r="B164">
        <v>1690288110.5</v>
      </c>
      <c r="C164">
        <v>1571.900000095367</v>
      </c>
      <c r="D164" t="s">
        <v>629</v>
      </c>
      <c r="E164" t="s">
        <v>630</v>
      </c>
      <c r="F164" t="s">
        <v>330</v>
      </c>
      <c r="H164">
        <v>1690288110.5</v>
      </c>
      <c r="I164">
        <f t="shared" si="60"/>
        <v>2.9030209537024283E-3</v>
      </c>
      <c r="J164">
        <f t="shared" si="61"/>
        <v>2.9030209537024283</v>
      </c>
      <c r="K164">
        <f t="shared" si="62"/>
        <v>44.465433085013807</v>
      </c>
      <c r="L164">
        <f t="shared" si="63"/>
        <v>358.65800000000002</v>
      </c>
      <c r="M164">
        <f t="shared" si="64"/>
        <v>98.735629724635075</v>
      </c>
      <c r="N164">
        <f t="shared" si="65"/>
        <v>9.818477150191887</v>
      </c>
      <c r="O164">
        <f t="shared" si="66"/>
        <v>35.665700290306603</v>
      </c>
      <c r="P164">
        <f t="shared" si="67"/>
        <v>0.29465000325650442</v>
      </c>
      <c r="Q164">
        <f t="shared" si="68"/>
        <v>2.3003711300845562</v>
      </c>
      <c r="R164">
        <f t="shared" si="69"/>
        <v>0.2751740801703953</v>
      </c>
      <c r="S164">
        <f t="shared" si="70"/>
        <v>0.17362624341565344</v>
      </c>
      <c r="T164">
        <f t="shared" si="71"/>
        <v>276.11617777200007</v>
      </c>
      <c r="U164">
        <f t="shared" si="72"/>
        <v>27.819064026017795</v>
      </c>
      <c r="V164">
        <f t="shared" si="73"/>
        <v>27.819064026017795</v>
      </c>
      <c r="W164">
        <f t="shared" si="74"/>
        <v>3.7549956189656086</v>
      </c>
      <c r="X164">
        <f t="shared" si="75"/>
        <v>77.797185477966792</v>
      </c>
      <c r="Y164">
        <f t="shared" si="76"/>
        <v>2.74016650340858</v>
      </c>
      <c r="Z164">
        <f t="shared" si="77"/>
        <v>3.5221923345602679</v>
      </c>
      <c r="AA164">
        <f t="shared" si="78"/>
        <v>1.0148291155570286</v>
      </c>
      <c r="AB164">
        <f t="shared" si="79"/>
        <v>-128.02322405827709</v>
      </c>
      <c r="AC164">
        <f t="shared" si="80"/>
        <v>-135.42276692747305</v>
      </c>
      <c r="AD164">
        <f t="shared" si="81"/>
        <v>-12.739595035202498</v>
      </c>
      <c r="AE164">
        <f t="shared" si="82"/>
        <v>-6.9408248952584017E-2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52580.198740439075</v>
      </c>
      <c r="AK164">
        <f t="shared" si="86"/>
        <v>1800</v>
      </c>
      <c r="AL164">
        <f t="shared" si="87"/>
        <v>1499.1106842000002</v>
      </c>
      <c r="AM164">
        <f t="shared" si="88"/>
        <v>0.83283926900000005</v>
      </c>
      <c r="AN164">
        <f t="shared" si="89"/>
        <v>0.15339787654000003</v>
      </c>
      <c r="AO164">
        <v>29.1</v>
      </c>
      <c r="AP164">
        <v>0.5</v>
      </c>
      <c r="AQ164" t="s">
        <v>331</v>
      </c>
      <c r="AR164">
        <v>2</v>
      </c>
      <c r="AS164">
        <v>1690288110.5</v>
      </c>
      <c r="AT164">
        <v>358.65800000000002</v>
      </c>
      <c r="AU164">
        <v>800.00900000000001</v>
      </c>
      <c r="AV164">
        <v>27.555399999999999</v>
      </c>
      <c r="AW164">
        <v>0.17596200000000001</v>
      </c>
      <c r="AX164">
        <v>359.584</v>
      </c>
      <c r="AY164">
        <v>27.3643</v>
      </c>
      <c r="AZ164">
        <v>300.04300000000001</v>
      </c>
      <c r="BA164">
        <v>99.342200000000005</v>
      </c>
      <c r="BB164">
        <v>9.9887699999999996E-2</v>
      </c>
      <c r="BC164">
        <v>26.7271</v>
      </c>
      <c r="BD164">
        <v>27.0061</v>
      </c>
      <c r="BE164">
        <v>28.253</v>
      </c>
      <c r="BF164">
        <v>0</v>
      </c>
      <c r="BG164">
        <v>0</v>
      </c>
      <c r="BH164">
        <v>10000.6</v>
      </c>
      <c r="BI164">
        <v>1086.97</v>
      </c>
      <c r="BJ164">
        <v>1.28952</v>
      </c>
      <c r="BK164">
        <v>-441.351</v>
      </c>
      <c r="BL164">
        <v>368.82100000000003</v>
      </c>
      <c r="BM164">
        <v>800.15</v>
      </c>
      <c r="BN164">
        <v>27.3794</v>
      </c>
      <c r="BO164">
        <v>800.00900000000001</v>
      </c>
      <c r="BP164">
        <v>0.17596200000000001</v>
      </c>
      <c r="BQ164">
        <v>2.7374200000000002</v>
      </c>
      <c r="BR164">
        <v>1.74805E-2</v>
      </c>
      <c r="BS164">
        <v>22.511500000000002</v>
      </c>
      <c r="BT164">
        <v>-40.714100000000002</v>
      </c>
      <c r="BU164">
        <v>1800</v>
      </c>
      <c r="BV164">
        <v>0.90998500000000004</v>
      </c>
      <c r="BW164">
        <v>3.4003400000000003E-2</v>
      </c>
      <c r="BX164">
        <v>2.2004699999999999E-2</v>
      </c>
      <c r="BY164">
        <v>3.4007200000000001E-2</v>
      </c>
      <c r="BZ164">
        <v>25</v>
      </c>
      <c r="CA164">
        <v>33528.199999999997</v>
      </c>
      <c r="CB164">
        <v>1690286268.5999999</v>
      </c>
      <c r="CC164" t="s">
        <v>332</v>
      </c>
      <c r="CD164">
        <v>1690286261.0999999</v>
      </c>
      <c r="CE164">
        <v>1690286268.5999999</v>
      </c>
      <c r="CF164">
        <v>1</v>
      </c>
      <c r="CG164">
        <v>-0.89900000000000002</v>
      </c>
      <c r="CH164">
        <v>3.4000000000000002E-2</v>
      </c>
      <c r="CI164">
        <v>-1.2370000000000001</v>
      </c>
      <c r="CJ164">
        <v>8.5999999999999993E-2</v>
      </c>
      <c r="CK164">
        <v>799</v>
      </c>
      <c r="CL164">
        <v>16</v>
      </c>
      <c r="CM164">
        <v>0.28999999999999998</v>
      </c>
      <c r="CN164">
        <v>0.09</v>
      </c>
      <c r="CO164">
        <v>-440.70868292682923</v>
      </c>
      <c r="CP164">
        <v>-3.154118466899658</v>
      </c>
      <c r="CQ164">
        <v>0.31768994234096448</v>
      </c>
      <c r="CR164">
        <v>-1</v>
      </c>
      <c r="CS164">
        <v>27.35306829268292</v>
      </c>
      <c r="CT164">
        <v>0.14417351916383581</v>
      </c>
      <c r="CU164">
        <v>1.422144445725966E-2</v>
      </c>
      <c r="CV164">
        <v>-1</v>
      </c>
      <c r="CW164">
        <v>0</v>
      </c>
      <c r="CX164">
        <v>0</v>
      </c>
      <c r="CY164" t="s">
        <v>333</v>
      </c>
      <c r="CZ164">
        <v>2.3648699999999998</v>
      </c>
      <c r="DA164">
        <v>2.7136800000000001</v>
      </c>
      <c r="DB164">
        <v>8.2756800000000005E-2</v>
      </c>
      <c r="DC164">
        <v>0.146567</v>
      </c>
      <c r="DD164">
        <v>0.12598100000000001</v>
      </c>
      <c r="DE164">
        <v>1.4867299999999999E-3</v>
      </c>
      <c r="DF164">
        <v>33492.1</v>
      </c>
      <c r="DG164">
        <v>27480</v>
      </c>
      <c r="DH164">
        <v>31169.5</v>
      </c>
      <c r="DI164">
        <v>28055.8</v>
      </c>
      <c r="DJ164">
        <v>36967.4</v>
      </c>
      <c r="DK164">
        <v>39823.300000000003</v>
      </c>
      <c r="DL164">
        <v>44352.2</v>
      </c>
      <c r="DM164">
        <v>42500.9</v>
      </c>
      <c r="DN164">
        <v>1.4932700000000001</v>
      </c>
      <c r="DO164">
        <v>2.06175</v>
      </c>
      <c r="DP164">
        <v>7.7597799999999995E-2</v>
      </c>
      <c r="DQ164">
        <v>0.17599799999999999</v>
      </c>
      <c r="DR164">
        <v>25.735700000000001</v>
      </c>
      <c r="DS164">
        <v>25.373799999999999</v>
      </c>
      <c r="DT164">
        <v>32.4</v>
      </c>
      <c r="DU164">
        <v>25.8</v>
      </c>
      <c r="DV164">
        <v>10.8774</v>
      </c>
      <c r="DW164">
        <v>62.4514</v>
      </c>
      <c r="DX164">
        <v>37.347799999999999</v>
      </c>
      <c r="DY164">
        <v>1</v>
      </c>
      <c r="DZ164">
        <v>-0.144233</v>
      </c>
      <c r="EA164">
        <v>-0.57030800000000004</v>
      </c>
      <c r="EB164">
        <v>20.1892</v>
      </c>
      <c r="EC164">
        <v>5.2423000000000002</v>
      </c>
      <c r="ED164">
        <v>12.039899999999999</v>
      </c>
      <c r="EE164">
        <v>5.0174500000000002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1.86876</v>
      </c>
      <c r="EL164">
        <v>1.86446</v>
      </c>
      <c r="EM164">
        <v>1.86907</v>
      </c>
      <c r="EN164">
        <v>1.8671</v>
      </c>
      <c r="EO164">
        <v>1.8632500000000001</v>
      </c>
      <c r="EP164">
        <v>1.86432</v>
      </c>
      <c r="EQ164">
        <v>1.87012</v>
      </c>
      <c r="ER164">
        <v>1.8693299999999999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-0.92600000000000005</v>
      </c>
      <c r="FG164">
        <v>0.19109999999999999</v>
      </c>
      <c r="FH164">
        <v>-0.68620417327404271</v>
      </c>
      <c r="FI164">
        <v>-6.1462078757559423E-4</v>
      </c>
      <c r="FJ164">
        <v>-1.8861989874597051E-7</v>
      </c>
      <c r="FK164">
        <v>1.1980462299894961E-10</v>
      </c>
      <c r="FL164">
        <v>0.1911242781723908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30.8</v>
      </c>
      <c r="FU164">
        <v>30.7</v>
      </c>
      <c r="FV164">
        <v>1.7626999999999999</v>
      </c>
      <c r="FW164">
        <v>2.5708000000000002</v>
      </c>
      <c r="FX164">
        <v>1.5490699999999999</v>
      </c>
      <c r="FY164">
        <v>2.34009</v>
      </c>
      <c r="FZ164">
        <v>1.50146</v>
      </c>
      <c r="GA164">
        <v>2.3022499999999999</v>
      </c>
      <c r="GB164">
        <v>31.041899999999998</v>
      </c>
      <c r="GC164">
        <v>23.982399999999998</v>
      </c>
      <c r="GD164">
        <v>19</v>
      </c>
      <c r="GE164">
        <v>287.32499999999999</v>
      </c>
      <c r="GF164">
        <v>596.68600000000004</v>
      </c>
      <c r="GG164">
        <v>25.866099999999999</v>
      </c>
      <c r="GH164">
        <v>25.602399999999999</v>
      </c>
      <c r="GI164">
        <v>30</v>
      </c>
      <c r="GJ164">
        <v>25.714500000000001</v>
      </c>
      <c r="GK164">
        <v>25.678999999999998</v>
      </c>
      <c r="GL164">
        <v>35.236800000000002</v>
      </c>
      <c r="GM164">
        <v>100</v>
      </c>
      <c r="GN164">
        <v>5.8379000000000003</v>
      </c>
      <c r="GO164">
        <v>25.864000000000001</v>
      </c>
      <c r="GP164">
        <v>800</v>
      </c>
      <c r="GQ164">
        <v>0</v>
      </c>
      <c r="GR164">
        <v>99.7226</v>
      </c>
      <c r="GS164">
        <v>99.444800000000001</v>
      </c>
    </row>
    <row r="165" spans="1:201" x14ac:dyDescent="0.25">
      <c r="A165">
        <v>149</v>
      </c>
      <c r="B165">
        <v>1690288120.5</v>
      </c>
      <c r="C165">
        <v>1581.900000095367</v>
      </c>
      <c r="D165" t="s">
        <v>631</v>
      </c>
      <c r="E165" t="s">
        <v>632</v>
      </c>
      <c r="F165" t="s">
        <v>330</v>
      </c>
      <c r="H165">
        <v>1690288120.5</v>
      </c>
      <c r="I165">
        <f t="shared" si="60"/>
        <v>2.9079608123221213E-3</v>
      </c>
      <c r="J165">
        <f t="shared" si="61"/>
        <v>2.9079608123221212</v>
      </c>
      <c r="K165">
        <f t="shared" si="62"/>
        <v>44.543766044118499</v>
      </c>
      <c r="L165">
        <f t="shared" si="63"/>
        <v>358.16</v>
      </c>
      <c r="M165">
        <f t="shared" si="64"/>
        <v>99.060830963691814</v>
      </c>
      <c r="N165">
        <f t="shared" si="65"/>
        <v>9.8510717837952786</v>
      </c>
      <c r="O165">
        <f t="shared" si="66"/>
        <v>35.617103508623998</v>
      </c>
      <c r="P165">
        <f t="shared" si="67"/>
        <v>0.2961975194395674</v>
      </c>
      <c r="Q165">
        <f t="shared" si="68"/>
        <v>2.2998250904572828</v>
      </c>
      <c r="R165">
        <f t="shared" si="69"/>
        <v>0.27651946792337401</v>
      </c>
      <c r="S165">
        <f t="shared" si="70"/>
        <v>0.17448360155602508</v>
      </c>
      <c r="T165">
        <f t="shared" si="71"/>
        <v>276.115952214</v>
      </c>
      <c r="U165">
        <f t="shared" si="72"/>
        <v>27.818591946843355</v>
      </c>
      <c r="V165">
        <f t="shared" si="73"/>
        <v>27.818591946843355</v>
      </c>
      <c r="W165">
        <f t="shared" si="74"/>
        <v>3.7548921413238516</v>
      </c>
      <c r="X165">
        <f t="shared" si="75"/>
        <v>77.881194482714704</v>
      </c>
      <c r="Y165">
        <f t="shared" si="76"/>
        <v>2.7432707607732598</v>
      </c>
      <c r="Z165">
        <f t="shared" si="77"/>
        <v>3.5223788990320553</v>
      </c>
      <c r="AA165">
        <f t="shared" si="78"/>
        <v>1.0116213805505918</v>
      </c>
      <c r="AB165">
        <f t="shared" si="79"/>
        <v>-128.24107182340555</v>
      </c>
      <c r="AC165">
        <f t="shared" si="80"/>
        <v>-135.22050000764753</v>
      </c>
      <c r="AD165">
        <f t="shared" si="81"/>
        <v>-12.723614519317158</v>
      </c>
      <c r="AE165">
        <f t="shared" si="82"/>
        <v>-6.9234136370226906E-2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52559.426299498518</v>
      </c>
      <c r="AK165">
        <f t="shared" si="86"/>
        <v>1800</v>
      </c>
      <c r="AL165">
        <f t="shared" si="87"/>
        <v>1499.1107004</v>
      </c>
      <c r="AM165">
        <f t="shared" si="88"/>
        <v>0.83283927800000002</v>
      </c>
      <c r="AN165">
        <f t="shared" si="89"/>
        <v>0.15339775122999999</v>
      </c>
      <c r="AO165">
        <v>29.1</v>
      </c>
      <c r="AP165">
        <v>0.5</v>
      </c>
      <c r="AQ165" t="s">
        <v>331</v>
      </c>
      <c r="AR165">
        <v>2</v>
      </c>
      <c r="AS165">
        <v>1690288120.5</v>
      </c>
      <c r="AT165">
        <v>358.16</v>
      </c>
      <c r="AU165">
        <v>800.05</v>
      </c>
      <c r="AV165">
        <v>27.585899999999999</v>
      </c>
      <c r="AW165">
        <v>0.174619</v>
      </c>
      <c r="AX165">
        <v>359.08600000000001</v>
      </c>
      <c r="AY165">
        <v>27.3948</v>
      </c>
      <c r="AZ165">
        <v>300.19499999999999</v>
      </c>
      <c r="BA165">
        <v>99.344700000000003</v>
      </c>
      <c r="BB165">
        <v>9.9971400000000002E-2</v>
      </c>
      <c r="BC165">
        <v>26.728000000000002</v>
      </c>
      <c r="BD165">
        <v>26.9983</v>
      </c>
      <c r="BE165">
        <v>28.252400000000002</v>
      </c>
      <c r="BF165">
        <v>0</v>
      </c>
      <c r="BG165">
        <v>0</v>
      </c>
      <c r="BH165">
        <v>9996.25</v>
      </c>
      <c r="BI165">
        <v>1086.99</v>
      </c>
      <c r="BJ165">
        <v>1.28952</v>
      </c>
      <c r="BK165">
        <v>-441.88900000000001</v>
      </c>
      <c r="BL165">
        <v>368.32100000000003</v>
      </c>
      <c r="BM165">
        <v>800.19</v>
      </c>
      <c r="BN165">
        <v>27.411300000000001</v>
      </c>
      <c r="BO165">
        <v>800.05</v>
      </c>
      <c r="BP165">
        <v>0.174619</v>
      </c>
      <c r="BQ165">
        <v>2.74051</v>
      </c>
      <c r="BR165">
        <v>1.7347499999999998E-2</v>
      </c>
      <c r="BS165">
        <v>22.530100000000001</v>
      </c>
      <c r="BT165">
        <v>-40.786700000000003</v>
      </c>
      <c r="BU165">
        <v>1800</v>
      </c>
      <c r="BV165">
        <v>0.90998800000000002</v>
      </c>
      <c r="BW165">
        <v>3.4002200000000003E-2</v>
      </c>
      <c r="BX165">
        <v>2.20039E-2</v>
      </c>
      <c r="BY165">
        <v>3.4005899999999999E-2</v>
      </c>
      <c r="BZ165">
        <v>25</v>
      </c>
      <c r="CA165">
        <v>33528.300000000003</v>
      </c>
      <c r="CB165">
        <v>1690286268.5999999</v>
      </c>
      <c r="CC165" t="s">
        <v>332</v>
      </c>
      <c r="CD165">
        <v>1690286261.0999999</v>
      </c>
      <c r="CE165">
        <v>1690286268.5999999</v>
      </c>
      <c r="CF165">
        <v>1</v>
      </c>
      <c r="CG165">
        <v>-0.89900000000000002</v>
      </c>
      <c r="CH165">
        <v>3.4000000000000002E-2</v>
      </c>
      <c r="CI165">
        <v>-1.2370000000000001</v>
      </c>
      <c r="CJ165">
        <v>8.5999999999999993E-2</v>
      </c>
      <c r="CK165">
        <v>799</v>
      </c>
      <c r="CL165">
        <v>16</v>
      </c>
      <c r="CM165">
        <v>0.28999999999999998</v>
      </c>
      <c r="CN165">
        <v>0.09</v>
      </c>
      <c r="CO165">
        <v>-441.2361219512195</v>
      </c>
      <c r="CP165">
        <v>-3.1511498257841231</v>
      </c>
      <c r="CQ165">
        <v>0.31373285164463133</v>
      </c>
      <c r="CR165">
        <v>-1</v>
      </c>
      <c r="CS165">
        <v>27.3775487804878</v>
      </c>
      <c r="CT165">
        <v>0.1539888501742592</v>
      </c>
      <c r="CU165">
        <v>1.522387601604203E-2</v>
      </c>
      <c r="CV165">
        <v>-1</v>
      </c>
      <c r="CW165">
        <v>0</v>
      </c>
      <c r="CX165">
        <v>0</v>
      </c>
      <c r="CY165" t="s">
        <v>333</v>
      </c>
      <c r="CZ165">
        <v>2.36538</v>
      </c>
      <c r="DA165">
        <v>2.7137600000000002</v>
      </c>
      <c r="DB165">
        <v>8.2669099999999995E-2</v>
      </c>
      <c r="DC165">
        <v>0.14657500000000001</v>
      </c>
      <c r="DD165">
        <v>0.12608</v>
      </c>
      <c r="DE165">
        <v>1.47554E-3</v>
      </c>
      <c r="DF165">
        <v>33495.599999999999</v>
      </c>
      <c r="DG165">
        <v>27480.3</v>
      </c>
      <c r="DH165">
        <v>31169.8</v>
      </c>
      <c r="DI165">
        <v>28056.3</v>
      </c>
      <c r="DJ165">
        <v>36963.5</v>
      </c>
      <c r="DK165">
        <v>39824.199999999997</v>
      </c>
      <c r="DL165">
        <v>44352.6</v>
      </c>
      <c r="DM165">
        <v>42501.4</v>
      </c>
      <c r="DN165">
        <v>1.4935700000000001</v>
      </c>
      <c r="DO165">
        <v>2.0615700000000001</v>
      </c>
      <c r="DP165">
        <v>7.6986799999999994E-2</v>
      </c>
      <c r="DQ165">
        <v>0.17583399999999999</v>
      </c>
      <c r="DR165">
        <v>25.7379</v>
      </c>
      <c r="DS165">
        <v>25.375900000000001</v>
      </c>
      <c r="DT165">
        <v>32.200000000000003</v>
      </c>
      <c r="DU165">
        <v>25.8</v>
      </c>
      <c r="DV165">
        <v>10.8086</v>
      </c>
      <c r="DW165">
        <v>62.261400000000002</v>
      </c>
      <c r="DX165">
        <v>36.3902</v>
      </c>
      <c r="DY165">
        <v>1</v>
      </c>
      <c r="DZ165">
        <v>-0.144151</v>
      </c>
      <c r="EA165">
        <v>-0.66925699999999999</v>
      </c>
      <c r="EB165">
        <v>20.189</v>
      </c>
      <c r="EC165">
        <v>5.2428999999999997</v>
      </c>
      <c r="ED165">
        <v>12.039899999999999</v>
      </c>
      <c r="EE165">
        <v>5.0172499999999998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1.8687499999999999</v>
      </c>
      <c r="EL165">
        <v>1.8644700000000001</v>
      </c>
      <c r="EM165">
        <v>1.8690899999999999</v>
      </c>
      <c r="EN165">
        <v>1.8670800000000001</v>
      </c>
      <c r="EO165">
        <v>1.8632599999999999</v>
      </c>
      <c r="EP165">
        <v>1.8643099999999999</v>
      </c>
      <c r="EQ165">
        <v>1.8701099999999999</v>
      </c>
      <c r="ER165">
        <v>1.8693299999999999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-0.92600000000000005</v>
      </c>
      <c r="FG165">
        <v>0.19109999999999999</v>
      </c>
      <c r="FH165">
        <v>-0.68620417327404271</v>
      </c>
      <c r="FI165">
        <v>-6.1462078757559423E-4</v>
      </c>
      <c r="FJ165">
        <v>-1.8861989874597051E-7</v>
      </c>
      <c r="FK165">
        <v>1.1980462299894961E-10</v>
      </c>
      <c r="FL165">
        <v>0.1911242781723908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31</v>
      </c>
      <c r="FU165">
        <v>30.9</v>
      </c>
      <c r="FV165">
        <v>1.7626999999999999</v>
      </c>
      <c r="FW165">
        <v>2.5659200000000002</v>
      </c>
      <c r="FX165">
        <v>1.5490699999999999</v>
      </c>
      <c r="FY165">
        <v>2.34009</v>
      </c>
      <c r="FZ165">
        <v>1.50146</v>
      </c>
      <c r="GA165">
        <v>2.3584000000000001</v>
      </c>
      <c r="GB165">
        <v>31.041899999999998</v>
      </c>
      <c r="GC165">
        <v>23.982399999999998</v>
      </c>
      <c r="GD165">
        <v>19</v>
      </c>
      <c r="GE165">
        <v>287.45699999999999</v>
      </c>
      <c r="GF165">
        <v>596.54100000000005</v>
      </c>
      <c r="GG165">
        <v>25.871400000000001</v>
      </c>
      <c r="GH165">
        <v>25.604199999999999</v>
      </c>
      <c r="GI165">
        <v>30</v>
      </c>
      <c r="GJ165">
        <v>25.7151</v>
      </c>
      <c r="GK165">
        <v>25.679200000000002</v>
      </c>
      <c r="GL165">
        <v>35.233600000000003</v>
      </c>
      <c r="GM165">
        <v>100</v>
      </c>
      <c r="GN165">
        <v>5.4448600000000003</v>
      </c>
      <c r="GO165">
        <v>25.879799999999999</v>
      </c>
      <c r="GP165">
        <v>800</v>
      </c>
      <c r="GQ165">
        <v>0</v>
      </c>
      <c r="GR165">
        <v>99.723600000000005</v>
      </c>
      <c r="GS165">
        <v>99.446200000000005</v>
      </c>
    </row>
    <row r="166" spans="1:201" x14ac:dyDescent="0.25">
      <c r="A166">
        <v>150</v>
      </c>
      <c r="B166">
        <v>1690288130.5</v>
      </c>
      <c r="C166">
        <v>1591.900000095367</v>
      </c>
      <c r="D166" t="s">
        <v>633</v>
      </c>
      <c r="E166" t="s">
        <v>634</v>
      </c>
      <c r="F166" t="s">
        <v>330</v>
      </c>
      <c r="H166">
        <v>1690288130.5</v>
      </c>
      <c r="I166">
        <f t="shared" si="60"/>
        <v>2.9090715770797517E-3</v>
      </c>
      <c r="J166">
        <f t="shared" si="61"/>
        <v>2.9090715770797515</v>
      </c>
      <c r="K166">
        <f t="shared" si="62"/>
        <v>44.559732195768916</v>
      </c>
      <c r="L166">
        <f t="shared" si="63"/>
        <v>357.68299999999999</v>
      </c>
      <c r="M166">
        <f t="shared" si="64"/>
        <v>99.201444879368779</v>
      </c>
      <c r="N166">
        <f t="shared" si="65"/>
        <v>9.8652090788369282</v>
      </c>
      <c r="O166">
        <f t="shared" si="66"/>
        <v>35.570223631687099</v>
      </c>
      <c r="P166">
        <f t="shared" si="67"/>
        <v>0.29700891169232163</v>
      </c>
      <c r="Q166">
        <f t="shared" si="68"/>
        <v>2.3060778191691602</v>
      </c>
      <c r="R166">
        <f t="shared" si="69"/>
        <v>0.27727657878135009</v>
      </c>
      <c r="S166">
        <f t="shared" si="70"/>
        <v>0.17496136987789063</v>
      </c>
      <c r="T166">
        <f t="shared" si="71"/>
        <v>276.11589164400004</v>
      </c>
      <c r="U166">
        <f t="shared" si="72"/>
        <v>27.817724462175121</v>
      </c>
      <c r="V166">
        <f t="shared" si="73"/>
        <v>27.817724462175121</v>
      </c>
      <c r="W166">
        <f t="shared" si="74"/>
        <v>3.7547019990547104</v>
      </c>
      <c r="X166">
        <f t="shared" si="75"/>
        <v>77.933019580200863</v>
      </c>
      <c r="Y166">
        <f t="shared" si="76"/>
        <v>2.7454516761753798</v>
      </c>
      <c r="Z166">
        <f t="shared" si="77"/>
        <v>3.5228349818398041</v>
      </c>
      <c r="AA166">
        <f t="shared" si="78"/>
        <v>1.0092503228793306</v>
      </c>
      <c r="AB166">
        <f t="shared" si="79"/>
        <v>-128.29005654921704</v>
      </c>
      <c r="AC166">
        <f t="shared" si="80"/>
        <v>-135.20676954987729</v>
      </c>
      <c r="AD166">
        <f t="shared" si="81"/>
        <v>-12.687911302235772</v>
      </c>
      <c r="AE166">
        <f t="shared" si="82"/>
        <v>-6.8845757330052493E-2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52796.014828661806</v>
      </c>
      <c r="AK166">
        <f t="shared" si="86"/>
        <v>1800</v>
      </c>
      <c r="AL166">
        <f t="shared" si="87"/>
        <v>1499.1111143999999</v>
      </c>
      <c r="AM166">
        <f t="shared" si="88"/>
        <v>0.83283950799999995</v>
      </c>
      <c r="AN166">
        <f t="shared" si="89"/>
        <v>0.15339771758000001</v>
      </c>
      <c r="AO166">
        <v>29.1</v>
      </c>
      <c r="AP166">
        <v>0.5</v>
      </c>
      <c r="AQ166" t="s">
        <v>331</v>
      </c>
      <c r="AR166">
        <v>2</v>
      </c>
      <c r="AS166">
        <v>1690288130.5</v>
      </c>
      <c r="AT166">
        <v>357.68299999999999</v>
      </c>
      <c r="AU166">
        <v>799.92</v>
      </c>
      <c r="AV166">
        <v>27.607399999999998</v>
      </c>
      <c r="AW166">
        <v>0.173735</v>
      </c>
      <c r="AX166">
        <v>358.60899999999998</v>
      </c>
      <c r="AY166">
        <v>27.4163</v>
      </c>
      <c r="AZ166">
        <v>300.05799999999999</v>
      </c>
      <c r="BA166">
        <v>99.346299999999999</v>
      </c>
      <c r="BB166">
        <v>9.9923700000000004E-2</v>
      </c>
      <c r="BC166">
        <v>26.7302</v>
      </c>
      <c r="BD166">
        <v>27.0063</v>
      </c>
      <c r="BE166">
        <v>28.258500000000002</v>
      </c>
      <c r="BF166">
        <v>0</v>
      </c>
      <c r="BG166">
        <v>0</v>
      </c>
      <c r="BH166">
        <v>10043.1</v>
      </c>
      <c r="BI166">
        <v>1086.99</v>
      </c>
      <c r="BJ166">
        <v>1.28952</v>
      </c>
      <c r="BK166">
        <v>-442.23700000000002</v>
      </c>
      <c r="BL166">
        <v>367.839</v>
      </c>
      <c r="BM166">
        <v>800.06</v>
      </c>
      <c r="BN166">
        <v>27.433599999999998</v>
      </c>
      <c r="BO166">
        <v>799.92</v>
      </c>
      <c r="BP166">
        <v>0.173735</v>
      </c>
      <c r="BQ166">
        <v>2.7426900000000001</v>
      </c>
      <c r="BR166">
        <v>1.7259900000000002E-2</v>
      </c>
      <c r="BS166">
        <v>22.543199999999999</v>
      </c>
      <c r="BT166">
        <v>-40.834800000000001</v>
      </c>
      <c r="BU166">
        <v>1800</v>
      </c>
      <c r="BV166">
        <v>0.90998999999999997</v>
      </c>
      <c r="BW166">
        <v>3.4001499999999997E-2</v>
      </c>
      <c r="BX166">
        <v>2.2003399999999999E-2</v>
      </c>
      <c r="BY166">
        <v>3.4005199999999999E-2</v>
      </c>
      <c r="BZ166">
        <v>25</v>
      </c>
      <c r="CA166">
        <v>33528.300000000003</v>
      </c>
      <c r="CB166">
        <v>1690286268.5999999</v>
      </c>
      <c r="CC166" t="s">
        <v>332</v>
      </c>
      <c r="CD166">
        <v>1690286261.0999999</v>
      </c>
      <c r="CE166">
        <v>1690286268.5999999</v>
      </c>
      <c r="CF166">
        <v>1</v>
      </c>
      <c r="CG166">
        <v>-0.89900000000000002</v>
      </c>
      <c r="CH166">
        <v>3.4000000000000002E-2</v>
      </c>
      <c r="CI166">
        <v>-1.2370000000000001</v>
      </c>
      <c r="CJ166">
        <v>8.5999999999999993E-2</v>
      </c>
      <c r="CK166">
        <v>799</v>
      </c>
      <c r="CL166">
        <v>16</v>
      </c>
      <c r="CM166">
        <v>0.28999999999999998</v>
      </c>
      <c r="CN166">
        <v>0.09</v>
      </c>
      <c r="CO166">
        <v>-441.75427500000012</v>
      </c>
      <c r="CP166">
        <v>-3.044836772982749</v>
      </c>
      <c r="CQ166">
        <v>0.29588114062069237</v>
      </c>
      <c r="CR166">
        <v>-1</v>
      </c>
      <c r="CS166">
        <v>27.405642499999999</v>
      </c>
      <c r="CT166">
        <v>0.18889868667915011</v>
      </c>
      <c r="CU166">
        <v>1.8257284676260109E-2</v>
      </c>
      <c r="CV166">
        <v>-1</v>
      </c>
      <c r="CW166">
        <v>0</v>
      </c>
      <c r="CX166">
        <v>0</v>
      </c>
      <c r="CY166" t="s">
        <v>333</v>
      </c>
      <c r="CZ166">
        <v>2.3649399999999998</v>
      </c>
      <c r="DA166">
        <v>2.7137500000000001</v>
      </c>
      <c r="DB166">
        <v>8.2584599999999994E-2</v>
      </c>
      <c r="DC166">
        <v>0.146561</v>
      </c>
      <c r="DD166">
        <v>0.12615100000000001</v>
      </c>
      <c r="DE166">
        <v>1.46816E-3</v>
      </c>
      <c r="DF166">
        <v>33498.5</v>
      </c>
      <c r="DG166">
        <v>27480.3</v>
      </c>
      <c r="DH166">
        <v>31169.7</v>
      </c>
      <c r="DI166">
        <v>28055.9</v>
      </c>
      <c r="DJ166">
        <v>36960.400000000001</v>
      </c>
      <c r="DK166">
        <v>39824</v>
      </c>
      <c r="DL166">
        <v>44352.5</v>
      </c>
      <c r="DM166">
        <v>42500.9</v>
      </c>
      <c r="DN166">
        <v>1.4935</v>
      </c>
      <c r="DO166">
        <v>2.0615000000000001</v>
      </c>
      <c r="DP166">
        <v>7.7344499999999997E-2</v>
      </c>
      <c r="DQ166">
        <v>0.176206</v>
      </c>
      <c r="DR166">
        <v>25.740100000000002</v>
      </c>
      <c r="DS166">
        <v>25.375900000000001</v>
      </c>
      <c r="DT166">
        <v>32.1</v>
      </c>
      <c r="DU166">
        <v>25.8</v>
      </c>
      <c r="DV166">
        <v>10.7742</v>
      </c>
      <c r="DW166">
        <v>61.741399999999999</v>
      </c>
      <c r="DX166">
        <v>36.7468</v>
      </c>
      <c r="DY166">
        <v>1</v>
      </c>
      <c r="DZ166">
        <v>-0.144118</v>
      </c>
      <c r="EA166">
        <v>-0.63086600000000004</v>
      </c>
      <c r="EB166">
        <v>20.1891</v>
      </c>
      <c r="EC166">
        <v>5.2421499999999996</v>
      </c>
      <c r="ED166">
        <v>12.039899999999999</v>
      </c>
      <c r="EE166">
        <v>5.0176999999999996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1.8687400000000001</v>
      </c>
      <c r="EL166">
        <v>1.8644700000000001</v>
      </c>
      <c r="EM166">
        <v>1.8690800000000001</v>
      </c>
      <c r="EN166">
        <v>1.86707</v>
      </c>
      <c r="EO166">
        <v>1.8632500000000001</v>
      </c>
      <c r="EP166">
        <v>1.86432</v>
      </c>
      <c r="EQ166">
        <v>1.8701099999999999</v>
      </c>
      <c r="ER166">
        <v>1.8693299999999999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-0.92600000000000005</v>
      </c>
      <c r="FG166">
        <v>0.19109999999999999</v>
      </c>
      <c r="FH166">
        <v>-0.68620417327404271</v>
      </c>
      <c r="FI166">
        <v>-6.1462078757559423E-4</v>
      </c>
      <c r="FJ166">
        <v>-1.8861989874597051E-7</v>
      </c>
      <c r="FK166">
        <v>1.1980462299894961E-10</v>
      </c>
      <c r="FL166">
        <v>0.1911242781723908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31.2</v>
      </c>
      <c r="FU166">
        <v>31</v>
      </c>
      <c r="FV166">
        <v>1.7626999999999999</v>
      </c>
      <c r="FW166">
        <v>2.5708000000000002</v>
      </c>
      <c r="FX166">
        <v>1.5490699999999999</v>
      </c>
      <c r="FY166">
        <v>2.34009</v>
      </c>
      <c r="FZ166">
        <v>1.50146</v>
      </c>
      <c r="GA166">
        <v>2.3010299999999999</v>
      </c>
      <c r="GB166">
        <v>31.041899999999998</v>
      </c>
      <c r="GC166">
        <v>23.982399999999998</v>
      </c>
      <c r="GD166">
        <v>19</v>
      </c>
      <c r="GE166">
        <v>287.42399999999998</v>
      </c>
      <c r="GF166">
        <v>596.50099999999998</v>
      </c>
      <c r="GG166">
        <v>25.880099999999999</v>
      </c>
      <c r="GH166">
        <v>25.604199999999999</v>
      </c>
      <c r="GI166">
        <v>30</v>
      </c>
      <c r="GJ166">
        <v>25.7151</v>
      </c>
      <c r="GK166">
        <v>25.6812</v>
      </c>
      <c r="GL166">
        <v>35.238</v>
      </c>
      <c r="GM166">
        <v>100</v>
      </c>
      <c r="GN166">
        <v>4.6656199999999997</v>
      </c>
      <c r="GO166">
        <v>25.865200000000002</v>
      </c>
      <c r="GP166">
        <v>800</v>
      </c>
      <c r="GQ166">
        <v>0</v>
      </c>
      <c r="GR166">
        <v>99.723200000000006</v>
      </c>
      <c r="GS166">
        <v>99.444900000000004</v>
      </c>
    </row>
    <row r="167" spans="1:201" x14ac:dyDescent="0.25">
      <c r="A167">
        <v>151</v>
      </c>
      <c r="B167">
        <v>1690288140.5</v>
      </c>
      <c r="C167">
        <v>1601.900000095367</v>
      </c>
      <c r="D167" t="s">
        <v>635</v>
      </c>
      <c r="E167" t="s">
        <v>636</v>
      </c>
      <c r="F167" t="s">
        <v>330</v>
      </c>
      <c r="H167">
        <v>1690288140.5</v>
      </c>
      <c r="I167">
        <f t="shared" si="60"/>
        <v>2.91173385469117E-3</v>
      </c>
      <c r="J167">
        <f t="shared" si="61"/>
        <v>2.9117338546911697</v>
      </c>
      <c r="K167">
        <f t="shared" si="62"/>
        <v>44.628031330711373</v>
      </c>
      <c r="L167">
        <f t="shared" si="63"/>
        <v>357.11</v>
      </c>
      <c r="M167">
        <f t="shared" si="64"/>
        <v>98.889160434512078</v>
      </c>
      <c r="N167">
        <f t="shared" si="65"/>
        <v>9.8340081337874263</v>
      </c>
      <c r="O167">
        <f t="shared" si="66"/>
        <v>35.512715743830007</v>
      </c>
      <c r="P167">
        <f t="shared" si="67"/>
        <v>0.29785119141980748</v>
      </c>
      <c r="Q167">
        <f t="shared" si="68"/>
        <v>2.2994079447908087</v>
      </c>
      <c r="R167">
        <f t="shared" si="69"/>
        <v>0.27795736249776776</v>
      </c>
      <c r="S167">
        <f t="shared" si="70"/>
        <v>0.17539988446904092</v>
      </c>
      <c r="T167">
        <f t="shared" si="71"/>
        <v>276.11560812600004</v>
      </c>
      <c r="U167">
        <f t="shared" si="72"/>
        <v>27.820939795587613</v>
      </c>
      <c r="V167">
        <f t="shared" si="73"/>
        <v>27.820939795587613</v>
      </c>
      <c r="W167">
        <f t="shared" si="74"/>
        <v>3.755406803843667</v>
      </c>
      <c r="X167">
        <f t="shared" si="75"/>
        <v>77.992413915966523</v>
      </c>
      <c r="Y167">
        <f t="shared" si="76"/>
        <v>2.7477380811924004</v>
      </c>
      <c r="Z167">
        <f t="shared" si="77"/>
        <v>3.523083776010536</v>
      </c>
      <c r="AA167">
        <f t="shared" si="78"/>
        <v>1.0076687226512666</v>
      </c>
      <c r="AB167">
        <f t="shared" si="79"/>
        <v>-128.40746299188061</v>
      </c>
      <c r="AC167">
        <f t="shared" si="80"/>
        <v>-135.06554286688677</v>
      </c>
      <c r="AD167">
        <f t="shared" si="81"/>
        <v>-12.71170428463223</v>
      </c>
      <c r="AE167">
        <f t="shared" si="82"/>
        <v>-6.9102017399558235E-2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52543.043445259384</v>
      </c>
      <c r="AK167">
        <f t="shared" si="86"/>
        <v>1800</v>
      </c>
      <c r="AL167">
        <f t="shared" si="87"/>
        <v>1499.1108786</v>
      </c>
      <c r="AM167">
        <f t="shared" si="88"/>
        <v>0.83283937699999999</v>
      </c>
      <c r="AN167">
        <f t="shared" si="89"/>
        <v>0.15339756007000002</v>
      </c>
      <c r="AO167">
        <v>29.1</v>
      </c>
      <c r="AP167">
        <v>0.5</v>
      </c>
      <c r="AQ167" t="s">
        <v>331</v>
      </c>
      <c r="AR167">
        <v>2</v>
      </c>
      <c r="AS167">
        <v>1690288140.5</v>
      </c>
      <c r="AT167">
        <v>357.11</v>
      </c>
      <c r="AU167">
        <v>799.99800000000005</v>
      </c>
      <c r="AV167">
        <v>27.630800000000001</v>
      </c>
      <c r="AW167">
        <v>0.17296400000000001</v>
      </c>
      <c r="AX167">
        <v>358.03399999999999</v>
      </c>
      <c r="AY167">
        <v>27.439599999999999</v>
      </c>
      <c r="AZ167">
        <v>300.06099999999998</v>
      </c>
      <c r="BA167">
        <v>99.344700000000003</v>
      </c>
      <c r="BB167">
        <v>0.100053</v>
      </c>
      <c r="BC167">
        <v>26.731400000000001</v>
      </c>
      <c r="BD167">
        <v>27.018000000000001</v>
      </c>
      <c r="BE167">
        <v>28.254200000000001</v>
      </c>
      <c r="BF167">
        <v>0</v>
      </c>
      <c r="BG167">
        <v>0</v>
      </c>
      <c r="BH167">
        <v>9993.1200000000008</v>
      </c>
      <c r="BI167">
        <v>1087.03</v>
      </c>
      <c r="BJ167">
        <v>1.28952</v>
      </c>
      <c r="BK167">
        <v>-442.88799999999998</v>
      </c>
      <c r="BL167">
        <v>367.25700000000001</v>
      </c>
      <c r="BM167">
        <v>800.13599999999997</v>
      </c>
      <c r="BN167">
        <v>27.457799999999999</v>
      </c>
      <c r="BO167">
        <v>799.99800000000005</v>
      </c>
      <c r="BP167">
        <v>0.17296400000000001</v>
      </c>
      <c r="BQ167">
        <v>2.7449699999999999</v>
      </c>
      <c r="BR167">
        <v>1.71831E-2</v>
      </c>
      <c r="BS167">
        <v>22.556799999999999</v>
      </c>
      <c r="BT167">
        <v>-40.877200000000002</v>
      </c>
      <c r="BU167">
        <v>1800</v>
      </c>
      <c r="BV167">
        <v>0.90999300000000005</v>
      </c>
      <c r="BW167">
        <v>3.4000099999999998E-2</v>
      </c>
      <c r="BX167">
        <v>2.2002600000000001E-2</v>
      </c>
      <c r="BY167">
        <v>3.4003899999999997E-2</v>
      </c>
      <c r="BZ167">
        <v>25</v>
      </c>
      <c r="CA167">
        <v>33528.300000000003</v>
      </c>
      <c r="CB167">
        <v>1690286268.5999999</v>
      </c>
      <c r="CC167" t="s">
        <v>332</v>
      </c>
      <c r="CD167">
        <v>1690286261.0999999</v>
      </c>
      <c r="CE167">
        <v>1690286268.5999999</v>
      </c>
      <c r="CF167">
        <v>1</v>
      </c>
      <c r="CG167">
        <v>-0.89900000000000002</v>
      </c>
      <c r="CH167">
        <v>3.4000000000000002E-2</v>
      </c>
      <c r="CI167">
        <v>-1.2370000000000001</v>
      </c>
      <c r="CJ167">
        <v>8.5999999999999993E-2</v>
      </c>
      <c r="CK167">
        <v>799</v>
      </c>
      <c r="CL167">
        <v>16</v>
      </c>
      <c r="CM167">
        <v>0.28999999999999998</v>
      </c>
      <c r="CN167">
        <v>0.09</v>
      </c>
      <c r="CO167">
        <v>-442.29412195121961</v>
      </c>
      <c r="CP167">
        <v>-3.069470383275366</v>
      </c>
      <c r="CQ167">
        <v>0.30808536947410192</v>
      </c>
      <c r="CR167">
        <v>-1</v>
      </c>
      <c r="CS167">
        <v>27.432851219512191</v>
      </c>
      <c r="CT167">
        <v>0.13092752613242989</v>
      </c>
      <c r="CU167">
        <v>1.3020249181820241E-2</v>
      </c>
      <c r="CV167">
        <v>-1</v>
      </c>
      <c r="CW167">
        <v>0</v>
      </c>
      <c r="CX167">
        <v>0</v>
      </c>
      <c r="CY167" t="s">
        <v>333</v>
      </c>
      <c r="CZ167">
        <v>2.3649399999999998</v>
      </c>
      <c r="DA167">
        <v>2.7138399999999998</v>
      </c>
      <c r="DB167">
        <v>8.2479800000000006E-2</v>
      </c>
      <c r="DC167">
        <v>0.146568</v>
      </c>
      <c r="DD167">
        <v>0.126223</v>
      </c>
      <c r="DE167">
        <v>1.4616900000000001E-3</v>
      </c>
      <c r="DF167">
        <v>33501.699999999997</v>
      </c>
      <c r="DG167">
        <v>27480.7</v>
      </c>
      <c r="DH167">
        <v>31169.1</v>
      </c>
      <c r="DI167">
        <v>28056.5</v>
      </c>
      <c r="DJ167">
        <v>36956.5</v>
      </c>
      <c r="DK167">
        <v>39825.199999999997</v>
      </c>
      <c r="DL167">
        <v>44351.5</v>
      </c>
      <c r="DM167">
        <v>42501.9</v>
      </c>
      <c r="DN167">
        <v>1.4936700000000001</v>
      </c>
      <c r="DO167">
        <v>2.0613299999999999</v>
      </c>
      <c r="DP167">
        <v>7.8059699999999996E-2</v>
      </c>
      <c r="DQ167">
        <v>0.17594499999999999</v>
      </c>
      <c r="DR167">
        <v>25.740100000000002</v>
      </c>
      <c r="DS167">
        <v>25.375900000000001</v>
      </c>
      <c r="DT167">
        <v>31.9</v>
      </c>
      <c r="DU167">
        <v>25.8</v>
      </c>
      <c r="DV167">
        <v>10.7074</v>
      </c>
      <c r="DW167">
        <v>62.001399999999997</v>
      </c>
      <c r="DX167">
        <v>37.279600000000002</v>
      </c>
      <c r="DY167">
        <v>1</v>
      </c>
      <c r="DZ167">
        <v>-0.143793</v>
      </c>
      <c r="EA167">
        <v>-0.597383</v>
      </c>
      <c r="EB167">
        <v>20.1891</v>
      </c>
      <c r="EC167">
        <v>5.2428999999999997</v>
      </c>
      <c r="ED167">
        <v>12.039899999999999</v>
      </c>
      <c r="EE167">
        <v>5.0174500000000002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1.8687400000000001</v>
      </c>
      <c r="EL167">
        <v>1.8644700000000001</v>
      </c>
      <c r="EM167">
        <v>1.8690800000000001</v>
      </c>
      <c r="EN167">
        <v>1.86707</v>
      </c>
      <c r="EO167">
        <v>1.8632500000000001</v>
      </c>
      <c r="EP167">
        <v>1.8643099999999999</v>
      </c>
      <c r="EQ167">
        <v>1.8701000000000001</v>
      </c>
      <c r="ER167">
        <v>1.86931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-0.92400000000000004</v>
      </c>
      <c r="FG167">
        <v>0.19120000000000001</v>
      </c>
      <c r="FH167">
        <v>-0.68620417327404271</v>
      </c>
      <c r="FI167">
        <v>-6.1462078757559423E-4</v>
      </c>
      <c r="FJ167">
        <v>-1.8861989874597051E-7</v>
      </c>
      <c r="FK167">
        <v>1.1980462299894961E-10</v>
      </c>
      <c r="FL167">
        <v>0.1911242781723908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31.3</v>
      </c>
      <c r="FU167">
        <v>31.2</v>
      </c>
      <c r="FV167">
        <v>1.7626999999999999</v>
      </c>
      <c r="FW167">
        <v>2.5671400000000002</v>
      </c>
      <c r="FX167">
        <v>1.5490699999999999</v>
      </c>
      <c r="FY167">
        <v>2.34131</v>
      </c>
      <c r="FZ167">
        <v>1.50146</v>
      </c>
      <c r="GA167">
        <v>2.2997999999999998</v>
      </c>
      <c r="GB167">
        <v>31.063600000000001</v>
      </c>
      <c r="GC167">
        <v>23.982399999999998</v>
      </c>
      <c r="GD167">
        <v>19</v>
      </c>
      <c r="GE167">
        <v>287.49900000000002</v>
      </c>
      <c r="GF167">
        <v>596.35500000000002</v>
      </c>
      <c r="GG167">
        <v>25.863099999999999</v>
      </c>
      <c r="GH167">
        <v>25.604199999999999</v>
      </c>
      <c r="GI167">
        <v>30</v>
      </c>
      <c r="GJ167">
        <v>25.7151</v>
      </c>
      <c r="GK167">
        <v>25.6812</v>
      </c>
      <c r="GL167">
        <v>35.239400000000003</v>
      </c>
      <c r="GM167">
        <v>100</v>
      </c>
      <c r="GN167">
        <v>3.89988</v>
      </c>
      <c r="GO167">
        <v>25.8461</v>
      </c>
      <c r="GP167">
        <v>800</v>
      </c>
      <c r="GQ167">
        <v>0</v>
      </c>
      <c r="GR167">
        <v>99.721100000000007</v>
      </c>
      <c r="GS167">
        <v>99.447199999999995</v>
      </c>
    </row>
    <row r="168" spans="1:201" x14ac:dyDescent="0.25">
      <c r="A168">
        <v>152</v>
      </c>
      <c r="B168">
        <v>1690288150.5</v>
      </c>
      <c r="C168">
        <v>1611.900000095367</v>
      </c>
      <c r="D168" t="s">
        <v>637</v>
      </c>
      <c r="E168" t="s">
        <v>638</v>
      </c>
      <c r="F168" t="s">
        <v>330</v>
      </c>
      <c r="H168">
        <v>1690288150.5</v>
      </c>
      <c r="I168">
        <f t="shared" si="60"/>
        <v>2.9169719191683503E-3</v>
      </c>
      <c r="J168">
        <f t="shared" si="61"/>
        <v>2.9169719191683505</v>
      </c>
      <c r="K168">
        <f t="shared" si="62"/>
        <v>44.712235070157078</v>
      </c>
      <c r="L168">
        <f t="shared" si="63"/>
        <v>356.524</v>
      </c>
      <c r="M168">
        <f t="shared" si="64"/>
        <v>99.436119709212065</v>
      </c>
      <c r="N168">
        <f t="shared" si="65"/>
        <v>9.8884793160400744</v>
      </c>
      <c r="O168">
        <f t="shared" si="66"/>
        <v>35.454724198628</v>
      </c>
      <c r="P168">
        <f t="shared" si="67"/>
        <v>0.29988086351864368</v>
      </c>
      <c r="Q168">
        <f t="shared" si="68"/>
        <v>2.2946640376569585</v>
      </c>
      <c r="R168">
        <f t="shared" si="69"/>
        <v>0.27968615848627931</v>
      </c>
      <c r="S168">
        <f t="shared" si="70"/>
        <v>0.17650480626141463</v>
      </c>
      <c r="T168">
        <f t="shared" si="71"/>
        <v>276.11572167000003</v>
      </c>
      <c r="U168">
        <f t="shared" si="72"/>
        <v>27.813600019614338</v>
      </c>
      <c r="V168">
        <f t="shared" si="73"/>
        <v>27.813600019614338</v>
      </c>
      <c r="W168">
        <f t="shared" si="74"/>
        <v>3.7537980854726554</v>
      </c>
      <c r="X168">
        <f t="shared" si="75"/>
        <v>78.107741442306917</v>
      </c>
      <c r="Y168">
        <f t="shared" si="76"/>
        <v>2.7505544399183002</v>
      </c>
      <c r="Z168">
        <f t="shared" si="77"/>
        <v>3.5214876132988109</v>
      </c>
      <c r="AA168">
        <f t="shared" si="78"/>
        <v>1.0032436455543552</v>
      </c>
      <c r="AB168">
        <f t="shared" si="79"/>
        <v>-128.63846163532426</v>
      </c>
      <c r="AC168">
        <f t="shared" si="80"/>
        <v>-134.83145251572489</v>
      </c>
      <c r="AD168">
        <f t="shared" si="81"/>
        <v>-12.714951743921437</v>
      </c>
      <c r="AE168">
        <f t="shared" si="82"/>
        <v>-6.914422497058581E-2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52365.053614869525</v>
      </c>
      <c r="AK168">
        <f t="shared" si="86"/>
        <v>1800</v>
      </c>
      <c r="AL168">
        <f t="shared" si="87"/>
        <v>1499.1123870000001</v>
      </c>
      <c r="AM168">
        <f t="shared" si="88"/>
        <v>0.83284021500000005</v>
      </c>
      <c r="AN168">
        <f t="shared" si="89"/>
        <v>0.15339762315000002</v>
      </c>
      <c r="AO168">
        <v>29.1</v>
      </c>
      <c r="AP168">
        <v>0.5</v>
      </c>
      <c r="AQ168" t="s">
        <v>331</v>
      </c>
      <c r="AR168">
        <v>2</v>
      </c>
      <c r="AS168">
        <v>1690288150.5</v>
      </c>
      <c r="AT168">
        <v>356.524</v>
      </c>
      <c r="AU168">
        <v>799.91099999999994</v>
      </c>
      <c r="AV168">
        <v>27.658899999999999</v>
      </c>
      <c r="AW168">
        <v>0.17224999999999999</v>
      </c>
      <c r="AX168">
        <v>357.44799999999998</v>
      </c>
      <c r="AY168">
        <v>27.4678</v>
      </c>
      <c r="AZ168">
        <v>300.27699999999999</v>
      </c>
      <c r="BA168">
        <v>99.345500000000001</v>
      </c>
      <c r="BB168">
        <v>0.100047</v>
      </c>
      <c r="BC168">
        <v>26.723700000000001</v>
      </c>
      <c r="BD168">
        <v>26.988900000000001</v>
      </c>
      <c r="BE168">
        <v>28.233499999999999</v>
      </c>
      <c r="BF168">
        <v>0</v>
      </c>
      <c r="BG168">
        <v>0</v>
      </c>
      <c r="BH168">
        <v>9957.5</v>
      </c>
      <c r="BI168">
        <v>1086.8699999999999</v>
      </c>
      <c r="BJ168">
        <v>1.28952</v>
      </c>
      <c r="BK168">
        <v>-443.387</v>
      </c>
      <c r="BL168">
        <v>366.66500000000002</v>
      </c>
      <c r="BM168">
        <v>800.048</v>
      </c>
      <c r="BN168">
        <v>27.486699999999999</v>
      </c>
      <c r="BO168">
        <v>799.91099999999994</v>
      </c>
      <c r="BP168">
        <v>0.17224999999999999</v>
      </c>
      <c r="BQ168">
        <v>2.7477900000000002</v>
      </c>
      <c r="BR168">
        <v>1.71123E-2</v>
      </c>
      <c r="BS168">
        <v>22.573699999999999</v>
      </c>
      <c r="BT168">
        <v>-40.9163</v>
      </c>
      <c r="BU168">
        <v>1800</v>
      </c>
      <c r="BV168">
        <v>0.90999600000000003</v>
      </c>
      <c r="BW168">
        <v>3.3999300000000003E-2</v>
      </c>
      <c r="BX168">
        <v>2.2002000000000001E-2</v>
      </c>
      <c r="BY168">
        <v>3.4003100000000001E-2</v>
      </c>
      <c r="BZ168">
        <v>25</v>
      </c>
      <c r="CA168">
        <v>33528.300000000003</v>
      </c>
      <c r="CB168">
        <v>1690286268.5999999</v>
      </c>
      <c r="CC168" t="s">
        <v>332</v>
      </c>
      <c r="CD168">
        <v>1690286261.0999999</v>
      </c>
      <c r="CE168">
        <v>1690286268.5999999</v>
      </c>
      <c r="CF168">
        <v>1</v>
      </c>
      <c r="CG168">
        <v>-0.89900000000000002</v>
      </c>
      <c r="CH168">
        <v>3.4000000000000002E-2</v>
      </c>
      <c r="CI168">
        <v>-1.2370000000000001</v>
      </c>
      <c r="CJ168">
        <v>8.5999999999999993E-2</v>
      </c>
      <c r="CK168">
        <v>799</v>
      </c>
      <c r="CL168">
        <v>16</v>
      </c>
      <c r="CM168">
        <v>0.28999999999999998</v>
      </c>
      <c r="CN168">
        <v>0.09</v>
      </c>
      <c r="CO168">
        <v>-442.81456097560982</v>
      </c>
      <c r="CP168">
        <v>-3.194257839721375</v>
      </c>
      <c r="CQ168">
        <v>0.31860236313337031</v>
      </c>
      <c r="CR168">
        <v>-1</v>
      </c>
      <c r="CS168">
        <v>27.4564219512195</v>
      </c>
      <c r="CT168">
        <v>0.16166759581895249</v>
      </c>
      <c r="CU168">
        <v>1.6009943742305278E-2</v>
      </c>
      <c r="CV168">
        <v>-1</v>
      </c>
      <c r="CW168">
        <v>0</v>
      </c>
      <c r="CX168">
        <v>0</v>
      </c>
      <c r="CY168" t="s">
        <v>333</v>
      </c>
      <c r="CZ168">
        <v>2.3656600000000001</v>
      </c>
      <c r="DA168">
        <v>2.7138</v>
      </c>
      <c r="DB168">
        <v>8.2374900000000001E-2</v>
      </c>
      <c r="DC168">
        <v>0.14655899999999999</v>
      </c>
      <c r="DD168">
        <v>0.12631300000000001</v>
      </c>
      <c r="DE168">
        <v>1.4557400000000001E-3</v>
      </c>
      <c r="DF168">
        <v>33505.800000000003</v>
      </c>
      <c r="DG168">
        <v>27481</v>
      </c>
      <c r="DH168">
        <v>31169.3</v>
      </c>
      <c r="DI168">
        <v>28056.5</v>
      </c>
      <c r="DJ168">
        <v>36953.1</v>
      </c>
      <c r="DK168">
        <v>39825.599999999999</v>
      </c>
      <c r="DL168">
        <v>44352.1</v>
      </c>
      <c r="DM168">
        <v>42502.1</v>
      </c>
      <c r="DN168">
        <v>1.4939199999999999</v>
      </c>
      <c r="DO168">
        <v>2.0611999999999999</v>
      </c>
      <c r="DP168">
        <v>7.6495099999999996E-2</v>
      </c>
      <c r="DQ168">
        <v>0.17480599999999999</v>
      </c>
      <c r="DR168">
        <v>25.736599999999999</v>
      </c>
      <c r="DS168">
        <v>25.373799999999999</v>
      </c>
      <c r="DT168">
        <v>31.8</v>
      </c>
      <c r="DU168">
        <v>25.8</v>
      </c>
      <c r="DV168">
        <v>10.6731</v>
      </c>
      <c r="DW168">
        <v>62.291400000000003</v>
      </c>
      <c r="DX168">
        <v>36.402200000000001</v>
      </c>
      <c r="DY168">
        <v>1</v>
      </c>
      <c r="DZ168">
        <v>-0.14377000000000001</v>
      </c>
      <c r="EA168">
        <v>-0.540076</v>
      </c>
      <c r="EB168">
        <v>20.189499999999999</v>
      </c>
      <c r="EC168">
        <v>5.2418500000000003</v>
      </c>
      <c r="ED168">
        <v>12.039899999999999</v>
      </c>
      <c r="EE168">
        <v>5.0172999999999996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1.8687499999999999</v>
      </c>
      <c r="EL168">
        <v>1.8644700000000001</v>
      </c>
      <c r="EM168">
        <v>1.8691</v>
      </c>
      <c r="EN168">
        <v>1.86707</v>
      </c>
      <c r="EO168">
        <v>1.8632500000000001</v>
      </c>
      <c r="EP168">
        <v>1.86432</v>
      </c>
      <c r="EQ168">
        <v>1.8701099999999999</v>
      </c>
      <c r="ER168">
        <v>1.8693200000000001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-0.92400000000000004</v>
      </c>
      <c r="FG168">
        <v>0.19109999999999999</v>
      </c>
      <c r="FH168">
        <v>-0.68620417327404271</v>
      </c>
      <c r="FI168">
        <v>-6.1462078757559423E-4</v>
      </c>
      <c r="FJ168">
        <v>-1.8861989874597051E-7</v>
      </c>
      <c r="FK168">
        <v>1.1980462299894961E-10</v>
      </c>
      <c r="FL168">
        <v>0.1911242781723908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31.5</v>
      </c>
      <c r="FU168">
        <v>31.4</v>
      </c>
      <c r="FV168">
        <v>1.7626999999999999</v>
      </c>
      <c r="FW168">
        <v>2.5647000000000002</v>
      </c>
      <c r="FX168">
        <v>1.5490699999999999</v>
      </c>
      <c r="FY168">
        <v>2.34009</v>
      </c>
      <c r="FZ168">
        <v>1.50146</v>
      </c>
      <c r="GA168">
        <v>2.4035600000000001</v>
      </c>
      <c r="GB168">
        <v>31.063600000000001</v>
      </c>
      <c r="GC168">
        <v>23.982399999999998</v>
      </c>
      <c r="GD168">
        <v>19</v>
      </c>
      <c r="GE168">
        <v>287.60599999999999</v>
      </c>
      <c r="GF168">
        <v>596.25</v>
      </c>
      <c r="GG168">
        <v>25.832999999999998</v>
      </c>
      <c r="GH168">
        <v>25.606400000000001</v>
      </c>
      <c r="GI168">
        <v>30.0001</v>
      </c>
      <c r="GJ168">
        <v>25.7151</v>
      </c>
      <c r="GK168">
        <v>25.6812</v>
      </c>
      <c r="GL168">
        <v>35.242100000000001</v>
      </c>
      <c r="GM168">
        <v>100</v>
      </c>
      <c r="GN168">
        <v>3.5163000000000002</v>
      </c>
      <c r="GO168">
        <v>25.8264</v>
      </c>
      <c r="GP168">
        <v>800</v>
      </c>
      <c r="GQ168">
        <v>0</v>
      </c>
      <c r="GR168">
        <v>99.722300000000004</v>
      </c>
      <c r="GS168">
        <v>99.447500000000005</v>
      </c>
    </row>
    <row r="169" spans="1:201" x14ac:dyDescent="0.25">
      <c r="A169">
        <v>153</v>
      </c>
      <c r="B169">
        <v>1690288160.5</v>
      </c>
      <c r="C169">
        <v>1621.900000095367</v>
      </c>
      <c r="D169" t="s">
        <v>639</v>
      </c>
      <c r="E169" t="s">
        <v>640</v>
      </c>
      <c r="F169" t="s">
        <v>330</v>
      </c>
      <c r="H169">
        <v>1690288160.5</v>
      </c>
      <c r="I169">
        <f t="shared" si="60"/>
        <v>2.9181926544581999E-3</v>
      </c>
      <c r="J169">
        <f t="shared" si="61"/>
        <v>2.9181926544582</v>
      </c>
      <c r="K169">
        <f t="shared" si="62"/>
        <v>44.744512150634677</v>
      </c>
      <c r="L169">
        <f t="shared" si="63"/>
        <v>356.12900000000002</v>
      </c>
      <c r="M169">
        <f t="shared" si="64"/>
        <v>99.562157993213646</v>
      </c>
      <c r="N169">
        <f t="shared" si="65"/>
        <v>9.9008402231049608</v>
      </c>
      <c r="O169">
        <f t="shared" si="66"/>
        <v>35.414824255361005</v>
      </c>
      <c r="P169">
        <f t="shared" si="67"/>
        <v>0.30072950511398411</v>
      </c>
      <c r="Q169">
        <f t="shared" si="68"/>
        <v>2.2976461868258578</v>
      </c>
      <c r="R169">
        <f t="shared" si="69"/>
        <v>0.28044893686862027</v>
      </c>
      <c r="S169">
        <f t="shared" si="70"/>
        <v>0.17698861275461403</v>
      </c>
      <c r="T169">
        <f t="shared" si="71"/>
        <v>276.11542004400002</v>
      </c>
      <c r="U169">
        <f t="shared" si="72"/>
        <v>27.810807996126691</v>
      </c>
      <c r="V169">
        <f t="shared" si="73"/>
        <v>27.810807996126691</v>
      </c>
      <c r="W169">
        <f t="shared" si="74"/>
        <v>3.7531862928743029</v>
      </c>
      <c r="X169">
        <f t="shared" si="75"/>
        <v>78.161702023732332</v>
      </c>
      <c r="Y169">
        <f t="shared" si="76"/>
        <v>2.7522764685503001</v>
      </c>
      <c r="Z169">
        <f t="shared" si="77"/>
        <v>3.5212596416012323</v>
      </c>
      <c r="AA169">
        <f t="shared" si="78"/>
        <v>1.0009098243240029</v>
      </c>
      <c r="AB169">
        <f t="shared" si="79"/>
        <v>-128.69229606160661</v>
      </c>
      <c r="AC169">
        <f t="shared" si="80"/>
        <v>-134.79708755794647</v>
      </c>
      <c r="AD169">
        <f t="shared" si="81"/>
        <v>-12.694965364522481</v>
      </c>
      <c r="AE169">
        <f t="shared" si="82"/>
        <v>-6.8928940075551282E-2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52477.92028861618</v>
      </c>
      <c r="AK169">
        <f t="shared" si="86"/>
        <v>1800</v>
      </c>
      <c r="AL169">
        <f t="shared" si="87"/>
        <v>1499.1117263999997</v>
      </c>
      <c r="AM169">
        <f t="shared" si="88"/>
        <v>0.83283984799999988</v>
      </c>
      <c r="AN169">
        <f t="shared" si="89"/>
        <v>0.15339745558000001</v>
      </c>
      <c r="AO169">
        <v>29.1</v>
      </c>
      <c r="AP169">
        <v>0.5</v>
      </c>
      <c r="AQ169" t="s">
        <v>331</v>
      </c>
      <c r="AR169">
        <v>2</v>
      </c>
      <c r="AS169">
        <v>1690288160.5</v>
      </c>
      <c r="AT169">
        <v>356.12900000000002</v>
      </c>
      <c r="AU169">
        <v>799.94600000000003</v>
      </c>
      <c r="AV169">
        <v>27.6767</v>
      </c>
      <c r="AW169">
        <v>0.17135600000000001</v>
      </c>
      <c r="AX169">
        <v>357.053</v>
      </c>
      <c r="AY169">
        <v>27.485499999999998</v>
      </c>
      <c r="AZ169">
        <v>300.19299999999998</v>
      </c>
      <c r="BA169">
        <v>99.343800000000002</v>
      </c>
      <c r="BB169">
        <v>0.100009</v>
      </c>
      <c r="BC169">
        <v>26.7226</v>
      </c>
      <c r="BD169">
        <v>26.964600000000001</v>
      </c>
      <c r="BE169">
        <v>28.221499999999999</v>
      </c>
      <c r="BF169">
        <v>0</v>
      </c>
      <c r="BG169">
        <v>0</v>
      </c>
      <c r="BH169">
        <v>9980</v>
      </c>
      <c r="BI169">
        <v>1086.97</v>
      </c>
      <c r="BJ169">
        <v>1.28952</v>
      </c>
      <c r="BK169">
        <v>-443.81700000000001</v>
      </c>
      <c r="BL169">
        <v>366.26600000000002</v>
      </c>
      <c r="BM169">
        <v>800.08299999999997</v>
      </c>
      <c r="BN169">
        <v>27.505299999999998</v>
      </c>
      <c r="BO169">
        <v>799.94600000000003</v>
      </c>
      <c r="BP169">
        <v>0.17135600000000001</v>
      </c>
      <c r="BQ169">
        <v>2.7494999999999998</v>
      </c>
      <c r="BR169">
        <v>1.7023199999999999E-2</v>
      </c>
      <c r="BS169">
        <v>22.584</v>
      </c>
      <c r="BT169">
        <v>-40.965899999999998</v>
      </c>
      <c r="BU169">
        <v>1800</v>
      </c>
      <c r="BV169">
        <v>0.90999799999999997</v>
      </c>
      <c r="BW169">
        <v>3.3998300000000002E-2</v>
      </c>
      <c r="BX169">
        <v>2.2001400000000001E-2</v>
      </c>
      <c r="BY169">
        <v>3.4001999999999998E-2</v>
      </c>
      <c r="BZ169">
        <v>25</v>
      </c>
      <c r="CA169">
        <v>33528.300000000003</v>
      </c>
      <c r="CB169">
        <v>1690286268.5999999</v>
      </c>
      <c r="CC169" t="s">
        <v>332</v>
      </c>
      <c r="CD169">
        <v>1690286261.0999999</v>
      </c>
      <c r="CE169">
        <v>1690286268.5999999</v>
      </c>
      <c r="CF169">
        <v>1</v>
      </c>
      <c r="CG169">
        <v>-0.89900000000000002</v>
      </c>
      <c r="CH169">
        <v>3.4000000000000002E-2</v>
      </c>
      <c r="CI169">
        <v>-1.2370000000000001</v>
      </c>
      <c r="CJ169">
        <v>8.5999999999999993E-2</v>
      </c>
      <c r="CK169">
        <v>799</v>
      </c>
      <c r="CL169">
        <v>16</v>
      </c>
      <c r="CM169">
        <v>0.28999999999999998</v>
      </c>
      <c r="CN169">
        <v>0.09</v>
      </c>
      <c r="CO169">
        <v>-443.36745000000002</v>
      </c>
      <c r="CP169">
        <v>-2.8813958724183721</v>
      </c>
      <c r="CQ169">
        <v>0.28057565379056032</v>
      </c>
      <c r="CR169">
        <v>-1</v>
      </c>
      <c r="CS169">
        <v>27.483720000000002</v>
      </c>
      <c r="CT169">
        <v>0.1458303939962278</v>
      </c>
      <c r="CU169">
        <v>1.418381471960193E-2</v>
      </c>
      <c r="CV169">
        <v>-1</v>
      </c>
      <c r="CW169">
        <v>0</v>
      </c>
      <c r="CX169">
        <v>0</v>
      </c>
      <c r="CY169" t="s">
        <v>333</v>
      </c>
      <c r="CZ169">
        <v>2.36537</v>
      </c>
      <c r="DA169">
        <v>2.7137799999999999</v>
      </c>
      <c r="DB169">
        <v>8.2301899999999997E-2</v>
      </c>
      <c r="DC169">
        <v>0.146561</v>
      </c>
      <c r="DD169">
        <v>0.12636700000000001</v>
      </c>
      <c r="DE169">
        <v>1.44823E-3</v>
      </c>
      <c r="DF169">
        <v>33508.9</v>
      </c>
      <c r="DG169">
        <v>27481.3</v>
      </c>
      <c r="DH169">
        <v>31169.8</v>
      </c>
      <c r="DI169">
        <v>28056.799999999999</v>
      </c>
      <c r="DJ169">
        <v>36951.199999999997</v>
      </c>
      <c r="DK169">
        <v>39826.400000000001</v>
      </c>
      <c r="DL169">
        <v>44352.6</v>
      </c>
      <c r="DM169">
        <v>42502.5</v>
      </c>
      <c r="DN169">
        <v>1.4937800000000001</v>
      </c>
      <c r="DO169">
        <v>2.0612499999999998</v>
      </c>
      <c r="DP169">
        <v>7.5325400000000001E-2</v>
      </c>
      <c r="DQ169">
        <v>0.174202</v>
      </c>
      <c r="DR169">
        <v>25.731400000000001</v>
      </c>
      <c r="DS169">
        <v>25.371700000000001</v>
      </c>
      <c r="DT169">
        <v>31.6</v>
      </c>
      <c r="DU169">
        <v>25.8</v>
      </c>
      <c r="DV169">
        <v>10.6069</v>
      </c>
      <c r="DW169">
        <v>61.7714</v>
      </c>
      <c r="DX169">
        <v>36.534500000000001</v>
      </c>
      <c r="DY169">
        <v>1</v>
      </c>
      <c r="DZ169">
        <v>-0.14377499999999999</v>
      </c>
      <c r="EA169">
        <v>-0.68124200000000001</v>
      </c>
      <c r="EB169">
        <v>20.1889</v>
      </c>
      <c r="EC169">
        <v>5.2418500000000003</v>
      </c>
      <c r="ED169">
        <v>12.039899999999999</v>
      </c>
      <c r="EE169">
        <v>5.0174500000000002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1.8687400000000001</v>
      </c>
      <c r="EL169">
        <v>1.8644700000000001</v>
      </c>
      <c r="EM169">
        <v>1.8690800000000001</v>
      </c>
      <c r="EN169">
        <v>1.86707</v>
      </c>
      <c r="EO169">
        <v>1.8632500000000001</v>
      </c>
      <c r="EP169">
        <v>1.86432</v>
      </c>
      <c r="EQ169">
        <v>1.8701099999999999</v>
      </c>
      <c r="ER169">
        <v>1.86931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-0.92400000000000004</v>
      </c>
      <c r="FG169">
        <v>0.19120000000000001</v>
      </c>
      <c r="FH169">
        <v>-0.68620417327404271</v>
      </c>
      <c r="FI169">
        <v>-6.1462078757559423E-4</v>
      </c>
      <c r="FJ169">
        <v>-1.8861989874597051E-7</v>
      </c>
      <c r="FK169">
        <v>1.1980462299894961E-10</v>
      </c>
      <c r="FL169">
        <v>0.1911242781723908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31.7</v>
      </c>
      <c r="FU169">
        <v>31.5</v>
      </c>
      <c r="FV169">
        <v>1.7626999999999999</v>
      </c>
      <c r="FW169">
        <v>2.5659200000000002</v>
      </c>
      <c r="FX169">
        <v>1.5490699999999999</v>
      </c>
      <c r="FY169">
        <v>2.34131</v>
      </c>
      <c r="FZ169">
        <v>1.50146</v>
      </c>
      <c r="GA169">
        <v>2.34619</v>
      </c>
      <c r="GB169">
        <v>31.0853</v>
      </c>
      <c r="GC169">
        <v>23.982399999999998</v>
      </c>
      <c r="GD169">
        <v>19</v>
      </c>
      <c r="GE169">
        <v>287.54899999999998</v>
      </c>
      <c r="GF169">
        <v>596.29200000000003</v>
      </c>
      <c r="GG169">
        <v>25.8401</v>
      </c>
      <c r="GH169">
        <v>25.606400000000001</v>
      </c>
      <c r="GI169">
        <v>30.0001</v>
      </c>
      <c r="GJ169">
        <v>25.716699999999999</v>
      </c>
      <c r="GK169">
        <v>25.6812</v>
      </c>
      <c r="GL169">
        <v>35.240900000000003</v>
      </c>
      <c r="GM169">
        <v>100</v>
      </c>
      <c r="GN169">
        <v>2.75196</v>
      </c>
      <c r="GO169">
        <v>25.8629</v>
      </c>
      <c r="GP169">
        <v>800</v>
      </c>
      <c r="GQ169">
        <v>0</v>
      </c>
      <c r="GR169">
        <v>99.723399999999998</v>
      </c>
      <c r="GS169">
        <v>99.448599999999999</v>
      </c>
    </row>
    <row r="170" spans="1:201" x14ac:dyDescent="0.25">
      <c r="A170">
        <v>154</v>
      </c>
      <c r="B170">
        <v>1690288170.5</v>
      </c>
      <c r="C170">
        <v>1631.900000095367</v>
      </c>
      <c r="D170" t="s">
        <v>641</v>
      </c>
      <c r="E170" t="s">
        <v>642</v>
      </c>
      <c r="F170" t="s">
        <v>330</v>
      </c>
      <c r="H170">
        <v>1690288170.5</v>
      </c>
      <c r="I170">
        <f t="shared" si="60"/>
        <v>2.9191561184469614E-3</v>
      </c>
      <c r="J170">
        <f t="shared" si="61"/>
        <v>2.9191561184469617</v>
      </c>
      <c r="K170">
        <f t="shared" si="62"/>
        <v>44.77921986746351</v>
      </c>
      <c r="L170">
        <f t="shared" si="63"/>
        <v>355.65499999999997</v>
      </c>
      <c r="M170">
        <f t="shared" si="64"/>
        <v>99.074196126103189</v>
      </c>
      <c r="N170">
        <f t="shared" si="65"/>
        <v>9.8525350838855577</v>
      </c>
      <c r="O170">
        <f t="shared" si="66"/>
        <v>35.368476377029999</v>
      </c>
      <c r="P170">
        <f t="shared" si="67"/>
        <v>0.30093547270790511</v>
      </c>
      <c r="Q170">
        <f t="shared" si="68"/>
        <v>2.2991761025636714</v>
      </c>
      <c r="R170">
        <f t="shared" si="69"/>
        <v>0.28064065638181362</v>
      </c>
      <c r="S170">
        <f t="shared" si="70"/>
        <v>0.17710963540106295</v>
      </c>
      <c r="T170">
        <f t="shared" si="71"/>
        <v>276.11400285279541</v>
      </c>
      <c r="U170">
        <f t="shared" si="72"/>
        <v>27.816815444607066</v>
      </c>
      <c r="V170">
        <f t="shared" si="73"/>
        <v>27.816815444607066</v>
      </c>
      <c r="W170">
        <f t="shared" si="74"/>
        <v>3.7545027622846829</v>
      </c>
      <c r="X170">
        <f t="shared" si="75"/>
        <v>78.176700528120961</v>
      </c>
      <c r="Y170">
        <f t="shared" si="76"/>
        <v>2.7539389088127999</v>
      </c>
      <c r="Z170">
        <f t="shared" si="77"/>
        <v>3.5227105905066689</v>
      </c>
      <c r="AA170">
        <f t="shared" si="78"/>
        <v>1.000563853471883</v>
      </c>
      <c r="AB170">
        <f t="shared" si="79"/>
        <v>-128.73478482351101</v>
      </c>
      <c r="AC170">
        <f t="shared" si="80"/>
        <v>-134.76381392361486</v>
      </c>
      <c r="AD170">
        <f t="shared" si="81"/>
        <v>-12.684210421426888</v>
      </c>
      <c r="AE170">
        <f t="shared" si="82"/>
        <v>-6.8806315757342418E-2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52534.614049867574</v>
      </c>
      <c r="AK170">
        <f t="shared" si="86"/>
        <v>1799.99</v>
      </c>
      <c r="AL170">
        <f t="shared" si="87"/>
        <v>1499.1042313968901</v>
      </c>
      <c r="AM170">
        <f t="shared" si="88"/>
        <v>0.832840311</v>
      </c>
      <c r="AN170">
        <f t="shared" si="89"/>
        <v>0.15339752046000002</v>
      </c>
      <c r="AO170">
        <v>29.1</v>
      </c>
      <c r="AP170">
        <v>0.5</v>
      </c>
      <c r="AQ170" t="s">
        <v>331</v>
      </c>
      <c r="AR170">
        <v>2</v>
      </c>
      <c r="AS170">
        <v>1690288170.5</v>
      </c>
      <c r="AT170">
        <v>355.65499999999997</v>
      </c>
      <c r="AU170">
        <v>799.93600000000004</v>
      </c>
      <c r="AV170">
        <v>27.692799999999998</v>
      </c>
      <c r="AW170">
        <v>0.17030400000000001</v>
      </c>
      <c r="AX170">
        <v>356.57900000000001</v>
      </c>
      <c r="AY170">
        <v>27.5016</v>
      </c>
      <c r="AZ170">
        <v>300.10000000000002</v>
      </c>
      <c r="BA170">
        <v>99.346000000000004</v>
      </c>
      <c r="BB170">
        <v>0.100026</v>
      </c>
      <c r="BC170">
        <v>26.729600000000001</v>
      </c>
      <c r="BD170">
        <v>26.997900000000001</v>
      </c>
      <c r="BE170">
        <v>28.2499</v>
      </c>
      <c r="BF170">
        <v>0</v>
      </c>
      <c r="BG170">
        <v>0</v>
      </c>
      <c r="BH170">
        <v>9991.25</v>
      </c>
      <c r="BI170">
        <v>1087</v>
      </c>
      <c r="BJ170">
        <v>1.28952</v>
      </c>
      <c r="BK170">
        <v>-444.28100000000001</v>
      </c>
      <c r="BL170">
        <v>365.78500000000003</v>
      </c>
      <c r="BM170">
        <v>800.072</v>
      </c>
      <c r="BN170">
        <v>27.522500000000001</v>
      </c>
      <c r="BO170">
        <v>799.93600000000004</v>
      </c>
      <c r="BP170">
        <v>0.17030400000000001</v>
      </c>
      <c r="BQ170">
        <v>2.7511700000000001</v>
      </c>
      <c r="BR170">
        <v>1.6919099999999999E-2</v>
      </c>
      <c r="BS170">
        <v>22.594000000000001</v>
      </c>
      <c r="BT170">
        <v>-41.024000000000001</v>
      </c>
      <c r="BU170">
        <v>1799.99</v>
      </c>
      <c r="BV170">
        <v>0.909999</v>
      </c>
      <c r="BW170">
        <v>3.3998100000000003E-2</v>
      </c>
      <c r="BX170">
        <v>2.2001300000000001E-2</v>
      </c>
      <c r="BY170">
        <v>3.4001799999999999E-2</v>
      </c>
      <c r="BZ170">
        <v>25</v>
      </c>
      <c r="CA170">
        <v>33528.1</v>
      </c>
      <c r="CB170">
        <v>1690286268.5999999</v>
      </c>
      <c r="CC170" t="s">
        <v>332</v>
      </c>
      <c r="CD170">
        <v>1690286261.0999999</v>
      </c>
      <c r="CE170">
        <v>1690286268.5999999</v>
      </c>
      <c r="CF170">
        <v>1</v>
      </c>
      <c r="CG170">
        <v>-0.89900000000000002</v>
      </c>
      <c r="CH170">
        <v>3.4000000000000002E-2</v>
      </c>
      <c r="CI170">
        <v>-1.2370000000000001</v>
      </c>
      <c r="CJ170">
        <v>8.5999999999999993E-2</v>
      </c>
      <c r="CK170">
        <v>799</v>
      </c>
      <c r="CL170">
        <v>16</v>
      </c>
      <c r="CM170">
        <v>0.28999999999999998</v>
      </c>
      <c r="CN170">
        <v>0.09</v>
      </c>
      <c r="CO170">
        <v>-443.84825000000001</v>
      </c>
      <c r="CP170">
        <v>-2.7735534709187282</v>
      </c>
      <c r="CQ170">
        <v>0.27420674225846481</v>
      </c>
      <c r="CR170">
        <v>-1</v>
      </c>
      <c r="CS170">
        <v>27.5042425</v>
      </c>
      <c r="CT170">
        <v>0.10507204502817739</v>
      </c>
      <c r="CU170">
        <v>1.012748457169918E-2</v>
      </c>
      <c r="CV170">
        <v>-1</v>
      </c>
      <c r="CW170">
        <v>0</v>
      </c>
      <c r="CX170">
        <v>0</v>
      </c>
      <c r="CY170" t="s">
        <v>333</v>
      </c>
      <c r="CZ170">
        <v>2.3650600000000002</v>
      </c>
      <c r="DA170">
        <v>2.7138100000000001</v>
      </c>
      <c r="DB170">
        <v>8.2217999999999999E-2</v>
      </c>
      <c r="DC170">
        <v>0.146563</v>
      </c>
      <c r="DD170">
        <v>0.12642</v>
      </c>
      <c r="DE170">
        <v>1.43947E-3</v>
      </c>
      <c r="DF170">
        <v>33511.9</v>
      </c>
      <c r="DG170">
        <v>27481.5</v>
      </c>
      <c r="DH170">
        <v>31169.7</v>
      </c>
      <c r="DI170">
        <v>28057.1</v>
      </c>
      <c r="DJ170">
        <v>36948.9</v>
      </c>
      <c r="DK170">
        <v>39827.199999999997</v>
      </c>
      <c r="DL170">
        <v>44352.6</v>
      </c>
      <c r="DM170">
        <v>42503.1</v>
      </c>
      <c r="DN170">
        <v>1.4935499999999999</v>
      </c>
      <c r="DO170">
        <v>2.0611999999999999</v>
      </c>
      <c r="DP170">
        <v>7.7493500000000007E-2</v>
      </c>
      <c r="DQ170">
        <v>0.17602000000000001</v>
      </c>
      <c r="DR170">
        <v>25.729199999999999</v>
      </c>
      <c r="DS170">
        <v>25.3704</v>
      </c>
      <c r="DT170">
        <v>31.5</v>
      </c>
      <c r="DU170">
        <v>25.8</v>
      </c>
      <c r="DV170">
        <v>10.572699999999999</v>
      </c>
      <c r="DW170">
        <v>61.941400000000002</v>
      </c>
      <c r="DX170">
        <v>37.331699999999998</v>
      </c>
      <c r="DY170">
        <v>1</v>
      </c>
      <c r="DZ170">
        <v>-0.143625</v>
      </c>
      <c r="EA170">
        <v>-0.696353</v>
      </c>
      <c r="EB170">
        <v>20.1889</v>
      </c>
      <c r="EC170">
        <v>5.2418500000000003</v>
      </c>
      <c r="ED170">
        <v>12.039899999999999</v>
      </c>
      <c r="EE170">
        <v>5.0174500000000002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1.86876</v>
      </c>
      <c r="EL170">
        <v>1.8644700000000001</v>
      </c>
      <c r="EM170">
        <v>1.86907</v>
      </c>
      <c r="EN170">
        <v>1.86707</v>
      </c>
      <c r="EO170">
        <v>1.8632500000000001</v>
      </c>
      <c r="EP170">
        <v>1.86432</v>
      </c>
      <c r="EQ170">
        <v>1.8701000000000001</v>
      </c>
      <c r="ER170">
        <v>1.8693299999999999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-0.92400000000000004</v>
      </c>
      <c r="FG170">
        <v>0.19120000000000001</v>
      </c>
      <c r="FH170">
        <v>-0.68620417327404271</v>
      </c>
      <c r="FI170">
        <v>-6.1462078757559423E-4</v>
      </c>
      <c r="FJ170">
        <v>-1.8861989874597051E-7</v>
      </c>
      <c r="FK170">
        <v>1.1980462299894961E-10</v>
      </c>
      <c r="FL170">
        <v>0.1911242781723908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31.8</v>
      </c>
      <c r="FU170">
        <v>31.7</v>
      </c>
      <c r="FV170">
        <v>1.7626999999999999</v>
      </c>
      <c r="FW170">
        <v>2.5695800000000002</v>
      </c>
      <c r="FX170">
        <v>1.5490699999999999</v>
      </c>
      <c r="FY170">
        <v>2.34009</v>
      </c>
      <c r="FZ170">
        <v>1.50146</v>
      </c>
      <c r="GA170">
        <v>2.2766099999999998</v>
      </c>
      <c r="GB170">
        <v>31.0853</v>
      </c>
      <c r="GC170">
        <v>23.982399999999998</v>
      </c>
      <c r="GD170">
        <v>19</v>
      </c>
      <c r="GE170">
        <v>287.45499999999998</v>
      </c>
      <c r="GF170">
        <v>596.25800000000004</v>
      </c>
      <c r="GG170">
        <v>25.877800000000001</v>
      </c>
      <c r="GH170">
        <v>25.606400000000001</v>
      </c>
      <c r="GI170">
        <v>30.0002</v>
      </c>
      <c r="GJ170">
        <v>25.717199999999998</v>
      </c>
      <c r="GK170">
        <v>25.681899999999999</v>
      </c>
      <c r="GL170">
        <v>35.243499999999997</v>
      </c>
      <c r="GM170">
        <v>100</v>
      </c>
      <c r="GN170">
        <v>2.3764400000000001</v>
      </c>
      <c r="GO170">
        <v>25.883299999999998</v>
      </c>
      <c r="GP170">
        <v>800</v>
      </c>
      <c r="GQ170">
        <v>0</v>
      </c>
      <c r="GR170">
        <v>99.723399999999998</v>
      </c>
      <c r="GS170">
        <v>99.449700000000007</v>
      </c>
    </row>
    <row r="171" spans="1:201" x14ac:dyDescent="0.25">
      <c r="A171">
        <v>155</v>
      </c>
      <c r="B171">
        <v>1690288180.5</v>
      </c>
      <c r="C171">
        <v>1641.900000095367</v>
      </c>
      <c r="D171" t="s">
        <v>643</v>
      </c>
      <c r="E171" t="s">
        <v>644</v>
      </c>
      <c r="F171" t="s">
        <v>330</v>
      </c>
      <c r="H171">
        <v>1690288180.5</v>
      </c>
      <c r="I171">
        <f t="shared" si="60"/>
        <v>2.9216585450037025E-3</v>
      </c>
      <c r="J171">
        <f t="shared" si="61"/>
        <v>2.9216585450037025</v>
      </c>
      <c r="K171">
        <f t="shared" si="62"/>
        <v>44.851138435384506</v>
      </c>
      <c r="L171">
        <f t="shared" si="63"/>
        <v>355.19400000000002</v>
      </c>
      <c r="M171">
        <f t="shared" si="64"/>
        <v>99.042953769776304</v>
      </c>
      <c r="N171">
        <f t="shared" si="65"/>
        <v>9.849266230380854</v>
      </c>
      <c r="O171">
        <f t="shared" si="66"/>
        <v>35.322051052373396</v>
      </c>
      <c r="P171">
        <f t="shared" si="67"/>
        <v>0.30199699248336109</v>
      </c>
      <c r="Q171">
        <f t="shared" si="68"/>
        <v>2.2967359669796781</v>
      </c>
      <c r="R171">
        <f t="shared" si="69"/>
        <v>0.28154382716857262</v>
      </c>
      <c r="S171">
        <f t="shared" si="70"/>
        <v>0.17768696143913351</v>
      </c>
      <c r="T171">
        <f t="shared" si="71"/>
        <v>276.11521259400001</v>
      </c>
      <c r="U171">
        <f t="shared" si="72"/>
        <v>27.813568874646961</v>
      </c>
      <c r="V171">
        <f t="shared" si="73"/>
        <v>27.813568874646961</v>
      </c>
      <c r="W171">
        <f t="shared" si="74"/>
        <v>3.7537912604583097</v>
      </c>
      <c r="X171">
        <f t="shared" si="75"/>
        <v>78.240084430191061</v>
      </c>
      <c r="Y171">
        <f t="shared" si="76"/>
        <v>2.7556040773810002</v>
      </c>
      <c r="Z171">
        <f t="shared" si="77"/>
        <v>3.5219850508209261</v>
      </c>
      <c r="AA171">
        <f t="shared" si="78"/>
        <v>0.99818718307730947</v>
      </c>
      <c r="AB171">
        <f t="shared" si="79"/>
        <v>-128.84514183466328</v>
      </c>
      <c r="AC171">
        <f t="shared" si="80"/>
        <v>-134.65216803691126</v>
      </c>
      <c r="AD171">
        <f t="shared" si="81"/>
        <v>-12.6867395524947</v>
      </c>
      <c r="AE171">
        <f t="shared" si="82"/>
        <v>-6.883683006924457E-2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52442.905191528713</v>
      </c>
      <c r="AK171">
        <f t="shared" si="86"/>
        <v>1800</v>
      </c>
      <c r="AL171">
        <f t="shared" si="87"/>
        <v>1499.1121673999999</v>
      </c>
      <c r="AM171">
        <f t="shared" si="88"/>
        <v>0.83284009299999995</v>
      </c>
      <c r="AN171">
        <f t="shared" si="89"/>
        <v>0.15339734033000002</v>
      </c>
      <c r="AO171">
        <v>29.1</v>
      </c>
      <c r="AP171">
        <v>0.5</v>
      </c>
      <c r="AQ171" t="s">
        <v>331</v>
      </c>
      <c r="AR171">
        <v>2</v>
      </c>
      <c r="AS171">
        <v>1690288180.5</v>
      </c>
      <c r="AT171">
        <v>355.19400000000002</v>
      </c>
      <c r="AU171">
        <v>800.07899999999995</v>
      </c>
      <c r="AV171">
        <v>27.71</v>
      </c>
      <c r="AW171">
        <v>0.169904</v>
      </c>
      <c r="AX171">
        <v>356.11799999999999</v>
      </c>
      <c r="AY171">
        <v>27.518899999999999</v>
      </c>
      <c r="AZ171">
        <v>300.16000000000003</v>
      </c>
      <c r="BA171">
        <v>99.344399999999993</v>
      </c>
      <c r="BB171">
        <v>9.9991099999999999E-2</v>
      </c>
      <c r="BC171">
        <v>26.726099999999999</v>
      </c>
      <c r="BD171">
        <v>27.021899999999999</v>
      </c>
      <c r="BE171">
        <v>28.244499999999999</v>
      </c>
      <c r="BF171">
        <v>0</v>
      </c>
      <c r="BG171">
        <v>0</v>
      </c>
      <c r="BH171">
        <v>9973.1200000000008</v>
      </c>
      <c r="BI171">
        <v>1086.96</v>
      </c>
      <c r="BJ171">
        <v>1.16337</v>
      </c>
      <c r="BK171">
        <v>-444.88499999999999</v>
      </c>
      <c r="BL171">
        <v>365.31700000000001</v>
      </c>
      <c r="BM171">
        <v>800.21500000000003</v>
      </c>
      <c r="BN171">
        <v>27.540099999999999</v>
      </c>
      <c r="BO171">
        <v>800.07899999999995</v>
      </c>
      <c r="BP171">
        <v>0.169904</v>
      </c>
      <c r="BQ171">
        <v>2.75284</v>
      </c>
      <c r="BR171">
        <v>1.6879000000000002E-2</v>
      </c>
      <c r="BS171">
        <v>22.603999999999999</v>
      </c>
      <c r="BT171">
        <v>-41.046500000000002</v>
      </c>
      <c r="BU171">
        <v>1800</v>
      </c>
      <c r="BV171">
        <v>0.91000199999999998</v>
      </c>
      <c r="BW171">
        <v>3.3996699999999998E-2</v>
      </c>
      <c r="BX171">
        <v>2.20004E-2</v>
      </c>
      <c r="BY171">
        <v>3.4000500000000003E-2</v>
      </c>
      <c r="BZ171">
        <v>25</v>
      </c>
      <c r="CA171">
        <v>33528.300000000003</v>
      </c>
      <c r="CB171">
        <v>1690286268.5999999</v>
      </c>
      <c r="CC171" t="s">
        <v>332</v>
      </c>
      <c r="CD171">
        <v>1690286261.0999999</v>
      </c>
      <c r="CE171">
        <v>1690286268.5999999</v>
      </c>
      <c r="CF171">
        <v>1</v>
      </c>
      <c r="CG171">
        <v>-0.89900000000000002</v>
      </c>
      <c r="CH171">
        <v>3.4000000000000002E-2</v>
      </c>
      <c r="CI171">
        <v>-1.2370000000000001</v>
      </c>
      <c r="CJ171">
        <v>8.5999999999999993E-2</v>
      </c>
      <c r="CK171">
        <v>799</v>
      </c>
      <c r="CL171">
        <v>16</v>
      </c>
      <c r="CM171">
        <v>0.28999999999999998</v>
      </c>
      <c r="CN171">
        <v>0.09</v>
      </c>
      <c r="CO171">
        <v>-444.29027500000001</v>
      </c>
      <c r="CP171">
        <v>-2.8529268292682328</v>
      </c>
      <c r="CQ171">
        <v>0.2826861322651017</v>
      </c>
      <c r="CR171">
        <v>-1</v>
      </c>
      <c r="CS171">
        <v>27.521400000000011</v>
      </c>
      <c r="CT171">
        <v>0.1031842401499239</v>
      </c>
      <c r="CU171">
        <v>9.9438171745061185E-3</v>
      </c>
      <c r="CV171">
        <v>-1</v>
      </c>
      <c r="CW171">
        <v>0</v>
      </c>
      <c r="CX171">
        <v>0</v>
      </c>
      <c r="CY171" t="s">
        <v>333</v>
      </c>
      <c r="CZ171">
        <v>2.3652700000000002</v>
      </c>
      <c r="DA171">
        <v>2.7137600000000002</v>
      </c>
      <c r="DB171">
        <v>8.2133399999999995E-2</v>
      </c>
      <c r="DC171">
        <v>0.14657700000000001</v>
      </c>
      <c r="DD171">
        <v>0.126473</v>
      </c>
      <c r="DE171">
        <v>1.4360899999999999E-3</v>
      </c>
      <c r="DF171">
        <v>33515</v>
      </c>
      <c r="DG171">
        <v>27480.9</v>
      </c>
      <c r="DH171">
        <v>31169.7</v>
      </c>
      <c r="DI171">
        <v>28057.1</v>
      </c>
      <c r="DJ171">
        <v>36946.699999999997</v>
      </c>
      <c r="DK171">
        <v>39827.300000000003</v>
      </c>
      <c r="DL171">
        <v>44352.7</v>
      </c>
      <c r="DM171">
        <v>42503</v>
      </c>
      <c r="DN171">
        <v>1.4936199999999999</v>
      </c>
      <c r="DO171">
        <v>2.0609500000000001</v>
      </c>
      <c r="DP171">
        <v>7.9095399999999996E-2</v>
      </c>
      <c r="DQ171">
        <v>0.17574400000000001</v>
      </c>
      <c r="DR171">
        <v>25.7271</v>
      </c>
      <c r="DS171">
        <v>25.369499999999999</v>
      </c>
      <c r="DT171">
        <v>31.3</v>
      </c>
      <c r="DU171">
        <v>25.8</v>
      </c>
      <c r="DV171">
        <v>10.505599999999999</v>
      </c>
      <c r="DW171">
        <v>61.931399999999996</v>
      </c>
      <c r="DX171">
        <v>36.871000000000002</v>
      </c>
      <c r="DY171">
        <v>1</v>
      </c>
      <c r="DZ171">
        <v>-0.143707</v>
      </c>
      <c r="EA171">
        <v>-0.58693099999999998</v>
      </c>
      <c r="EB171">
        <v>20.189299999999999</v>
      </c>
      <c r="EC171">
        <v>5.2421499999999996</v>
      </c>
      <c r="ED171">
        <v>12.039899999999999</v>
      </c>
      <c r="EE171">
        <v>5.0173500000000004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1.8687400000000001</v>
      </c>
      <c r="EL171">
        <v>1.86446</v>
      </c>
      <c r="EM171">
        <v>1.86907</v>
      </c>
      <c r="EN171">
        <v>1.86707</v>
      </c>
      <c r="EO171">
        <v>1.8632500000000001</v>
      </c>
      <c r="EP171">
        <v>1.86432</v>
      </c>
      <c r="EQ171">
        <v>1.8701000000000001</v>
      </c>
      <c r="ER171">
        <v>1.86931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-0.92400000000000004</v>
      </c>
      <c r="FG171">
        <v>0.19109999999999999</v>
      </c>
      <c r="FH171">
        <v>-0.68620417327404271</v>
      </c>
      <c r="FI171">
        <v>-6.1462078757559423E-4</v>
      </c>
      <c r="FJ171">
        <v>-1.8861989874597051E-7</v>
      </c>
      <c r="FK171">
        <v>1.1980462299894961E-10</v>
      </c>
      <c r="FL171">
        <v>0.1911242781723908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32</v>
      </c>
      <c r="FU171">
        <v>31.9</v>
      </c>
      <c r="FV171">
        <v>1.7626999999999999</v>
      </c>
      <c r="FW171">
        <v>2.5634800000000002</v>
      </c>
      <c r="FX171">
        <v>1.5490699999999999</v>
      </c>
      <c r="FY171">
        <v>2.34009</v>
      </c>
      <c r="FZ171">
        <v>1.50146</v>
      </c>
      <c r="GA171">
        <v>2.34863</v>
      </c>
      <c r="GB171">
        <v>31.0853</v>
      </c>
      <c r="GC171">
        <v>23.991199999999999</v>
      </c>
      <c r="GD171">
        <v>19</v>
      </c>
      <c r="GE171">
        <v>287.48700000000002</v>
      </c>
      <c r="GF171">
        <v>596.06600000000003</v>
      </c>
      <c r="GG171">
        <v>25.876999999999999</v>
      </c>
      <c r="GH171">
        <v>25.6069</v>
      </c>
      <c r="GI171">
        <v>30.0001</v>
      </c>
      <c r="GJ171">
        <v>25.717199999999998</v>
      </c>
      <c r="GK171">
        <v>25.683299999999999</v>
      </c>
      <c r="GL171">
        <v>35.238199999999999</v>
      </c>
      <c r="GM171">
        <v>100</v>
      </c>
      <c r="GN171">
        <v>1.61799</v>
      </c>
      <c r="GO171">
        <v>25.8538</v>
      </c>
      <c r="GP171">
        <v>800</v>
      </c>
      <c r="GQ171">
        <v>0</v>
      </c>
      <c r="GR171">
        <v>99.723500000000001</v>
      </c>
      <c r="GS171">
        <v>99.4495</v>
      </c>
    </row>
    <row r="172" spans="1:201" x14ac:dyDescent="0.25">
      <c r="A172">
        <v>156</v>
      </c>
      <c r="B172">
        <v>1690288190.5</v>
      </c>
      <c r="C172">
        <v>1651.900000095367</v>
      </c>
      <c r="D172" t="s">
        <v>645</v>
      </c>
      <c r="E172" t="s">
        <v>646</v>
      </c>
      <c r="F172" t="s">
        <v>330</v>
      </c>
      <c r="H172">
        <v>1690288190.5</v>
      </c>
      <c r="I172">
        <f t="shared" si="60"/>
        <v>2.9239932481644271E-3</v>
      </c>
      <c r="J172">
        <f t="shared" si="61"/>
        <v>2.9239932481644271</v>
      </c>
      <c r="K172">
        <f t="shared" si="62"/>
        <v>44.864502382373679</v>
      </c>
      <c r="L172">
        <f t="shared" si="63"/>
        <v>354.87599999999998</v>
      </c>
      <c r="M172">
        <f t="shared" si="64"/>
        <v>99.068850948672704</v>
      </c>
      <c r="N172">
        <f t="shared" si="65"/>
        <v>9.8517998119536241</v>
      </c>
      <c r="O172">
        <f t="shared" si="66"/>
        <v>35.290278191257194</v>
      </c>
      <c r="P172">
        <f t="shared" si="67"/>
        <v>0.3025089439727503</v>
      </c>
      <c r="Q172">
        <f t="shared" si="68"/>
        <v>2.2984826028044183</v>
      </c>
      <c r="R172">
        <f t="shared" si="69"/>
        <v>0.28200336069903009</v>
      </c>
      <c r="S172">
        <f t="shared" si="70"/>
        <v>0.17797848258277174</v>
      </c>
      <c r="T172">
        <f t="shared" si="71"/>
        <v>276.11517076200005</v>
      </c>
      <c r="U172">
        <f t="shared" si="72"/>
        <v>27.820145654753109</v>
      </c>
      <c r="V172">
        <f t="shared" si="73"/>
        <v>27.820145654753109</v>
      </c>
      <c r="W172">
        <f t="shared" si="74"/>
        <v>3.7552327165238606</v>
      </c>
      <c r="X172">
        <f t="shared" si="75"/>
        <v>78.267939914833079</v>
      </c>
      <c r="Y172">
        <f t="shared" si="76"/>
        <v>2.7578995004840401</v>
      </c>
      <c r="Z172">
        <f t="shared" si="77"/>
        <v>3.52366435539895</v>
      </c>
      <c r="AA172">
        <f t="shared" si="78"/>
        <v>0.9973332160398205</v>
      </c>
      <c r="AB172">
        <f t="shared" si="79"/>
        <v>-128.94810224405123</v>
      </c>
      <c r="AC172">
        <f t="shared" si="80"/>
        <v>-134.56581813905422</v>
      </c>
      <c r="AD172">
        <f t="shared" si="81"/>
        <v>-12.669897977541826</v>
      </c>
      <c r="AE172">
        <f t="shared" si="82"/>
        <v>-6.8647598647231689E-2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52507.527969480208</v>
      </c>
      <c r="AK172">
        <f t="shared" si="86"/>
        <v>1800</v>
      </c>
      <c r="AL172">
        <f t="shared" si="87"/>
        <v>1499.1129972000001</v>
      </c>
      <c r="AM172">
        <f t="shared" si="88"/>
        <v>0.83284055400000001</v>
      </c>
      <c r="AN172">
        <f t="shared" si="89"/>
        <v>0.15339731709000001</v>
      </c>
      <c r="AO172">
        <v>29.1</v>
      </c>
      <c r="AP172">
        <v>0.5</v>
      </c>
      <c r="AQ172" t="s">
        <v>331</v>
      </c>
      <c r="AR172">
        <v>2</v>
      </c>
      <c r="AS172">
        <v>1690288190.5</v>
      </c>
      <c r="AT172">
        <v>354.87599999999998</v>
      </c>
      <c r="AU172">
        <v>799.94</v>
      </c>
      <c r="AV172">
        <v>27.7332</v>
      </c>
      <c r="AW172">
        <v>0.168632</v>
      </c>
      <c r="AX172">
        <v>355.79899999999998</v>
      </c>
      <c r="AY172">
        <v>27.542100000000001</v>
      </c>
      <c r="AZ172">
        <v>300.12599999999998</v>
      </c>
      <c r="BA172">
        <v>99.343999999999994</v>
      </c>
      <c r="BB172">
        <v>9.9969699999999995E-2</v>
      </c>
      <c r="BC172">
        <v>26.734200000000001</v>
      </c>
      <c r="BD172">
        <v>26.990400000000001</v>
      </c>
      <c r="BE172">
        <v>28.256799999999998</v>
      </c>
      <c r="BF172">
        <v>0</v>
      </c>
      <c r="BG172">
        <v>0</v>
      </c>
      <c r="BH172">
        <v>9986.25</v>
      </c>
      <c r="BI172">
        <v>1086.8800000000001</v>
      </c>
      <c r="BJ172">
        <v>1.28952</v>
      </c>
      <c r="BK172">
        <v>-445.06400000000002</v>
      </c>
      <c r="BL172">
        <v>364.99900000000002</v>
      </c>
      <c r="BM172">
        <v>800.07399999999996</v>
      </c>
      <c r="BN172">
        <v>27.564599999999999</v>
      </c>
      <c r="BO172">
        <v>799.94</v>
      </c>
      <c r="BP172">
        <v>0.168632</v>
      </c>
      <c r="BQ172">
        <v>2.7551299999999999</v>
      </c>
      <c r="BR172">
        <v>1.67525E-2</v>
      </c>
      <c r="BS172">
        <v>22.617699999999999</v>
      </c>
      <c r="BT172">
        <v>-41.117800000000003</v>
      </c>
      <c r="BU172">
        <v>1800</v>
      </c>
      <c r="BV172">
        <v>0.91000499999999995</v>
      </c>
      <c r="BW172">
        <v>3.3995699999999997E-2</v>
      </c>
      <c r="BX172">
        <v>2.1999700000000001E-2</v>
      </c>
      <c r="BY172">
        <v>3.3999500000000002E-2</v>
      </c>
      <c r="BZ172">
        <v>25</v>
      </c>
      <c r="CA172">
        <v>33528.5</v>
      </c>
      <c r="CB172">
        <v>1690286268.5999999</v>
      </c>
      <c r="CC172" t="s">
        <v>332</v>
      </c>
      <c r="CD172">
        <v>1690286261.0999999</v>
      </c>
      <c r="CE172">
        <v>1690286268.5999999</v>
      </c>
      <c r="CF172">
        <v>1</v>
      </c>
      <c r="CG172">
        <v>-0.89900000000000002</v>
      </c>
      <c r="CH172">
        <v>3.4000000000000002E-2</v>
      </c>
      <c r="CI172">
        <v>-1.2370000000000001</v>
      </c>
      <c r="CJ172">
        <v>8.5999999999999993E-2</v>
      </c>
      <c r="CK172">
        <v>799</v>
      </c>
      <c r="CL172">
        <v>16</v>
      </c>
      <c r="CM172">
        <v>0.28999999999999998</v>
      </c>
      <c r="CN172">
        <v>0.09</v>
      </c>
      <c r="CO172">
        <v>-444.66054999999989</v>
      </c>
      <c r="CP172">
        <v>-2.4509493433370522</v>
      </c>
      <c r="CQ172">
        <v>0.24843258139784999</v>
      </c>
      <c r="CR172">
        <v>-1</v>
      </c>
      <c r="CS172">
        <v>27.537712500000001</v>
      </c>
      <c r="CT172">
        <v>0.1119320825515118</v>
      </c>
      <c r="CU172">
        <v>1.080893582874832E-2</v>
      </c>
      <c r="CV172">
        <v>-1</v>
      </c>
      <c r="CW172">
        <v>0</v>
      </c>
      <c r="CX172">
        <v>0</v>
      </c>
      <c r="CY172" t="s">
        <v>333</v>
      </c>
      <c r="CZ172">
        <v>2.3651499999999999</v>
      </c>
      <c r="DA172">
        <v>2.7137500000000001</v>
      </c>
      <c r="DB172">
        <v>8.2075599999999999E-2</v>
      </c>
      <c r="DC172">
        <v>0.14656</v>
      </c>
      <c r="DD172">
        <v>0.12654599999999999</v>
      </c>
      <c r="DE172">
        <v>1.42544E-3</v>
      </c>
      <c r="DF172">
        <v>33517.300000000003</v>
      </c>
      <c r="DG172">
        <v>27481.200000000001</v>
      </c>
      <c r="DH172">
        <v>31169.9</v>
      </c>
      <c r="DI172">
        <v>28056.7</v>
      </c>
      <c r="DJ172">
        <v>36943.800000000003</v>
      </c>
      <c r="DK172">
        <v>39827.4</v>
      </c>
      <c r="DL172">
        <v>44352.9</v>
      </c>
      <c r="DM172">
        <v>42502.6</v>
      </c>
      <c r="DN172">
        <v>1.4934000000000001</v>
      </c>
      <c r="DO172">
        <v>2.0609799999999998</v>
      </c>
      <c r="DP172">
        <v>7.7299800000000002E-2</v>
      </c>
      <c r="DQ172">
        <v>0.17649699999999999</v>
      </c>
      <c r="DR172">
        <v>25.724900000000002</v>
      </c>
      <c r="DS172">
        <v>25.369499999999999</v>
      </c>
      <c r="DT172">
        <v>31.2</v>
      </c>
      <c r="DU172">
        <v>25.8</v>
      </c>
      <c r="DV172">
        <v>10.4717</v>
      </c>
      <c r="DW172">
        <v>61.891399999999997</v>
      </c>
      <c r="DX172">
        <v>36.494399999999999</v>
      </c>
      <c r="DY172">
        <v>1</v>
      </c>
      <c r="DZ172">
        <v>-0.14363100000000001</v>
      </c>
      <c r="EA172">
        <v>-0.55614699999999995</v>
      </c>
      <c r="EB172">
        <v>20.189399999999999</v>
      </c>
      <c r="EC172">
        <v>5.242</v>
      </c>
      <c r="ED172">
        <v>12.039899999999999</v>
      </c>
      <c r="EE172">
        <v>5.0174000000000003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1.8687400000000001</v>
      </c>
      <c r="EL172">
        <v>1.8644499999999999</v>
      </c>
      <c r="EM172">
        <v>1.8690500000000001</v>
      </c>
      <c r="EN172">
        <v>1.8670800000000001</v>
      </c>
      <c r="EO172">
        <v>1.8632500000000001</v>
      </c>
      <c r="EP172">
        <v>1.86432</v>
      </c>
      <c r="EQ172">
        <v>1.8701099999999999</v>
      </c>
      <c r="ER172">
        <v>1.8693200000000001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-0.92300000000000004</v>
      </c>
      <c r="FG172">
        <v>0.19109999999999999</v>
      </c>
      <c r="FH172">
        <v>-0.68620417327404271</v>
      </c>
      <c r="FI172">
        <v>-6.1462078757559423E-4</v>
      </c>
      <c r="FJ172">
        <v>-1.8861989874597051E-7</v>
      </c>
      <c r="FK172">
        <v>1.1980462299894961E-10</v>
      </c>
      <c r="FL172">
        <v>0.1911242781723908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32.200000000000003</v>
      </c>
      <c r="FU172">
        <v>32</v>
      </c>
      <c r="FV172">
        <v>1.7626999999999999</v>
      </c>
      <c r="FW172">
        <v>2.5671400000000002</v>
      </c>
      <c r="FX172">
        <v>1.5490699999999999</v>
      </c>
      <c r="FY172">
        <v>2.34131</v>
      </c>
      <c r="FZ172">
        <v>1.50146</v>
      </c>
      <c r="GA172">
        <v>2.35229</v>
      </c>
      <c r="GB172">
        <v>31.0853</v>
      </c>
      <c r="GC172">
        <v>23.982399999999998</v>
      </c>
      <c r="GD172">
        <v>19</v>
      </c>
      <c r="GE172">
        <v>287.39100000000002</v>
      </c>
      <c r="GF172">
        <v>596.08600000000001</v>
      </c>
      <c r="GG172">
        <v>25.841999999999999</v>
      </c>
      <c r="GH172">
        <v>25.608599999999999</v>
      </c>
      <c r="GI172">
        <v>30.0001</v>
      </c>
      <c r="GJ172">
        <v>25.717199999999998</v>
      </c>
      <c r="GK172">
        <v>25.683299999999999</v>
      </c>
      <c r="GL172">
        <v>35.243699999999997</v>
      </c>
      <c r="GM172">
        <v>100</v>
      </c>
      <c r="GN172">
        <v>1.24458</v>
      </c>
      <c r="GO172">
        <v>25.856100000000001</v>
      </c>
      <c r="GP172">
        <v>800</v>
      </c>
      <c r="GQ172">
        <v>0</v>
      </c>
      <c r="GR172">
        <v>99.724100000000007</v>
      </c>
      <c r="GS172">
        <v>99.448499999999996</v>
      </c>
    </row>
    <row r="173" spans="1:201" x14ac:dyDescent="0.25">
      <c r="A173">
        <v>157</v>
      </c>
      <c r="B173">
        <v>1690288200.5</v>
      </c>
      <c r="C173">
        <v>1661.900000095367</v>
      </c>
      <c r="D173" t="s">
        <v>647</v>
      </c>
      <c r="E173" t="s">
        <v>648</v>
      </c>
      <c r="F173" t="s">
        <v>330</v>
      </c>
      <c r="H173">
        <v>1690288200.5</v>
      </c>
      <c r="I173">
        <f t="shared" si="60"/>
        <v>2.9253796472435453E-3</v>
      </c>
      <c r="J173">
        <f t="shared" si="61"/>
        <v>2.9253796472435454</v>
      </c>
      <c r="K173">
        <f t="shared" si="62"/>
        <v>44.912171067044937</v>
      </c>
      <c r="L173">
        <f t="shared" si="63"/>
        <v>354.38499999999999</v>
      </c>
      <c r="M173">
        <f t="shared" si="64"/>
        <v>99.095793351176795</v>
      </c>
      <c r="N173">
        <f t="shared" si="65"/>
        <v>9.8545275986218908</v>
      </c>
      <c r="O173">
        <f t="shared" si="66"/>
        <v>35.241624744469</v>
      </c>
      <c r="P173">
        <f t="shared" si="67"/>
        <v>0.30347823864670054</v>
      </c>
      <c r="Q173">
        <f t="shared" si="68"/>
        <v>2.3005751360665925</v>
      </c>
      <c r="R173">
        <f t="shared" si="69"/>
        <v>0.28286324202315311</v>
      </c>
      <c r="S173">
        <f t="shared" si="70"/>
        <v>0.17852487148577897</v>
      </c>
      <c r="T173">
        <f t="shared" si="71"/>
        <v>276.1135092775375</v>
      </c>
      <c r="U173">
        <f t="shared" si="72"/>
        <v>27.8167812465319</v>
      </c>
      <c r="V173">
        <f t="shared" si="73"/>
        <v>27.8167812465319</v>
      </c>
      <c r="W173">
        <f t="shared" si="74"/>
        <v>3.754495266994593</v>
      </c>
      <c r="X173">
        <f t="shared" si="75"/>
        <v>78.328907879057908</v>
      </c>
      <c r="Y173">
        <f t="shared" si="76"/>
        <v>2.7597229705931601</v>
      </c>
      <c r="Z173">
        <f t="shared" si="77"/>
        <v>3.5232496473131629</v>
      </c>
      <c r="AA173">
        <f t="shared" si="78"/>
        <v>0.99477229640143294</v>
      </c>
      <c r="AB173">
        <f t="shared" si="79"/>
        <v>-129.00924244344034</v>
      </c>
      <c r="AC173">
        <f t="shared" si="80"/>
        <v>-134.51910089893596</v>
      </c>
      <c r="AD173">
        <f t="shared" si="81"/>
        <v>-12.653640020808814</v>
      </c>
      <c r="AE173">
        <f t="shared" si="82"/>
        <v>-6.8474085647636684E-2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52587.07687719255</v>
      </c>
      <c r="AK173">
        <f t="shared" si="86"/>
        <v>1799.99</v>
      </c>
      <c r="AL173">
        <f t="shared" si="87"/>
        <v>1499.1051025920501</v>
      </c>
      <c r="AM173">
        <f t="shared" si="88"/>
        <v>0.83284079500000008</v>
      </c>
      <c r="AN173">
        <f t="shared" si="89"/>
        <v>0.15339724625000001</v>
      </c>
      <c r="AO173">
        <v>29.1</v>
      </c>
      <c r="AP173">
        <v>0.5</v>
      </c>
      <c r="AQ173" t="s">
        <v>331</v>
      </c>
      <c r="AR173">
        <v>2</v>
      </c>
      <c r="AS173">
        <v>1690288200.5</v>
      </c>
      <c r="AT173">
        <v>354.38499999999999</v>
      </c>
      <c r="AU173">
        <v>800.00300000000004</v>
      </c>
      <c r="AV173">
        <v>27.7514</v>
      </c>
      <c r="AW173">
        <v>0.16802900000000001</v>
      </c>
      <c r="AX173">
        <v>355.30799999999999</v>
      </c>
      <c r="AY173">
        <v>27.560300000000002</v>
      </c>
      <c r="AZ173">
        <v>300.05799999999999</v>
      </c>
      <c r="BA173">
        <v>99.344499999999996</v>
      </c>
      <c r="BB173">
        <v>9.9959400000000004E-2</v>
      </c>
      <c r="BC173">
        <v>26.732199999999999</v>
      </c>
      <c r="BD173">
        <v>27.019400000000001</v>
      </c>
      <c r="BE173">
        <v>28.240300000000001</v>
      </c>
      <c r="BF173">
        <v>0</v>
      </c>
      <c r="BG173">
        <v>0</v>
      </c>
      <c r="BH173">
        <v>10001.9</v>
      </c>
      <c r="BI173">
        <v>1086.8499999999999</v>
      </c>
      <c r="BJ173">
        <v>1.28952</v>
      </c>
      <c r="BK173">
        <v>-445.61900000000003</v>
      </c>
      <c r="BL173">
        <v>364.5</v>
      </c>
      <c r="BM173">
        <v>800.13800000000003</v>
      </c>
      <c r="BN173">
        <v>27.583400000000001</v>
      </c>
      <c r="BO173">
        <v>800.00300000000004</v>
      </c>
      <c r="BP173">
        <v>0.16802900000000001</v>
      </c>
      <c r="BQ173">
        <v>2.7569499999999998</v>
      </c>
      <c r="BR173">
        <v>1.6692700000000001E-2</v>
      </c>
      <c r="BS173">
        <v>22.628599999999999</v>
      </c>
      <c r="BT173">
        <v>-41.151600000000002</v>
      </c>
      <c r="BU173">
        <v>1799.99</v>
      </c>
      <c r="BV173">
        <v>0.91000800000000004</v>
      </c>
      <c r="BW173">
        <v>3.39946E-2</v>
      </c>
      <c r="BX173">
        <v>2.1999000000000001E-2</v>
      </c>
      <c r="BY173">
        <v>3.3998300000000002E-2</v>
      </c>
      <c r="BZ173">
        <v>25</v>
      </c>
      <c r="CA173">
        <v>33528.300000000003</v>
      </c>
      <c r="CB173">
        <v>1690286268.5999999</v>
      </c>
      <c r="CC173" t="s">
        <v>332</v>
      </c>
      <c r="CD173">
        <v>1690286261.0999999</v>
      </c>
      <c r="CE173">
        <v>1690286268.5999999</v>
      </c>
      <c r="CF173">
        <v>1</v>
      </c>
      <c r="CG173">
        <v>-0.89900000000000002</v>
      </c>
      <c r="CH173">
        <v>3.4000000000000002E-2</v>
      </c>
      <c r="CI173">
        <v>-1.2370000000000001</v>
      </c>
      <c r="CJ173">
        <v>8.5999999999999993E-2</v>
      </c>
      <c r="CK173">
        <v>799</v>
      </c>
      <c r="CL173">
        <v>16</v>
      </c>
      <c r="CM173">
        <v>0.28999999999999998</v>
      </c>
      <c r="CN173">
        <v>0.09</v>
      </c>
      <c r="CO173">
        <v>-445.08370731707311</v>
      </c>
      <c r="CP173">
        <v>-2.442710801394687</v>
      </c>
      <c r="CQ173">
        <v>0.25357822133752927</v>
      </c>
      <c r="CR173">
        <v>-1</v>
      </c>
      <c r="CS173">
        <v>27.559465853658541</v>
      </c>
      <c r="CT173">
        <v>0.13308919860632221</v>
      </c>
      <c r="CU173">
        <v>1.322626009038773E-2</v>
      </c>
      <c r="CV173">
        <v>-1</v>
      </c>
      <c r="CW173">
        <v>0</v>
      </c>
      <c r="CX173">
        <v>0</v>
      </c>
      <c r="CY173" t="s">
        <v>333</v>
      </c>
      <c r="CZ173">
        <v>2.3649300000000002</v>
      </c>
      <c r="DA173">
        <v>2.7137500000000001</v>
      </c>
      <c r="DB173">
        <v>8.1987199999999996E-2</v>
      </c>
      <c r="DC173">
        <v>0.146568</v>
      </c>
      <c r="DD173">
        <v>0.12660399999999999</v>
      </c>
      <c r="DE173">
        <v>1.42041E-3</v>
      </c>
      <c r="DF173">
        <v>33520.6</v>
      </c>
      <c r="DG173">
        <v>27481.5</v>
      </c>
      <c r="DH173">
        <v>31170</v>
      </c>
      <c r="DI173">
        <v>28057.3</v>
      </c>
      <c r="DJ173">
        <v>36941.300000000003</v>
      </c>
      <c r="DK173">
        <v>39828.300000000003</v>
      </c>
      <c r="DL173">
        <v>44352.9</v>
      </c>
      <c r="DM173">
        <v>42503.4</v>
      </c>
      <c r="DN173">
        <v>1.4935</v>
      </c>
      <c r="DO173">
        <v>2.0607000000000002</v>
      </c>
      <c r="DP173">
        <v>7.9073000000000004E-2</v>
      </c>
      <c r="DQ173">
        <v>0.175484</v>
      </c>
      <c r="DR173">
        <v>25.724900000000002</v>
      </c>
      <c r="DS173">
        <v>25.369499999999999</v>
      </c>
      <c r="DT173">
        <v>31.1</v>
      </c>
      <c r="DU173">
        <v>25.9</v>
      </c>
      <c r="DV173">
        <v>10.5017</v>
      </c>
      <c r="DW173">
        <v>61.941400000000002</v>
      </c>
      <c r="DX173">
        <v>36.995199999999997</v>
      </c>
      <c r="DY173">
        <v>1</v>
      </c>
      <c r="DZ173">
        <v>-0.143399</v>
      </c>
      <c r="EA173">
        <v>-0.60569700000000004</v>
      </c>
      <c r="EB173">
        <v>20.1892</v>
      </c>
      <c r="EC173">
        <v>5.242</v>
      </c>
      <c r="ED173">
        <v>12.039899999999999</v>
      </c>
      <c r="EE173">
        <v>5.0174500000000002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1.8687499999999999</v>
      </c>
      <c r="EL173">
        <v>1.8644700000000001</v>
      </c>
      <c r="EM173">
        <v>1.8690899999999999</v>
      </c>
      <c r="EN173">
        <v>1.8670800000000001</v>
      </c>
      <c r="EO173">
        <v>1.8632500000000001</v>
      </c>
      <c r="EP173">
        <v>1.8643099999999999</v>
      </c>
      <c r="EQ173">
        <v>1.8701099999999999</v>
      </c>
      <c r="ER173">
        <v>1.86931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-0.92300000000000004</v>
      </c>
      <c r="FG173">
        <v>0.19109999999999999</v>
      </c>
      <c r="FH173">
        <v>-0.68620417327404271</v>
      </c>
      <c r="FI173">
        <v>-6.1462078757559423E-4</v>
      </c>
      <c r="FJ173">
        <v>-1.8861989874597051E-7</v>
      </c>
      <c r="FK173">
        <v>1.1980462299894961E-10</v>
      </c>
      <c r="FL173">
        <v>0.1911242781723908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32.299999999999997</v>
      </c>
      <c r="FU173">
        <v>32.200000000000003</v>
      </c>
      <c r="FV173">
        <v>1.7626999999999999</v>
      </c>
      <c r="FW173">
        <v>2.5732400000000002</v>
      </c>
      <c r="FX173">
        <v>1.5490699999999999</v>
      </c>
      <c r="FY173">
        <v>2.34009</v>
      </c>
      <c r="FZ173">
        <v>1.50146</v>
      </c>
      <c r="GA173">
        <v>2.3156699999999999</v>
      </c>
      <c r="GB173">
        <v>31.106999999999999</v>
      </c>
      <c r="GC173">
        <v>23.973700000000001</v>
      </c>
      <c r="GD173">
        <v>19</v>
      </c>
      <c r="GE173">
        <v>287.43400000000003</v>
      </c>
      <c r="GF173">
        <v>595.85599999999999</v>
      </c>
      <c r="GG173">
        <v>25.850100000000001</v>
      </c>
      <c r="GH173">
        <v>25.608599999999999</v>
      </c>
      <c r="GI173">
        <v>30.0002</v>
      </c>
      <c r="GJ173">
        <v>25.717199999999998</v>
      </c>
      <c r="GK173">
        <v>25.683299999999999</v>
      </c>
      <c r="GL173">
        <v>35.241199999999999</v>
      </c>
      <c r="GM173">
        <v>100</v>
      </c>
      <c r="GN173">
        <v>0.48257299999999997</v>
      </c>
      <c r="GO173">
        <v>25.834700000000002</v>
      </c>
      <c r="GP173">
        <v>800</v>
      </c>
      <c r="GQ173">
        <v>0</v>
      </c>
      <c r="GR173">
        <v>99.724199999999996</v>
      </c>
      <c r="GS173">
        <v>99.450500000000005</v>
      </c>
    </row>
    <row r="174" spans="1:201" x14ac:dyDescent="0.25">
      <c r="A174">
        <v>158</v>
      </c>
      <c r="B174">
        <v>1690288210.5</v>
      </c>
      <c r="C174">
        <v>1671.900000095367</v>
      </c>
      <c r="D174" t="s">
        <v>649</v>
      </c>
      <c r="E174" t="s">
        <v>650</v>
      </c>
      <c r="F174" t="s">
        <v>330</v>
      </c>
      <c r="H174">
        <v>1690288210.5</v>
      </c>
      <c r="I174">
        <f t="shared" si="60"/>
        <v>2.9287205628436138E-3</v>
      </c>
      <c r="J174">
        <f t="shared" si="61"/>
        <v>2.9287205628436137</v>
      </c>
      <c r="K174">
        <f t="shared" si="62"/>
        <v>44.95588473457866</v>
      </c>
      <c r="L174">
        <f t="shared" si="63"/>
        <v>354.01</v>
      </c>
      <c r="M174">
        <f t="shared" si="64"/>
        <v>99.641064924634847</v>
      </c>
      <c r="N174">
        <f t="shared" si="65"/>
        <v>9.908706160006453</v>
      </c>
      <c r="O174">
        <f t="shared" si="66"/>
        <v>35.204170794010004</v>
      </c>
      <c r="P174">
        <f t="shared" si="67"/>
        <v>0.304951314491343</v>
      </c>
      <c r="Q174">
        <f t="shared" si="68"/>
        <v>2.3018998482871043</v>
      </c>
      <c r="R174">
        <f t="shared" si="69"/>
        <v>0.28415415821760592</v>
      </c>
      <c r="S174">
        <f t="shared" si="70"/>
        <v>0.17934655944587935</v>
      </c>
      <c r="T174">
        <f t="shared" si="71"/>
        <v>276.11500141800002</v>
      </c>
      <c r="U174">
        <f t="shared" si="72"/>
        <v>27.812638061787826</v>
      </c>
      <c r="V174">
        <f t="shared" si="73"/>
        <v>27.812638061787826</v>
      </c>
      <c r="W174">
        <f t="shared" si="74"/>
        <v>3.7535872899291021</v>
      </c>
      <c r="X174">
        <f t="shared" si="75"/>
        <v>78.411209530082743</v>
      </c>
      <c r="Y174">
        <f t="shared" si="76"/>
        <v>2.7622162381765998</v>
      </c>
      <c r="Z174">
        <f t="shared" si="77"/>
        <v>3.522731322129224</v>
      </c>
      <c r="AA174">
        <f t="shared" si="78"/>
        <v>0.99137105175250229</v>
      </c>
      <c r="AB174">
        <f t="shared" si="79"/>
        <v>-129.15657682140338</v>
      </c>
      <c r="AC174">
        <f t="shared" si="80"/>
        <v>-134.3926401307294</v>
      </c>
      <c r="AD174">
        <f t="shared" si="81"/>
        <v>-12.634049839865941</v>
      </c>
      <c r="AE174">
        <f t="shared" si="82"/>
        <v>-6.826537399871313E-2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52637.669347360155</v>
      </c>
      <c r="AK174">
        <f t="shared" si="86"/>
        <v>1800</v>
      </c>
      <c r="AL174">
        <f t="shared" si="87"/>
        <v>1499.1142607999998</v>
      </c>
      <c r="AM174">
        <f t="shared" si="88"/>
        <v>0.83284125599999992</v>
      </c>
      <c r="AN174">
        <f t="shared" si="89"/>
        <v>0.15339722301</v>
      </c>
      <c r="AO174">
        <v>29.1</v>
      </c>
      <c r="AP174">
        <v>0.5</v>
      </c>
      <c r="AQ174" t="s">
        <v>331</v>
      </c>
      <c r="AR174">
        <v>2</v>
      </c>
      <c r="AS174">
        <v>1690288210.5</v>
      </c>
      <c r="AT174">
        <v>354.01</v>
      </c>
      <c r="AU174">
        <v>799.97400000000005</v>
      </c>
      <c r="AV174">
        <v>27.776599999999998</v>
      </c>
      <c r="AW174">
        <v>0.16732</v>
      </c>
      <c r="AX174">
        <v>354.93299999999999</v>
      </c>
      <c r="AY174">
        <v>27.5855</v>
      </c>
      <c r="AZ174">
        <v>300.11099999999999</v>
      </c>
      <c r="BA174">
        <v>99.343999999999994</v>
      </c>
      <c r="BB174">
        <v>0.10000100000000001</v>
      </c>
      <c r="BC174">
        <v>26.729700000000001</v>
      </c>
      <c r="BD174">
        <v>26.9983</v>
      </c>
      <c r="BE174">
        <v>28.233699999999999</v>
      </c>
      <c r="BF174">
        <v>0</v>
      </c>
      <c r="BG174">
        <v>0</v>
      </c>
      <c r="BH174">
        <v>10011.9</v>
      </c>
      <c r="BI174">
        <v>1086.8800000000001</v>
      </c>
      <c r="BJ174">
        <v>1.28952</v>
      </c>
      <c r="BK174">
        <v>-445.964</v>
      </c>
      <c r="BL174">
        <v>364.12400000000002</v>
      </c>
      <c r="BM174">
        <v>800.10699999999997</v>
      </c>
      <c r="BN174">
        <v>27.609300000000001</v>
      </c>
      <c r="BO174">
        <v>799.97400000000005</v>
      </c>
      <c r="BP174">
        <v>0.16732</v>
      </c>
      <c r="BQ174">
        <v>2.7594400000000001</v>
      </c>
      <c r="BR174">
        <v>1.66222E-2</v>
      </c>
      <c r="BS174">
        <v>22.6434</v>
      </c>
      <c r="BT174">
        <v>-41.191699999999997</v>
      </c>
      <c r="BU174">
        <v>1800</v>
      </c>
      <c r="BV174">
        <v>0.91001100000000001</v>
      </c>
      <c r="BW174">
        <v>3.3993599999999999E-2</v>
      </c>
      <c r="BX174">
        <v>2.1998299999999998E-2</v>
      </c>
      <c r="BY174">
        <v>3.3997300000000001E-2</v>
      </c>
      <c r="BZ174">
        <v>25</v>
      </c>
      <c r="CA174">
        <v>33528.400000000001</v>
      </c>
      <c r="CB174">
        <v>1690286268.5999999</v>
      </c>
      <c r="CC174" t="s">
        <v>332</v>
      </c>
      <c r="CD174">
        <v>1690286261.0999999</v>
      </c>
      <c r="CE174">
        <v>1690286268.5999999</v>
      </c>
      <c r="CF174">
        <v>1</v>
      </c>
      <c r="CG174">
        <v>-0.89900000000000002</v>
      </c>
      <c r="CH174">
        <v>3.4000000000000002E-2</v>
      </c>
      <c r="CI174">
        <v>-1.2370000000000001</v>
      </c>
      <c r="CJ174">
        <v>8.5999999999999993E-2</v>
      </c>
      <c r="CK174">
        <v>799</v>
      </c>
      <c r="CL174">
        <v>16</v>
      </c>
      <c r="CM174">
        <v>0.28999999999999998</v>
      </c>
      <c r="CN174">
        <v>0.09</v>
      </c>
      <c r="CO174">
        <v>-445.50659999999999</v>
      </c>
      <c r="CP174">
        <v>-2.8678874296425878</v>
      </c>
      <c r="CQ174">
        <v>0.27946840608555351</v>
      </c>
      <c r="CR174">
        <v>-1</v>
      </c>
      <c r="CS174">
        <v>27.581835000000002</v>
      </c>
      <c r="CT174">
        <v>0.13220712945583929</v>
      </c>
      <c r="CU174">
        <v>1.2800440422110331E-2</v>
      </c>
      <c r="CV174">
        <v>-1</v>
      </c>
      <c r="CW174">
        <v>0</v>
      </c>
      <c r="CX174">
        <v>0</v>
      </c>
      <c r="CY174" t="s">
        <v>333</v>
      </c>
      <c r="CZ174">
        <v>2.3651</v>
      </c>
      <c r="DA174">
        <v>2.7138</v>
      </c>
      <c r="DB174">
        <v>8.1918599999999994E-2</v>
      </c>
      <c r="DC174">
        <v>0.146564</v>
      </c>
      <c r="DD174">
        <v>0.12668299999999999</v>
      </c>
      <c r="DE174">
        <v>1.4144699999999999E-3</v>
      </c>
      <c r="DF174">
        <v>33523.1</v>
      </c>
      <c r="DG174">
        <v>27482</v>
      </c>
      <c r="DH174">
        <v>31169.9</v>
      </c>
      <c r="DI174">
        <v>28057.7</v>
      </c>
      <c r="DJ174">
        <v>36937.800000000003</v>
      </c>
      <c r="DK174">
        <v>39829.1</v>
      </c>
      <c r="DL174">
        <v>44352.800000000003</v>
      </c>
      <c r="DM174">
        <v>42504</v>
      </c>
      <c r="DN174">
        <v>1.49353</v>
      </c>
      <c r="DO174">
        <v>2.0606499999999999</v>
      </c>
      <c r="DP174">
        <v>7.7784099999999995E-2</v>
      </c>
      <c r="DQ174">
        <v>0.17494699999999999</v>
      </c>
      <c r="DR174">
        <v>25.724900000000002</v>
      </c>
      <c r="DS174">
        <v>25.371700000000001</v>
      </c>
      <c r="DT174">
        <v>31</v>
      </c>
      <c r="DU174">
        <v>25.9</v>
      </c>
      <c r="DV174">
        <v>10.4672</v>
      </c>
      <c r="DW174">
        <v>61.781399999999998</v>
      </c>
      <c r="DX174">
        <v>37.443899999999999</v>
      </c>
      <c r="DY174">
        <v>1</v>
      </c>
      <c r="DZ174">
        <v>-0.143674</v>
      </c>
      <c r="EA174">
        <v>-0.54540299999999997</v>
      </c>
      <c r="EB174">
        <v>20.189499999999999</v>
      </c>
      <c r="EC174">
        <v>5.2416999999999998</v>
      </c>
      <c r="ED174">
        <v>12.039899999999999</v>
      </c>
      <c r="EE174">
        <v>5.0175000000000001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1.86876</v>
      </c>
      <c r="EL174">
        <v>1.86446</v>
      </c>
      <c r="EM174">
        <v>1.8690599999999999</v>
      </c>
      <c r="EN174">
        <v>1.8670800000000001</v>
      </c>
      <c r="EO174">
        <v>1.8632500000000001</v>
      </c>
      <c r="EP174">
        <v>1.86432</v>
      </c>
      <c r="EQ174">
        <v>1.8701099999999999</v>
      </c>
      <c r="ER174">
        <v>1.8693299999999999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-0.92300000000000004</v>
      </c>
      <c r="FG174">
        <v>0.19109999999999999</v>
      </c>
      <c r="FH174">
        <v>-0.68620417327404271</v>
      </c>
      <c r="FI174">
        <v>-6.1462078757559423E-4</v>
      </c>
      <c r="FJ174">
        <v>-1.8861989874597051E-7</v>
      </c>
      <c r="FK174">
        <v>1.1980462299894961E-10</v>
      </c>
      <c r="FL174">
        <v>0.1911242781723908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32.5</v>
      </c>
      <c r="FU174">
        <v>32.4</v>
      </c>
      <c r="FV174">
        <v>1.7626999999999999</v>
      </c>
      <c r="FW174">
        <v>2.5683600000000002</v>
      </c>
      <c r="FX174">
        <v>1.5490699999999999</v>
      </c>
      <c r="FY174">
        <v>2.34131</v>
      </c>
      <c r="FZ174">
        <v>1.50146</v>
      </c>
      <c r="GA174">
        <v>2.3168899999999999</v>
      </c>
      <c r="GB174">
        <v>31.106999999999999</v>
      </c>
      <c r="GC174">
        <v>23.982399999999998</v>
      </c>
      <c r="GD174">
        <v>19</v>
      </c>
      <c r="GE174">
        <v>287.45499999999998</v>
      </c>
      <c r="GF174">
        <v>595.81399999999996</v>
      </c>
      <c r="GG174">
        <v>25.820799999999998</v>
      </c>
      <c r="GH174">
        <v>25.608899999999998</v>
      </c>
      <c r="GI174">
        <v>30.0001</v>
      </c>
      <c r="GJ174">
        <v>25.7194</v>
      </c>
      <c r="GK174">
        <v>25.683299999999999</v>
      </c>
      <c r="GL174">
        <v>35.244900000000001</v>
      </c>
      <c r="GM174">
        <v>100</v>
      </c>
      <c r="GN174">
        <v>0</v>
      </c>
      <c r="GO174">
        <v>25.8367</v>
      </c>
      <c r="GP174">
        <v>800</v>
      </c>
      <c r="GQ174">
        <v>0</v>
      </c>
      <c r="GR174">
        <v>99.7239</v>
      </c>
      <c r="GS174">
        <v>99.451899999999995</v>
      </c>
    </row>
    <row r="175" spans="1:201" x14ac:dyDescent="0.25">
      <c r="A175">
        <v>159</v>
      </c>
      <c r="B175">
        <v>1690288220.5</v>
      </c>
      <c r="C175">
        <v>1681.900000095367</v>
      </c>
      <c r="D175" t="s">
        <v>651</v>
      </c>
      <c r="E175" t="s">
        <v>652</v>
      </c>
      <c r="F175" t="s">
        <v>330</v>
      </c>
      <c r="H175">
        <v>1690288220.5</v>
      </c>
      <c r="I175">
        <f t="shared" si="60"/>
        <v>2.9310525698274894E-3</v>
      </c>
      <c r="J175">
        <f t="shared" si="61"/>
        <v>2.9310525698274894</v>
      </c>
      <c r="K175">
        <f t="shared" si="62"/>
        <v>45.00914841333033</v>
      </c>
      <c r="L175">
        <f t="shared" si="63"/>
        <v>353.55900000000003</v>
      </c>
      <c r="M175">
        <f t="shared" si="64"/>
        <v>99.667069163862223</v>
      </c>
      <c r="N175">
        <f t="shared" si="65"/>
        <v>9.9114690047458289</v>
      </c>
      <c r="O175">
        <f t="shared" si="66"/>
        <v>35.159949010716304</v>
      </c>
      <c r="P175">
        <f t="shared" si="67"/>
        <v>0.30591829077302163</v>
      </c>
      <c r="Q175">
        <f t="shared" si="68"/>
        <v>2.304331127140467</v>
      </c>
      <c r="R175">
        <f t="shared" si="69"/>
        <v>0.28501434426302402</v>
      </c>
      <c r="S175">
        <f t="shared" si="70"/>
        <v>0.17989292916983549</v>
      </c>
      <c r="T175">
        <f t="shared" si="71"/>
        <v>276.11472814199999</v>
      </c>
      <c r="U175">
        <f t="shared" si="72"/>
        <v>27.809535149120343</v>
      </c>
      <c r="V175">
        <f t="shared" si="73"/>
        <v>27.809535149120343</v>
      </c>
      <c r="W175">
        <f t="shared" si="74"/>
        <v>3.7529074135002611</v>
      </c>
      <c r="X175">
        <f t="shared" si="75"/>
        <v>78.460109092845471</v>
      </c>
      <c r="Y175">
        <f t="shared" si="76"/>
        <v>2.7637273862114098</v>
      </c>
      <c r="Z175">
        <f t="shared" si="77"/>
        <v>3.522461819344354</v>
      </c>
      <c r="AA175">
        <f t="shared" si="78"/>
        <v>0.98918002728885135</v>
      </c>
      <c r="AB175">
        <f t="shared" si="79"/>
        <v>-129.25941832939228</v>
      </c>
      <c r="AC175">
        <f t="shared" si="80"/>
        <v>-134.31060852808221</v>
      </c>
      <c r="AD175">
        <f t="shared" si="81"/>
        <v>-12.612738684472816</v>
      </c>
      <c r="AE175">
        <f t="shared" si="82"/>
        <v>-6.8037399947286303E-2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52730.073550606554</v>
      </c>
      <c r="AK175">
        <f t="shared" si="86"/>
        <v>1800</v>
      </c>
      <c r="AL175">
        <f t="shared" si="87"/>
        <v>1499.1137351999998</v>
      </c>
      <c r="AM175">
        <f t="shared" si="88"/>
        <v>0.83284096399999996</v>
      </c>
      <c r="AN175">
        <f t="shared" si="89"/>
        <v>0.15339707118999998</v>
      </c>
      <c r="AO175">
        <v>29.1</v>
      </c>
      <c r="AP175">
        <v>0.5</v>
      </c>
      <c r="AQ175" t="s">
        <v>331</v>
      </c>
      <c r="AR175">
        <v>2</v>
      </c>
      <c r="AS175">
        <v>1690288220.5</v>
      </c>
      <c r="AT175">
        <v>353.55900000000003</v>
      </c>
      <c r="AU175">
        <v>799.93499999999995</v>
      </c>
      <c r="AV175">
        <v>27.7913</v>
      </c>
      <c r="AW175">
        <v>0.16662099999999999</v>
      </c>
      <c r="AX175">
        <v>354.48200000000003</v>
      </c>
      <c r="AY175">
        <v>27.600200000000001</v>
      </c>
      <c r="AZ175">
        <v>300.178</v>
      </c>
      <c r="BA175">
        <v>99.345799999999997</v>
      </c>
      <c r="BB175">
        <v>9.9975700000000001E-2</v>
      </c>
      <c r="BC175">
        <v>26.728400000000001</v>
      </c>
      <c r="BD175">
        <v>26.983699999999999</v>
      </c>
      <c r="BE175">
        <v>28.2361</v>
      </c>
      <c r="BF175">
        <v>0</v>
      </c>
      <c r="BG175">
        <v>0</v>
      </c>
      <c r="BH175">
        <v>10030</v>
      </c>
      <c r="BI175">
        <v>1086.93</v>
      </c>
      <c r="BJ175">
        <v>1.28952</v>
      </c>
      <c r="BK175">
        <v>-446.375</v>
      </c>
      <c r="BL175">
        <v>363.666</v>
      </c>
      <c r="BM175">
        <v>800.06799999999998</v>
      </c>
      <c r="BN175">
        <v>27.624700000000001</v>
      </c>
      <c r="BO175">
        <v>799.93499999999995</v>
      </c>
      <c r="BP175">
        <v>0.16662099999999999</v>
      </c>
      <c r="BQ175">
        <v>2.7609499999999998</v>
      </c>
      <c r="BR175">
        <v>1.6553100000000001E-2</v>
      </c>
      <c r="BS175">
        <v>22.6524</v>
      </c>
      <c r="BT175">
        <v>-41.231099999999998</v>
      </c>
      <c r="BU175">
        <v>1800</v>
      </c>
      <c r="BV175">
        <v>0.91001299999999996</v>
      </c>
      <c r="BW175">
        <v>3.3992599999999998E-2</v>
      </c>
      <c r="BX175">
        <v>2.1997699999999999E-2</v>
      </c>
      <c r="BY175">
        <v>3.39963E-2</v>
      </c>
      <c r="BZ175">
        <v>25</v>
      </c>
      <c r="CA175">
        <v>33528.5</v>
      </c>
      <c r="CB175">
        <v>1690286268.5999999</v>
      </c>
      <c r="CC175" t="s">
        <v>332</v>
      </c>
      <c r="CD175">
        <v>1690286261.0999999</v>
      </c>
      <c r="CE175">
        <v>1690286268.5999999</v>
      </c>
      <c r="CF175">
        <v>1</v>
      </c>
      <c r="CG175">
        <v>-0.89900000000000002</v>
      </c>
      <c r="CH175">
        <v>3.4000000000000002E-2</v>
      </c>
      <c r="CI175">
        <v>-1.2370000000000001</v>
      </c>
      <c r="CJ175">
        <v>8.5999999999999993E-2</v>
      </c>
      <c r="CK175">
        <v>799</v>
      </c>
      <c r="CL175">
        <v>16</v>
      </c>
      <c r="CM175">
        <v>0.28999999999999998</v>
      </c>
      <c r="CN175">
        <v>0.09</v>
      </c>
      <c r="CO175">
        <v>-445.9889</v>
      </c>
      <c r="CP175">
        <v>-2.9822138836769692</v>
      </c>
      <c r="CQ175">
        <v>0.29186955990647551</v>
      </c>
      <c r="CR175">
        <v>-1</v>
      </c>
      <c r="CS175">
        <v>27.605262499999998</v>
      </c>
      <c r="CT175">
        <v>0.14436585365846979</v>
      </c>
      <c r="CU175">
        <v>1.398638065226324E-2</v>
      </c>
      <c r="CV175">
        <v>-1</v>
      </c>
      <c r="CW175">
        <v>0</v>
      </c>
      <c r="CX175">
        <v>0</v>
      </c>
      <c r="CY175" t="s">
        <v>333</v>
      </c>
      <c r="CZ175">
        <v>2.3653300000000002</v>
      </c>
      <c r="DA175">
        <v>2.7137899999999999</v>
      </c>
      <c r="DB175">
        <v>8.1838400000000006E-2</v>
      </c>
      <c r="DC175">
        <v>0.146561</v>
      </c>
      <c r="DD175">
        <v>0.12673200000000001</v>
      </c>
      <c r="DE175">
        <v>1.4086299999999999E-3</v>
      </c>
      <c r="DF175">
        <v>33525.9</v>
      </c>
      <c r="DG175">
        <v>27482.2</v>
      </c>
      <c r="DH175">
        <v>31169.8</v>
      </c>
      <c r="DI175">
        <v>28057.8</v>
      </c>
      <c r="DJ175">
        <v>36935.599999999999</v>
      </c>
      <c r="DK175">
        <v>39829.599999999999</v>
      </c>
      <c r="DL175">
        <v>44352.7</v>
      </c>
      <c r="DM175">
        <v>42504.2</v>
      </c>
      <c r="DN175">
        <v>1.4937</v>
      </c>
      <c r="DO175">
        <v>2.0609500000000001</v>
      </c>
      <c r="DP175">
        <v>7.689E-2</v>
      </c>
      <c r="DQ175">
        <v>0.17514099999999999</v>
      </c>
      <c r="DR175">
        <v>25.724900000000002</v>
      </c>
      <c r="DS175">
        <v>25.370899999999999</v>
      </c>
      <c r="DT175">
        <v>30.9</v>
      </c>
      <c r="DU175">
        <v>25.9</v>
      </c>
      <c r="DV175">
        <v>10.4351</v>
      </c>
      <c r="DW175">
        <v>61.891399999999997</v>
      </c>
      <c r="DX175">
        <v>36.582500000000003</v>
      </c>
      <c r="DY175">
        <v>1</v>
      </c>
      <c r="DZ175">
        <v>-0.14338200000000001</v>
      </c>
      <c r="EA175">
        <v>-0.65191699999999997</v>
      </c>
      <c r="EB175">
        <v>20.1889</v>
      </c>
      <c r="EC175">
        <v>5.242</v>
      </c>
      <c r="ED175">
        <v>12.039899999999999</v>
      </c>
      <c r="EE175">
        <v>5.0175000000000001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1.86876</v>
      </c>
      <c r="EL175">
        <v>1.8644700000000001</v>
      </c>
      <c r="EM175">
        <v>1.8690800000000001</v>
      </c>
      <c r="EN175">
        <v>1.8671</v>
      </c>
      <c r="EO175">
        <v>1.8632500000000001</v>
      </c>
      <c r="EP175">
        <v>1.86432</v>
      </c>
      <c r="EQ175">
        <v>1.87012</v>
      </c>
      <c r="ER175">
        <v>1.8693500000000001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-0.92300000000000004</v>
      </c>
      <c r="FG175">
        <v>0.19109999999999999</v>
      </c>
      <c r="FH175">
        <v>-0.68620417327404271</v>
      </c>
      <c r="FI175">
        <v>-6.1462078757559423E-4</v>
      </c>
      <c r="FJ175">
        <v>-1.8861989874597051E-7</v>
      </c>
      <c r="FK175">
        <v>1.1980462299894961E-10</v>
      </c>
      <c r="FL175">
        <v>0.1911242781723908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32.700000000000003</v>
      </c>
      <c r="FU175">
        <v>32.5</v>
      </c>
      <c r="FV175">
        <v>1.7626999999999999</v>
      </c>
      <c r="FW175">
        <v>2.5647000000000002</v>
      </c>
      <c r="FX175">
        <v>1.5490699999999999</v>
      </c>
      <c r="FY175">
        <v>2.34131</v>
      </c>
      <c r="FZ175">
        <v>1.50146</v>
      </c>
      <c r="GA175">
        <v>2.3815900000000001</v>
      </c>
      <c r="GB175">
        <v>31.106999999999999</v>
      </c>
      <c r="GC175">
        <v>23.982399999999998</v>
      </c>
      <c r="GD175">
        <v>19</v>
      </c>
      <c r="GE175">
        <v>287.52999999999997</v>
      </c>
      <c r="GF175">
        <v>596.09100000000001</v>
      </c>
      <c r="GG175">
        <v>25.8401</v>
      </c>
      <c r="GH175">
        <v>25.610700000000001</v>
      </c>
      <c r="GI175">
        <v>30.0002</v>
      </c>
      <c r="GJ175">
        <v>25.7194</v>
      </c>
      <c r="GK175">
        <v>25.685500000000001</v>
      </c>
      <c r="GL175">
        <v>35.2453</v>
      </c>
      <c r="GM175">
        <v>100</v>
      </c>
      <c r="GN175">
        <v>0</v>
      </c>
      <c r="GO175">
        <v>25.863900000000001</v>
      </c>
      <c r="GP175">
        <v>800</v>
      </c>
      <c r="GQ175">
        <v>0</v>
      </c>
      <c r="GR175">
        <v>99.723699999999994</v>
      </c>
      <c r="GS175">
        <v>99.452399999999997</v>
      </c>
    </row>
    <row r="176" spans="1:201" x14ac:dyDescent="0.25">
      <c r="A176">
        <v>160</v>
      </c>
      <c r="B176">
        <v>1690288230.5</v>
      </c>
      <c r="C176">
        <v>1691.900000095367</v>
      </c>
      <c r="D176" t="s">
        <v>653</v>
      </c>
      <c r="E176" t="s">
        <v>654</v>
      </c>
      <c r="F176" t="s">
        <v>330</v>
      </c>
      <c r="H176">
        <v>1690288230.5</v>
      </c>
      <c r="I176">
        <f t="shared" si="60"/>
        <v>2.9316220516078227E-3</v>
      </c>
      <c r="J176">
        <f t="shared" si="61"/>
        <v>2.9316220516078229</v>
      </c>
      <c r="K176">
        <f t="shared" si="62"/>
        <v>45.060895920487624</v>
      </c>
      <c r="L176">
        <f t="shared" si="63"/>
        <v>353.16399999999999</v>
      </c>
      <c r="M176">
        <f t="shared" si="64"/>
        <v>99.02321782162808</v>
      </c>
      <c r="N176">
        <f t="shared" si="65"/>
        <v>9.8472067167181585</v>
      </c>
      <c r="O176">
        <f t="shared" si="66"/>
        <v>35.119833402782803</v>
      </c>
      <c r="P176">
        <f t="shared" si="67"/>
        <v>0.30596589267680774</v>
      </c>
      <c r="Q176">
        <f t="shared" si="68"/>
        <v>2.3033830500508827</v>
      </c>
      <c r="R176">
        <f t="shared" si="69"/>
        <v>0.28504770276000008</v>
      </c>
      <c r="S176">
        <f t="shared" si="70"/>
        <v>0.17991491384490346</v>
      </c>
      <c r="T176">
        <f t="shared" si="71"/>
        <v>276.11334843043107</v>
      </c>
      <c r="U176">
        <f t="shared" si="72"/>
        <v>27.812844133620199</v>
      </c>
      <c r="V176">
        <f t="shared" si="73"/>
        <v>27.812844133620199</v>
      </c>
      <c r="W176">
        <f t="shared" si="74"/>
        <v>3.7536324459499486</v>
      </c>
      <c r="X176">
        <f t="shared" si="75"/>
        <v>78.465101829109543</v>
      </c>
      <c r="Y176">
        <f t="shared" si="76"/>
        <v>2.7644075409647604</v>
      </c>
      <c r="Z176">
        <f t="shared" si="77"/>
        <v>3.5231045095505129</v>
      </c>
      <c r="AA176">
        <f t="shared" si="78"/>
        <v>0.98922490498518822</v>
      </c>
      <c r="AB176">
        <f t="shared" si="79"/>
        <v>-129.28453247590497</v>
      </c>
      <c r="AC176">
        <f t="shared" si="80"/>
        <v>-134.28130044936563</v>
      </c>
      <c r="AD176">
        <f t="shared" si="81"/>
        <v>-12.615580648904315</v>
      </c>
      <c r="AE176">
        <f t="shared" si="82"/>
        <v>-6.8065143743837098E-2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52693.538968019115</v>
      </c>
      <c r="AK176">
        <f t="shared" si="86"/>
        <v>1799.99</v>
      </c>
      <c r="AL176">
        <f t="shared" si="87"/>
        <v>1499.1070717811101</v>
      </c>
      <c r="AM176">
        <f t="shared" si="88"/>
        <v>0.832841889</v>
      </c>
      <c r="AN176">
        <f t="shared" si="89"/>
        <v>0.15339715689</v>
      </c>
      <c r="AO176">
        <v>29.1</v>
      </c>
      <c r="AP176">
        <v>0.5</v>
      </c>
      <c r="AQ176" t="s">
        <v>331</v>
      </c>
      <c r="AR176">
        <v>2</v>
      </c>
      <c r="AS176">
        <v>1690288230.5</v>
      </c>
      <c r="AT176">
        <v>353.16399999999999</v>
      </c>
      <c r="AU176">
        <v>800.08299999999997</v>
      </c>
      <c r="AV176">
        <v>27.7988</v>
      </c>
      <c r="AW176">
        <v>0.16583700000000001</v>
      </c>
      <c r="AX176">
        <v>354.08600000000001</v>
      </c>
      <c r="AY176">
        <v>27.607600000000001</v>
      </c>
      <c r="AZ176">
        <v>300.14400000000001</v>
      </c>
      <c r="BA176">
        <v>99.343500000000006</v>
      </c>
      <c r="BB176">
        <v>9.9912699999999993E-2</v>
      </c>
      <c r="BC176">
        <v>26.7315</v>
      </c>
      <c r="BD176">
        <v>26.979700000000001</v>
      </c>
      <c r="BE176">
        <v>28.224599999999999</v>
      </c>
      <c r="BF176">
        <v>0</v>
      </c>
      <c r="BG176">
        <v>0</v>
      </c>
      <c r="BH176">
        <v>10023.1</v>
      </c>
      <c r="BI176">
        <v>1086.8900000000001</v>
      </c>
      <c r="BJ176">
        <v>1.28952</v>
      </c>
      <c r="BK176">
        <v>-446.92</v>
      </c>
      <c r="BL176">
        <v>363.262</v>
      </c>
      <c r="BM176">
        <v>800.21600000000001</v>
      </c>
      <c r="BN176">
        <v>27.632899999999999</v>
      </c>
      <c r="BO176">
        <v>800.08299999999997</v>
      </c>
      <c r="BP176">
        <v>0.16583700000000001</v>
      </c>
      <c r="BQ176">
        <v>2.7616299999999998</v>
      </c>
      <c r="BR176">
        <v>1.6474800000000001E-2</v>
      </c>
      <c r="BS176">
        <v>22.656500000000001</v>
      </c>
      <c r="BT176">
        <v>-41.2759</v>
      </c>
      <c r="BU176">
        <v>1799.99</v>
      </c>
      <c r="BV176">
        <v>0.91001600000000005</v>
      </c>
      <c r="BW176">
        <v>3.3991800000000003E-2</v>
      </c>
      <c r="BX176">
        <v>2.1997200000000001E-2</v>
      </c>
      <c r="BY176">
        <v>3.3995499999999998E-2</v>
      </c>
      <c r="BZ176">
        <v>25</v>
      </c>
      <c r="CA176">
        <v>33528.400000000001</v>
      </c>
      <c r="CB176">
        <v>1690286268.5999999</v>
      </c>
      <c r="CC176" t="s">
        <v>332</v>
      </c>
      <c r="CD176">
        <v>1690286261.0999999</v>
      </c>
      <c r="CE176">
        <v>1690286268.5999999</v>
      </c>
      <c r="CF176">
        <v>1</v>
      </c>
      <c r="CG176">
        <v>-0.89900000000000002</v>
      </c>
      <c r="CH176">
        <v>3.4000000000000002E-2</v>
      </c>
      <c r="CI176">
        <v>-1.2370000000000001</v>
      </c>
      <c r="CJ176">
        <v>8.5999999999999993E-2</v>
      </c>
      <c r="CK176">
        <v>799</v>
      </c>
      <c r="CL176">
        <v>16</v>
      </c>
      <c r="CM176">
        <v>0.28999999999999998</v>
      </c>
      <c r="CN176">
        <v>0.09</v>
      </c>
      <c r="CO176">
        <v>-446.40663414634139</v>
      </c>
      <c r="CP176">
        <v>-2.313846689895414</v>
      </c>
      <c r="CQ176">
        <v>0.24013784213295861</v>
      </c>
      <c r="CR176">
        <v>-1</v>
      </c>
      <c r="CS176">
        <v>27.622721951219511</v>
      </c>
      <c r="CT176">
        <v>6.3773519163725353E-2</v>
      </c>
      <c r="CU176">
        <v>6.6522877852739524E-3</v>
      </c>
      <c r="CV176">
        <v>-1</v>
      </c>
      <c r="CW176">
        <v>0</v>
      </c>
      <c r="CX176">
        <v>0</v>
      </c>
      <c r="CY176" t="s">
        <v>333</v>
      </c>
      <c r="CZ176">
        <v>2.3652000000000002</v>
      </c>
      <c r="DA176">
        <v>2.71373</v>
      </c>
      <c r="DB176">
        <v>8.1764900000000001E-2</v>
      </c>
      <c r="DC176">
        <v>0.14657600000000001</v>
      </c>
      <c r="DD176">
        <v>0.126753</v>
      </c>
      <c r="DE176">
        <v>1.40204E-3</v>
      </c>
      <c r="DF176">
        <v>33528.400000000001</v>
      </c>
      <c r="DG176">
        <v>27482.2</v>
      </c>
      <c r="DH176">
        <v>31169.7</v>
      </c>
      <c r="DI176">
        <v>28058.3</v>
      </c>
      <c r="DJ176">
        <v>36934.5</v>
      </c>
      <c r="DK176">
        <v>39830.400000000001</v>
      </c>
      <c r="DL176">
        <v>44352.5</v>
      </c>
      <c r="DM176">
        <v>42504.800000000003</v>
      </c>
      <c r="DN176">
        <v>1.49353</v>
      </c>
      <c r="DO176">
        <v>2.0605500000000001</v>
      </c>
      <c r="DP176">
        <v>7.6509999999999995E-2</v>
      </c>
      <c r="DQ176">
        <v>0.17452200000000001</v>
      </c>
      <c r="DR176">
        <v>25.7271</v>
      </c>
      <c r="DS176">
        <v>25.369499999999999</v>
      </c>
      <c r="DT176">
        <v>30.8</v>
      </c>
      <c r="DU176">
        <v>25.9</v>
      </c>
      <c r="DV176">
        <v>10.3985</v>
      </c>
      <c r="DW176">
        <v>61.551400000000001</v>
      </c>
      <c r="DX176">
        <v>36.446300000000001</v>
      </c>
      <c r="DY176">
        <v>1</v>
      </c>
      <c r="DZ176">
        <v>-0.14341699999999999</v>
      </c>
      <c r="EA176">
        <v>-0.68803099999999995</v>
      </c>
      <c r="EB176">
        <v>20.1889</v>
      </c>
      <c r="EC176">
        <v>5.2423000000000002</v>
      </c>
      <c r="ED176">
        <v>12.039899999999999</v>
      </c>
      <c r="EE176">
        <v>5.0175999999999998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1.8687400000000001</v>
      </c>
      <c r="EL176">
        <v>1.8644700000000001</v>
      </c>
      <c r="EM176">
        <v>1.86907</v>
      </c>
      <c r="EN176">
        <v>1.8670800000000001</v>
      </c>
      <c r="EO176">
        <v>1.8632500000000001</v>
      </c>
      <c r="EP176">
        <v>1.86432</v>
      </c>
      <c r="EQ176">
        <v>1.87012</v>
      </c>
      <c r="ER176">
        <v>1.86934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-0.92200000000000004</v>
      </c>
      <c r="FG176">
        <v>0.19120000000000001</v>
      </c>
      <c r="FH176">
        <v>-0.68620417327404271</v>
      </c>
      <c r="FI176">
        <v>-6.1462078757559423E-4</v>
      </c>
      <c r="FJ176">
        <v>-1.8861989874597051E-7</v>
      </c>
      <c r="FK176">
        <v>1.1980462299894961E-10</v>
      </c>
      <c r="FL176">
        <v>0.1911242781723908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32.799999999999997</v>
      </c>
      <c r="FU176">
        <v>32.700000000000003</v>
      </c>
      <c r="FV176">
        <v>1.7626999999999999</v>
      </c>
      <c r="FW176">
        <v>2.5732400000000002</v>
      </c>
      <c r="FX176">
        <v>1.5490699999999999</v>
      </c>
      <c r="FY176">
        <v>2.34009</v>
      </c>
      <c r="FZ176">
        <v>1.50146</v>
      </c>
      <c r="GA176">
        <v>2.3156699999999999</v>
      </c>
      <c r="GB176">
        <v>31.128699999999998</v>
      </c>
      <c r="GC176">
        <v>23.982399999999998</v>
      </c>
      <c r="GD176">
        <v>19</v>
      </c>
      <c r="GE176">
        <v>287.45499999999998</v>
      </c>
      <c r="GF176">
        <v>595.75599999999997</v>
      </c>
      <c r="GG176">
        <v>25.874300000000002</v>
      </c>
      <c r="GH176">
        <v>25.610700000000001</v>
      </c>
      <c r="GI176">
        <v>30</v>
      </c>
      <c r="GJ176">
        <v>25.7194</v>
      </c>
      <c r="GK176">
        <v>25.685500000000001</v>
      </c>
      <c r="GL176">
        <v>35.244900000000001</v>
      </c>
      <c r="GM176">
        <v>100</v>
      </c>
      <c r="GN176">
        <v>0</v>
      </c>
      <c r="GO176">
        <v>25.8931</v>
      </c>
      <c r="GP176">
        <v>800</v>
      </c>
      <c r="GQ176">
        <v>0</v>
      </c>
      <c r="GR176">
        <v>99.723200000000006</v>
      </c>
      <c r="GS176">
        <v>99.453800000000001</v>
      </c>
    </row>
    <row r="177" spans="1:201" x14ac:dyDescent="0.25">
      <c r="A177">
        <v>161</v>
      </c>
      <c r="B177">
        <v>1690288240.5</v>
      </c>
      <c r="C177">
        <v>1701.900000095367</v>
      </c>
      <c r="D177" t="s">
        <v>655</v>
      </c>
      <c r="E177" t="s">
        <v>656</v>
      </c>
      <c r="F177" t="s">
        <v>330</v>
      </c>
      <c r="H177">
        <v>1690288240.5</v>
      </c>
      <c r="I177">
        <f t="shared" si="60"/>
        <v>2.9322603369842698E-3</v>
      </c>
      <c r="J177">
        <f t="shared" si="61"/>
        <v>2.9322603369842697</v>
      </c>
      <c r="K177">
        <f t="shared" si="62"/>
        <v>45.087420158940176</v>
      </c>
      <c r="L177">
        <f t="shared" si="63"/>
        <v>352.767</v>
      </c>
      <c r="M177">
        <f t="shared" si="64"/>
        <v>98.170306255777376</v>
      </c>
      <c r="N177">
        <f t="shared" si="65"/>
        <v>9.7626589916409454</v>
      </c>
      <c r="O177">
        <f t="shared" si="66"/>
        <v>35.081319961773296</v>
      </c>
      <c r="P177">
        <f t="shared" si="67"/>
        <v>0.30556445771825869</v>
      </c>
      <c r="Q177">
        <f t="shared" si="68"/>
        <v>2.3028474099826397</v>
      </c>
      <c r="R177">
        <f t="shared" si="69"/>
        <v>0.28469461766904558</v>
      </c>
      <c r="S177">
        <f t="shared" si="70"/>
        <v>0.17969028691983355</v>
      </c>
      <c r="T177">
        <f t="shared" si="71"/>
        <v>276.11469692999992</v>
      </c>
      <c r="U177">
        <f t="shared" si="72"/>
        <v>27.822467859094381</v>
      </c>
      <c r="V177">
        <f t="shared" si="73"/>
        <v>27.822467859094381</v>
      </c>
      <c r="W177">
        <f t="shared" si="74"/>
        <v>3.7557417975894496</v>
      </c>
      <c r="X177">
        <f t="shared" si="75"/>
        <v>78.439306906322244</v>
      </c>
      <c r="Y177">
        <f t="shared" si="76"/>
        <v>2.7650604195095396</v>
      </c>
      <c r="Z177">
        <f t="shared" si="77"/>
        <v>3.5250954254501123</v>
      </c>
      <c r="AA177">
        <f t="shared" si="78"/>
        <v>0.99068137807990997</v>
      </c>
      <c r="AB177">
        <f t="shared" si="79"/>
        <v>-129.3126808610063</v>
      </c>
      <c r="AC177">
        <f t="shared" si="80"/>
        <v>-134.25301955664156</v>
      </c>
      <c r="AD177">
        <f t="shared" si="81"/>
        <v>-12.617069001607604</v>
      </c>
      <c r="AE177">
        <f t="shared" si="82"/>
        <v>-6.8072489255541768E-2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52671.612668073838</v>
      </c>
      <c r="AK177">
        <f t="shared" si="86"/>
        <v>1800</v>
      </c>
      <c r="AL177">
        <f t="shared" si="87"/>
        <v>1499.1139619999999</v>
      </c>
      <c r="AM177">
        <f t="shared" si="88"/>
        <v>0.83284108999999995</v>
      </c>
      <c r="AN177">
        <f t="shared" si="89"/>
        <v>0.15339705384999996</v>
      </c>
      <c r="AO177">
        <v>29.1</v>
      </c>
      <c r="AP177">
        <v>0.5</v>
      </c>
      <c r="AQ177" t="s">
        <v>331</v>
      </c>
      <c r="AR177">
        <v>2</v>
      </c>
      <c r="AS177">
        <v>1690288240.5</v>
      </c>
      <c r="AT177">
        <v>352.767</v>
      </c>
      <c r="AU177">
        <v>799.94299999999998</v>
      </c>
      <c r="AV177">
        <v>27.804600000000001</v>
      </c>
      <c r="AW177">
        <v>0.16523299999999999</v>
      </c>
      <c r="AX177">
        <v>353.68900000000002</v>
      </c>
      <c r="AY177">
        <v>27.613499999999998</v>
      </c>
      <c r="AZ177">
        <v>300.13799999999998</v>
      </c>
      <c r="BA177">
        <v>99.346199999999996</v>
      </c>
      <c r="BB177">
        <v>9.9949899999999994E-2</v>
      </c>
      <c r="BC177">
        <v>26.741099999999999</v>
      </c>
      <c r="BD177">
        <v>27.007899999999999</v>
      </c>
      <c r="BE177">
        <v>28.229800000000001</v>
      </c>
      <c r="BF177">
        <v>0</v>
      </c>
      <c r="BG177">
        <v>0</v>
      </c>
      <c r="BH177">
        <v>10018.799999999999</v>
      </c>
      <c r="BI177">
        <v>1087.01</v>
      </c>
      <c r="BJ177">
        <v>1.28952</v>
      </c>
      <c r="BK177">
        <v>-447.17700000000002</v>
      </c>
      <c r="BL177">
        <v>362.85599999999999</v>
      </c>
      <c r="BM177">
        <v>800.07600000000002</v>
      </c>
      <c r="BN177">
        <v>27.639399999999998</v>
      </c>
      <c r="BO177">
        <v>799.94299999999998</v>
      </c>
      <c r="BP177">
        <v>0.16523299999999999</v>
      </c>
      <c r="BQ177">
        <v>2.7622800000000001</v>
      </c>
      <c r="BR177">
        <v>1.6415200000000001E-2</v>
      </c>
      <c r="BS177">
        <v>22.660399999999999</v>
      </c>
      <c r="BT177">
        <v>-41.310200000000002</v>
      </c>
      <c r="BU177">
        <v>1800</v>
      </c>
      <c r="BV177">
        <v>0.91001399999999999</v>
      </c>
      <c r="BW177">
        <v>3.3994999999999997E-2</v>
      </c>
      <c r="BX177">
        <v>2.1996499999999999E-2</v>
      </c>
      <c r="BY177">
        <v>3.3994499999999997E-2</v>
      </c>
      <c r="BZ177">
        <v>25</v>
      </c>
      <c r="CA177">
        <v>33528.5</v>
      </c>
      <c r="CB177">
        <v>1690286268.5999999</v>
      </c>
      <c r="CC177" t="s">
        <v>332</v>
      </c>
      <c r="CD177">
        <v>1690286261.0999999</v>
      </c>
      <c r="CE177">
        <v>1690286268.5999999</v>
      </c>
      <c r="CF177">
        <v>1</v>
      </c>
      <c r="CG177">
        <v>-0.89900000000000002</v>
      </c>
      <c r="CH177">
        <v>3.4000000000000002E-2</v>
      </c>
      <c r="CI177">
        <v>-1.2370000000000001</v>
      </c>
      <c r="CJ177">
        <v>8.5999999999999993E-2</v>
      </c>
      <c r="CK177">
        <v>799</v>
      </c>
      <c r="CL177">
        <v>16</v>
      </c>
      <c r="CM177">
        <v>0.28999999999999998</v>
      </c>
      <c r="CN177">
        <v>0.09</v>
      </c>
      <c r="CO177">
        <v>-446.79846341463411</v>
      </c>
      <c r="CP177">
        <v>-2.7012961672464799</v>
      </c>
      <c r="CQ177">
        <v>0.27018747759982492</v>
      </c>
      <c r="CR177">
        <v>-1</v>
      </c>
      <c r="CS177">
        <v>27.63160487804878</v>
      </c>
      <c r="CT177">
        <v>4.7241114982601418E-2</v>
      </c>
      <c r="CU177">
        <v>4.6806269759050844E-3</v>
      </c>
      <c r="CV177">
        <v>-1</v>
      </c>
      <c r="CW177">
        <v>0</v>
      </c>
      <c r="CX177">
        <v>0</v>
      </c>
      <c r="CY177" t="s">
        <v>333</v>
      </c>
      <c r="CZ177">
        <v>2.3652000000000002</v>
      </c>
      <c r="DA177">
        <v>2.7137600000000002</v>
      </c>
      <c r="DB177">
        <v>8.1695100000000007E-2</v>
      </c>
      <c r="DC177">
        <v>0.146562</v>
      </c>
      <c r="DD177">
        <v>0.126774</v>
      </c>
      <c r="DE177">
        <v>1.3970199999999999E-3</v>
      </c>
      <c r="DF177">
        <v>33531.199999999997</v>
      </c>
      <c r="DG177">
        <v>27482.6</v>
      </c>
      <c r="DH177">
        <v>31169.9</v>
      </c>
      <c r="DI177">
        <v>28058.3</v>
      </c>
      <c r="DJ177">
        <v>36933.9</v>
      </c>
      <c r="DK177">
        <v>39830.800000000003</v>
      </c>
      <c r="DL177">
        <v>44352.800000000003</v>
      </c>
      <c r="DM177">
        <v>42505</v>
      </c>
      <c r="DN177">
        <v>1.4938499999999999</v>
      </c>
      <c r="DO177">
        <v>2.0606300000000002</v>
      </c>
      <c r="DP177">
        <v>7.8126799999999996E-2</v>
      </c>
      <c r="DQ177">
        <v>0.174709</v>
      </c>
      <c r="DR177">
        <v>25.728899999999999</v>
      </c>
      <c r="DS177">
        <v>25.371700000000001</v>
      </c>
      <c r="DT177">
        <v>30.7</v>
      </c>
      <c r="DU177">
        <v>25.9</v>
      </c>
      <c r="DV177">
        <v>10.364100000000001</v>
      </c>
      <c r="DW177">
        <v>61.481400000000001</v>
      </c>
      <c r="DX177">
        <v>37.0593</v>
      </c>
      <c r="DY177">
        <v>1</v>
      </c>
      <c r="DZ177">
        <v>-0.14368400000000001</v>
      </c>
      <c r="EA177">
        <v>-0.68336300000000005</v>
      </c>
      <c r="EB177">
        <v>20.189</v>
      </c>
      <c r="EC177">
        <v>5.2415500000000002</v>
      </c>
      <c r="ED177">
        <v>12.039899999999999</v>
      </c>
      <c r="EE177">
        <v>5.0174500000000002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1.8687499999999999</v>
      </c>
      <c r="EL177">
        <v>1.86446</v>
      </c>
      <c r="EM177">
        <v>1.8690899999999999</v>
      </c>
      <c r="EN177">
        <v>1.8670800000000001</v>
      </c>
      <c r="EO177">
        <v>1.8632599999999999</v>
      </c>
      <c r="EP177">
        <v>1.8643099999999999</v>
      </c>
      <c r="EQ177">
        <v>1.8701099999999999</v>
      </c>
      <c r="ER177">
        <v>1.8693299999999999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-0.92200000000000004</v>
      </c>
      <c r="FG177">
        <v>0.19109999999999999</v>
      </c>
      <c r="FH177">
        <v>-0.68620417327404271</v>
      </c>
      <c r="FI177">
        <v>-6.1462078757559423E-4</v>
      </c>
      <c r="FJ177">
        <v>-1.8861989874597051E-7</v>
      </c>
      <c r="FK177">
        <v>1.1980462299894961E-10</v>
      </c>
      <c r="FL177">
        <v>0.1911242781723908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33</v>
      </c>
      <c r="FU177">
        <v>32.9</v>
      </c>
      <c r="FV177">
        <v>1.7626999999999999</v>
      </c>
      <c r="FW177">
        <v>2.5744600000000002</v>
      </c>
      <c r="FX177">
        <v>1.5490699999999999</v>
      </c>
      <c r="FY177">
        <v>2.34009</v>
      </c>
      <c r="FZ177">
        <v>1.50146</v>
      </c>
      <c r="GA177">
        <v>2.2924799999999999</v>
      </c>
      <c r="GB177">
        <v>31.128699999999998</v>
      </c>
      <c r="GC177">
        <v>23.973700000000001</v>
      </c>
      <c r="GD177">
        <v>19</v>
      </c>
      <c r="GE177">
        <v>287.59399999999999</v>
      </c>
      <c r="GF177">
        <v>595.81799999999998</v>
      </c>
      <c r="GG177">
        <v>25.903400000000001</v>
      </c>
      <c r="GH177">
        <v>25.6126</v>
      </c>
      <c r="GI177">
        <v>30</v>
      </c>
      <c r="GJ177">
        <v>25.7194</v>
      </c>
      <c r="GK177">
        <v>25.685500000000001</v>
      </c>
      <c r="GL177">
        <v>35.246000000000002</v>
      </c>
      <c r="GM177">
        <v>100</v>
      </c>
      <c r="GN177">
        <v>0</v>
      </c>
      <c r="GO177">
        <v>25.8995</v>
      </c>
      <c r="GP177">
        <v>800</v>
      </c>
      <c r="GQ177">
        <v>0</v>
      </c>
      <c r="GR177">
        <v>99.7239</v>
      </c>
      <c r="GS177">
        <v>99.4542</v>
      </c>
    </row>
    <row r="178" spans="1:201" x14ac:dyDescent="0.25">
      <c r="A178">
        <v>162</v>
      </c>
      <c r="B178">
        <v>1690288250.5</v>
      </c>
      <c r="C178">
        <v>1711.900000095367</v>
      </c>
      <c r="D178" t="s">
        <v>657</v>
      </c>
      <c r="E178" t="s">
        <v>658</v>
      </c>
      <c r="F178" t="s">
        <v>330</v>
      </c>
      <c r="H178">
        <v>1690288250.5</v>
      </c>
      <c r="I178">
        <f t="shared" si="60"/>
        <v>2.9323342296536823E-3</v>
      </c>
      <c r="J178">
        <f t="shared" si="61"/>
        <v>2.9323342296536823</v>
      </c>
      <c r="K178">
        <f t="shared" si="62"/>
        <v>45.113358910310474</v>
      </c>
      <c r="L178">
        <f t="shared" si="63"/>
        <v>352.46300000000002</v>
      </c>
      <c r="M178">
        <f t="shared" si="64"/>
        <v>97.702517901267157</v>
      </c>
      <c r="N178">
        <f t="shared" si="65"/>
        <v>9.7163240060484508</v>
      </c>
      <c r="O178">
        <f t="shared" si="66"/>
        <v>35.051754874983004</v>
      </c>
      <c r="P178">
        <f t="shared" si="67"/>
        <v>0.30557593772117508</v>
      </c>
      <c r="Q178">
        <f t="shared" si="68"/>
        <v>2.2975356855371829</v>
      </c>
      <c r="R178">
        <f t="shared" si="69"/>
        <v>0.28465987501505435</v>
      </c>
      <c r="S178">
        <f t="shared" si="70"/>
        <v>0.17967220195142647</v>
      </c>
      <c r="T178">
        <f t="shared" si="71"/>
        <v>276.114753936</v>
      </c>
      <c r="U178">
        <f t="shared" si="72"/>
        <v>27.826328616244659</v>
      </c>
      <c r="V178">
        <f t="shared" si="73"/>
        <v>27.826328616244659</v>
      </c>
      <c r="W178">
        <f t="shared" si="74"/>
        <v>3.7565882984026882</v>
      </c>
      <c r="X178">
        <f t="shared" si="75"/>
        <v>78.451467051347549</v>
      </c>
      <c r="Y178">
        <f t="shared" si="76"/>
        <v>2.7657494682510002</v>
      </c>
      <c r="Z178">
        <f t="shared" si="77"/>
        <v>3.5254273402443572</v>
      </c>
      <c r="AA178">
        <f t="shared" si="78"/>
        <v>0.99083883015168794</v>
      </c>
      <c r="AB178">
        <f t="shared" si="79"/>
        <v>-129.31593952772738</v>
      </c>
      <c r="AC178">
        <f t="shared" si="80"/>
        <v>-134.22338101075385</v>
      </c>
      <c r="AD178">
        <f t="shared" si="81"/>
        <v>-12.643791887643898</v>
      </c>
      <c r="AE178">
        <f t="shared" si="82"/>
        <v>-6.8358490125120852E-2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52470.312370357853</v>
      </c>
      <c r="AK178">
        <f t="shared" si="86"/>
        <v>1800</v>
      </c>
      <c r="AL178">
        <f t="shared" si="87"/>
        <v>1499.1128945999999</v>
      </c>
      <c r="AM178">
        <f t="shared" si="88"/>
        <v>0.83284049699999996</v>
      </c>
      <c r="AN178">
        <f t="shared" si="89"/>
        <v>0.15339708552</v>
      </c>
      <c r="AO178">
        <v>29.1</v>
      </c>
      <c r="AP178">
        <v>0.5</v>
      </c>
      <c r="AQ178" t="s">
        <v>331</v>
      </c>
      <c r="AR178">
        <v>2</v>
      </c>
      <c r="AS178">
        <v>1690288250.5</v>
      </c>
      <c r="AT178">
        <v>352.46300000000002</v>
      </c>
      <c r="AU178">
        <v>799.98199999999997</v>
      </c>
      <c r="AV178">
        <v>27.811</v>
      </c>
      <c r="AW178">
        <v>0.16494700000000001</v>
      </c>
      <c r="AX178">
        <v>353.38499999999999</v>
      </c>
      <c r="AY178">
        <v>27.619900000000001</v>
      </c>
      <c r="AZ178">
        <v>300.07100000000003</v>
      </c>
      <c r="BA178">
        <v>99.347999999999999</v>
      </c>
      <c r="BB178">
        <v>0.100041</v>
      </c>
      <c r="BC178">
        <v>26.742699999999999</v>
      </c>
      <c r="BD178">
        <v>27.048100000000002</v>
      </c>
      <c r="BE178">
        <v>28.239799999999999</v>
      </c>
      <c r="BF178">
        <v>0</v>
      </c>
      <c r="BG178">
        <v>0</v>
      </c>
      <c r="BH178">
        <v>9978.75</v>
      </c>
      <c r="BI178">
        <v>1086.79</v>
      </c>
      <c r="BJ178">
        <v>1.28952</v>
      </c>
      <c r="BK178">
        <v>-447.51900000000001</v>
      </c>
      <c r="BL178">
        <v>362.54599999999999</v>
      </c>
      <c r="BM178">
        <v>800.11400000000003</v>
      </c>
      <c r="BN178">
        <v>27.646100000000001</v>
      </c>
      <c r="BO178">
        <v>799.98199999999997</v>
      </c>
      <c r="BP178">
        <v>0.16494700000000001</v>
      </c>
      <c r="BQ178">
        <v>2.7629700000000001</v>
      </c>
      <c r="BR178">
        <v>1.6387100000000002E-2</v>
      </c>
      <c r="BS178">
        <v>22.6645</v>
      </c>
      <c r="BT178">
        <v>-41.3264</v>
      </c>
      <c r="BU178">
        <v>1800</v>
      </c>
      <c r="BV178">
        <v>0.91000999999999999</v>
      </c>
      <c r="BW178">
        <v>3.4000200000000001E-2</v>
      </c>
      <c r="BX178">
        <v>2.1996100000000001E-2</v>
      </c>
      <c r="BY178">
        <v>3.3993799999999998E-2</v>
      </c>
      <c r="BZ178">
        <v>25</v>
      </c>
      <c r="CA178">
        <v>33528.5</v>
      </c>
      <c r="CB178">
        <v>1690286268.5999999</v>
      </c>
      <c r="CC178" t="s">
        <v>332</v>
      </c>
      <c r="CD178">
        <v>1690286261.0999999</v>
      </c>
      <c r="CE178">
        <v>1690286268.5999999</v>
      </c>
      <c r="CF178">
        <v>1</v>
      </c>
      <c r="CG178">
        <v>-0.89900000000000002</v>
      </c>
      <c r="CH178">
        <v>3.4000000000000002E-2</v>
      </c>
      <c r="CI178">
        <v>-1.2370000000000001</v>
      </c>
      <c r="CJ178">
        <v>8.5999999999999993E-2</v>
      </c>
      <c r="CK178">
        <v>799</v>
      </c>
      <c r="CL178">
        <v>16</v>
      </c>
      <c r="CM178">
        <v>0.28999999999999998</v>
      </c>
      <c r="CN178">
        <v>0.09</v>
      </c>
      <c r="CO178">
        <v>-447.17762499999998</v>
      </c>
      <c r="CP178">
        <v>-1.9078536585349299</v>
      </c>
      <c r="CQ178">
        <v>0.18527165021934541</v>
      </c>
      <c r="CR178">
        <v>-1</v>
      </c>
      <c r="CS178">
        <v>27.638539999999999</v>
      </c>
      <c r="CT178">
        <v>3.7666041275688573E-2</v>
      </c>
      <c r="CU178">
        <v>3.6469713461993688E-3</v>
      </c>
      <c r="CV178">
        <v>-1</v>
      </c>
      <c r="CW178">
        <v>0</v>
      </c>
      <c r="CX178">
        <v>0</v>
      </c>
      <c r="CY178" t="s">
        <v>333</v>
      </c>
      <c r="CZ178">
        <v>2.36497</v>
      </c>
      <c r="DA178">
        <v>2.7138100000000001</v>
      </c>
      <c r="DB178">
        <v>8.1641400000000003E-2</v>
      </c>
      <c r="DC178">
        <v>0.14657000000000001</v>
      </c>
      <c r="DD178">
        <v>0.12679699999999999</v>
      </c>
      <c r="DE178">
        <v>1.39466E-3</v>
      </c>
      <c r="DF178">
        <v>33533.5</v>
      </c>
      <c r="DG178">
        <v>27482.2</v>
      </c>
      <c r="DH178">
        <v>31170.3</v>
      </c>
      <c r="DI178">
        <v>28058.1</v>
      </c>
      <c r="DJ178">
        <v>36933.199999999997</v>
      </c>
      <c r="DK178">
        <v>39830.699999999997</v>
      </c>
      <c r="DL178">
        <v>44353.2</v>
      </c>
      <c r="DM178">
        <v>42504.9</v>
      </c>
      <c r="DN178">
        <v>1.4937</v>
      </c>
      <c r="DO178">
        <v>2.0606499999999999</v>
      </c>
      <c r="DP178">
        <v>8.0354499999999995E-2</v>
      </c>
      <c r="DQ178">
        <v>0.175148</v>
      </c>
      <c r="DR178">
        <v>25.732700000000001</v>
      </c>
      <c r="DS178">
        <v>25.374600000000001</v>
      </c>
      <c r="DT178">
        <v>30.6</v>
      </c>
      <c r="DU178">
        <v>25.9</v>
      </c>
      <c r="DV178">
        <v>10.3315</v>
      </c>
      <c r="DW178">
        <v>61.891399999999997</v>
      </c>
      <c r="DX178">
        <v>37.171500000000002</v>
      </c>
      <c r="DY178">
        <v>1</v>
      </c>
      <c r="DZ178">
        <v>-0.14358199999999999</v>
      </c>
      <c r="EA178">
        <v>-0.52594200000000002</v>
      </c>
      <c r="EB178">
        <v>20.189499999999999</v>
      </c>
      <c r="EC178">
        <v>5.2415500000000002</v>
      </c>
      <c r="ED178">
        <v>12.039899999999999</v>
      </c>
      <c r="EE178">
        <v>5.0175999999999998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1.8687400000000001</v>
      </c>
      <c r="EL178">
        <v>1.8644700000000001</v>
      </c>
      <c r="EM178">
        <v>1.86907</v>
      </c>
      <c r="EN178">
        <v>1.8670800000000001</v>
      </c>
      <c r="EO178">
        <v>1.8632500000000001</v>
      </c>
      <c r="EP178">
        <v>1.8643099999999999</v>
      </c>
      <c r="EQ178">
        <v>1.8701099999999999</v>
      </c>
      <c r="ER178">
        <v>1.86931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-0.92200000000000004</v>
      </c>
      <c r="FG178">
        <v>0.19109999999999999</v>
      </c>
      <c r="FH178">
        <v>-0.68620417327404271</v>
      </c>
      <c r="FI178">
        <v>-6.1462078757559423E-4</v>
      </c>
      <c r="FJ178">
        <v>-1.8861989874597051E-7</v>
      </c>
      <c r="FK178">
        <v>1.1980462299894961E-10</v>
      </c>
      <c r="FL178">
        <v>0.1911242781723908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33.200000000000003</v>
      </c>
      <c r="FU178">
        <v>33</v>
      </c>
      <c r="FV178">
        <v>1.7626999999999999</v>
      </c>
      <c r="FW178">
        <v>2.5659200000000002</v>
      </c>
      <c r="FX178">
        <v>1.5490699999999999</v>
      </c>
      <c r="FY178">
        <v>2.34009</v>
      </c>
      <c r="FZ178">
        <v>1.50146</v>
      </c>
      <c r="GA178">
        <v>2.32544</v>
      </c>
      <c r="GB178">
        <v>31.128699999999998</v>
      </c>
      <c r="GC178">
        <v>23.991199999999999</v>
      </c>
      <c r="GD178">
        <v>19</v>
      </c>
      <c r="GE178">
        <v>287.529</v>
      </c>
      <c r="GF178">
        <v>595.83900000000006</v>
      </c>
      <c r="GG178">
        <v>25.881699999999999</v>
      </c>
      <c r="GH178">
        <v>25.6129</v>
      </c>
      <c r="GI178">
        <v>30.0001</v>
      </c>
      <c r="GJ178">
        <v>25.7194</v>
      </c>
      <c r="GK178">
        <v>25.685500000000001</v>
      </c>
      <c r="GL178">
        <v>35.248800000000003</v>
      </c>
      <c r="GM178">
        <v>100</v>
      </c>
      <c r="GN178">
        <v>0</v>
      </c>
      <c r="GO178">
        <v>25.832999999999998</v>
      </c>
      <c r="GP178">
        <v>800</v>
      </c>
      <c r="GQ178">
        <v>0</v>
      </c>
      <c r="GR178">
        <v>99.724900000000005</v>
      </c>
      <c r="GS178">
        <v>99.453699999999998</v>
      </c>
    </row>
    <row r="179" spans="1:201" x14ac:dyDescent="0.25">
      <c r="A179">
        <v>163</v>
      </c>
      <c r="B179">
        <v>1690288260.5</v>
      </c>
      <c r="C179">
        <v>1721.900000095367</v>
      </c>
      <c r="D179" t="s">
        <v>659</v>
      </c>
      <c r="E179" t="s">
        <v>660</v>
      </c>
      <c r="F179" t="s">
        <v>330</v>
      </c>
      <c r="H179">
        <v>1690288260.5</v>
      </c>
      <c r="I179">
        <f t="shared" si="60"/>
        <v>2.9341387256753841E-3</v>
      </c>
      <c r="J179">
        <f t="shared" si="61"/>
        <v>2.9341387256753841</v>
      </c>
      <c r="K179">
        <f t="shared" si="62"/>
        <v>45.176018248823851</v>
      </c>
      <c r="L179">
        <f t="shared" si="63"/>
        <v>351.97800000000001</v>
      </c>
      <c r="M179">
        <f t="shared" si="64"/>
        <v>97.83938044598105</v>
      </c>
      <c r="N179">
        <f t="shared" si="65"/>
        <v>9.729741133008373</v>
      </c>
      <c r="O179">
        <f t="shared" si="66"/>
        <v>35.0028261514272</v>
      </c>
      <c r="P179">
        <f t="shared" si="67"/>
        <v>0.30675107371517069</v>
      </c>
      <c r="Q179">
        <f t="shared" si="68"/>
        <v>2.3052518620047557</v>
      </c>
      <c r="R179">
        <f t="shared" si="69"/>
        <v>0.28574512883707615</v>
      </c>
      <c r="S179">
        <f t="shared" si="70"/>
        <v>0.18035799370825381</v>
      </c>
      <c r="T179">
        <f t="shared" si="71"/>
        <v>276.11476147799999</v>
      </c>
      <c r="U179">
        <f t="shared" si="72"/>
        <v>27.815931670029606</v>
      </c>
      <c r="V179">
        <f t="shared" si="73"/>
        <v>27.815931670029606</v>
      </c>
      <c r="W179">
        <f t="shared" si="74"/>
        <v>3.7543090670700732</v>
      </c>
      <c r="X179">
        <f t="shared" si="75"/>
        <v>78.506727451424482</v>
      </c>
      <c r="Y179">
        <f t="shared" si="76"/>
        <v>2.7666391789992</v>
      </c>
      <c r="Z179">
        <f t="shared" si="77"/>
        <v>3.5240791061008618</v>
      </c>
      <c r="AA179">
        <f t="shared" si="78"/>
        <v>0.98766988807087319</v>
      </c>
      <c r="AB179">
        <f t="shared" si="79"/>
        <v>-129.39551780228444</v>
      </c>
      <c r="AC179">
        <f t="shared" si="80"/>
        <v>-134.18984920830118</v>
      </c>
      <c r="AD179">
        <f t="shared" si="81"/>
        <v>-12.597258652124953</v>
      </c>
      <c r="AE179">
        <f t="shared" si="82"/>
        <v>-6.7864184710572317E-2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52763.622406927439</v>
      </c>
      <c r="AK179">
        <f t="shared" si="86"/>
        <v>1800</v>
      </c>
      <c r="AL179">
        <f t="shared" si="87"/>
        <v>1499.1106608</v>
      </c>
      <c r="AM179">
        <f t="shared" si="88"/>
        <v>0.83283925599999997</v>
      </c>
      <c r="AN179">
        <f t="shared" si="89"/>
        <v>0.15339708970999999</v>
      </c>
      <c r="AO179">
        <v>29.1</v>
      </c>
      <c r="AP179">
        <v>0.5</v>
      </c>
      <c r="AQ179" t="s">
        <v>331</v>
      </c>
      <c r="AR179">
        <v>2</v>
      </c>
      <c r="AS179">
        <v>1690288260.5</v>
      </c>
      <c r="AT179">
        <v>351.97800000000001</v>
      </c>
      <c r="AU179">
        <v>799.99400000000003</v>
      </c>
      <c r="AV179">
        <v>27.820499999999999</v>
      </c>
      <c r="AW179">
        <v>0.16406399999999999</v>
      </c>
      <c r="AX179">
        <v>352.899</v>
      </c>
      <c r="AY179">
        <v>27.629300000000001</v>
      </c>
      <c r="AZ179">
        <v>300.14</v>
      </c>
      <c r="BA179">
        <v>99.346100000000007</v>
      </c>
      <c r="BB179">
        <v>9.9962400000000007E-2</v>
      </c>
      <c r="BC179">
        <v>26.7362</v>
      </c>
      <c r="BD179">
        <v>26.998000000000001</v>
      </c>
      <c r="BE179">
        <v>28.252600000000001</v>
      </c>
      <c r="BF179">
        <v>0</v>
      </c>
      <c r="BG179">
        <v>0</v>
      </c>
      <c r="BH179">
        <v>10036.9</v>
      </c>
      <c r="BI179">
        <v>1086.8900000000001</v>
      </c>
      <c r="BJ179">
        <v>1.28952</v>
      </c>
      <c r="BK179">
        <v>-448.01499999999999</v>
      </c>
      <c r="BL179">
        <v>362.05099999999999</v>
      </c>
      <c r="BM179">
        <v>800.125</v>
      </c>
      <c r="BN179">
        <v>27.656400000000001</v>
      </c>
      <c r="BO179">
        <v>799.99400000000003</v>
      </c>
      <c r="BP179">
        <v>0.16406399999999999</v>
      </c>
      <c r="BQ179">
        <v>2.7638500000000001</v>
      </c>
      <c r="BR179">
        <v>1.62992E-2</v>
      </c>
      <c r="BS179">
        <v>22.669799999999999</v>
      </c>
      <c r="BT179">
        <v>-41.377299999999998</v>
      </c>
      <c r="BU179">
        <v>1800</v>
      </c>
      <c r="BV179">
        <v>0.91000300000000001</v>
      </c>
      <c r="BW179">
        <v>3.4008999999999998E-2</v>
      </c>
      <c r="BX179">
        <v>2.1995299999999999E-2</v>
      </c>
      <c r="BY179">
        <v>3.3992700000000001E-2</v>
      </c>
      <c r="BZ179">
        <v>25</v>
      </c>
      <c r="CA179">
        <v>33528.300000000003</v>
      </c>
      <c r="CB179">
        <v>1690286268.5999999</v>
      </c>
      <c r="CC179" t="s">
        <v>332</v>
      </c>
      <c r="CD179">
        <v>1690286261.0999999</v>
      </c>
      <c r="CE179">
        <v>1690286268.5999999</v>
      </c>
      <c r="CF179">
        <v>1</v>
      </c>
      <c r="CG179">
        <v>-0.89900000000000002</v>
      </c>
      <c r="CH179">
        <v>3.4000000000000002E-2</v>
      </c>
      <c r="CI179">
        <v>-1.2370000000000001</v>
      </c>
      <c r="CJ179">
        <v>8.5999999999999993E-2</v>
      </c>
      <c r="CK179">
        <v>799</v>
      </c>
      <c r="CL179">
        <v>16</v>
      </c>
      <c r="CM179">
        <v>0.28999999999999998</v>
      </c>
      <c r="CN179">
        <v>0.09</v>
      </c>
      <c r="CO179">
        <v>-447.53934146341459</v>
      </c>
      <c r="CP179">
        <v>-2.450362369337197</v>
      </c>
      <c r="CQ179">
        <v>0.24473346475009961</v>
      </c>
      <c r="CR179">
        <v>-1</v>
      </c>
      <c r="CS179">
        <v>27.646143902439029</v>
      </c>
      <c r="CT179">
        <v>4.9994425087172563E-2</v>
      </c>
      <c r="CU179">
        <v>4.9855913747856072E-3</v>
      </c>
      <c r="CV179">
        <v>-1</v>
      </c>
      <c r="CW179">
        <v>0</v>
      </c>
      <c r="CX179">
        <v>0</v>
      </c>
      <c r="CY179" t="s">
        <v>333</v>
      </c>
      <c r="CZ179">
        <v>2.3651900000000001</v>
      </c>
      <c r="DA179">
        <v>2.7137899999999999</v>
      </c>
      <c r="DB179">
        <v>8.1551799999999994E-2</v>
      </c>
      <c r="DC179">
        <v>0.146568</v>
      </c>
      <c r="DD179">
        <v>0.12682399999999999</v>
      </c>
      <c r="DE179">
        <v>1.3872400000000001E-3</v>
      </c>
      <c r="DF179">
        <v>33536.5</v>
      </c>
      <c r="DG179">
        <v>27482.400000000001</v>
      </c>
      <c r="DH179">
        <v>31170</v>
      </c>
      <c r="DI179">
        <v>28058.3</v>
      </c>
      <c r="DJ179">
        <v>36931.800000000003</v>
      </c>
      <c r="DK179">
        <v>39831.300000000003</v>
      </c>
      <c r="DL179">
        <v>44352.9</v>
      </c>
      <c r="DM179">
        <v>42505.1</v>
      </c>
      <c r="DN179">
        <v>1.49332</v>
      </c>
      <c r="DO179">
        <v>2.06047</v>
      </c>
      <c r="DP179">
        <v>7.7024099999999998E-2</v>
      </c>
      <c r="DQ179">
        <v>0.17571400000000001</v>
      </c>
      <c r="DR179">
        <v>25.737100000000002</v>
      </c>
      <c r="DS179">
        <v>25.3781</v>
      </c>
      <c r="DT179">
        <v>30.6</v>
      </c>
      <c r="DU179">
        <v>25.9</v>
      </c>
      <c r="DV179">
        <v>10.332100000000001</v>
      </c>
      <c r="DW179">
        <v>61.791400000000003</v>
      </c>
      <c r="DX179">
        <v>36.658700000000003</v>
      </c>
      <c r="DY179">
        <v>1</v>
      </c>
      <c r="DZ179">
        <v>-0.14349300000000001</v>
      </c>
      <c r="EA179">
        <v>-0.47050399999999998</v>
      </c>
      <c r="EB179">
        <v>20.189699999999998</v>
      </c>
      <c r="EC179">
        <v>5.2416999999999998</v>
      </c>
      <c r="ED179">
        <v>12.039899999999999</v>
      </c>
      <c r="EE179">
        <v>5.0176499999999997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1.86876</v>
      </c>
      <c r="EL179">
        <v>1.8644700000000001</v>
      </c>
      <c r="EM179">
        <v>1.86907</v>
      </c>
      <c r="EN179">
        <v>1.86707</v>
      </c>
      <c r="EO179">
        <v>1.8632500000000001</v>
      </c>
      <c r="EP179">
        <v>1.8643099999999999</v>
      </c>
      <c r="EQ179">
        <v>1.8701099999999999</v>
      </c>
      <c r="ER179">
        <v>1.86931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-0.92100000000000004</v>
      </c>
      <c r="FG179">
        <v>0.19120000000000001</v>
      </c>
      <c r="FH179">
        <v>-0.68620417327404271</v>
      </c>
      <c r="FI179">
        <v>-6.1462078757559423E-4</v>
      </c>
      <c r="FJ179">
        <v>-1.8861989874597051E-7</v>
      </c>
      <c r="FK179">
        <v>1.1980462299894961E-10</v>
      </c>
      <c r="FL179">
        <v>0.1911242781723908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33.299999999999997</v>
      </c>
      <c r="FU179">
        <v>33.200000000000003</v>
      </c>
      <c r="FV179">
        <v>1.7626999999999999</v>
      </c>
      <c r="FW179">
        <v>2.5659200000000002</v>
      </c>
      <c r="FX179">
        <v>1.5490699999999999</v>
      </c>
      <c r="FY179">
        <v>2.34009</v>
      </c>
      <c r="FZ179">
        <v>1.50146</v>
      </c>
      <c r="GA179">
        <v>2.3889200000000002</v>
      </c>
      <c r="GB179">
        <v>31.150400000000001</v>
      </c>
      <c r="GC179">
        <v>23.991199999999999</v>
      </c>
      <c r="GD179">
        <v>19</v>
      </c>
      <c r="GE179">
        <v>287.36900000000003</v>
      </c>
      <c r="GF179">
        <v>595.70699999999999</v>
      </c>
      <c r="GG179">
        <v>25.801200000000001</v>
      </c>
      <c r="GH179">
        <v>25.6129</v>
      </c>
      <c r="GI179">
        <v>30</v>
      </c>
      <c r="GJ179">
        <v>25.7194</v>
      </c>
      <c r="GK179">
        <v>25.686699999999998</v>
      </c>
      <c r="GL179">
        <v>35.247500000000002</v>
      </c>
      <c r="GM179">
        <v>100</v>
      </c>
      <c r="GN179">
        <v>0</v>
      </c>
      <c r="GO179">
        <v>25.837800000000001</v>
      </c>
      <c r="GP179">
        <v>800</v>
      </c>
      <c r="GQ179">
        <v>0</v>
      </c>
      <c r="GR179">
        <v>99.724199999999996</v>
      </c>
      <c r="GS179">
        <v>99.454300000000003</v>
      </c>
    </row>
    <row r="180" spans="1:201" x14ac:dyDescent="0.25">
      <c r="A180">
        <v>164</v>
      </c>
      <c r="B180">
        <v>1690288270.5</v>
      </c>
      <c r="C180">
        <v>1731.900000095367</v>
      </c>
      <c r="D180" t="s">
        <v>661</v>
      </c>
      <c r="E180" t="s">
        <v>662</v>
      </c>
      <c r="F180" t="s">
        <v>330</v>
      </c>
      <c r="H180">
        <v>1690288270.5</v>
      </c>
      <c r="I180">
        <f t="shared" si="60"/>
        <v>2.9356623744290797E-3</v>
      </c>
      <c r="J180">
        <f t="shared" si="61"/>
        <v>2.9356623744290795</v>
      </c>
      <c r="K180">
        <f t="shared" si="62"/>
        <v>45.209526252260638</v>
      </c>
      <c r="L180">
        <f t="shared" si="63"/>
        <v>351.62</v>
      </c>
      <c r="M180">
        <f t="shared" si="64"/>
        <v>97.720901543441002</v>
      </c>
      <c r="N180">
        <f t="shared" si="65"/>
        <v>9.7178982466259729</v>
      </c>
      <c r="O180">
        <f t="shared" si="66"/>
        <v>34.967006316039999</v>
      </c>
      <c r="P180">
        <f t="shared" si="67"/>
        <v>0.30731778216230116</v>
      </c>
      <c r="Q180">
        <f t="shared" si="68"/>
        <v>2.302490805871841</v>
      </c>
      <c r="R180">
        <f t="shared" si="69"/>
        <v>0.28621359175507899</v>
      </c>
      <c r="S180">
        <f t="shared" si="70"/>
        <v>0.18065870702209366</v>
      </c>
      <c r="T180">
        <f t="shared" si="71"/>
        <v>276.11466231600002</v>
      </c>
      <c r="U180">
        <f t="shared" si="72"/>
        <v>27.816020548579665</v>
      </c>
      <c r="V180">
        <f t="shared" si="73"/>
        <v>27.816020548579665</v>
      </c>
      <c r="W180">
        <f t="shared" si="74"/>
        <v>3.7543285460206541</v>
      </c>
      <c r="X180">
        <f t="shared" si="75"/>
        <v>78.541744728216173</v>
      </c>
      <c r="Y180">
        <f t="shared" si="76"/>
        <v>2.7677754862882002</v>
      </c>
      <c r="Z180">
        <f t="shared" si="77"/>
        <v>3.5239546764153751</v>
      </c>
      <c r="AA180">
        <f t="shared" si="78"/>
        <v>0.98655305973245389</v>
      </c>
      <c r="AB180">
        <f t="shared" si="79"/>
        <v>-129.46271071232241</v>
      </c>
      <c r="AC180">
        <f t="shared" si="80"/>
        <v>-134.11463855990007</v>
      </c>
      <c r="AD180">
        <f t="shared" si="81"/>
        <v>-12.605263684372582</v>
      </c>
      <c r="AE180">
        <f t="shared" si="82"/>
        <v>-6.7950640595029199E-2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52659.050324901444</v>
      </c>
      <c r="AK180">
        <f t="shared" si="86"/>
        <v>1800</v>
      </c>
      <c r="AL180">
        <f t="shared" si="87"/>
        <v>1499.1112295999999</v>
      </c>
      <c r="AM180">
        <f t="shared" si="88"/>
        <v>0.83283957199999992</v>
      </c>
      <c r="AN180">
        <f t="shared" si="89"/>
        <v>0.15339703462000001</v>
      </c>
      <c r="AO180">
        <v>29.1</v>
      </c>
      <c r="AP180">
        <v>0.5</v>
      </c>
      <c r="AQ180" t="s">
        <v>331</v>
      </c>
      <c r="AR180">
        <v>2</v>
      </c>
      <c r="AS180">
        <v>1690288270.5</v>
      </c>
      <c r="AT180">
        <v>351.62</v>
      </c>
      <c r="AU180">
        <v>799.92899999999997</v>
      </c>
      <c r="AV180">
        <v>27.832100000000001</v>
      </c>
      <c r="AW180">
        <v>0.16329199999999999</v>
      </c>
      <c r="AX180">
        <v>352.541</v>
      </c>
      <c r="AY180">
        <v>27.640999999999998</v>
      </c>
      <c r="AZ180">
        <v>300.15800000000002</v>
      </c>
      <c r="BA180">
        <v>99.345399999999998</v>
      </c>
      <c r="BB180">
        <v>0.10004200000000001</v>
      </c>
      <c r="BC180">
        <v>26.735600000000002</v>
      </c>
      <c r="BD180">
        <v>27.004899999999999</v>
      </c>
      <c r="BE180">
        <v>28.2347</v>
      </c>
      <c r="BF180">
        <v>0</v>
      </c>
      <c r="BG180">
        <v>0</v>
      </c>
      <c r="BH180">
        <v>10016.200000000001</v>
      </c>
      <c r="BI180">
        <v>1086.8900000000001</v>
      </c>
      <c r="BJ180">
        <v>1.28952</v>
      </c>
      <c r="BK180">
        <v>-448.30900000000003</v>
      </c>
      <c r="BL180">
        <v>361.68599999999998</v>
      </c>
      <c r="BM180">
        <v>800.06</v>
      </c>
      <c r="BN180">
        <v>27.668900000000001</v>
      </c>
      <c r="BO180">
        <v>799.92899999999997</v>
      </c>
      <c r="BP180">
        <v>0.16329199999999999</v>
      </c>
      <c r="BQ180">
        <v>2.7650000000000001</v>
      </c>
      <c r="BR180">
        <v>1.6222400000000001E-2</v>
      </c>
      <c r="BS180">
        <v>22.676600000000001</v>
      </c>
      <c r="BT180">
        <v>-41.421900000000001</v>
      </c>
      <c r="BU180">
        <v>1800</v>
      </c>
      <c r="BV180">
        <v>0.91000599999999998</v>
      </c>
      <c r="BW180">
        <v>3.4007900000000001E-2</v>
      </c>
      <c r="BX180">
        <v>2.19946E-2</v>
      </c>
      <c r="BY180">
        <v>3.3991599999999997E-2</v>
      </c>
      <c r="BZ180">
        <v>25</v>
      </c>
      <c r="CA180">
        <v>33528.5</v>
      </c>
      <c r="CB180">
        <v>1690286268.5999999</v>
      </c>
      <c r="CC180" t="s">
        <v>332</v>
      </c>
      <c r="CD180">
        <v>1690286261.0999999</v>
      </c>
      <c r="CE180">
        <v>1690286268.5999999</v>
      </c>
      <c r="CF180">
        <v>1</v>
      </c>
      <c r="CG180">
        <v>-0.89900000000000002</v>
      </c>
      <c r="CH180">
        <v>3.4000000000000002E-2</v>
      </c>
      <c r="CI180">
        <v>-1.2370000000000001</v>
      </c>
      <c r="CJ180">
        <v>8.5999999999999993E-2</v>
      </c>
      <c r="CK180">
        <v>799</v>
      </c>
      <c r="CL180">
        <v>16</v>
      </c>
      <c r="CM180">
        <v>0.28999999999999998</v>
      </c>
      <c r="CN180">
        <v>0.09</v>
      </c>
      <c r="CO180">
        <v>-447.95517500000011</v>
      </c>
      <c r="CP180">
        <v>-2.3393583489676502</v>
      </c>
      <c r="CQ180">
        <v>0.230057806594342</v>
      </c>
      <c r="CR180">
        <v>-1</v>
      </c>
      <c r="CS180">
        <v>27.656780000000001</v>
      </c>
      <c r="CT180">
        <v>6.6682176360184697E-2</v>
      </c>
      <c r="CU180">
        <v>6.4396117895413598E-3</v>
      </c>
      <c r="CV180">
        <v>-1</v>
      </c>
      <c r="CW180">
        <v>0</v>
      </c>
      <c r="CX180">
        <v>0</v>
      </c>
      <c r="CY180" t="s">
        <v>333</v>
      </c>
      <c r="CZ180">
        <v>2.3652600000000001</v>
      </c>
      <c r="DA180">
        <v>2.7138499999999999</v>
      </c>
      <c r="DB180">
        <v>8.1485699999999994E-2</v>
      </c>
      <c r="DC180">
        <v>0.14655899999999999</v>
      </c>
      <c r="DD180">
        <v>0.12686</v>
      </c>
      <c r="DE180">
        <v>1.38076E-3</v>
      </c>
      <c r="DF180">
        <v>33539.4</v>
      </c>
      <c r="DG180">
        <v>27482.9</v>
      </c>
      <c r="DH180">
        <v>31170.400000000001</v>
      </c>
      <c r="DI180">
        <v>28058.5</v>
      </c>
      <c r="DJ180">
        <v>36930.699999999997</v>
      </c>
      <c r="DK180">
        <v>39831.699999999997</v>
      </c>
      <c r="DL180">
        <v>44353.4</v>
      </c>
      <c r="DM180">
        <v>42505.4</v>
      </c>
      <c r="DN180">
        <v>1.4936199999999999</v>
      </c>
      <c r="DO180">
        <v>2.0602800000000001</v>
      </c>
      <c r="DP180">
        <v>7.72476E-2</v>
      </c>
      <c r="DQ180">
        <v>0.17441100000000001</v>
      </c>
      <c r="DR180">
        <v>25.740300000000001</v>
      </c>
      <c r="DS180">
        <v>25.381499999999999</v>
      </c>
      <c r="DT180">
        <v>30.5</v>
      </c>
      <c r="DU180">
        <v>25.9</v>
      </c>
      <c r="DV180">
        <v>10.2987</v>
      </c>
      <c r="DW180">
        <v>61.781399999999998</v>
      </c>
      <c r="DX180">
        <v>36.410299999999999</v>
      </c>
      <c r="DY180">
        <v>1</v>
      </c>
      <c r="DZ180">
        <v>-0.14294699999999999</v>
      </c>
      <c r="EA180">
        <v>-0.63934400000000002</v>
      </c>
      <c r="EB180">
        <v>20.189</v>
      </c>
      <c r="EC180">
        <v>5.24125</v>
      </c>
      <c r="ED180">
        <v>12.039899999999999</v>
      </c>
      <c r="EE180">
        <v>5.0172499999999998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1.86876</v>
      </c>
      <c r="EL180">
        <v>1.8644700000000001</v>
      </c>
      <c r="EM180">
        <v>1.86907</v>
      </c>
      <c r="EN180">
        <v>1.8670800000000001</v>
      </c>
      <c r="EO180">
        <v>1.86324</v>
      </c>
      <c r="EP180">
        <v>1.86432</v>
      </c>
      <c r="EQ180">
        <v>1.87012</v>
      </c>
      <c r="ER180">
        <v>1.8693200000000001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-0.92100000000000004</v>
      </c>
      <c r="FG180">
        <v>0.19109999999999999</v>
      </c>
      <c r="FH180">
        <v>-0.68620417327404271</v>
      </c>
      <c r="FI180">
        <v>-6.1462078757559423E-4</v>
      </c>
      <c r="FJ180">
        <v>-1.8861989874597051E-7</v>
      </c>
      <c r="FK180">
        <v>1.1980462299894961E-10</v>
      </c>
      <c r="FL180">
        <v>0.1911242781723908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33.5</v>
      </c>
      <c r="FU180">
        <v>33.4</v>
      </c>
      <c r="FV180">
        <v>1.7626999999999999</v>
      </c>
      <c r="FW180">
        <v>2.5732400000000002</v>
      </c>
      <c r="FX180">
        <v>1.5490699999999999</v>
      </c>
      <c r="FY180">
        <v>2.34009</v>
      </c>
      <c r="FZ180">
        <v>1.50146</v>
      </c>
      <c r="GA180">
        <v>2.3535200000000001</v>
      </c>
      <c r="GB180">
        <v>31.150400000000001</v>
      </c>
      <c r="GC180">
        <v>23.982399999999998</v>
      </c>
      <c r="GD180">
        <v>19</v>
      </c>
      <c r="GE180">
        <v>287.50700000000001</v>
      </c>
      <c r="GF180">
        <v>595.55100000000004</v>
      </c>
      <c r="GG180">
        <v>25.832799999999999</v>
      </c>
      <c r="GH180">
        <v>25.6129</v>
      </c>
      <c r="GI180">
        <v>30.000499999999999</v>
      </c>
      <c r="GJ180">
        <v>25.721499999999999</v>
      </c>
      <c r="GK180">
        <v>25.6877</v>
      </c>
      <c r="GL180">
        <v>35.2517</v>
      </c>
      <c r="GM180">
        <v>100</v>
      </c>
      <c r="GN180">
        <v>0</v>
      </c>
      <c r="GO180">
        <v>25.834900000000001</v>
      </c>
      <c r="GP180">
        <v>800</v>
      </c>
      <c r="GQ180">
        <v>0</v>
      </c>
      <c r="GR180">
        <v>99.725399999999993</v>
      </c>
      <c r="GS180">
        <v>99.454999999999998</v>
      </c>
    </row>
    <row r="181" spans="1:201" x14ac:dyDescent="0.25">
      <c r="A181">
        <v>165</v>
      </c>
      <c r="B181">
        <v>1690288280.5</v>
      </c>
      <c r="C181">
        <v>1741.900000095367</v>
      </c>
      <c r="D181" t="s">
        <v>663</v>
      </c>
      <c r="E181" t="s">
        <v>664</v>
      </c>
      <c r="F181" t="s">
        <v>330</v>
      </c>
      <c r="H181">
        <v>1690288280.5</v>
      </c>
      <c r="I181">
        <f t="shared" si="60"/>
        <v>2.9375005453603055E-3</v>
      </c>
      <c r="J181">
        <f t="shared" si="61"/>
        <v>2.9375005453603054</v>
      </c>
      <c r="K181">
        <f t="shared" si="62"/>
        <v>45.248184859437146</v>
      </c>
      <c r="L181">
        <f t="shared" si="63"/>
        <v>351.31599999999997</v>
      </c>
      <c r="M181">
        <f t="shared" si="64"/>
        <v>97.833289044220322</v>
      </c>
      <c r="N181">
        <f t="shared" si="65"/>
        <v>9.7289938610194966</v>
      </c>
      <c r="O181">
        <f t="shared" si="66"/>
        <v>34.936484714655997</v>
      </c>
      <c r="P181">
        <f t="shared" si="67"/>
        <v>0.30816989919879362</v>
      </c>
      <c r="Q181">
        <f t="shared" si="68"/>
        <v>2.2979077423322636</v>
      </c>
      <c r="R181">
        <f t="shared" si="69"/>
        <v>0.28691365700236116</v>
      </c>
      <c r="S181">
        <f t="shared" si="70"/>
        <v>0.18110849780284866</v>
      </c>
      <c r="T181">
        <f t="shared" si="71"/>
        <v>276.11464246200001</v>
      </c>
      <c r="U181">
        <f t="shared" si="72"/>
        <v>27.814395172820173</v>
      </c>
      <c r="V181">
        <f t="shared" si="73"/>
        <v>27.814395172820173</v>
      </c>
      <c r="W181">
        <f t="shared" si="74"/>
        <v>3.7539723366182161</v>
      </c>
      <c r="X181">
        <f t="shared" si="75"/>
        <v>78.596732215126593</v>
      </c>
      <c r="Y181">
        <f t="shared" si="76"/>
        <v>2.7692242772903999</v>
      </c>
      <c r="Z181">
        <f t="shared" si="77"/>
        <v>3.5233325855212079</v>
      </c>
      <c r="AA181">
        <f t="shared" si="78"/>
        <v>0.98474805932781617</v>
      </c>
      <c r="AB181">
        <f t="shared" si="79"/>
        <v>-129.54377405038949</v>
      </c>
      <c r="AC181">
        <f t="shared" si="80"/>
        <v>-134.01798101073646</v>
      </c>
      <c r="AD181">
        <f t="shared" si="81"/>
        <v>-12.621009905440355</v>
      </c>
      <c r="AE181">
        <f t="shared" si="82"/>
        <v>-6.8122504566304087E-2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52486.077880291923</v>
      </c>
      <c r="AK181">
        <f t="shared" si="86"/>
        <v>1800</v>
      </c>
      <c r="AL181">
        <f t="shared" si="87"/>
        <v>1499.1118002000001</v>
      </c>
      <c r="AM181">
        <f t="shared" si="88"/>
        <v>0.83283988900000006</v>
      </c>
      <c r="AN181">
        <f t="shared" si="89"/>
        <v>0.15339702359000001</v>
      </c>
      <c r="AO181">
        <v>29.1</v>
      </c>
      <c r="AP181">
        <v>0.5</v>
      </c>
      <c r="AQ181" t="s">
        <v>331</v>
      </c>
      <c r="AR181">
        <v>2</v>
      </c>
      <c r="AS181">
        <v>1690288280.5</v>
      </c>
      <c r="AT181">
        <v>351.31599999999997</v>
      </c>
      <c r="AU181">
        <v>799.96900000000005</v>
      </c>
      <c r="AV181">
        <v>27.846900000000002</v>
      </c>
      <c r="AW181">
        <v>0.162941</v>
      </c>
      <c r="AX181">
        <v>352.23700000000002</v>
      </c>
      <c r="AY181">
        <v>27.655799999999999</v>
      </c>
      <c r="AZ181">
        <v>300.17700000000002</v>
      </c>
      <c r="BA181">
        <v>99.3446</v>
      </c>
      <c r="BB181">
        <v>0.10001599999999999</v>
      </c>
      <c r="BC181">
        <v>26.732600000000001</v>
      </c>
      <c r="BD181">
        <v>27.004200000000001</v>
      </c>
      <c r="BE181">
        <v>28.236799999999999</v>
      </c>
      <c r="BF181">
        <v>0</v>
      </c>
      <c r="BG181">
        <v>0</v>
      </c>
      <c r="BH181">
        <v>9981.8799999999992</v>
      </c>
      <c r="BI181">
        <v>1086.8399999999999</v>
      </c>
      <c r="BJ181">
        <v>1.28952</v>
      </c>
      <c r="BK181">
        <v>-448.654</v>
      </c>
      <c r="BL181">
        <v>361.37900000000002</v>
      </c>
      <c r="BM181">
        <v>800.1</v>
      </c>
      <c r="BN181">
        <v>27.683900000000001</v>
      </c>
      <c r="BO181">
        <v>799.96900000000005</v>
      </c>
      <c r="BP181">
        <v>0.162941</v>
      </c>
      <c r="BQ181">
        <v>2.7664399999999998</v>
      </c>
      <c r="BR181">
        <v>1.6187300000000002E-2</v>
      </c>
      <c r="BS181">
        <v>22.685199999999998</v>
      </c>
      <c r="BT181">
        <v>-41.442300000000003</v>
      </c>
      <c r="BU181">
        <v>1800</v>
      </c>
      <c r="BV181">
        <v>0.91000800000000004</v>
      </c>
      <c r="BW181">
        <v>3.4007200000000001E-2</v>
      </c>
      <c r="BX181">
        <v>2.1994199999999998E-2</v>
      </c>
      <c r="BY181">
        <v>3.3990899999999998E-2</v>
      </c>
      <c r="BZ181">
        <v>25</v>
      </c>
      <c r="CA181">
        <v>33528.400000000001</v>
      </c>
      <c r="CB181">
        <v>1690286268.5999999</v>
      </c>
      <c r="CC181" t="s">
        <v>332</v>
      </c>
      <c r="CD181">
        <v>1690286261.0999999</v>
      </c>
      <c r="CE181">
        <v>1690286268.5999999</v>
      </c>
      <c r="CF181">
        <v>1</v>
      </c>
      <c r="CG181">
        <v>-0.89900000000000002</v>
      </c>
      <c r="CH181">
        <v>3.4000000000000002E-2</v>
      </c>
      <c r="CI181">
        <v>-1.2370000000000001</v>
      </c>
      <c r="CJ181">
        <v>8.5999999999999993E-2</v>
      </c>
      <c r="CK181">
        <v>799</v>
      </c>
      <c r="CL181">
        <v>16</v>
      </c>
      <c r="CM181">
        <v>0.28999999999999998</v>
      </c>
      <c r="CN181">
        <v>0.09</v>
      </c>
      <c r="CO181">
        <v>-448.29837500000002</v>
      </c>
      <c r="CP181">
        <v>-2.2759362101292071</v>
      </c>
      <c r="CQ181">
        <v>0.22246647921653631</v>
      </c>
      <c r="CR181">
        <v>-1</v>
      </c>
      <c r="CS181">
        <v>27.667555</v>
      </c>
      <c r="CT181">
        <v>7.697786116318639E-2</v>
      </c>
      <c r="CU181">
        <v>7.4152528615009971E-3</v>
      </c>
      <c r="CV181">
        <v>-1</v>
      </c>
      <c r="CW181">
        <v>0</v>
      </c>
      <c r="CX181">
        <v>0</v>
      </c>
      <c r="CY181" t="s">
        <v>333</v>
      </c>
      <c r="CZ181">
        <v>2.3653</v>
      </c>
      <c r="DA181">
        <v>2.7137899999999999</v>
      </c>
      <c r="DB181">
        <v>8.1430000000000002E-2</v>
      </c>
      <c r="DC181">
        <v>0.146563</v>
      </c>
      <c r="DD181">
        <v>0.12690599999999999</v>
      </c>
      <c r="DE181">
        <v>1.3778099999999999E-3</v>
      </c>
      <c r="DF181">
        <v>33541.699999999997</v>
      </c>
      <c r="DG181">
        <v>27482.799999999999</v>
      </c>
      <c r="DH181">
        <v>31170.7</v>
      </c>
      <c r="DI181">
        <v>28058.5</v>
      </c>
      <c r="DJ181">
        <v>36929.1</v>
      </c>
      <c r="DK181">
        <v>39832.199999999997</v>
      </c>
      <c r="DL181">
        <v>44353.9</v>
      </c>
      <c r="DM181">
        <v>42505.7</v>
      </c>
      <c r="DN181">
        <v>1.4938</v>
      </c>
      <c r="DO181">
        <v>2.0602299999999998</v>
      </c>
      <c r="DP181">
        <v>7.6949600000000007E-2</v>
      </c>
      <c r="DQ181">
        <v>0.174485</v>
      </c>
      <c r="DR181">
        <v>25.744499999999999</v>
      </c>
      <c r="DS181">
        <v>25.382300000000001</v>
      </c>
      <c r="DT181">
        <v>30.4</v>
      </c>
      <c r="DU181">
        <v>26</v>
      </c>
      <c r="DV181">
        <v>10.3254</v>
      </c>
      <c r="DW181">
        <v>62.191400000000002</v>
      </c>
      <c r="DX181">
        <v>36.642600000000002</v>
      </c>
      <c r="DY181">
        <v>1</v>
      </c>
      <c r="DZ181">
        <v>-0.14346300000000001</v>
      </c>
      <c r="EA181">
        <v>-0.58088799999999996</v>
      </c>
      <c r="EB181">
        <v>20.189</v>
      </c>
      <c r="EC181">
        <v>5.24125</v>
      </c>
      <c r="ED181">
        <v>12.039899999999999</v>
      </c>
      <c r="EE181">
        <v>5.0174000000000003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1.8687499999999999</v>
      </c>
      <c r="EL181">
        <v>1.8644700000000001</v>
      </c>
      <c r="EM181">
        <v>1.86907</v>
      </c>
      <c r="EN181">
        <v>1.8670800000000001</v>
      </c>
      <c r="EO181">
        <v>1.8632500000000001</v>
      </c>
      <c r="EP181">
        <v>1.86432</v>
      </c>
      <c r="EQ181">
        <v>1.8701099999999999</v>
      </c>
      <c r="ER181">
        <v>1.86934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-0.92100000000000004</v>
      </c>
      <c r="FG181">
        <v>0.19109999999999999</v>
      </c>
      <c r="FH181">
        <v>-0.68620417327404271</v>
      </c>
      <c r="FI181">
        <v>-6.1462078757559423E-4</v>
      </c>
      <c r="FJ181">
        <v>-1.8861989874597051E-7</v>
      </c>
      <c r="FK181">
        <v>1.1980462299894961E-10</v>
      </c>
      <c r="FL181">
        <v>0.1911242781723908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33.700000000000003</v>
      </c>
      <c r="FU181">
        <v>33.5</v>
      </c>
      <c r="FV181">
        <v>1.7626999999999999</v>
      </c>
      <c r="FW181">
        <v>2.5708000000000002</v>
      </c>
      <c r="FX181">
        <v>1.5490699999999999</v>
      </c>
      <c r="FY181">
        <v>2.34009</v>
      </c>
      <c r="FZ181">
        <v>1.50146</v>
      </c>
      <c r="GA181">
        <v>2.3083499999999999</v>
      </c>
      <c r="GB181">
        <v>31.150400000000001</v>
      </c>
      <c r="GC181">
        <v>23.973700000000001</v>
      </c>
      <c r="GD181">
        <v>19</v>
      </c>
      <c r="GE181">
        <v>287.58199999999999</v>
      </c>
      <c r="GF181">
        <v>595.50900000000001</v>
      </c>
      <c r="GG181">
        <v>25.827500000000001</v>
      </c>
      <c r="GH181">
        <v>25.613700000000001</v>
      </c>
      <c r="GI181">
        <v>29.9999</v>
      </c>
      <c r="GJ181">
        <v>25.721499999999999</v>
      </c>
      <c r="GK181">
        <v>25.6877</v>
      </c>
      <c r="GL181">
        <v>35.248899999999999</v>
      </c>
      <c r="GM181">
        <v>100</v>
      </c>
      <c r="GN181">
        <v>0</v>
      </c>
      <c r="GO181">
        <v>25.831800000000001</v>
      </c>
      <c r="GP181">
        <v>800</v>
      </c>
      <c r="GQ181">
        <v>0</v>
      </c>
      <c r="GR181">
        <v>99.726399999999998</v>
      </c>
      <c r="GS181">
        <v>99.455500000000001</v>
      </c>
    </row>
    <row r="182" spans="1:201" x14ac:dyDescent="0.25">
      <c r="A182">
        <v>166</v>
      </c>
      <c r="B182">
        <v>1690288290.5</v>
      </c>
      <c r="C182">
        <v>1751.900000095367</v>
      </c>
      <c r="D182" t="s">
        <v>665</v>
      </c>
      <c r="E182" t="s">
        <v>666</v>
      </c>
      <c r="F182" t="s">
        <v>330</v>
      </c>
      <c r="H182">
        <v>1690288290.5</v>
      </c>
      <c r="I182">
        <f t="shared" si="60"/>
        <v>2.9372556646889577E-3</v>
      </c>
      <c r="J182">
        <f t="shared" si="61"/>
        <v>2.9372556646889576</v>
      </c>
      <c r="K182">
        <f t="shared" si="62"/>
        <v>45.272164227328382</v>
      </c>
      <c r="L182">
        <f t="shared" si="63"/>
        <v>350.84300000000002</v>
      </c>
      <c r="M182">
        <f t="shared" si="64"/>
        <v>97.723990907230515</v>
      </c>
      <c r="N182">
        <f t="shared" si="65"/>
        <v>9.7181498355054963</v>
      </c>
      <c r="O182">
        <f t="shared" si="66"/>
        <v>34.889537472686101</v>
      </c>
      <c r="P182">
        <f t="shared" si="67"/>
        <v>0.30876182630176624</v>
      </c>
      <c r="Q182">
        <f t="shared" si="68"/>
        <v>2.3030693790538268</v>
      </c>
      <c r="R182">
        <f t="shared" si="69"/>
        <v>0.28747115990295163</v>
      </c>
      <c r="S182">
        <f t="shared" si="70"/>
        <v>0.18145986885564888</v>
      </c>
      <c r="T182">
        <f t="shared" si="71"/>
        <v>276.11299059241907</v>
      </c>
      <c r="U182">
        <f t="shared" si="72"/>
        <v>27.811146265472942</v>
      </c>
      <c r="V182">
        <f t="shared" si="73"/>
        <v>27.811146265472942</v>
      </c>
      <c r="W182">
        <f t="shared" si="74"/>
        <v>3.753260410355876</v>
      </c>
      <c r="X182">
        <f t="shared" si="75"/>
        <v>78.638153152988863</v>
      </c>
      <c r="Y182">
        <f t="shared" si="76"/>
        <v>2.7705043199601898</v>
      </c>
      <c r="Z182">
        <f t="shared" si="77"/>
        <v>3.5231045095505129</v>
      </c>
      <c r="AA182">
        <f t="shared" si="78"/>
        <v>0.98275609039568623</v>
      </c>
      <c r="AB182">
        <f t="shared" si="79"/>
        <v>-129.53297481278304</v>
      </c>
      <c r="AC182">
        <f t="shared" si="80"/>
        <v>-134.05220170553838</v>
      </c>
      <c r="AD182">
        <f t="shared" si="81"/>
        <v>-12.595665385141061</v>
      </c>
      <c r="AE182">
        <f t="shared" si="82"/>
        <v>-6.7851311043398255E-2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52681.682382176426</v>
      </c>
      <c r="AK182">
        <f t="shared" si="86"/>
        <v>1799.99</v>
      </c>
      <c r="AL182">
        <f t="shared" si="87"/>
        <v>1499.1036248002599</v>
      </c>
      <c r="AM182">
        <f t="shared" si="88"/>
        <v>0.83283997399999998</v>
      </c>
      <c r="AN182">
        <f t="shared" si="89"/>
        <v>0.15339695808999998</v>
      </c>
      <c r="AO182">
        <v>29.1</v>
      </c>
      <c r="AP182">
        <v>0.5</v>
      </c>
      <c r="AQ182" t="s">
        <v>331</v>
      </c>
      <c r="AR182">
        <v>2</v>
      </c>
      <c r="AS182">
        <v>1690288290.5</v>
      </c>
      <c r="AT182">
        <v>350.84300000000002</v>
      </c>
      <c r="AU182">
        <v>799.976</v>
      </c>
      <c r="AV182">
        <v>27.8597</v>
      </c>
      <c r="AW182">
        <v>0.16226599999999999</v>
      </c>
      <c r="AX182">
        <v>351.76400000000001</v>
      </c>
      <c r="AY182">
        <v>27.668600000000001</v>
      </c>
      <c r="AZ182">
        <v>300.00200000000001</v>
      </c>
      <c r="BA182">
        <v>99.344899999999996</v>
      </c>
      <c r="BB182">
        <v>9.9972699999999998E-2</v>
      </c>
      <c r="BC182">
        <v>26.7315</v>
      </c>
      <c r="BD182">
        <v>27.0017</v>
      </c>
      <c r="BE182">
        <v>28.2334</v>
      </c>
      <c r="BF182">
        <v>0</v>
      </c>
      <c r="BG182">
        <v>0</v>
      </c>
      <c r="BH182">
        <v>10020.6</v>
      </c>
      <c r="BI182">
        <v>1086.8800000000001</v>
      </c>
      <c r="BJ182">
        <v>1.28952</v>
      </c>
      <c r="BK182">
        <v>-449.13200000000001</v>
      </c>
      <c r="BL182">
        <v>360.89800000000002</v>
      </c>
      <c r="BM182">
        <v>800.10500000000002</v>
      </c>
      <c r="BN182">
        <v>27.697399999999998</v>
      </c>
      <c r="BO182">
        <v>799.976</v>
      </c>
      <c r="BP182">
        <v>0.16226599999999999</v>
      </c>
      <c r="BQ182">
        <v>2.7677200000000002</v>
      </c>
      <c r="BR182">
        <v>1.6120300000000001E-2</v>
      </c>
      <c r="BS182">
        <v>22.692799999999998</v>
      </c>
      <c r="BT182">
        <v>-41.481400000000001</v>
      </c>
      <c r="BU182">
        <v>1799.99</v>
      </c>
      <c r="BV182">
        <v>0.91000999999999999</v>
      </c>
      <c r="BW182">
        <v>3.4006399999999999E-2</v>
      </c>
      <c r="BX182">
        <v>2.1993700000000001E-2</v>
      </c>
      <c r="BY182">
        <v>3.3990100000000002E-2</v>
      </c>
      <c r="BZ182">
        <v>25</v>
      </c>
      <c r="CA182">
        <v>33528.300000000003</v>
      </c>
      <c r="CB182">
        <v>1690286268.5999999</v>
      </c>
      <c r="CC182" t="s">
        <v>332</v>
      </c>
      <c r="CD182">
        <v>1690286261.0999999</v>
      </c>
      <c r="CE182">
        <v>1690286268.5999999</v>
      </c>
      <c r="CF182">
        <v>1</v>
      </c>
      <c r="CG182">
        <v>-0.89900000000000002</v>
      </c>
      <c r="CH182">
        <v>3.4000000000000002E-2</v>
      </c>
      <c r="CI182">
        <v>-1.2370000000000001</v>
      </c>
      <c r="CJ182">
        <v>8.5999999999999993E-2</v>
      </c>
      <c r="CK182">
        <v>799</v>
      </c>
      <c r="CL182">
        <v>16</v>
      </c>
      <c r="CM182">
        <v>0.28999999999999998</v>
      </c>
      <c r="CN182">
        <v>0.09</v>
      </c>
      <c r="CO182">
        <v>-448.65624390243897</v>
      </c>
      <c r="CP182">
        <v>-2.0819790940766478</v>
      </c>
      <c r="CQ182">
        <v>0.20938979643970751</v>
      </c>
      <c r="CR182">
        <v>-1</v>
      </c>
      <c r="CS182">
        <v>27.682817073170732</v>
      </c>
      <c r="CT182">
        <v>9.6583275261295468E-2</v>
      </c>
      <c r="CU182">
        <v>9.6397526139447385E-3</v>
      </c>
      <c r="CV182">
        <v>-1</v>
      </c>
      <c r="CW182">
        <v>0</v>
      </c>
      <c r="CX182">
        <v>0</v>
      </c>
      <c r="CY182" t="s">
        <v>333</v>
      </c>
      <c r="CZ182">
        <v>2.3647300000000002</v>
      </c>
      <c r="DA182">
        <v>2.7137799999999999</v>
      </c>
      <c r="DB182">
        <v>8.1344299999999994E-2</v>
      </c>
      <c r="DC182">
        <v>0.146564</v>
      </c>
      <c r="DD182">
        <v>0.126946</v>
      </c>
      <c r="DE182">
        <v>1.37217E-3</v>
      </c>
      <c r="DF182">
        <v>33544.1</v>
      </c>
      <c r="DG182">
        <v>27483.1</v>
      </c>
      <c r="DH182">
        <v>31170</v>
      </c>
      <c r="DI182">
        <v>28058.799999999999</v>
      </c>
      <c r="DJ182">
        <v>36926.6</v>
      </c>
      <c r="DK182">
        <v>39832.800000000003</v>
      </c>
      <c r="DL182">
        <v>44353</v>
      </c>
      <c r="DM182">
        <v>42506.1</v>
      </c>
      <c r="DN182">
        <v>1.4935499999999999</v>
      </c>
      <c r="DO182">
        <v>2.0604</v>
      </c>
      <c r="DP182">
        <v>7.6800599999999997E-2</v>
      </c>
      <c r="DQ182">
        <v>0.17415</v>
      </c>
      <c r="DR182">
        <v>25.744499999999999</v>
      </c>
      <c r="DS182">
        <v>25.384499999999999</v>
      </c>
      <c r="DT182">
        <v>30.3</v>
      </c>
      <c r="DU182">
        <v>26</v>
      </c>
      <c r="DV182">
        <v>10.2919</v>
      </c>
      <c r="DW182">
        <v>61.731400000000001</v>
      </c>
      <c r="DX182">
        <v>37.343800000000002</v>
      </c>
      <c r="DY182">
        <v>1</v>
      </c>
      <c r="DZ182">
        <v>-0.14316100000000001</v>
      </c>
      <c r="EA182">
        <v>-0.59136699999999998</v>
      </c>
      <c r="EB182">
        <v>20.1892</v>
      </c>
      <c r="EC182">
        <v>5.24125</v>
      </c>
      <c r="ED182">
        <v>12.039899999999999</v>
      </c>
      <c r="EE182">
        <v>5.0176499999999997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1.86876</v>
      </c>
      <c r="EL182">
        <v>1.8644700000000001</v>
      </c>
      <c r="EM182">
        <v>1.86907</v>
      </c>
      <c r="EN182">
        <v>1.8670800000000001</v>
      </c>
      <c r="EO182">
        <v>1.8632500000000001</v>
      </c>
      <c r="EP182">
        <v>1.8643099999999999</v>
      </c>
      <c r="EQ182">
        <v>1.8701099999999999</v>
      </c>
      <c r="ER182">
        <v>1.8693299999999999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-0.92100000000000004</v>
      </c>
      <c r="FG182">
        <v>0.19109999999999999</v>
      </c>
      <c r="FH182">
        <v>-0.68620417327404271</v>
      </c>
      <c r="FI182">
        <v>-6.1462078757559423E-4</v>
      </c>
      <c r="FJ182">
        <v>-1.8861989874597051E-7</v>
      </c>
      <c r="FK182">
        <v>1.1980462299894961E-10</v>
      </c>
      <c r="FL182">
        <v>0.1911242781723908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33.799999999999997</v>
      </c>
      <c r="FU182">
        <v>33.700000000000003</v>
      </c>
      <c r="FV182">
        <v>1.7626999999999999</v>
      </c>
      <c r="FW182">
        <v>2.5720200000000002</v>
      </c>
      <c r="FX182">
        <v>1.5490699999999999</v>
      </c>
      <c r="FY182">
        <v>2.34009</v>
      </c>
      <c r="FZ182">
        <v>1.50146</v>
      </c>
      <c r="GA182">
        <v>2.2814899999999998</v>
      </c>
      <c r="GB182">
        <v>31.150400000000001</v>
      </c>
      <c r="GC182">
        <v>23.982399999999998</v>
      </c>
      <c r="GD182">
        <v>19</v>
      </c>
      <c r="GE182">
        <v>287.47399999999999</v>
      </c>
      <c r="GF182">
        <v>595.65599999999995</v>
      </c>
      <c r="GG182">
        <v>25.830300000000001</v>
      </c>
      <c r="GH182">
        <v>25.614999999999998</v>
      </c>
      <c r="GI182">
        <v>30.0001</v>
      </c>
      <c r="GJ182">
        <v>25.721499999999999</v>
      </c>
      <c r="GK182">
        <v>25.6877</v>
      </c>
      <c r="GL182">
        <v>35.249600000000001</v>
      </c>
      <c r="GM182">
        <v>100</v>
      </c>
      <c r="GN182">
        <v>0</v>
      </c>
      <c r="GO182">
        <v>25.8066</v>
      </c>
      <c r="GP182">
        <v>800</v>
      </c>
      <c r="GQ182">
        <v>0</v>
      </c>
      <c r="GR182">
        <v>99.724299999999999</v>
      </c>
      <c r="GS182">
        <v>99.456400000000002</v>
      </c>
    </row>
    <row r="183" spans="1:201" x14ac:dyDescent="0.25">
      <c r="A183">
        <v>167</v>
      </c>
      <c r="B183">
        <v>1690288300.5</v>
      </c>
      <c r="C183">
        <v>1761.900000095367</v>
      </c>
      <c r="D183" t="s">
        <v>667</v>
      </c>
      <c r="E183" t="s">
        <v>668</v>
      </c>
      <c r="F183" t="s">
        <v>330</v>
      </c>
      <c r="H183">
        <v>1690288300.5</v>
      </c>
      <c r="I183">
        <f t="shared" si="60"/>
        <v>2.9393712110936812E-3</v>
      </c>
      <c r="J183">
        <f t="shared" si="61"/>
        <v>2.9393712110936812</v>
      </c>
      <c r="K183">
        <f t="shared" si="62"/>
        <v>45.311195463831133</v>
      </c>
      <c r="L183">
        <f t="shared" si="63"/>
        <v>350.68</v>
      </c>
      <c r="M183">
        <f t="shared" si="64"/>
        <v>97.651627888382393</v>
      </c>
      <c r="N183">
        <f t="shared" si="65"/>
        <v>9.7110495298504027</v>
      </c>
      <c r="O183">
        <f t="shared" si="66"/>
        <v>34.873672080719999</v>
      </c>
      <c r="P183">
        <f t="shared" si="67"/>
        <v>0.30923314906288124</v>
      </c>
      <c r="Q183">
        <f t="shared" si="68"/>
        <v>2.2944167311754549</v>
      </c>
      <c r="R183">
        <f t="shared" si="69"/>
        <v>0.28780529745742806</v>
      </c>
      <c r="S183">
        <f t="shared" si="70"/>
        <v>0.18167963386956235</v>
      </c>
      <c r="T183">
        <f t="shared" si="71"/>
        <v>276.11292041080901</v>
      </c>
      <c r="U183">
        <f t="shared" si="72"/>
        <v>27.811680877187193</v>
      </c>
      <c r="V183">
        <f t="shared" si="73"/>
        <v>27.811680877187193</v>
      </c>
      <c r="W183">
        <f t="shared" si="74"/>
        <v>3.7533775506029023</v>
      </c>
      <c r="X183">
        <f t="shared" si="75"/>
        <v>78.665179996395267</v>
      </c>
      <c r="Y183">
        <f t="shared" si="76"/>
        <v>2.7710487771245997</v>
      </c>
      <c r="Z183">
        <f t="shared" si="77"/>
        <v>3.5225862030082173</v>
      </c>
      <c r="AA183">
        <f t="shared" si="78"/>
        <v>0.98232877347830261</v>
      </c>
      <c r="AB183">
        <f t="shared" si="79"/>
        <v>-129.62627040923135</v>
      </c>
      <c r="AC183">
        <f t="shared" si="80"/>
        <v>-133.92393777518433</v>
      </c>
      <c r="AD183">
        <f t="shared" si="81"/>
        <v>-12.630944822520688</v>
      </c>
      <c r="AE183">
        <f t="shared" si="82"/>
        <v>-6.8232596127359102E-2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52354.792970831848</v>
      </c>
      <c r="AK183">
        <f t="shared" si="86"/>
        <v>1799.99</v>
      </c>
      <c r="AL183">
        <f t="shared" si="87"/>
        <v>1499.1043195963998</v>
      </c>
      <c r="AM183">
        <f t="shared" si="88"/>
        <v>0.83284035999999995</v>
      </c>
      <c r="AN183">
        <f t="shared" si="89"/>
        <v>0.1533969191</v>
      </c>
      <c r="AO183">
        <v>29.1</v>
      </c>
      <c r="AP183">
        <v>0.5</v>
      </c>
      <c r="AQ183" t="s">
        <v>331</v>
      </c>
      <c r="AR183">
        <v>2</v>
      </c>
      <c r="AS183">
        <v>1690288300.5</v>
      </c>
      <c r="AT183">
        <v>350.68</v>
      </c>
      <c r="AU183">
        <v>799.97400000000005</v>
      </c>
      <c r="AV183">
        <v>27.864899999999999</v>
      </c>
      <c r="AW183">
        <v>0.16123999999999999</v>
      </c>
      <c r="AX183">
        <v>351.601</v>
      </c>
      <c r="AY183">
        <v>27.6738</v>
      </c>
      <c r="AZ183">
        <v>300.149</v>
      </c>
      <c r="BA183">
        <v>99.345799999999997</v>
      </c>
      <c r="BB183">
        <v>0.100054</v>
      </c>
      <c r="BC183">
        <v>26.728999999999999</v>
      </c>
      <c r="BD183">
        <v>26.998899999999999</v>
      </c>
      <c r="BE183">
        <v>28.241399999999999</v>
      </c>
      <c r="BF183">
        <v>0</v>
      </c>
      <c r="BG183">
        <v>0</v>
      </c>
      <c r="BH183">
        <v>9955.6200000000008</v>
      </c>
      <c r="BI183">
        <v>1086.97</v>
      </c>
      <c r="BJ183">
        <v>1.28952</v>
      </c>
      <c r="BK183">
        <v>-449.29399999999998</v>
      </c>
      <c r="BL183">
        <v>360.73200000000003</v>
      </c>
      <c r="BM183">
        <v>800.10299999999995</v>
      </c>
      <c r="BN183">
        <v>27.703700000000001</v>
      </c>
      <c r="BO183">
        <v>799.97400000000005</v>
      </c>
      <c r="BP183">
        <v>0.16123999999999999</v>
      </c>
      <c r="BQ183">
        <v>2.7682600000000002</v>
      </c>
      <c r="BR183">
        <v>1.6018500000000001E-2</v>
      </c>
      <c r="BS183">
        <v>22.696000000000002</v>
      </c>
      <c r="BT183">
        <v>-41.541200000000003</v>
      </c>
      <c r="BU183">
        <v>1799.99</v>
      </c>
      <c r="BV183">
        <v>0.91001299999999996</v>
      </c>
      <c r="BW183">
        <v>3.4005399999999998E-2</v>
      </c>
      <c r="BX183">
        <v>2.1992999999999999E-2</v>
      </c>
      <c r="BY183">
        <v>3.3988999999999998E-2</v>
      </c>
      <c r="BZ183">
        <v>25</v>
      </c>
      <c r="CA183">
        <v>33528.400000000001</v>
      </c>
      <c r="CB183">
        <v>1690286268.5999999</v>
      </c>
      <c r="CC183" t="s">
        <v>332</v>
      </c>
      <c r="CD183">
        <v>1690286261.0999999</v>
      </c>
      <c r="CE183">
        <v>1690286268.5999999</v>
      </c>
      <c r="CF183">
        <v>1</v>
      </c>
      <c r="CG183">
        <v>-0.89900000000000002</v>
      </c>
      <c r="CH183">
        <v>3.4000000000000002E-2</v>
      </c>
      <c r="CI183">
        <v>-1.2370000000000001</v>
      </c>
      <c r="CJ183">
        <v>8.5999999999999993E-2</v>
      </c>
      <c r="CK183">
        <v>799</v>
      </c>
      <c r="CL183">
        <v>16</v>
      </c>
      <c r="CM183">
        <v>0.28999999999999998</v>
      </c>
      <c r="CN183">
        <v>0.09</v>
      </c>
      <c r="CO183">
        <v>-448.9793414634147</v>
      </c>
      <c r="CP183">
        <v>-1.92643902439112</v>
      </c>
      <c r="CQ183">
        <v>0.1972493296234101</v>
      </c>
      <c r="CR183">
        <v>-1</v>
      </c>
      <c r="CS183">
        <v>27.69614146341463</v>
      </c>
      <c r="CT183">
        <v>5.8271080139335983E-2</v>
      </c>
      <c r="CU183">
        <v>6.0141692697131066E-3</v>
      </c>
      <c r="CV183">
        <v>-1</v>
      </c>
      <c r="CW183">
        <v>0</v>
      </c>
      <c r="CX183">
        <v>0</v>
      </c>
      <c r="CY183" t="s">
        <v>333</v>
      </c>
      <c r="CZ183">
        <v>2.3652199999999999</v>
      </c>
      <c r="DA183">
        <v>2.7138100000000001</v>
      </c>
      <c r="DB183">
        <v>8.1315499999999999E-2</v>
      </c>
      <c r="DC183">
        <v>0.146565</v>
      </c>
      <c r="DD183">
        <v>0.12696399999999999</v>
      </c>
      <c r="DE183">
        <v>1.36359E-3</v>
      </c>
      <c r="DF183">
        <v>33545.599999999999</v>
      </c>
      <c r="DG183">
        <v>27483.7</v>
      </c>
      <c r="DH183">
        <v>31170.400000000001</v>
      </c>
      <c r="DI183">
        <v>28059.5</v>
      </c>
      <c r="DJ183">
        <v>36926.199999999997</v>
      </c>
      <c r="DK183">
        <v>39834.199999999997</v>
      </c>
      <c r="DL183">
        <v>44353.4</v>
      </c>
      <c r="DM183">
        <v>42507.3</v>
      </c>
      <c r="DN183">
        <v>1.4937</v>
      </c>
      <c r="DO183">
        <v>2.0600499999999999</v>
      </c>
      <c r="DP183">
        <v>7.6629199999999995E-2</v>
      </c>
      <c r="DQ183">
        <v>0.17476800000000001</v>
      </c>
      <c r="DR183">
        <v>25.744499999999999</v>
      </c>
      <c r="DS183">
        <v>25.382300000000001</v>
      </c>
      <c r="DT183">
        <v>30.3</v>
      </c>
      <c r="DU183">
        <v>26</v>
      </c>
      <c r="DV183">
        <v>10.2919</v>
      </c>
      <c r="DW183">
        <v>62.291400000000003</v>
      </c>
      <c r="DX183">
        <v>37.367800000000003</v>
      </c>
      <c r="DY183">
        <v>1</v>
      </c>
      <c r="DZ183">
        <v>-0.14349799999999999</v>
      </c>
      <c r="EA183">
        <v>-0.56474100000000005</v>
      </c>
      <c r="EB183">
        <v>20.1892</v>
      </c>
      <c r="EC183">
        <v>5.24125</v>
      </c>
      <c r="ED183">
        <v>12.039899999999999</v>
      </c>
      <c r="EE183">
        <v>5.0173500000000004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1.8687400000000001</v>
      </c>
      <c r="EL183">
        <v>1.8644700000000001</v>
      </c>
      <c r="EM183">
        <v>1.86907</v>
      </c>
      <c r="EN183">
        <v>1.8670800000000001</v>
      </c>
      <c r="EO183">
        <v>1.8632500000000001</v>
      </c>
      <c r="EP183">
        <v>1.8643099999999999</v>
      </c>
      <c r="EQ183">
        <v>1.87012</v>
      </c>
      <c r="ER183">
        <v>1.8693299999999999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-0.92100000000000004</v>
      </c>
      <c r="FG183">
        <v>0.19109999999999999</v>
      </c>
      <c r="FH183">
        <v>-0.68620417327404271</v>
      </c>
      <c r="FI183">
        <v>-6.1462078757559423E-4</v>
      </c>
      <c r="FJ183">
        <v>-1.8861989874597051E-7</v>
      </c>
      <c r="FK183">
        <v>1.1980462299894961E-10</v>
      </c>
      <c r="FL183">
        <v>0.1911242781723908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34</v>
      </c>
      <c r="FU183">
        <v>33.9</v>
      </c>
      <c r="FV183">
        <v>1.7626999999999999</v>
      </c>
      <c r="FW183">
        <v>2.5683600000000002</v>
      </c>
      <c r="FX183">
        <v>1.5490699999999999</v>
      </c>
      <c r="FY183">
        <v>2.34009</v>
      </c>
      <c r="FZ183">
        <v>1.50146</v>
      </c>
      <c r="GA183">
        <v>2.32178</v>
      </c>
      <c r="GB183">
        <v>31.1722</v>
      </c>
      <c r="GC183">
        <v>23.991199999999999</v>
      </c>
      <c r="GD183">
        <v>19</v>
      </c>
      <c r="GE183">
        <v>287.53899999999999</v>
      </c>
      <c r="GF183">
        <v>595.37</v>
      </c>
      <c r="GG183">
        <v>25.803899999999999</v>
      </c>
      <c r="GH183">
        <v>25.614999999999998</v>
      </c>
      <c r="GI183">
        <v>30.0001</v>
      </c>
      <c r="GJ183">
        <v>25.721499999999999</v>
      </c>
      <c r="GK183">
        <v>25.688300000000002</v>
      </c>
      <c r="GL183">
        <v>35.251399999999997</v>
      </c>
      <c r="GM183">
        <v>100</v>
      </c>
      <c r="GN183">
        <v>0</v>
      </c>
      <c r="GO183">
        <v>25.8004</v>
      </c>
      <c r="GP183">
        <v>800</v>
      </c>
      <c r="GQ183">
        <v>0</v>
      </c>
      <c r="GR183">
        <v>99.725399999999993</v>
      </c>
      <c r="GS183">
        <v>99.459100000000007</v>
      </c>
    </row>
    <row r="184" spans="1:201" x14ac:dyDescent="0.25">
      <c r="A184">
        <v>168</v>
      </c>
      <c r="B184">
        <v>1690288310.5</v>
      </c>
      <c r="C184">
        <v>1771.900000095367</v>
      </c>
      <c r="D184" t="s">
        <v>669</v>
      </c>
      <c r="E184" t="s">
        <v>670</v>
      </c>
      <c r="F184" t="s">
        <v>330</v>
      </c>
      <c r="H184">
        <v>1690288310.5</v>
      </c>
      <c r="I184">
        <f t="shared" si="60"/>
        <v>2.9400182241415031E-3</v>
      </c>
      <c r="J184">
        <f t="shared" si="61"/>
        <v>2.9400182241415029</v>
      </c>
      <c r="K184">
        <f t="shared" si="62"/>
        <v>45.338579375520318</v>
      </c>
      <c r="L184">
        <f t="shared" si="63"/>
        <v>350.39499999999998</v>
      </c>
      <c r="M184">
        <f t="shared" si="64"/>
        <v>97.754569814752315</v>
      </c>
      <c r="N184">
        <f t="shared" si="65"/>
        <v>9.721121276898538</v>
      </c>
      <c r="O184">
        <f t="shared" si="66"/>
        <v>34.844737143989995</v>
      </c>
      <c r="P184">
        <f t="shared" si="67"/>
        <v>0.30989438280075737</v>
      </c>
      <c r="Q184">
        <f t="shared" si="68"/>
        <v>2.2989839827547707</v>
      </c>
      <c r="R184">
        <f t="shared" si="69"/>
        <v>0.28841778163844128</v>
      </c>
      <c r="S184">
        <f t="shared" si="70"/>
        <v>0.18206651759178527</v>
      </c>
      <c r="T184">
        <f t="shared" si="71"/>
        <v>276.11276503567223</v>
      </c>
      <c r="U184">
        <f t="shared" si="72"/>
        <v>27.806804954368772</v>
      </c>
      <c r="V184">
        <f t="shared" si="73"/>
        <v>27.806804954368772</v>
      </c>
      <c r="W184">
        <f t="shared" si="74"/>
        <v>3.7523092918277139</v>
      </c>
      <c r="X184">
        <f t="shared" si="75"/>
        <v>78.700906669414636</v>
      </c>
      <c r="Y184">
        <f t="shared" si="76"/>
        <v>2.7718667939231993</v>
      </c>
      <c r="Z184">
        <f t="shared" si="77"/>
        <v>3.5220265067167564</v>
      </c>
      <c r="AA184">
        <f t="shared" si="78"/>
        <v>0.98044249790451454</v>
      </c>
      <c r="AB184">
        <f t="shared" si="79"/>
        <v>-129.65480368464029</v>
      </c>
      <c r="AC184">
        <f t="shared" si="80"/>
        <v>-133.9208359072357</v>
      </c>
      <c r="AD184">
        <f t="shared" si="81"/>
        <v>-12.605082502398499</v>
      </c>
      <c r="AE184">
        <f t="shared" si="82"/>
        <v>-6.7957058602246434E-2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52527.882330686349</v>
      </c>
      <c r="AK184">
        <f t="shared" si="86"/>
        <v>1799.99</v>
      </c>
      <c r="AL184">
        <f t="shared" si="87"/>
        <v>1499.10364100017</v>
      </c>
      <c r="AM184">
        <f t="shared" si="88"/>
        <v>0.83283998299999995</v>
      </c>
      <c r="AN184">
        <f t="shared" si="89"/>
        <v>0.15339683278000002</v>
      </c>
      <c r="AO184">
        <v>29.1</v>
      </c>
      <c r="AP184">
        <v>0.5</v>
      </c>
      <c r="AQ184" t="s">
        <v>331</v>
      </c>
      <c r="AR184">
        <v>2</v>
      </c>
      <c r="AS184">
        <v>1690288310.5</v>
      </c>
      <c r="AT184">
        <v>350.39499999999998</v>
      </c>
      <c r="AU184">
        <v>799.99800000000005</v>
      </c>
      <c r="AV184">
        <v>27.8736</v>
      </c>
      <c r="AW184">
        <v>0.16104299999999999</v>
      </c>
      <c r="AX184">
        <v>351.315</v>
      </c>
      <c r="AY184">
        <v>27.682500000000001</v>
      </c>
      <c r="AZ184">
        <v>300.11599999999999</v>
      </c>
      <c r="BA184">
        <v>99.344099999999997</v>
      </c>
      <c r="BB184">
        <v>0.100062</v>
      </c>
      <c r="BC184">
        <v>26.726299999999998</v>
      </c>
      <c r="BD184">
        <v>27.011800000000001</v>
      </c>
      <c r="BE184">
        <v>28.2242</v>
      </c>
      <c r="BF184">
        <v>0</v>
      </c>
      <c r="BG184">
        <v>0</v>
      </c>
      <c r="BH184">
        <v>9990</v>
      </c>
      <c r="BI184">
        <v>1087.07</v>
      </c>
      <c r="BJ184">
        <v>1.28952</v>
      </c>
      <c r="BK184">
        <v>-449.60300000000001</v>
      </c>
      <c r="BL184">
        <v>360.44200000000001</v>
      </c>
      <c r="BM184">
        <v>800.12699999999995</v>
      </c>
      <c r="BN184">
        <v>27.712599999999998</v>
      </c>
      <c r="BO184">
        <v>799.99800000000005</v>
      </c>
      <c r="BP184">
        <v>0.16104299999999999</v>
      </c>
      <c r="BQ184">
        <v>2.7690800000000002</v>
      </c>
      <c r="BR184">
        <v>1.5998600000000002E-2</v>
      </c>
      <c r="BS184">
        <v>22.700900000000001</v>
      </c>
      <c r="BT184">
        <v>-41.552900000000001</v>
      </c>
      <c r="BU184">
        <v>1799.99</v>
      </c>
      <c r="BV184">
        <v>0.91001299999999996</v>
      </c>
      <c r="BW184">
        <v>3.4005199999999999E-2</v>
      </c>
      <c r="BX184">
        <v>2.1992899999999999E-2</v>
      </c>
      <c r="BY184">
        <v>3.39888E-2</v>
      </c>
      <c r="BZ184">
        <v>25</v>
      </c>
      <c r="CA184">
        <v>33528.400000000001</v>
      </c>
      <c r="CB184">
        <v>1690286268.5999999</v>
      </c>
      <c r="CC184" t="s">
        <v>332</v>
      </c>
      <c r="CD184">
        <v>1690286261.0999999</v>
      </c>
      <c r="CE184">
        <v>1690286268.5999999</v>
      </c>
      <c r="CF184">
        <v>1</v>
      </c>
      <c r="CG184">
        <v>-0.89900000000000002</v>
      </c>
      <c r="CH184">
        <v>3.4000000000000002E-2</v>
      </c>
      <c r="CI184">
        <v>-1.2370000000000001</v>
      </c>
      <c r="CJ184">
        <v>8.5999999999999993E-2</v>
      </c>
      <c r="CK184">
        <v>799</v>
      </c>
      <c r="CL184">
        <v>16</v>
      </c>
      <c r="CM184">
        <v>0.28999999999999998</v>
      </c>
      <c r="CN184">
        <v>0.09</v>
      </c>
      <c r="CO184">
        <v>-449.32768292682931</v>
      </c>
      <c r="CP184">
        <v>-2.0487386759590192</v>
      </c>
      <c r="CQ184">
        <v>0.21061112460187439</v>
      </c>
      <c r="CR184">
        <v>-1</v>
      </c>
      <c r="CS184">
        <v>27.703614634146341</v>
      </c>
      <c r="CT184">
        <v>3.4538675958207463E-2</v>
      </c>
      <c r="CU184">
        <v>3.5685319093576189E-3</v>
      </c>
      <c r="CV184">
        <v>-1</v>
      </c>
      <c r="CW184">
        <v>0</v>
      </c>
      <c r="CX184">
        <v>0</v>
      </c>
      <c r="CY184" t="s">
        <v>333</v>
      </c>
      <c r="CZ184">
        <v>2.3651300000000002</v>
      </c>
      <c r="DA184">
        <v>2.7138399999999998</v>
      </c>
      <c r="DB184">
        <v>8.1262100000000004E-2</v>
      </c>
      <c r="DC184">
        <v>0.146565</v>
      </c>
      <c r="DD184">
        <v>0.12698899999999999</v>
      </c>
      <c r="DE184">
        <v>1.3619000000000001E-3</v>
      </c>
      <c r="DF184">
        <v>33547.300000000003</v>
      </c>
      <c r="DG184">
        <v>27483.200000000001</v>
      </c>
      <c r="DH184">
        <v>31170.2</v>
      </c>
      <c r="DI184">
        <v>28059</v>
      </c>
      <c r="DJ184">
        <v>36925.199999999997</v>
      </c>
      <c r="DK184">
        <v>39833.5</v>
      </c>
      <c r="DL184">
        <v>44353.5</v>
      </c>
      <c r="DM184">
        <v>42506.5</v>
      </c>
      <c r="DN184">
        <v>1.49373</v>
      </c>
      <c r="DO184">
        <v>2.0600999999999998</v>
      </c>
      <c r="DP184">
        <v>7.7419000000000002E-2</v>
      </c>
      <c r="DQ184">
        <v>0.17371800000000001</v>
      </c>
      <c r="DR184">
        <v>25.744499999999999</v>
      </c>
      <c r="DS184">
        <v>25.382300000000001</v>
      </c>
      <c r="DT184">
        <v>30.2</v>
      </c>
      <c r="DU184">
        <v>26</v>
      </c>
      <c r="DV184">
        <v>10.259399999999999</v>
      </c>
      <c r="DW184">
        <v>61.7714</v>
      </c>
      <c r="DX184">
        <v>36.875</v>
      </c>
      <c r="DY184">
        <v>1</v>
      </c>
      <c r="DZ184">
        <v>-0.143181</v>
      </c>
      <c r="EA184">
        <v>-0.62786500000000001</v>
      </c>
      <c r="EB184">
        <v>20.1892</v>
      </c>
      <c r="EC184">
        <v>5.24125</v>
      </c>
      <c r="ED184">
        <v>12.039899999999999</v>
      </c>
      <c r="EE184">
        <v>5.01755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1.86876</v>
      </c>
      <c r="EL184">
        <v>1.8644700000000001</v>
      </c>
      <c r="EM184">
        <v>1.86907</v>
      </c>
      <c r="EN184">
        <v>1.8671</v>
      </c>
      <c r="EO184">
        <v>1.8632500000000001</v>
      </c>
      <c r="EP184">
        <v>1.86432</v>
      </c>
      <c r="EQ184">
        <v>1.87012</v>
      </c>
      <c r="ER184">
        <v>1.8693200000000001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-0.92</v>
      </c>
      <c r="FG184">
        <v>0.19109999999999999</v>
      </c>
      <c r="FH184">
        <v>-0.68620417327404271</v>
      </c>
      <c r="FI184">
        <v>-6.1462078757559423E-4</v>
      </c>
      <c r="FJ184">
        <v>-1.8861989874597051E-7</v>
      </c>
      <c r="FK184">
        <v>1.1980462299894961E-10</v>
      </c>
      <c r="FL184">
        <v>0.1911242781723908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34.200000000000003</v>
      </c>
      <c r="FU184">
        <v>34</v>
      </c>
      <c r="FV184">
        <v>1.7626999999999999</v>
      </c>
      <c r="FW184">
        <v>2.5634800000000002</v>
      </c>
      <c r="FX184">
        <v>1.5490699999999999</v>
      </c>
      <c r="FY184">
        <v>2.34009</v>
      </c>
      <c r="FZ184">
        <v>1.50146</v>
      </c>
      <c r="GA184">
        <v>2.32666</v>
      </c>
      <c r="GB184">
        <v>31.1722</v>
      </c>
      <c r="GC184">
        <v>23.991199999999999</v>
      </c>
      <c r="GD184">
        <v>19</v>
      </c>
      <c r="GE184">
        <v>287.553</v>
      </c>
      <c r="GF184">
        <v>595.42899999999997</v>
      </c>
      <c r="GG184">
        <v>25.808299999999999</v>
      </c>
      <c r="GH184">
        <v>25.614999999999998</v>
      </c>
      <c r="GI184">
        <v>30.0001</v>
      </c>
      <c r="GJ184">
        <v>25.722300000000001</v>
      </c>
      <c r="GK184">
        <v>25.689800000000002</v>
      </c>
      <c r="GL184">
        <v>35.253500000000003</v>
      </c>
      <c r="GM184">
        <v>100</v>
      </c>
      <c r="GN184">
        <v>0</v>
      </c>
      <c r="GO184">
        <v>25.8108</v>
      </c>
      <c r="GP184">
        <v>800</v>
      </c>
      <c r="GQ184">
        <v>0</v>
      </c>
      <c r="GR184">
        <v>99.725200000000001</v>
      </c>
      <c r="GS184">
        <v>99.4572</v>
      </c>
    </row>
    <row r="185" spans="1:201" x14ac:dyDescent="0.25">
      <c r="A185">
        <v>169</v>
      </c>
      <c r="B185">
        <v>1690288320.5</v>
      </c>
      <c r="C185">
        <v>1781.900000095367</v>
      </c>
      <c r="D185" t="s">
        <v>671</v>
      </c>
      <c r="E185" t="s">
        <v>672</v>
      </c>
      <c r="F185" t="s">
        <v>330</v>
      </c>
      <c r="H185">
        <v>1690288320.5</v>
      </c>
      <c r="I185">
        <f t="shared" si="60"/>
        <v>2.9425513356511417E-3</v>
      </c>
      <c r="J185">
        <f t="shared" si="61"/>
        <v>2.9425513356511419</v>
      </c>
      <c r="K185">
        <f t="shared" si="62"/>
        <v>45.374206284920206</v>
      </c>
      <c r="L185">
        <f t="shared" si="63"/>
        <v>350.12799999999999</v>
      </c>
      <c r="M185">
        <f t="shared" si="64"/>
        <v>97.739061299692978</v>
      </c>
      <c r="N185">
        <f t="shared" si="65"/>
        <v>9.7196597487575147</v>
      </c>
      <c r="O185">
        <f t="shared" si="66"/>
        <v>34.818474653425596</v>
      </c>
      <c r="P185">
        <f t="shared" si="67"/>
        <v>0.31045866114678039</v>
      </c>
      <c r="Q185">
        <f t="shared" si="68"/>
        <v>2.301407448117522</v>
      </c>
      <c r="R185">
        <f t="shared" si="69"/>
        <v>0.28892769970524884</v>
      </c>
      <c r="S185">
        <f t="shared" si="70"/>
        <v>0.18238969755046158</v>
      </c>
      <c r="T185">
        <f t="shared" si="71"/>
        <v>276.11424804599994</v>
      </c>
      <c r="U185">
        <f t="shared" si="72"/>
        <v>27.810646759307375</v>
      </c>
      <c r="V185">
        <f t="shared" si="73"/>
        <v>27.810646759307375</v>
      </c>
      <c r="W185">
        <f t="shared" si="74"/>
        <v>3.7531509650650094</v>
      </c>
      <c r="X185">
        <f t="shared" si="75"/>
        <v>78.723712087027408</v>
      </c>
      <c r="Y185">
        <f t="shared" si="76"/>
        <v>2.7736002629431602</v>
      </c>
      <c r="Z185">
        <f t="shared" si="77"/>
        <v>3.5232081788483289</v>
      </c>
      <c r="AA185">
        <f t="shared" si="78"/>
        <v>0.97955070212184925</v>
      </c>
      <c r="AB185">
        <f t="shared" si="79"/>
        <v>-129.76651390221534</v>
      </c>
      <c r="AC185">
        <f t="shared" si="80"/>
        <v>-133.83145533057569</v>
      </c>
      <c r="AD185">
        <f t="shared" si="81"/>
        <v>-12.584004627943216</v>
      </c>
      <c r="AE185">
        <f t="shared" si="82"/>
        <v>-6.7725814734302503E-2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52618.637928943215</v>
      </c>
      <c r="AK185">
        <f t="shared" si="86"/>
        <v>1800</v>
      </c>
      <c r="AL185">
        <f t="shared" si="87"/>
        <v>1499.1121026000001</v>
      </c>
      <c r="AM185">
        <f t="shared" si="88"/>
        <v>0.83284005700000008</v>
      </c>
      <c r="AN185">
        <f t="shared" si="89"/>
        <v>0.15339680446999998</v>
      </c>
      <c r="AO185">
        <v>29.1</v>
      </c>
      <c r="AP185">
        <v>0.5</v>
      </c>
      <c r="AQ185" t="s">
        <v>331</v>
      </c>
      <c r="AR185">
        <v>2</v>
      </c>
      <c r="AS185">
        <v>1690288320.5</v>
      </c>
      <c r="AT185">
        <v>350.12799999999999</v>
      </c>
      <c r="AU185">
        <v>799.98599999999999</v>
      </c>
      <c r="AV185">
        <v>27.890799999999999</v>
      </c>
      <c r="AW185">
        <v>0.160493</v>
      </c>
      <c r="AX185">
        <v>351.048</v>
      </c>
      <c r="AY185">
        <v>27.6997</v>
      </c>
      <c r="AZ185">
        <v>300.17700000000002</v>
      </c>
      <c r="BA185">
        <v>99.344999999999999</v>
      </c>
      <c r="BB185">
        <v>9.9987699999999999E-2</v>
      </c>
      <c r="BC185">
        <v>26.731999999999999</v>
      </c>
      <c r="BD185">
        <v>26.989899999999999</v>
      </c>
      <c r="BE185">
        <v>28.221399999999999</v>
      </c>
      <c r="BF185">
        <v>0</v>
      </c>
      <c r="BG185">
        <v>0</v>
      </c>
      <c r="BH185">
        <v>10008.1</v>
      </c>
      <c r="BI185">
        <v>1087.01</v>
      </c>
      <c r="BJ185">
        <v>1.28952</v>
      </c>
      <c r="BK185">
        <v>-449.858</v>
      </c>
      <c r="BL185">
        <v>360.173</v>
      </c>
      <c r="BM185">
        <v>800.11400000000003</v>
      </c>
      <c r="BN185">
        <v>27.7303</v>
      </c>
      <c r="BO185">
        <v>799.98599999999999</v>
      </c>
      <c r="BP185">
        <v>0.160493</v>
      </c>
      <c r="BQ185">
        <v>2.77081</v>
      </c>
      <c r="BR185">
        <v>1.5944199999999999E-2</v>
      </c>
      <c r="BS185">
        <v>22.711200000000002</v>
      </c>
      <c r="BT185">
        <v>-41.585000000000001</v>
      </c>
      <c r="BU185">
        <v>1800</v>
      </c>
      <c r="BV185">
        <v>0.91001399999999999</v>
      </c>
      <c r="BW185">
        <v>3.4004800000000002E-2</v>
      </c>
      <c r="BX185">
        <v>2.1992600000000001E-2</v>
      </c>
      <c r="BY185">
        <v>3.3988499999999998E-2</v>
      </c>
      <c r="BZ185">
        <v>25</v>
      </c>
      <c r="CA185">
        <v>33528.5</v>
      </c>
      <c r="CB185">
        <v>1690286268.5999999</v>
      </c>
      <c r="CC185" t="s">
        <v>332</v>
      </c>
      <c r="CD185">
        <v>1690286261.0999999</v>
      </c>
      <c r="CE185">
        <v>1690286268.5999999</v>
      </c>
      <c r="CF185">
        <v>1</v>
      </c>
      <c r="CG185">
        <v>-0.89900000000000002</v>
      </c>
      <c r="CH185">
        <v>3.4000000000000002E-2</v>
      </c>
      <c r="CI185">
        <v>-1.2370000000000001</v>
      </c>
      <c r="CJ185">
        <v>8.5999999999999993E-2</v>
      </c>
      <c r="CK185">
        <v>799</v>
      </c>
      <c r="CL185">
        <v>16</v>
      </c>
      <c r="CM185">
        <v>0.28999999999999998</v>
      </c>
      <c r="CN185">
        <v>0.09</v>
      </c>
      <c r="CO185">
        <v>-449.63060975609761</v>
      </c>
      <c r="CP185">
        <v>-1.7709407665507131</v>
      </c>
      <c r="CQ185">
        <v>0.1832931648890983</v>
      </c>
      <c r="CR185">
        <v>-1</v>
      </c>
      <c r="CS185">
        <v>27.71245609756097</v>
      </c>
      <c r="CT185">
        <v>7.5217421602836759E-2</v>
      </c>
      <c r="CU185">
        <v>7.6068983064148856E-3</v>
      </c>
      <c r="CV185">
        <v>-1</v>
      </c>
      <c r="CW185">
        <v>0</v>
      </c>
      <c r="CX185">
        <v>0</v>
      </c>
      <c r="CY185" t="s">
        <v>333</v>
      </c>
      <c r="CZ185">
        <v>2.3653300000000002</v>
      </c>
      <c r="DA185">
        <v>2.7137899999999999</v>
      </c>
      <c r="DB185">
        <v>8.1213900000000006E-2</v>
      </c>
      <c r="DC185">
        <v>0.146564</v>
      </c>
      <c r="DD185">
        <v>0.12704399999999999</v>
      </c>
      <c r="DE185">
        <v>1.35731E-3</v>
      </c>
      <c r="DF185">
        <v>33549.1</v>
      </c>
      <c r="DG185">
        <v>27483.8</v>
      </c>
      <c r="DH185">
        <v>31170.2</v>
      </c>
      <c r="DI185">
        <v>28059.5</v>
      </c>
      <c r="DJ185">
        <v>36922.699999999997</v>
      </c>
      <c r="DK185">
        <v>39834.5</v>
      </c>
      <c r="DL185">
        <v>44353.3</v>
      </c>
      <c r="DM185">
        <v>42507.3</v>
      </c>
      <c r="DN185">
        <v>1.4936199999999999</v>
      </c>
      <c r="DO185">
        <v>2.06</v>
      </c>
      <c r="DP185">
        <v>7.61598E-2</v>
      </c>
      <c r="DQ185">
        <v>0.17367299999999999</v>
      </c>
      <c r="DR185">
        <v>25.743200000000002</v>
      </c>
      <c r="DS185">
        <v>25.380199999999999</v>
      </c>
      <c r="DT185">
        <v>30.1</v>
      </c>
      <c r="DU185">
        <v>26</v>
      </c>
      <c r="DV185">
        <v>10.2241</v>
      </c>
      <c r="DW185">
        <v>62.121400000000001</v>
      </c>
      <c r="DX185">
        <v>36.638599999999997</v>
      </c>
      <c r="DY185">
        <v>1</v>
      </c>
      <c r="DZ185">
        <v>-0.14315800000000001</v>
      </c>
      <c r="EA185">
        <v>-0.58423499999999995</v>
      </c>
      <c r="EB185">
        <v>20.189299999999999</v>
      </c>
      <c r="EC185">
        <v>5.24125</v>
      </c>
      <c r="ED185">
        <v>12.039899999999999</v>
      </c>
      <c r="EE185">
        <v>5.0171999999999999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1.8687499999999999</v>
      </c>
      <c r="EL185">
        <v>1.8644700000000001</v>
      </c>
      <c r="EM185">
        <v>1.86907</v>
      </c>
      <c r="EN185">
        <v>1.8670800000000001</v>
      </c>
      <c r="EO185">
        <v>1.8632500000000001</v>
      </c>
      <c r="EP185">
        <v>1.86432</v>
      </c>
      <c r="EQ185">
        <v>1.8701099999999999</v>
      </c>
      <c r="ER185">
        <v>1.86934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-0.92</v>
      </c>
      <c r="FG185">
        <v>0.19109999999999999</v>
      </c>
      <c r="FH185">
        <v>-0.68620417327404271</v>
      </c>
      <c r="FI185">
        <v>-6.1462078757559423E-4</v>
      </c>
      <c r="FJ185">
        <v>-1.8861989874597051E-7</v>
      </c>
      <c r="FK185">
        <v>1.1980462299894961E-10</v>
      </c>
      <c r="FL185">
        <v>0.1911242781723908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34.299999999999997</v>
      </c>
      <c r="FU185">
        <v>34.200000000000003</v>
      </c>
      <c r="FV185">
        <v>1.7639199999999999</v>
      </c>
      <c r="FW185">
        <v>2.5683600000000002</v>
      </c>
      <c r="FX185">
        <v>1.5490699999999999</v>
      </c>
      <c r="FY185">
        <v>2.34009</v>
      </c>
      <c r="FZ185">
        <v>1.50146</v>
      </c>
      <c r="GA185">
        <v>2.3974600000000001</v>
      </c>
      <c r="GB185">
        <v>31.193899999999999</v>
      </c>
      <c r="GC185">
        <v>23.991199999999999</v>
      </c>
      <c r="GD185">
        <v>19</v>
      </c>
      <c r="GE185">
        <v>287.517</v>
      </c>
      <c r="GF185">
        <v>595.34500000000003</v>
      </c>
      <c r="GG185">
        <v>25.807600000000001</v>
      </c>
      <c r="GH185">
        <v>25.614999999999998</v>
      </c>
      <c r="GI185">
        <v>30.0001</v>
      </c>
      <c r="GJ185">
        <v>25.723700000000001</v>
      </c>
      <c r="GK185">
        <v>25.689800000000002</v>
      </c>
      <c r="GL185">
        <v>35.255000000000003</v>
      </c>
      <c r="GM185">
        <v>100</v>
      </c>
      <c r="GN185">
        <v>0</v>
      </c>
      <c r="GO185">
        <v>25.8094</v>
      </c>
      <c r="GP185">
        <v>800</v>
      </c>
      <c r="GQ185">
        <v>0</v>
      </c>
      <c r="GR185">
        <v>99.724999999999994</v>
      </c>
      <c r="GS185">
        <v>99.459199999999996</v>
      </c>
    </row>
    <row r="186" spans="1:201" x14ac:dyDescent="0.25">
      <c r="A186">
        <v>170</v>
      </c>
      <c r="B186">
        <v>1690288330.5</v>
      </c>
      <c r="C186">
        <v>1791.900000095367</v>
      </c>
      <c r="D186" t="s">
        <v>673</v>
      </c>
      <c r="E186" t="s">
        <v>674</v>
      </c>
      <c r="F186" t="s">
        <v>330</v>
      </c>
      <c r="H186">
        <v>1690288330.5</v>
      </c>
      <c r="I186">
        <f t="shared" si="60"/>
        <v>2.9440543434337794E-3</v>
      </c>
      <c r="J186">
        <f t="shared" si="61"/>
        <v>2.9440543434337796</v>
      </c>
      <c r="K186">
        <f t="shared" si="62"/>
        <v>45.404199617403847</v>
      </c>
      <c r="L186">
        <f t="shared" si="63"/>
        <v>349.69499999999999</v>
      </c>
      <c r="M186">
        <f t="shared" si="64"/>
        <v>98.174721837522611</v>
      </c>
      <c r="N186">
        <f t="shared" si="65"/>
        <v>9.7630999990172072</v>
      </c>
      <c r="O186">
        <f t="shared" si="66"/>
        <v>34.775828138393997</v>
      </c>
      <c r="P186">
        <f t="shared" si="67"/>
        <v>0.31180030642099343</v>
      </c>
      <c r="Q186">
        <f t="shared" si="68"/>
        <v>2.3034192715332389</v>
      </c>
      <c r="R186">
        <f t="shared" si="69"/>
        <v>0.29010737413714172</v>
      </c>
      <c r="S186">
        <f t="shared" si="70"/>
        <v>0.18314020783478069</v>
      </c>
      <c r="T186">
        <f t="shared" si="71"/>
        <v>276.11402248800005</v>
      </c>
      <c r="U186">
        <f t="shared" si="72"/>
        <v>27.803200986834618</v>
      </c>
      <c r="V186">
        <f t="shared" si="73"/>
        <v>27.803200986834618</v>
      </c>
      <c r="W186">
        <f t="shared" si="74"/>
        <v>3.7515198743861999</v>
      </c>
      <c r="X186">
        <f t="shared" si="75"/>
        <v>78.804303960640553</v>
      </c>
      <c r="Y186">
        <f t="shared" si="76"/>
        <v>2.7754431362027998</v>
      </c>
      <c r="Z186">
        <f t="shared" si="77"/>
        <v>3.5219435953511082</v>
      </c>
      <c r="AA186">
        <f t="shared" si="78"/>
        <v>0.97607673818340013</v>
      </c>
      <c r="AB186">
        <f t="shared" si="79"/>
        <v>-129.83279654542969</v>
      </c>
      <c r="AC186">
        <f t="shared" si="80"/>
        <v>-133.78132625791852</v>
      </c>
      <c r="AD186">
        <f t="shared" si="81"/>
        <v>-12.567453660191278</v>
      </c>
      <c r="AE186">
        <f t="shared" si="82"/>
        <v>-6.7553975539453859E-2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52695.955634488986</v>
      </c>
      <c r="AK186">
        <f t="shared" si="86"/>
        <v>1800</v>
      </c>
      <c r="AL186">
        <f t="shared" si="87"/>
        <v>1499.1121188</v>
      </c>
      <c r="AM186">
        <f t="shared" si="88"/>
        <v>0.83284006599999993</v>
      </c>
      <c r="AN186">
        <f t="shared" si="89"/>
        <v>0.15339667916000002</v>
      </c>
      <c r="AO186">
        <v>29.1</v>
      </c>
      <c r="AP186">
        <v>0.5</v>
      </c>
      <c r="AQ186" t="s">
        <v>331</v>
      </c>
      <c r="AR186">
        <v>2</v>
      </c>
      <c r="AS186">
        <v>1690288330.5</v>
      </c>
      <c r="AT186">
        <v>349.69499999999999</v>
      </c>
      <c r="AU186">
        <v>799.92200000000003</v>
      </c>
      <c r="AV186">
        <v>27.908999999999999</v>
      </c>
      <c r="AW186">
        <v>0.159779</v>
      </c>
      <c r="AX186">
        <v>350.61500000000001</v>
      </c>
      <c r="AY186">
        <v>27.7178</v>
      </c>
      <c r="AZ186">
        <v>300.12</v>
      </c>
      <c r="BA186">
        <v>99.346199999999996</v>
      </c>
      <c r="BB186">
        <v>9.9969199999999994E-2</v>
      </c>
      <c r="BC186">
        <v>26.725899999999999</v>
      </c>
      <c r="BD186">
        <v>26.993400000000001</v>
      </c>
      <c r="BE186">
        <v>28.2195</v>
      </c>
      <c r="BF186">
        <v>0</v>
      </c>
      <c r="BG186">
        <v>0</v>
      </c>
      <c r="BH186">
        <v>10023.1</v>
      </c>
      <c r="BI186">
        <v>1087.01</v>
      </c>
      <c r="BJ186">
        <v>1.28952</v>
      </c>
      <c r="BK186">
        <v>-450.22699999999998</v>
      </c>
      <c r="BL186">
        <v>359.73500000000001</v>
      </c>
      <c r="BM186">
        <v>800.04899999999998</v>
      </c>
      <c r="BN186">
        <v>27.749199999999998</v>
      </c>
      <c r="BO186">
        <v>799.92200000000003</v>
      </c>
      <c r="BP186">
        <v>0.159779</v>
      </c>
      <c r="BQ186">
        <v>2.7726500000000001</v>
      </c>
      <c r="BR186">
        <v>1.5873399999999999E-2</v>
      </c>
      <c r="BS186">
        <v>22.722100000000001</v>
      </c>
      <c r="BT186">
        <v>-41.627000000000002</v>
      </c>
      <c r="BU186">
        <v>1800</v>
      </c>
      <c r="BV186">
        <v>0.91001699999999996</v>
      </c>
      <c r="BW186">
        <v>3.4003600000000002E-2</v>
      </c>
      <c r="BX186">
        <v>2.1991799999999999E-2</v>
      </c>
      <c r="BY186">
        <v>3.3987200000000002E-2</v>
      </c>
      <c r="BZ186">
        <v>25</v>
      </c>
      <c r="CA186">
        <v>33528.5</v>
      </c>
      <c r="CB186">
        <v>1690286268.5999999</v>
      </c>
      <c r="CC186" t="s">
        <v>332</v>
      </c>
      <c r="CD186">
        <v>1690286261.0999999</v>
      </c>
      <c r="CE186">
        <v>1690286268.5999999</v>
      </c>
      <c r="CF186">
        <v>1</v>
      </c>
      <c r="CG186">
        <v>-0.89900000000000002</v>
      </c>
      <c r="CH186">
        <v>3.4000000000000002E-2</v>
      </c>
      <c r="CI186">
        <v>-1.2370000000000001</v>
      </c>
      <c r="CJ186">
        <v>8.5999999999999993E-2</v>
      </c>
      <c r="CK186">
        <v>799</v>
      </c>
      <c r="CL186">
        <v>16</v>
      </c>
      <c r="CM186">
        <v>0.28999999999999998</v>
      </c>
      <c r="CN186">
        <v>0.09</v>
      </c>
      <c r="CO186">
        <v>-449.9226585365854</v>
      </c>
      <c r="CP186">
        <v>-2.1013588850169511</v>
      </c>
      <c r="CQ186">
        <v>0.2143718685762683</v>
      </c>
      <c r="CR186">
        <v>-1</v>
      </c>
      <c r="CS186">
        <v>27.72851951219512</v>
      </c>
      <c r="CT186">
        <v>0.1161804878048525</v>
      </c>
      <c r="CU186">
        <v>1.1497363844456191E-2</v>
      </c>
      <c r="CV186">
        <v>-1</v>
      </c>
      <c r="CW186">
        <v>0</v>
      </c>
      <c r="CX186">
        <v>0</v>
      </c>
      <c r="CY186" t="s">
        <v>333</v>
      </c>
      <c r="CZ186">
        <v>2.3651300000000002</v>
      </c>
      <c r="DA186">
        <v>2.7137799999999999</v>
      </c>
      <c r="DB186">
        <v>8.1136100000000003E-2</v>
      </c>
      <c r="DC186">
        <v>0.14655799999999999</v>
      </c>
      <c r="DD186">
        <v>0.12710299999999999</v>
      </c>
      <c r="DE186">
        <v>1.3513500000000001E-3</v>
      </c>
      <c r="DF186">
        <v>33552.1</v>
      </c>
      <c r="DG186">
        <v>27484.1</v>
      </c>
      <c r="DH186">
        <v>31170.400000000001</v>
      </c>
      <c r="DI186">
        <v>28059.7</v>
      </c>
      <c r="DJ186">
        <v>36920.400000000001</v>
      </c>
      <c r="DK186">
        <v>39835.1</v>
      </c>
      <c r="DL186">
        <v>44353.599999999999</v>
      </c>
      <c r="DM186">
        <v>42507.7</v>
      </c>
      <c r="DN186">
        <v>1.4935499999999999</v>
      </c>
      <c r="DO186">
        <v>2.0600200000000002</v>
      </c>
      <c r="DP186">
        <v>7.6428099999999999E-2</v>
      </c>
      <c r="DQ186">
        <v>0.17368800000000001</v>
      </c>
      <c r="DR186">
        <v>25.7423</v>
      </c>
      <c r="DS186">
        <v>25.3781</v>
      </c>
      <c r="DT186">
        <v>30</v>
      </c>
      <c r="DU186">
        <v>26</v>
      </c>
      <c r="DV186">
        <v>10.187900000000001</v>
      </c>
      <c r="DW186">
        <v>62.111400000000003</v>
      </c>
      <c r="DX186">
        <v>36.354199999999999</v>
      </c>
      <c r="DY186">
        <v>1</v>
      </c>
      <c r="DZ186">
        <v>-0.14289099999999999</v>
      </c>
      <c r="EA186">
        <v>-0.61227399999999998</v>
      </c>
      <c r="EB186">
        <v>20.1891</v>
      </c>
      <c r="EC186">
        <v>5.24125</v>
      </c>
      <c r="ED186">
        <v>12.039899999999999</v>
      </c>
      <c r="EE186">
        <v>5.0170000000000003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1.86876</v>
      </c>
      <c r="EL186">
        <v>1.8644700000000001</v>
      </c>
      <c r="EM186">
        <v>1.8690800000000001</v>
      </c>
      <c r="EN186">
        <v>1.8670800000000001</v>
      </c>
      <c r="EO186">
        <v>1.8632500000000001</v>
      </c>
      <c r="EP186">
        <v>1.86432</v>
      </c>
      <c r="EQ186">
        <v>1.87012</v>
      </c>
      <c r="ER186">
        <v>1.8693200000000001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-0.92</v>
      </c>
      <c r="FG186">
        <v>0.19120000000000001</v>
      </c>
      <c r="FH186">
        <v>-0.68620417327404271</v>
      </c>
      <c r="FI186">
        <v>-6.1462078757559423E-4</v>
      </c>
      <c r="FJ186">
        <v>-1.8861989874597051E-7</v>
      </c>
      <c r="FK186">
        <v>1.1980462299894961E-10</v>
      </c>
      <c r="FL186">
        <v>0.1911242781723908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34.5</v>
      </c>
      <c r="FU186">
        <v>34.4</v>
      </c>
      <c r="FV186">
        <v>1.7639199999999999</v>
      </c>
      <c r="FW186">
        <v>2.5732400000000002</v>
      </c>
      <c r="FX186">
        <v>1.5490699999999999</v>
      </c>
      <c r="FY186">
        <v>2.34009</v>
      </c>
      <c r="FZ186">
        <v>1.50146</v>
      </c>
      <c r="GA186">
        <v>2.3290999999999999</v>
      </c>
      <c r="GB186">
        <v>31.193899999999999</v>
      </c>
      <c r="GC186">
        <v>23.982399999999998</v>
      </c>
      <c r="GD186">
        <v>19</v>
      </c>
      <c r="GE186">
        <v>287.48500000000001</v>
      </c>
      <c r="GF186">
        <v>595.36599999999999</v>
      </c>
      <c r="GG186">
        <v>25.8126</v>
      </c>
      <c r="GH186">
        <v>25.6172</v>
      </c>
      <c r="GI186">
        <v>30.0002</v>
      </c>
      <c r="GJ186">
        <v>25.723700000000001</v>
      </c>
      <c r="GK186">
        <v>25.689800000000002</v>
      </c>
      <c r="GL186">
        <v>35.255000000000003</v>
      </c>
      <c r="GM186">
        <v>100</v>
      </c>
      <c r="GN186">
        <v>0</v>
      </c>
      <c r="GO186">
        <v>25.818899999999999</v>
      </c>
      <c r="GP186">
        <v>800</v>
      </c>
      <c r="GQ186">
        <v>0</v>
      </c>
      <c r="GR186">
        <v>99.725499999999997</v>
      </c>
      <c r="GS186">
        <v>99.46</v>
      </c>
    </row>
    <row r="187" spans="1:201" x14ac:dyDescent="0.25">
      <c r="A187">
        <v>171</v>
      </c>
      <c r="B187">
        <v>1690288340.5</v>
      </c>
      <c r="C187">
        <v>1801.900000095367</v>
      </c>
      <c r="D187" t="s">
        <v>675</v>
      </c>
      <c r="E187" t="s">
        <v>676</v>
      </c>
      <c r="F187" t="s">
        <v>330</v>
      </c>
      <c r="H187">
        <v>1690288340.5</v>
      </c>
      <c r="I187">
        <f t="shared" si="60"/>
        <v>2.9472046577937025E-3</v>
      </c>
      <c r="J187">
        <f t="shared" si="61"/>
        <v>2.9472046577937023</v>
      </c>
      <c r="K187">
        <f t="shared" si="62"/>
        <v>45.445767057396957</v>
      </c>
      <c r="L187">
        <f t="shared" si="63"/>
        <v>349.39</v>
      </c>
      <c r="M187">
        <f t="shared" si="64"/>
        <v>98.49756242828407</v>
      </c>
      <c r="N187">
        <f t="shared" si="65"/>
        <v>9.7949976951173934</v>
      </c>
      <c r="O187">
        <f t="shared" si="66"/>
        <v>34.744760787240992</v>
      </c>
      <c r="P187">
        <f t="shared" si="67"/>
        <v>0.3129477118756584</v>
      </c>
      <c r="Q187">
        <f t="shared" si="68"/>
        <v>2.3020608873186443</v>
      </c>
      <c r="R187">
        <f t="shared" si="69"/>
        <v>0.29108889850113051</v>
      </c>
      <c r="S187">
        <f t="shared" si="70"/>
        <v>0.18376709819839102</v>
      </c>
      <c r="T187">
        <f t="shared" si="71"/>
        <v>276.11255434684273</v>
      </c>
      <c r="U187">
        <f t="shared" si="72"/>
        <v>27.805245495849544</v>
      </c>
      <c r="V187">
        <f t="shared" si="73"/>
        <v>27.805245495849544</v>
      </c>
      <c r="W187">
        <f t="shared" si="74"/>
        <v>3.7519676883451778</v>
      </c>
      <c r="X187">
        <f t="shared" si="75"/>
        <v>78.870370899395596</v>
      </c>
      <c r="Y187">
        <f t="shared" si="76"/>
        <v>2.7781787017064898</v>
      </c>
      <c r="Z187">
        <f t="shared" si="77"/>
        <v>3.522461819344354</v>
      </c>
      <c r="AA187">
        <f t="shared" si="78"/>
        <v>0.97378898663868796</v>
      </c>
      <c r="AB187">
        <f t="shared" si="79"/>
        <v>-129.97172540870227</v>
      </c>
      <c r="AC187">
        <f t="shared" si="80"/>
        <v>-133.64590165175031</v>
      </c>
      <c r="AD187">
        <f t="shared" si="81"/>
        <v>-12.562425205635369</v>
      </c>
      <c r="AE187">
        <f t="shared" si="82"/>
        <v>-6.7497919245198545E-2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52643.999902200972</v>
      </c>
      <c r="AK187">
        <f t="shared" si="86"/>
        <v>1799.99</v>
      </c>
      <c r="AL187">
        <f t="shared" si="87"/>
        <v>1499.1047569939701</v>
      </c>
      <c r="AM187">
        <f t="shared" si="88"/>
        <v>0.83284060300000007</v>
      </c>
      <c r="AN187">
        <f t="shared" si="89"/>
        <v>0.15339671573000002</v>
      </c>
      <c r="AO187">
        <v>29.1</v>
      </c>
      <c r="AP187">
        <v>0.5</v>
      </c>
      <c r="AQ187" t="s">
        <v>331</v>
      </c>
      <c r="AR187">
        <v>2</v>
      </c>
      <c r="AS187">
        <v>1690288340.5</v>
      </c>
      <c r="AT187">
        <v>349.39</v>
      </c>
      <c r="AU187">
        <v>800.01300000000003</v>
      </c>
      <c r="AV187">
        <v>27.937100000000001</v>
      </c>
      <c r="AW187">
        <v>0.15954399999999999</v>
      </c>
      <c r="AX187">
        <v>350.31</v>
      </c>
      <c r="AY187">
        <v>27.745899999999999</v>
      </c>
      <c r="AZ187">
        <v>300.12599999999998</v>
      </c>
      <c r="BA187">
        <v>99.344099999999997</v>
      </c>
      <c r="BB187">
        <v>9.9961900000000006E-2</v>
      </c>
      <c r="BC187">
        <v>26.728400000000001</v>
      </c>
      <c r="BD187">
        <v>26.997299999999999</v>
      </c>
      <c r="BE187">
        <v>28.236499999999999</v>
      </c>
      <c r="BF187">
        <v>0</v>
      </c>
      <c r="BG187">
        <v>0</v>
      </c>
      <c r="BH187">
        <v>10013.1</v>
      </c>
      <c r="BI187">
        <v>1087.05</v>
      </c>
      <c r="BJ187">
        <v>1.28952</v>
      </c>
      <c r="BK187">
        <v>-450.62299999999999</v>
      </c>
      <c r="BL187">
        <v>359.43200000000002</v>
      </c>
      <c r="BM187">
        <v>800.14099999999996</v>
      </c>
      <c r="BN187">
        <v>27.7775</v>
      </c>
      <c r="BO187">
        <v>800.01300000000003</v>
      </c>
      <c r="BP187">
        <v>0.15954399999999999</v>
      </c>
      <c r="BQ187">
        <v>2.7753800000000002</v>
      </c>
      <c r="BR187">
        <v>1.5849800000000001E-2</v>
      </c>
      <c r="BS187">
        <v>22.738399999999999</v>
      </c>
      <c r="BT187">
        <v>-41.640999999999998</v>
      </c>
      <c r="BU187">
        <v>1799.99</v>
      </c>
      <c r="BV187">
        <v>0.91001900000000002</v>
      </c>
      <c r="BW187">
        <v>3.4002999999999999E-2</v>
      </c>
      <c r="BX187">
        <v>2.1991400000000001E-2</v>
      </c>
      <c r="BY187">
        <v>3.3986700000000002E-2</v>
      </c>
      <c r="BZ187">
        <v>25</v>
      </c>
      <c r="CA187">
        <v>33528.400000000001</v>
      </c>
      <c r="CB187">
        <v>1690286268.5999999</v>
      </c>
      <c r="CC187" t="s">
        <v>332</v>
      </c>
      <c r="CD187">
        <v>1690286261.0999999</v>
      </c>
      <c r="CE187">
        <v>1690286268.5999999</v>
      </c>
      <c r="CF187">
        <v>1</v>
      </c>
      <c r="CG187">
        <v>-0.89900000000000002</v>
      </c>
      <c r="CH187">
        <v>3.4000000000000002E-2</v>
      </c>
      <c r="CI187">
        <v>-1.2370000000000001</v>
      </c>
      <c r="CJ187">
        <v>8.5999999999999993E-2</v>
      </c>
      <c r="CK187">
        <v>799</v>
      </c>
      <c r="CL187">
        <v>16</v>
      </c>
      <c r="CM187">
        <v>0.28999999999999998</v>
      </c>
      <c r="CN187">
        <v>0.09</v>
      </c>
      <c r="CO187">
        <v>-450.25794999999999</v>
      </c>
      <c r="CP187">
        <v>-2.0114521575973181</v>
      </c>
      <c r="CQ187">
        <v>0.20265573641029769</v>
      </c>
      <c r="CR187">
        <v>-1</v>
      </c>
      <c r="CS187">
        <v>27.750732500000002</v>
      </c>
      <c r="CT187">
        <v>0.1339418386490725</v>
      </c>
      <c r="CU187">
        <v>1.2973557482433101E-2</v>
      </c>
      <c r="CV187">
        <v>-1</v>
      </c>
      <c r="CW187">
        <v>0</v>
      </c>
      <c r="CX187">
        <v>0</v>
      </c>
      <c r="CY187" t="s">
        <v>333</v>
      </c>
      <c r="CZ187">
        <v>2.3651399999999998</v>
      </c>
      <c r="DA187">
        <v>2.7137600000000002</v>
      </c>
      <c r="DB187">
        <v>8.1078800000000006E-2</v>
      </c>
      <c r="DC187">
        <v>0.146566</v>
      </c>
      <c r="DD187">
        <v>0.127189</v>
      </c>
      <c r="DE187">
        <v>1.34935E-3</v>
      </c>
      <c r="DF187">
        <v>33554.5</v>
      </c>
      <c r="DG187">
        <v>27483.8</v>
      </c>
      <c r="DH187">
        <v>31170.6</v>
      </c>
      <c r="DI187">
        <v>28059.7</v>
      </c>
      <c r="DJ187">
        <v>36917.1</v>
      </c>
      <c r="DK187">
        <v>39835.199999999997</v>
      </c>
      <c r="DL187">
        <v>44354.1</v>
      </c>
      <c r="DM187">
        <v>42507.8</v>
      </c>
      <c r="DN187">
        <v>1.4936700000000001</v>
      </c>
      <c r="DO187">
        <v>2.0599500000000002</v>
      </c>
      <c r="DP187">
        <v>7.6793100000000003E-2</v>
      </c>
      <c r="DQ187">
        <v>0.17485800000000001</v>
      </c>
      <c r="DR187">
        <v>25.740100000000002</v>
      </c>
      <c r="DS187">
        <v>25.375900000000001</v>
      </c>
      <c r="DT187">
        <v>30</v>
      </c>
      <c r="DU187">
        <v>26</v>
      </c>
      <c r="DV187">
        <v>10.189</v>
      </c>
      <c r="DW187">
        <v>62.101399999999998</v>
      </c>
      <c r="DX187">
        <v>36.570500000000003</v>
      </c>
      <c r="DY187">
        <v>1</v>
      </c>
      <c r="DZ187">
        <v>-0.14291200000000001</v>
      </c>
      <c r="EA187">
        <v>-0.61482800000000004</v>
      </c>
      <c r="EB187">
        <v>20.1891</v>
      </c>
      <c r="EC187">
        <v>5.2409499999999998</v>
      </c>
      <c r="ED187">
        <v>12.039899999999999</v>
      </c>
      <c r="EE187">
        <v>5.0171000000000001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1.86876</v>
      </c>
      <c r="EL187">
        <v>1.8644700000000001</v>
      </c>
      <c r="EM187">
        <v>1.8690599999999999</v>
      </c>
      <c r="EN187">
        <v>1.8671</v>
      </c>
      <c r="EO187">
        <v>1.8632500000000001</v>
      </c>
      <c r="EP187">
        <v>1.86432</v>
      </c>
      <c r="EQ187">
        <v>1.87012</v>
      </c>
      <c r="ER187">
        <v>1.86934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-0.92</v>
      </c>
      <c r="FG187">
        <v>0.19120000000000001</v>
      </c>
      <c r="FH187">
        <v>-0.68620417327404271</v>
      </c>
      <c r="FI187">
        <v>-6.1462078757559423E-4</v>
      </c>
      <c r="FJ187">
        <v>-1.8861989874597051E-7</v>
      </c>
      <c r="FK187">
        <v>1.1980462299894961E-10</v>
      </c>
      <c r="FL187">
        <v>0.1911242781723908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34.700000000000003</v>
      </c>
      <c r="FU187">
        <v>34.5</v>
      </c>
      <c r="FV187">
        <v>1.7639199999999999</v>
      </c>
      <c r="FW187">
        <v>2.5720200000000002</v>
      </c>
      <c r="FX187">
        <v>1.5490699999999999</v>
      </c>
      <c r="FY187">
        <v>2.34009</v>
      </c>
      <c r="FZ187">
        <v>1.50146</v>
      </c>
      <c r="GA187">
        <v>2.2814899999999998</v>
      </c>
      <c r="GB187">
        <v>31.215599999999998</v>
      </c>
      <c r="GC187">
        <v>23.973700000000001</v>
      </c>
      <c r="GD187">
        <v>19</v>
      </c>
      <c r="GE187">
        <v>287.54899999999998</v>
      </c>
      <c r="GF187">
        <v>595.32799999999997</v>
      </c>
      <c r="GG187">
        <v>25.821899999999999</v>
      </c>
      <c r="GH187">
        <v>25.6172</v>
      </c>
      <c r="GI187">
        <v>29.9999</v>
      </c>
      <c r="GJ187">
        <v>25.7258</v>
      </c>
      <c r="GK187">
        <v>25.6919</v>
      </c>
      <c r="GL187">
        <v>35.253700000000002</v>
      </c>
      <c r="GM187">
        <v>100</v>
      </c>
      <c r="GN187">
        <v>0</v>
      </c>
      <c r="GO187">
        <v>25.8277</v>
      </c>
      <c r="GP187">
        <v>800</v>
      </c>
      <c r="GQ187">
        <v>0</v>
      </c>
      <c r="GR187">
        <v>99.726500000000001</v>
      </c>
      <c r="GS187">
        <v>99.459900000000005</v>
      </c>
    </row>
    <row r="188" spans="1:201" x14ac:dyDescent="0.25">
      <c r="A188">
        <v>172</v>
      </c>
      <c r="B188">
        <v>1690288350.5</v>
      </c>
      <c r="C188">
        <v>1811.900000095367</v>
      </c>
      <c r="D188" t="s">
        <v>677</v>
      </c>
      <c r="E188" t="s">
        <v>678</v>
      </c>
      <c r="F188" t="s">
        <v>330</v>
      </c>
      <c r="H188">
        <v>1690288350.5</v>
      </c>
      <c r="I188">
        <f t="shared" si="60"/>
        <v>2.9483795492259933E-3</v>
      </c>
      <c r="J188">
        <f t="shared" si="61"/>
        <v>2.9483795492259932</v>
      </c>
      <c r="K188">
        <f t="shared" si="62"/>
        <v>45.464685130011659</v>
      </c>
      <c r="L188">
        <f t="shared" si="63"/>
        <v>349.07299999999998</v>
      </c>
      <c r="M188">
        <f t="shared" si="64"/>
        <v>98.736046265295883</v>
      </c>
      <c r="N188">
        <f t="shared" si="65"/>
        <v>9.8187584313420011</v>
      </c>
      <c r="O188">
        <f t="shared" si="66"/>
        <v>34.713395882740997</v>
      </c>
      <c r="P188">
        <f t="shared" si="67"/>
        <v>0.31380364360074403</v>
      </c>
      <c r="Q188">
        <f t="shared" si="68"/>
        <v>2.3044731490677393</v>
      </c>
      <c r="R188">
        <f t="shared" si="69"/>
        <v>0.29185087313136815</v>
      </c>
      <c r="S188">
        <f t="shared" si="70"/>
        <v>0.18425102630223822</v>
      </c>
      <c r="T188">
        <f t="shared" si="71"/>
        <v>276.11400263400003</v>
      </c>
      <c r="U188">
        <f t="shared" si="72"/>
        <v>27.802545003938064</v>
      </c>
      <c r="V188">
        <f t="shared" si="73"/>
        <v>27.802545003938064</v>
      </c>
      <c r="W188">
        <f t="shared" si="74"/>
        <v>3.7513762026826325</v>
      </c>
      <c r="X188">
        <f t="shared" si="75"/>
        <v>78.920810856086874</v>
      </c>
      <c r="Y188">
        <f t="shared" si="76"/>
        <v>2.7797427503458998</v>
      </c>
      <c r="Z188">
        <f t="shared" si="77"/>
        <v>3.5221923345602679</v>
      </c>
      <c r="AA188">
        <f t="shared" si="78"/>
        <v>0.97163345233673271</v>
      </c>
      <c r="AB188">
        <f t="shared" si="79"/>
        <v>-130.02353812086631</v>
      </c>
      <c r="AC188">
        <f t="shared" si="80"/>
        <v>-133.61194987934425</v>
      </c>
      <c r="AD188">
        <f t="shared" si="81"/>
        <v>-12.545836305428031</v>
      </c>
      <c r="AE188">
        <f t="shared" si="82"/>
        <v>-6.7321671638580938E-2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52735.658369995966</v>
      </c>
      <c r="AK188">
        <f t="shared" si="86"/>
        <v>1800</v>
      </c>
      <c r="AL188">
        <f t="shared" si="87"/>
        <v>1499.1126894000001</v>
      </c>
      <c r="AM188">
        <f t="shared" si="88"/>
        <v>0.83284038300000007</v>
      </c>
      <c r="AN188">
        <f t="shared" si="89"/>
        <v>0.15339666813000002</v>
      </c>
      <c r="AO188">
        <v>29.1</v>
      </c>
      <c r="AP188">
        <v>0.5</v>
      </c>
      <c r="AQ188" t="s">
        <v>331</v>
      </c>
      <c r="AR188">
        <v>2</v>
      </c>
      <c r="AS188">
        <v>1690288350.5</v>
      </c>
      <c r="AT188">
        <v>349.07299999999998</v>
      </c>
      <c r="AU188">
        <v>799.97199999999998</v>
      </c>
      <c r="AV188">
        <v>27.9527</v>
      </c>
      <c r="AW188">
        <v>0.158497</v>
      </c>
      <c r="AX188">
        <v>349.99200000000002</v>
      </c>
      <c r="AY188">
        <v>27.761600000000001</v>
      </c>
      <c r="AZ188">
        <v>300.06099999999998</v>
      </c>
      <c r="BA188">
        <v>99.344499999999996</v>
      </c>
      <c r="BB188">
        <v>0.10001699999999999</v>
      </c>
      <c r="BC188">
        <v>26.7271</v>
      </c>
      <c r="BD188">
        <v>26.982199999999999</v>
      </c>
      <c r="BE188">
        <v>28.2319</v>
      </c>
      <c r="BF188">
        <v>0</v>
      </c>
      <c r="BG188">
        <v>0</v>
      </c>
      <c r="BH188">
        <v>10031.200000000001</v>
      </c>
      <c r="BI188">
        <v>1087.2</v>
      </c>
      <c r="BJ188">
        <v>1.28952</v>
      </c>
      <c r="BK188">
        <v>-450.899</v>
      </c>
      <c r="BL188">
        <v>359.11099999999999</v>
      </c>
      <c r="BM188">
        <v>800.09900000000005</v>
      </c>
      <c r="BN188">
        <v>27.7942</v>
      </c>
      <c r="BO188">
        <v>799.97199999999998</v>
      </c>
      <c r="BP188">
        <v>0.158497</v>
      </c>
      <c r="BQ188">
        <v>2.7769499999999998</v>
      </c>
      <c r="BR188">
        <v>1.5745800000000001E-2</v>
      </c>
      <c r="BS188">
        <v>22.747699999999998</v>
      </c>
      <c r="BT188">
        <v>-41.7029</v>
      </c>
      <c r="BU188">
        <v>1800</v>
      </c>
      <c r="BV188">
        <v>0.91001900000000002</v>
      </c>
      <c r="BW188">
        <v>3.4002900000000003E-2</v>
      </c>
      <c r="BX188">
        <v>2.1991400000000001E-2</v>
      </c>
      <c r="BY188">
        <v>3.3986500000000003E-2</v>
      </c>
      <c r="BZ188">
        <v>25</v>
      </c>
      <c r="CA188">
        <v>33528.6</v>
      </c>
      <c r="CB188">
        <v>1690286268.5999999</v>
      </c>
      <c r="CC188" t="s">
        <v>332</v>
      </c>
      <c r="CD188">
        <v>1690286261.0999999</v>
      </c>
      <c r="CE188">
        <v>1690286268.5999999</v>
      </c>
      <c r="CF188">
        <v>1</v>
      </c>
      <c r="CG188">
        <v>-0.89900000000000002</v>
      </c>
      <c r="CH188">
        <v>3.4000000000000002E-2</v>
      </c>
      <c r="CI188">
        <v>-1.2370000000000001</v>
      </c>
      <c r="CJ188">
        <v>8.5999999999999993E-2</v>
      </c>
      <c r="CK188">
        <v>799</v>
      </c>
      <c r="CL188">
        <v>16</v>
      </c>
      <c r="CM188">
        <v>0.28999999999999998</v>
      </c>
      <c r="CN188">
        <v>0.09</v>
      </c>
      <c r="CO188">
        <v>-450.54435000000001</v>
      </c>
      <c r="CP188">
        <v>-2.068727954971441</v>
      </c>
      <c r="CQ188">
        <v>0.2025057468320331</v>
      </c>
      <c r="CR188">
        <v>-1</v>
      </c>
      <c r="CS188">
        <v>27.7720275</v>
      </c>
      <c r="CT188">
        <v>0.15138799249524881</v>
      </c>
      <c r="CU188">
        <v>1.4688362527865701E-2</v>
      </c>
      <c r="CV188">
        <v>-1</v>
      </c>
      <c r="CW188">
        <v>0</v>
      </c>
      <c r="CX188">
        <v>0</v>
      </c>
      <c r="CY188" t="s">
        <v>333</v>
      </c>
      <c r="CZ188">
        <v>2.3649399999999998</v>
      </c>
      <c r="DA188">
        <v>2.7138300000000002</v>
      </c>
      <c r="DB188">
        <v>8.1021300000000004E-2</v>
      </c>
      <c r="DC188">
        <v>0.146561</v>
      </c>
      <c r="DD188">
        <v>0.12723899999999999</v>
      </c>
      <c r="DE188">
        <v>1.3405800000000001E-3</v>
      </c>
      <c r="DF188">
        <v>33556.1</v>
      </c>
      <c r="DG188">
        <v>27484</v>
      </c>
      <c r="DH188">
        <v>31170.2</v>
      </c>
      <c r="DI188">
        <v>28059.7</v>
      </c>
      <c r="DJ188">
        <v>36914.5</v>
      </c>
      <c r="DK188">
        <v>39835.4</v>
      </c>
      <c r="DL188">
        <v>44353.5</v>
      </c>
      <c r="DM188">
        <v>42507.6</v>
      </c>
      <c r="DN188">
        <v>1.4936700000000001</v>
      </c>
      <c r="DO188">
        <v>2.0600499999999999</v>
      </c>
      <c r="DP188">
        <v>7.6085299999999995E-2</v>
      </c>
      <c r="DQ188">
        <v>0.174709</v>
      </c>
      <c r="DR188">
        <v>25.736599999999999</v>
      </c>
      <c r="DS188">
        <v>25.373799999999999</v>
      </c>
      <c r="DT188">
        <v>29.9</v>
      </c>
      <c r="DU188">
        <v>26</v>
      </c>
      <c r="DV188">
        <v>10.1549</v>
      </c>
      <c r="DW188">
        <v>61.731400000000001</v>
      </c>
      <c r="DX188">
        <v>36.943100000000001</v>
      </c>
      <c r="DY188">
        <v>1</v>
      </c>
      <c r="DZ188">
        <v>-0.14191599999999999</v>
      </c>
      <c r="EA188">
        <v>-0.57917799999999997</v>
      </c>
      <c r="EB188">
        <v>20.189399999999999</v>
      </c>
      <c r="EC188">
        <v>5.2413999999999996</v>
      </c>
      <c r="ED188">
        <v>12.039899999999999</v>
      </c>
      <c r="EE188">
        <v>5.0171999999999999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1.86876</v>
      </c>
      <c r="EL188">
        <v>1.8644700000000001</v>
      </c>
      <c r="EM188">
        <v>1.8690800000000001</v>
      </c>
      <c r="EN188">
        <v>1.8670899999999999</v>
      </c>
      <c r="EO188">
        <v>1.8632500000000001</v>
      </c>
      <c r="EP188">
        <v>1.86432</v>
      </c>
      <c r="EQ188">
        <v>1.87012</v>
      </c>
      <c r="ER188">
        <v>1.8693299999999999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-0.91900000000000004</v>
      </c>
      <c r="FG188">
        <v>0.19109999999999999</v>
      </c>
      <c r="FH188">
        <v>-0.68620417327404271</v>
      </c>
      <c r="FI188">
        <v>-6.1462078757559423E-4</v>
      </c>
      <c r="FJ188">
        <v>-1.8861989874597051E-7</v>
      </c>
      <c r="FK188">
        <v>1.1980462299894961E-10</v>
      </c>
      <c r="FL188">
        <v>0.1911242781723908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34.799999999999997</v>
      </c>
      <c r="FU188">
        <v>34.700000000000003</v>
      </c>
      <c r="FV188">
        <v>1.7639199999999999</v>
      </c>
      <c r="FW188">
        <v>2.5720200000000002</v>
      </c>
      <c r="FX188">
        <v>1.5490699999999999</v>
      </c>
      <c r="FY188">
        <v>2.34009</v>
      </c>
      <c r="FZ188">
        <v>1.50146</v>
      </c>
      <c r="GA188">
        <v>2.3059099999999999</v>
      </c>
      <c r="GB188">
        <v>31.215599999999998</v>
      </c>
      <c r="GC188">
        <v>23.973700000000001</v>
      </c>
      <c r="GD188">
        <v>19</v>
      </c>
      <c r="GE188">
        <v>287.548</v>
      </c>
      <c r="GF188">
        <v>595.41200000000003</v>
      </c>
      <c r="GG188">
        <v>25.822199999999999</v>
      </c>
      <c r="GH188">
        <v>25.6172</v>
      </c>
      <c r="GI188">
        <v>30.000399999999999</v>
      </c>
      <c r="GJ188">
        <v>25.7258</v>
      </c>
      <c r="GK188">
        <v>25.6919</v>
      </c>
      <c r="GL188">
        <v>35.256</v>
      </c>
      <c r="GM188">
        <v>100</v>
      </c>
      <c r="GN188">
        <v>0</v>
      </c>
      <c r="GO188">
        <v>25.820699999999999</v>
      </c>
      <c r="GP188">
        <v>800</v>
      </c>
      <c r="GQ188">
        <v>0</v>
      </c>
      <c r="GR188">
        <v>99.725300000000004</v>
      </c>
      <c r="GS188">
        <v>99.459800000000001</v>
      </c>
    </row>
    <row r="189" spans="1:201" x14ac:dyDescent="0.25">
      <c r="A189">
        <v>173</v>
      </c>
      <c r="B189">
        <v>1690288360.5</v>
      </c>
      <c r="C189">
        <v>1821.900000095367</v>
      </c>
      <c r="D189" t="s">
        <v>679</v>
      </c>
      <c r="E189" t="s">
        <v>680</v>
      </c>
      <c r="F189" t="s">
        <v>330</v>
      </c>
      <c r="H189">
        <v>1690288360.5</v>
      </c>
      <c r="I189">
        <f t="shared" si="60"/>
        <v>2.9490863708468806E-3</v>
      </c>
      <c r="J189">
        <f t="shared" si="61"/>
        <v>2.9490863708468806</v>
      </c>
      <c r="K189">
        <f t="shared" si="62"/>
        <v>45.492486635278098</v>
      </c>
      <c r="L189">
        <f t="shared" si="63"/>
        <v>348.83</v>
      </c>
      <c r="M189">
        <f t="shared" si="64"/>
        <v>98.451562812098999</v>
      </c>
      <c r="N189">
        <f t="shared" si="65"/>
        <v>9.7902786023310888</v>
      </c>
      <c r="O189">
        <f t="shared" si="66"/>
        <v>34.688559402243001</v>
      </c>
      <c r="P189">
        <f t="shared" si="67"/>
        <v>0.31401095293846459</v>
      </c>
      <c r="Q189">
        <f t="shared" si="68"/>
        <v>2.2969628125186388</v>
      </c>
      <c r="R189">
        <f t="shared" si="69"/>
        <v>0.29196379552943719</v>
      </c>
      <c r="S189">
        <f t="shared" si="70"/>
        <v>0.1843290625743966</v>
      </c>
      <c r="T189">
        <f t="shared" si="71"/>
        <v>276.11398915199999</v>
      </c>
      <c r="U189">
        <f t="shared" si="72"/>
        <v>27.803631621032753</v>
      </c>
      <c r="V189">
        <f t="shared" si="73"/>
        <v>27.803631621032753</v>
      </c>
      <c r="W189">
        <f t="shared" si="74"/>
        <v>3.7516141934020699</v>
      </c>
      <c r="X189">
        <f t="shared" si="75"/>
        <v>78.941097184191733</v>
      </c>
      <c r="Y189">
        <f t="shared" si="76"/>
        <v>2.7801463801173298</v>
      </c>
      <c r="Z189">
        <f t="shared" si="77"/>
        <v>3.5217985045615317</v>
      </c>
      <c r="AA189">
        <f t="shared" si="78"/>
        <v>0.97146781328474008</v>
      </c>
      <c r="AB189">
        <f t="shared" si="79"/>
        <v>-130.05470895434743</v>
      </c>
      <c r="AC189">
        <f t="shared" si="80"/>
        <v>-133.54634946026366</v>
      </c>
      <c r="AD189">
        <f t="shared" si="81"/>
        <v>-12.580626438303014</v>
      </c>
      <c r="AE189">
        <f t="shared" si="82"/>
        <v>-6.7695700914100598E-2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52451.600242876921</v>
      </c>
      <c r="AK189">
        <f t="shared" si="86"/>
        <v>1800</v>
      </c>
      <c r="AL189">
        <f t="shared" si="87"/>
        <v>1499.1136541999999</v>
      </c>
      <c r="AM189">
        <f t="shared" si="88"/>
        <v>0.8328409189999999</v>
      </c>
      <c r="AN189">
        <f t="shared" si="89"/>
        <v>0.15339666063999999</v>
      </c>
      <c r="AO189">
        <v>29.1</v>
      </c>
      <c r="AP189">
        <v>0.5</v>
      </c>
      <c r="AQ189" t="s">
        <v>331</v>
      </c>
      <c r="AR189">
        <v>2</v>
      </c>
      <c r="AS189">
        <v>1690288360.5</v>
      </c>
      <c r="AT189">
        <v>348.83</v>
      </c>
      <c r="AU189">
        <v>799.96699999999998</v>
      </c>
      <c r="AV189">
        <v>27.9573</v>
      </c>
      <c r="AW189">
        <v>0.15823300000000001</v>
      </c>
      <c r="AX189">
        <v>349.74900000000002</v>
      </c>
      <c r="AY189">
        <v>27.766200000000001</v>
      </c>
      <c r="AZ189">
        <v>300.07900000000001</v>
      </c>
      <c r="BA189">
        <v>99.342600000000004</v>
      </c>
      <c r="BB189">
        <v>9.99921E-2</v>
      </c>
      <c r="BC189">
        <v>26.725200000000001</v>
      </c>
      <c r="BD189">
        <v>26.989699999999999</v>
      </c>
      <c r="BE189">
        <v>28.247199999999999</v>
      </c>
      <c r="BF189">
        <v>0</v>
      </c>
      <c r="BG189">
        <v>0</v>
      </c>
      <c r="BH189">
        <v>9975</v>
      </c>
      <c r="BI189">
        <v>1087.1600000000001</v>
      </c>
      <c r="BJ189">
        <v>1.28952</v>
      </c>
      <c r="BK189">
        <v>-451.137</v>
      </c>
      <c r="BL189">
        <v>358.863</v>
      </c>
      <c r="BM189">
        <v>800.09299999999996</v>
      </c>
      <c r="BN189">
        <v>27.799099999999999</v>
      </c>
      <c r="BO189">
        <v>799.96699999999998</v>
      </c>
      <c r="BP189">
        <v>0.15823300000000001</v>
      </c>
      <c r="BQ189">
        <v>2.7773599999999998</v>
      </c>
      <c r="BR189">
        <v>1.5719299999999999E-2</v>
      </c>
      <c r="BS189">
        <v>22.7501</v>
      </c>
      <c r="BT189">
        <v>-41.718800000000002</v>
      </c>
      <c r="BU189">
        <v>1800</v>
      </c>
      <c r="BV189">
        <v>0.910022</v>
      </c>
      <c r="BW189">
        <v>3.4001900000000002E-2</v>
      </c>
      <c r="BX189">
        <v>2.1990699999999998E-2</v>
      </c>
      <c r="BY189">
        <v>3.3985599999999998E-2</v>
      </c>
      <c r="BZ189">
        <v>25</v>
      </c>
      <c r="CA189">
        <v>33528.5</v>
      </c>
      <c r="CB189">
        <v>1690286268.5999999</v>
      </c>
      <c r="CC189" t="s">
        <v>332</v>
      </c>
      <c r="CD189">
        <v>1690286261.0999999</v>
      </c>
      <c r="CE189">
        <v>1690286268.5999999</v>
      </c>
      <c r="CF189">
        <v>1</v>
      </c>
      <c r="CG189">
        <v>-0.89900000000000002</v>
      </c>
      <c r="CH189">
        <v>3.4000000000000002E-2</v>
      </c>
      <c r="CI189">
        <v>-1.2370000000000001</v>
      </c>
      <c r="CJ189">
        <v>8.5999999999999993E-2</v>
      </c>
      <c r="CK189">
        <v>799</v>
      </c>
      <c r="CL189">
        <v>16</v>
      </c>
      <c r="CM189">
        <v>0.28999999999999998</v>
      </c>
      <c r="CN189">
        <v>0.09</v>
      </c>
      <c r="CO189">
        <v>-450.83652500000011</v>
      </c>
      <c r="CP189">
        <v>-1.4144127579733019</v>
      </c>
      <c r="CQ189">
        <v>0.13868326998956881</v>
      </c>
      <c r="CR189">
        <v>-1</v>
      </c>
      <c r="CS189">
        <v>27.79114499999999</v>
      </c>
      <c r="CT189">
        <v>7.339812382732748E-2</v>
      </c>
      <c r="CU189">
        <v>7.2682167689191567E-3</v>
      </c>
      <c r="CV189">
        <v>-1</v>
      </c>
      <c r="CW189">
        <v>0</v>
      </c>
      <c r="CX189">
        <v>0</v>
      </c>
      <c r="CY189" t="s">
        <v>333</v>
      </c>
      <c r="CZ189">
        <v>2.3649800000000001</v>
      </c>
      <c r="DA189">
        <v>2.7137600000000002</v>
      </c>
      <c r="DB189">
        <v>8.0975500000000006E-2</v>
      </c>
      <c r="DC189">
        <v>0.14655799999999999</v>
      </c>
      <c r="DD189">
        <v>0.127251</v>
      </c>
      <c r="DE189">
        <v>1.3383500000000001E-3</v>
      </c>
      <c r="DF189">
        <v>33558.800000000003</v>
      </c>
      <c r="DG189">
        <v>27484.7</v>
      </c>
      <c r="DH189">
        <v>31171.1</v>
      </c>
      <c r="DI189">
        <v>28060.3</v>
      </c>
      <c r="DJ189">
        <v>36915.1</v>
      </c>
      <c r="DK189">
        <v>39836.400000000001</v>
      </c>
      <c r="DL189">
        <v>44354.9</v>
      </c>
      <c r="DM189">
        <v>42508.6</v>
      </c>
      <c r="DN189">
        <v>1.4935499999999999</v>
      </c>
      <c r="DO189">
        <v>2.0597500000000002</v>
      </c>
      <c r="DP189">
        <v>7.6860200000000004E-2</v>
      </c>
      <c r="DQ189">
        <v>0.17590800000000001</v>
      </c>
      <c r="DR189">
        <v>25.731400000000001</v>
      </c>
      <c r="DS189">
        <v>25.369499999999999</v>
      </c>
      <c r="DT189">
        <v>29.8</v>
      </c>
      <c r="DU189">
        <v>26</v>
      </c>
      <c r="DV189">
        <v>10.122199999999999</v>
      </c>
      <c r="DW189">
        <v>61.931399999999996</v>
      </c>
      <c r="DX189">
        <v>37.295699999999997</v>
      </c>
      <c r="DY189">
        <v>1</v>
      </c>
      <c r="DZ189">
        <v>-0.142403</v>
      </c>
      <c r="EA189">
        <v>-0.63447399999999998</v>
      </c>
      <c r="EB189">
        <v>20.189</v>
      </c>
      <c r="EC189">
        <v>5.2411000000000003</v>
      </c>
      <c r="ED189">
        <v>12.039899999999999</v>
      </c>
      <c r="EE189">
        <v>5.0172999999999996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1.86876</v>
      </c>
      <c r="EL189">
        <v>1.8644700000000001</v>
      </c>
      <c r="EM189">
        <v>1.86907</v>
      </c>
      <c r="EN189">
        <v>1.8670899999999999</v>
      </c>
      <c r="EO189">
        <v>1.8632500000000001</v>
      </c>
      <c r="EP189">
        <v>1.86432</v>
      </c>
      <c r="EQ189">
        <v>1.8701099999999999</v>
      </c>
      <c r="ER189">
        <v>1.8693200000000001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-0.91900000000000004</v>
      </c>
      <c r="FG189">
        <v>0.19109999999999999</v>
      </c>
      <c r="FH189">
        <v>-0.68620417327404271</v>
      </c>
      <c r="FI189">
        <v>-6.1462078757559423E-4</v>
      </c>
      <c r="FJ189">
        <v>-1.8861989874597051E-7</v>
      </c>
      <c r="FK189">
        <v>1.1980462299894961E-10</v>
      </c>
      <c r="FL189">
        <v>0.1911242781723908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35</v>
      </c>
      <c r="FU189">
        <v>34.9</v>
      </c>
      <c r="FV189">
        <v>1.7639199999999999</v>
      </c>
      <c r="FW189">
        <v>2.5671400000000002</v>
      </c>
      <c r="FX189">
        <v>1.5490699999999999</v>
      </c>
      <c r="FY189">
        <v>2.34009</v>
      </c>
      <c r="FZ189">
        <v>1.50146</v>
      </c>
      <c r="GA189">
        <v>2.34497</v>
      </c>
      <c r="GB189">
        <v>31.215599999999998</v>
      </c>
      <c r="GC189">
        <v>23.991199999999999</v>
      </c>
      <c r="GD189">
        <v>19</v>
      </c>
      <c r="GE189">
        <v>287.495</v>
      </c>
      <c r="GF189">
        <v>595.16099999999994</v>
      </c>
      <c r="GG189">
        <v>25.827000000000002</v>
      </c>
      <c r="GH189">
        <v>25.619299999999999</v>
      </c>
      <c r="GI189">
        <v>30</v>
      </c>
      <c r="GJ189">
        <v>25.7258</v>
      </c>
      <c r="GK189">
        <v>25.6919</v>
      </c>
      <c r="GL189">
        <v>35.258699999999997</v>
      </c>
      <c r="GM189">
        <v>100</v>
      </c>
      <c r="GN189">
        <v>0</v>
      </c>
      <c r="GO189">
        <v>25.8416</v>
      </c>
      <c r="GP189">
        <v>800</v>
      </c>
      <c r="GQ189">
        <v>0</v>
      </c>
      <c r="GR189">
        <v>99.728300000000004</v>
      </c>
      <c r="GS189">
        <v>99.462000000000003</v>
      </c>
    </row>
    <row r="190" spans="1:201" x14ac:dyDescent="0.25">
      <c r="A190">
        <v>174</v>
      </c>
      <c r="B190">
        <v>1690288370.5</v>
      </c>
      <c r="C190">
        <v>1831.900000095367</v>
      </c>
      <c r="D190" t="s">
        <v>681</v>
      </c>
      <c r="E190" t="s">
        <v>682</v>
      </c>
      <c r="F190" t="s">
        <v>330</v>
      </c>
      <c r="H190">
        <v>1690288370.5</v>
      </c>
      <c r="I190">
        <f t="shared" si="60"/>
        <v>2.9502972296817998E-3</v>
      </c>
      <c r="J190">
        <f t="shared" si="61"/>
        <v>2.9502972296817997</v>
      </c>
      <c r="K190">
        <f t="shared" si="62"/>
        <v>45.536506328115365</v>
      </c>
      <c r="L190">
        <f t="shared" si="63"/>
        <v>348.48399999999998</v>
      </c>
      <c r="M190">
        <f t="shared" si="64"/>
        <v>98.474325845101831</v>
      </c>
      <c r="N190">
        <f t="shared" si="65"/>
        <v>9.7926983483805756</v>
      </c>
      <c r="O190">
        <f t="shared" si="66"/>
        <v>34.654704786758394</v>
      </c>
      <c r="P190">
        <f t="shared" si="67"/>
        <v>0.31476651456850763</v>
      </c>
      <c r="Q190">
        <f t="shared" si="68"/>
        <v>2.3032328722389241</v>
      </c>
      <c r="R190">
        <f t="shared" si="69"/>
        <v>0.29267290271055624</v>
      </c>
      <c r="S190">
        <f t="shared" si="70"/>
        <v>0.18477619491938496</v>
      </c>
      <c r="T190">
        <f t="shared" si="71"/>
        <v>276.11394094799999</v>
      </c>
      <c r="U190">
        <f t="shared" si="72"/>
        <v>27.799154348283714</v>
      </c>
      <c r="V190">
        <f t="shared" si="73"/>
        <v>27.799154348283714</v>
      </c>
      <c r="W190">
        <f t="shared" si="74"/>
        <v>3.7506336664521664</v>
      </c>
      <c r="X190">
        <f t="shared" si="75"/>
        <v>78.974840477771167</v>
      </c>
      <c r="Y190">
        <f t="shared" si="76"/>
        <v>2.7811055928504</v>
      </c>
      <c r="Z190">
        <f t="shared" si="77"/>
        <v>3.5215083386375312</v>
      </c>
      <c r="AA190">
        <f t="shared" si="78"/>
        <v>0.9695280736017664</v>
      </c>
      <c r="AB190">
        <f t="shared" si="79"/>
        <v>-130.10810782896738</v>
      </c>
      <c r="AC190">
        <f t="shared" si="80"/>
        <v>-133.52878250007825</v>
      </c>
      <c r="AD190">
        <f t="shared" si="81"/>
        <v>-12.544359447223941</v>
      </c>
      <c r="AE190">
        <f t="shared" si="82"/>
        <v>-6.7308828269574406E-2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52689.216383827981</v>
      </c>
      <c r="AK190">
        <f t="shared" si="86"/>
        <v>1800</v>
      </c>
      <c r="AL190">
        <f t="shared" si="87"/>
        <v>1499.1108498000001</v>
      </c>
      <c r="AM190">
        <f t="shared" si="88"/>
        <v>0.832839361</v>
      </c>
      <c r="AN190">
        <f t="shared" si="89"/>
        <v>0.15339663385999999</v>
      </c>
      <c r="AO190">
        <v>29.1</v>
      </c>
      <c r="AP190">
        <v>0.5</v>
      </c>
      <c r="AQ190" t="s">
        <v>331</v>
      </c>
      <c r="AR190">
        <v>2</v>
      </c>
      <c r="AS190">
        <v>1690288370.5</v>
      </c>
      <c r="AT190">
        <v>348.48399999999998</v>
      </c>
      <c r="AU190">
        <v>800.01800000000003</v>
      </c>
      <c r="AV190">
        <v>27.9665</v>
      </c>
      <c r="AW190">
        <v>0.15776499999999999</v>
      </c>
      <c r="AX190">
        <v>349.40300000000002</v>
      </c>
      <c r="AY190">
        <v>27.775400000000001</v>
      </c>
      <c r="AZ190">
        <v>300.09500000000003</v>
      </c>
      <c r="BA190">
        <v>99.344200000000001</v>
      </c>
      <c r="BB190">
        <v>9.99776E-2</v>
      </c>
      <c r="BC190">
        <v>26.723800000000001</v>
      </c>
      <c r="BD190">
        <v>27.0076</v>
      </c>
      <c r="BE190">
        <v>28.233799999999999</v>
      </c>
      <c r="BF190">
        <v>0</v>
      </c>
      <c r="BG190">
        <v>0</v>
      </c>
      <c r="BH190">
        <v>10021.9</v>
      </c>
      <c r="BI190">
        <v>1087.05</v>
      </c>
      <c r="BJ190">
        <v>1.28952</v>
      </c>
      <c r="BK190">
        <v>-451.53399999999999</v>
      </c>
      <c r="BL190">
        <v>358.51</v>
      </c>
      <c r="BM190">
        <v>800.14400000000001</v>
      </c>
      <c r="BN190">
        <v>27.808700000000002</v>
      </c>
      <c r="BO190">
        <v>800.01800000000003</v>
      </c>
      <c r="BP190">
        <v>0.15776499999999999</v>
      </c>
      <c r="BQ190">
        <v>2.7783099999999998</v>
      </c>
      <c r="BR190">
        <v>1.5672999999999999E-2</v>
      </c>
      <c r="BS190">
        <v>22.755800000000001</v>
      </c>
      <c r="BT190">
        <v>-41.746600000000001</v>
      </c>
      <c r="BU190">
        <v>1800</v>
      </c>
      <c r="BV190">
        <v>0.91000899999999996</v>
      </c>
      <c r="BW190">
        <v>3.4001200000000002E-2</v>
      </c>
      <c r="BX190">
        <v>2.1990300000000001E-2</v>
      </c>
      <c r="BY190">
        <v>3.39992E-2</v>
      </c>
      <c r="BZ190">
        <v>25</v>
      </c>
      <c r="CA190">
        <v>33528.5</v>
      </c>
      <c r="CB190">
        <v>1690286268.5999999</v>
      </c>
      <c r="CC190" t="s">
        <v>332</v>
      </c>
      <c r="CD190">
        <v>1690286261.0999999</v>
      </c>
      <c r="CE190">
        <v>1690286268.5999999</v>
      </c>
      <c r="CF190">
        <v>1</v>
      </c>
      <c r="CG190">
        <v>-0.89900000000000002</v>
      </c>
      <c r="CH190">
        <v>3.4000000000000002E-2</v>
      </c>
      <c r="CI190">
        <v>-1.2370000000000001</v>
      </c>
      <c r="CJ190">
        <v>8.5999999999999993E-2</v>
      </c>
      <c r="CK190">
        <v>799</v>
      </c>
      <c r="CL190">
        <v>16</v>
      </c>
      <c r="CM190">
        <v>0.28999999999999998</v>
      </c>
      <c r="CN190">
        <v>0.09</v>
      </c>
      <c r="CO190">
        <v>-451.10054999999988</v>
      </c>
      <c r="CP190">
        <v>-1.830484052533577</v>
      </c>
      <c r="CQ190">
        <v>0.18664832573586071</v>
      </c>
      <c r="CR190">
        <v>-1</v>
      </c>
      <c r="CS190">
        <v>27.799140000000001</v>
      </c>
      <c r="CT190">
        <v>2.9389868667896991E-2</v>
      </c>
      <c r="CU190">
        <v>3.1110930555032701E-3</v>
      </c>
      <c r="CV190">
        <v>-1</v>
      </c>
      <c r="CW190">
        <v>0</v>
      </c>
      <c r="CX190">
        <v>0</v>
      </c>
      <c r="CY190" t="s">
        <v>333</v>
      </c>
      <c r="CZ190">
        <v>2.36503</v>
      </c>
      <c r="DA190">
        <v>2.7137899999999999</v>
      </c>
      <c r="DB190">
        <v>8.0913700000000005E-2</v>
      </c>
      <c r="DC190">
        <v>0.146566</v>
      </c>
      <c r="DD190">
        <v>0.12728200000000001</v>
      </c>
      <c r="DE190">
        <v>1.33445E-3</v>
      </c>
      <c r="DF190">
        <v>33561.4</v>
      </c>
      <c r="DG190">
        <v>27485</v>
      </c>
      <c r="DH190">
        <v>31171.5</v>
      </c>
      <c r="DI190">
        <v>28060.799999999999</v>
      </c>
      <c r="DJ190">
        <v>36914.300000000003</v>
      </c>
      <c r="DK190">
        <v>39837.4</v>
      </c>
      <c r="DL190">
        <v>44355.4</v>
      </c>
      <c r="DM190">
        <v>42509.4</v>
      </c>
      <c r="DN190">
        <v>1.4936499999999999</v>
      </c>
      <c r="DO190">
        <v>2.0597300000000001</v>
      </c>
      <c r="DP190">
        <v>7.8089500000000006E-2</v>
      </c>
      <c r="DQ190">
        <v>0.17521500000000001</v>
      </c>
      <c r="DR190">
        <v>25.729199999999999</v>
      </c>
      <c r="DS190">
        <v>25.3673</v>
      </c>
      <c r="DT190">
        <v>29.7</v>
      </c>
      <c r="DU190">
        <v>26.1</v>
      </c>
      <c r="DV190">
        <v>10.148300000000001</v>
      </c>
      <c r="DW190">
        <v>62.041400000000003</v>
      </c>
      <c r="DX190">
        <v>37.5321</v>
      </c>
      <c r="DY190">
        <v>1</v>
      </c>
      <c r="DZ190">
        <v>-0.142485</v>
      </c>
      <c r="EA190">
        <v>-0.63556599999999996</v>
      </c>
      <c r="EB190">
        <v>20.189399999999999</v>
      </c>
      <c r="EC190">
        <v>5.2406499999999996</v>
      </c>
      <c r="ED190">
        <v>12.039899999999999</v>
      </c>
      <c r="EE190">
        <v>5.0171000000000001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1.8687499999999999</v>
      </c>
      <c r="EL190">
        <v>1.8644700000000001</v>
      </c>
      <c r="EM190">
        <v>1.86907</v>
      </c>
      <c r="EN190">
        <v>1.8670899999999999</v>
      </c>
      <c r="EO190">
        <v>1.8632500000000001</v>
      </c>
      <c r="EP190">
        <v>1.86432</v>
      </c>
      <c r="EQ190">
        <v>1.8701099999999999</v>
      </c>
      <c r="ER190">
        <v>1.8693299999999999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-0.91900000000000004</v>
      </c>
      <c r="FG190">
        <v>0.19109999999999999</v>
      </c>
      <c r="FH190">
        <v>-0.68620417327404271</v>
      </c>
      <c r="FI190">
        <v>-6.1462078757559423E-4</v>
      </c>
      <c r="FJ190">
        <v>-1.8861989874597051E-7</v>
      </c>
      <c r="FK190">
        <v>1.1980462299894961E-10</v>
      </c>
      <c r="FL190">
        <v>0.1911242781723908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35.200000000000003</v>
      </c>
      <c r="FU190">
        <v>35</v>
      </c>
      <c r="FV190">
        <v>1.7626999999999999</v>
      </c>
      <c r="FW190">
        <v>2.5671400000000002</v>
      </c>
      <c r="FX190">
        <v>1.5490699999999999</v>
      </c>
      <c r="FY190">
        <v>2.34009</v>
      </c>
      <c r="FZ190">
        <v>1.50146</v>
      </c>
      <c r="GA190">
        <v>2.32422</v>
      </c>
      <c r="GB190">
        <v>31.215599999999998</v>
      </c>
      <c r="GC190">
        <v>23.991199999999999</v>
      </c>
      <c r="GD190">
        <v>19</v>
      </c>
      <c r="GE190">
        <v>287.53699999999998</v>
      </c>
      <c r="GF190">
        <v>595.14</v>
      </c>
      <c r="GG190">
        <v>25.845199999999998</v>
      </c>
      <c r="GH190">
        <v>25.619299999999999</v>
      </c>
      <c r="GI190">
        <v>30</v>
      </c>
      <c r="GJ190">
        <v>25.7258</v>
      </c>
      <c r="GK190">
        <v>25.6919</v>
      </c>
      <c r="GL190">
        <v>35.258699999999997</v>
      </c>
      <c r="GM190">
        <v>100</v>
      </c>
      <c r="GN190">
        <v>0</v>
      </c>
      <c r="GO190">
        <v>25.832699999999999</v>
      </c>
      <c r="GP190">
        <v>800</v>
      </c>
      <c r="GQ190">
        <v>0</v>
      </c>
      <c r="GR190">
        <v>99.729500000000002</v>
      </c>
      <c r="GS190">
        <v>99.463899999999995</v>
      </c>
    </row>
    <row r="191" spans="1:201" x14ac:dyDescent="0.25">
      <c r="A191">
        <v>175</v>
      </c>
      <c r="B191">
        <v>1690288380.5</v>
      </c>
      <c r="C191">
        <v>1841.900000095367</v>
      </c>
      <c r="D191" t="s">
        <v>683</v>
      </c>
      <c r="E191" t="s">
        <v>684</v>
      </c>
      <c r="F191" t="s">
        <v>330</v>
      </c>
      <c r="H191">
        <v>1690288380.5</v>
      </c>
      <c r="I191">
        <f t="shared" si="60"/>
        <v>2.9520048387586184E-3</v>
      </c>
      <c r="J191">
        <f t="shared" si="61"/>
        <v>2.9520048387586182</v>
      </c>
      <c r="K191">
        <f t="shared" si="62"/>
        <v>45.548381689905007</v>
      </c>
      <c r="L191">
        <f t="shared" si="63"/>
        <v>348.351</v>
      </c>
      <c r="M191">
        <f t="shared" si="64"/>
        <v>98.47621774847633</v>
      </c>
      <c r="N191">
        <f t="shared" si="65"/>
        <v>9.7929648643774581</v>
      </c>
      <c r="O191">
        <f t="shared" si="66"/>
        <v>34.6417559636985</v>
      </c>
      <c r="P191">
        <f t="shared" si="67"/>
        <v>0.31507159550803243</v>
      </c>
      <c r="Q191">
        <f t="shared" si="68"/>
        <v>2.2990787077190458</v>
      </c>
      <c r="R191">
        <f t="shared" si="69"/>
        <v>0.29289977129342998</v>
      </c>
      <c r="S191">
        <f t="shared" si="70"/>
        <v>0.18492422215633375</v>
      </c>
      <c r="T191">
        <f t="shared" si="71"/>
        <v>276.11516390399998</v>
      </c>
      <c r="U191">
        <f t="shared" si="72"/>
        <v>27.804181032852004</v>
      </c>
      <c r="V191">
        <f t="shared" si="73"/>
        <v>27.804181032852004</v>
      </c>
      <c r="W191">
        <f t="shared" si="74"/>
        <v>3.751734530513875</v>
      </c>
      <c r="X191">
        <f t="shared" si="75"/>
        <v>78.993950608138888</v>
      </c>
      <c r="Y191">
        <f t="shared" si="76"/>
        <v>2.7824007470485497</v>
      </c>
      <c r="Z191">
        <f t="shared" si="77"/>
        <v>3.5222959804239413</v>
      </c>
      <c r="AA191">
        <f t="shared" si="78"/>
        <v>0.96933378346532528</v>
      </c>
      <c r="AB191">
        <f t="shared" si="79"/>
        <v>-130.18341338925507</v>
      </c>
      <c r="AC191">
        <f t="shared" si="80"/>
        <v>-133.43999188864876</v>
      </c>
      <c r="AD191">
        <f t="shared" si="81"/>
        <v>-12.559222996353306</v>
      </c>
      <c r="AE191">
        <f t="shared" si="82"/>
        <v>-6.7464370257141582E-2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52531.257889087799</v>
      </c>
      <c r="AK191">
        <f t="shared" si="86"/>
        <v>1800</v>
      </c>
      <c r="AL191">
        <f t="shared" si="87"/>
        <v>1499.1114204</v>
      </c>
      <c r="AM191">
        <f t="shared" si="88"/>
        <v>0.83283967800000003</v>
      </c>
      <c r="AN191">
        <f t="shared" si="89"/>
        <v>0.15339731328</v>
      </c>
      <c r="AO191">
        <v>29.1</v>
      </c>
      <c r="AP191">
        <v>0.5</v>
      </c>
      <c r="AQ191" t="s">
        <v>331</v>
      </c>
      <c r="AR191">
        <v>2</v>
      </c>
      <c r="AS191">
        <v>1690288380.5</v>
      </c>
      <c r="AT191">
        <v>348.351</v>
      </c>
      <c r="AU191">
        <v>799.96600000000001</v>
      </c>
      <c r="AV191">
        <v>27.979299999999999</v>
      </c>
      <c r="AW191">
        <v>0.15706100000000001</v>
      </c>
      <c r="AX191">
        <v>349.27</v>
      </c>
      <c r="AY191">
        <v>27.7882</v>
      </c>
      <c r="AZ191">
        <v>300.11900000000003</v>
      </c>
      <c r="BA191">
        <v>99.344999999999999</v>
      </c>
      <c r="BB191">
        <v>9.9973500000000007E-2</v>
      </c>
      <c r="BC191">
        <v>26.727599999999999</v>
      </c>
      <c r="BD191">
        <v>27.024999999999999</v>
      </c>
      <c r="BE191">
        <v>28.2272</v>
      </c>
      <c r="BF191">
        <v>0</v>
      </c>
      <c r="BG191">
        <v>0</v>
      </c>
      <c r="BH191">
        <v>9990.6200000000008</v>
      </c>
      <c r="BI191">
        <v>1087</v>
      </c>
      <c r="BJ191">
        <v>1.28952</v>
      </c>
      <c r="BK191">
        <v>-451.61500000000001</v>
      </c>
      <c r="BL191">
        <v>358.37799999999999</v>
      </c>
      <c r="BM191">
        <v>800.09100000000001</v>
      </c>
      <c r="BN191">
        <v>27.822299999999998</v>
      </c>
      <c r="BO191">
        <v>799.96600000000001</v>
      </c>
      <c r="BP191">
        <v>0.15706100000000001</v>
      </c>
      <c r="BQ191">
        <v>2.7796099999999999</v>
      </c>
      <c r="BR191">
        <v>1.5603199999999999E-2</v>
      </c>
      <c r="BS191">
        <v>22.763500000000001</v>
      </c>
      <c r="BT191">
        <v>-41.788600000000002</v>
      </c>
      <c r="BU191">
        <v>1800</v>
      </c>
      <c r="BV191">
        <v>0.91</v>
      </c>
      <c r="BW191">
        <v>3.4000500000000003E-2</v>
      </c>
      <c r="BX191">
        <v>2.1999399999999999E-2</v>
      </c>
      <c r="BY191">
        <v>3.3999799999999997E-2</v>
      </c>
      <c r="BZ191">
        <v>25</v>
      </c>
      <c r="CA191">
        <v>33528.400000000001</v>
      </c>
      <c r="CB191">
        <v>1690286268.5999999</v>
      </c>
      <c r="CC191" t="s">
        <v>332</v>
      </c>
      <c r="CD191">
        <v>1690286261.0999999</v>
      </c>
      <c r="CE191">
        <v>1690286268.5999999</v>
      </c>
      <c r="CF191">
        <v>1</v>
      </c>
      <c r="CG191">
        <v>-0.89900000000000002</v>
      </c>
      <c r="CH191">
        <v>3.4000000000000002E-2</v>
      </c>
      <c r="CI191">
        <v>-1.2370000000000001</v>
      </c>
      <c r="CJ191">
        <v>8.5999999999999993E-2</v>
      </c>
      <c r="CK191">
        <v>799</v>
      </c>
      <c r="CL191">
        <v>16</v>
      </c>
      <c r="CM191">
        <v>0.28999999999999998</v>
      </c>
      <c r="CN191">
        <v>0.09</v>
      </c>
      <c r="CO191">
        <v>-451.39945</v>
      </c>
      <c r="CP191">
        <v>-1.79873921200739</v>
      </c>
      <c r="CQ191">
        <v>0.18759850079358581</v>
      </c>
      <c r="CR191">
        <v>-1</v>
      </c>
      <c r="CS191">
        <v>27.807275000000001</v>
      </c>
      <c r="CT191">
        <v>7.056585365850826E-2</v>
      </c>
      <c r="CU191">
        <v>6.9015487392324196E-3</v>
      </c>
      <c r="CV191">
        <v>-1</v>
      </c>
      <c r="CW191">
        <v>0</v>
      </c>
      <c r="CX191">
        <v>0</v>
      </c>
      <c r="CY191" t="s">
        <v>333</v>
      </c>
      <c r="CZ191">
        <v>2.3651200000000001</v>
      </c>
      <c r="DA191">
        <v>2.7137600000000002</v>
      </c>
      <c r="DB191">
        <v>8.0890199999999995E-2</v>
      </c>
      <c r="DC191">
        <v>0.146561</v>
      </c>
      <c r="DD191">
        <v>0.12732299999999999</v>
      </c>
      <c r="DE191">
        <v>1.32855E-3</v>
      </c>
      <c r="DF191">
        <v>33562.6</v>
      </c>
      <c r="DG191">
        <v>27485.599999999999</v>
      </c>
      <c r="DH191">
        <v>31171.8</v>
      </c>
      <c r="DI191">
        <v>28061.3</v>
      </c>
      <c r="DJ191">
        <v>36912.800000000003</v>
      </c>
      <c r="DK191">
        <v>39838.300000000003</v>
      </c>
      <c r="DL191">
        <v>44355.9</v>
      </c>
      <c r="DM191">
        <v>42510.1</v>
      </c>
      <c r="DN191">
        <v>1.49383</v>
      </c>
      <c r="DO191">
        <v>2.0596999999999999</v>
      </c>
      <c r="DP191">
        <v>7.9363600000000006E-2</v>
      </c>
      <c r="DQ191">
        <v>0.17494000000000001</v>
      </c>
      <c r="DR191">
        <v>25.7258</v>
      </c>
      <c r="DS191">
        <v>25.365200000000002</v>
      </c>
      <c r="DT191">
        <v>29.7</v>
      </c>
      <c r="DU191">
        <v>26.1</v>
      </c>
      <c r="DV191">
        <v>10.1478</v>
      </c>
      <c r="DW191">
        <v>62.151400000000002</v>
      </c>
      <c r="DX191">
        <v>37.095399999999998</v>
      </c>
      <c r="DY191">
        <v>1</v>
      </c>
      <c r="DZ191">
        <v>-0.14252500000000001</v>
      </c>
      <c r="EA191">
        <v>-0.60468100000000002</v>
      </c>
      <c r="EB191">
        <v>20.1892</v>
      </c>
      <c r="EC191">
        <v>5.24125</v>
      </c>
      <c r="ED191">
        <v>12.039899999999999</v>
      </c>
      <c r="EE191">
        <v>5.0171000000000001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1.86877</v>
      </c>
      <c r="EL191">
        <v>1.8644700000000001</v>
      </c>
      <c r="EM191">
        <v>1.86907</v>
      </c>
      <c r="EN191">
        <v>1.8671</v>
      </c>
      <c r="EO191">
        <v>1.8632500000000001</v>
      </c>
      <c r="EP191">
        <v>1.86432</v>
      </c>
      <c r="EQ191">
        <v>1.8701000000000001</v>
      </c>
      <c r="ER191">
        <v>1.8693200000000001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-0.91900000000000004</v>
      </c>
      <c r="FG191">
        <v>0.19109999999999999</v>
      </c>
      <c r="FH191">
        <v>-0.68620417327404271</v>
      </c>
      <c r="FI191">
        <v>-6.1462078757559423E-4</v>
      </c>
      <c r="FJ191">
        <v>-1.8861989874597051E-7</v>
      </c>
      <c r="FK191">
        <v>1.1980462299894961E-10</v>
      </c>
      <c r="FL191">
        <v>0.1911242781723908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35.299999999999997</v>
      </c>
      <c r="FU191">
        <v>35.200000000000003</v>
      </c>
      <c r="FV191">
        <v>1.7639199999999999</v>
      </c>
      <c r="FW191">
        <v>2.5683600000000002</v>
      </c>
      <c r="FX191">
        <v>1.5490699999999999</v>
      </c>
      <c r="FY191">
        <v>2.34009</v>
      </c>
      <c r="FZ191">
        <v>1.50146</v>
      </c>
      <c r="GA191">
        <v>2.3559600000000001</v>
      </c>
      <c r="GB191">
        <v>31.237400000000001</v>
      </c>
      <c r="GC191">
        <v>23.991199999999999</v>
      </c>
      <c r="GD191">
        <v>19</v>
      </c>
      <c r="GE191">
        <v>287.613</v>
      </c>
      <c r="GF191">
        <v>595.14400000000001</v>
      </c>
      <c r="GG191">
        <v>25.836400000000001</v>
      </c>
      <c r="GH191">
        <v>25.619299999999999</v>
      </c>
      <c r="GI191">
        <v>30</v>
      </c>
      <c r="GJ191">
        <v>25.7258</v>
      </c>
      <c r="GK191">
        <v>25.693999999999999</v>
      </c>
      <c r="GL191">
        <v>35.261000000000003</v>
      </c>
      <c r="GM191">
        <v>100</v>
      </c>
      <c r="GN191">
        <v>0</v>
      </c>
      <c r="GO191">
        <v>25.836500000000001</v>
      </c>
      <c r="GP191">
        <v>800</v>
      </c>
      <c r="GQ191">
        <v>0</v>
      </c>
      <c r="GR191">
        <v>99.730500000000006</v>
      </c>
      <c r="GS191">
        <v>99.465599999999995</v>
      </c>
    </row>
    <row r="192" spans="1:201" x14ac:dyDescent="0.25">
      <c r="A192">
        <v>176</v>
      </c>
      <c r="B192">
        <v>1690288390.5</v>
      </c>
      <c r="C192">
        <v>1851.900000095367</v>
      </c>
      <c r="D192" t="s">
        <v>685</v>
      </c>
      <c r="E192" t="s">
        <v>686</v>
      </c>
      <c r="F192" t="s">
        <v>330</v>
      </c>
      <c r="H192">
        <v>1690288390.5</v>
      </c>
      <c r="I192">
        <f t="shared" si="60"/>
        <v>2.9543973088837251E-3</v>
      </c>
      <c r="J192">
        <f t="shared" si="61"/>
        <v>2.954397308883725</v>
      </c>
      <c r="K192">
        <f t="shared" si="62"/>
        <v>45.59001493835715</v>
      </c>
      <c r="L192">
        <f t="shared" si="63"/>
        <v>348.07299999999998</v>
      </c>
      <c r="M192">
        <f t="shared" si="64"/>
        <v>98.241300357363784</v>
      </c>
      <c r="N192">
        <f t="shared" si="65"/>
        <v>9.7695083639441851</v>
      </c>
      <c r="O192">
        <f t="shared" si="66"/>
        <v>34.613773152364992</v>
      </c>
      <c r="P192">
        <f t="shared" si="67"/>
        <v>0.31543685700335694</v>
      </c>
      <c r="Q192">
        <f t="shared" si="68"/>
        <v>2.2983158894187179</v>
      </c>
      <c r="R192">
        <f t="shared" si="69"/>
        <v>0.29320872046574309</v>
      </c>
      <c r="S192">
        <f t="shared" si="70"/>
        <v>0.18512186359240668</v>
      </c>
      <c r="T192">
        <f t="shared" si="71"/>
        <v>276.11535803400005</v>
      </c>
      <c r="U192">
        <f t="shared" si="72"/>
        <v>27.810624227305791</v>
      </c>
      <c r="V192">
        <f t="shared" si="73"/>
        <v>27.810624227305791</v>
      </c>
      <c r="W192">
        <f t="shared" si="74"/>
        <v>3.7531460282116735</v>
      </c>
      <c r="X192">
        <f t="shared" si="75"/>
        <v>79.009369484233829</v>
      </c>
      <c r="Y192">
        <f t="shared" si="76"/>
        <v>2.7840741415819998</v>
      </c>
      <c r="Z192">
        <f t="shared" si="77"/>
        <v>3.5237265652873697</v>
      </c>
      <c r="AA192">
        <f t="shared" si="78"/>
        <v>0.9690718866296737</v>
      </c>
      <c r="AB192">
        <f t="shared" si="79"/>
        <v>-130.28892132177228</v>
      </c>
      <c r="AC192">
        <f t="shared" si="80"/>
        <v>-133.33911611255499</v>
      </c>
      <c r="AD192">
        <f t="shared" si="81"/>
        <v>-12.5547307616991</v>
      </c>
      <c r="AE192">
        <f t="shared" si="82"/>
        <v>-6.7410162026305898E-2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52501.169285795164</v>
      </c>
      <c r="AK192">
        <f t="shared" si="86"/>
        <v>1800</v>
      </c>
      <c r="AL192">
        <f t="shared" si="87"/>
        <v>1499.1107184000002</v>
      </c>
      <c r="AM192">
        <f t="shared" si="88"/>
        <v>0.83283928800000007</v>
      </c>
      <c r="AN192">
        <f t="shared" si="89"/>
        <v>0.15339742113000004</v>
      </c>
      <c r="AO192">
        <v>29.1</v>
      </c>
      <c r="AP192">
        <v>0.5</v>
      </c>
      <c r="AQ192" t="s">
        <v>331</v>
      </c>
      <c r="AR192">
        <v>2</v>
      </c>
      <c r="AS192">
        <v>1690288390.5</v>
      </c>
      <c r="AT192">
        <v>348.07299999999998</v>
      </c>
      <c r="AU192">
        <v>800.01499999999999</v>
      </c>
      <c r="AV192">
        <v>27.996400000000001</v>
      </c>
      <c r="AW192">
        <v>0.156833</v>
      </c>
      <c r="AX192">
        <v>348.99200000000002</v>
      </c>
      <c r="AY192">
        <v>27.805199999999999</v>
      </c>
      <c r="AZ192">
        <v>300.17</v>
      </c>
      <c r="BA192">
        <v>99.343999999999994</v>
      </c>
      <c r="BB192">
        <v>0.100005</v>
      </c>
      <c r="BC192">
        <v>26.734500000000001</v>
      </c>
      <c r="BD192">
        <v>26.9922</v>
      </c>
      <c r="BE192">
        <v>28.221399999999999</v>
      </c>
      <c r="BF192">
        <v>0</v>
      </c>
      <c r="BG192">
        <v>0</v>
      </c>
      <c r="BH192">
        <v>9985</v>
      </c>
      <c r="BI192">
        <v>1086.92</v>
      </c>
      <c r="BJ192">
        <v>1.28952</v>
      </c>
      <c r="BK192">
        <v>-451.94200000000001</v>
      </c>
      <c r="BL192">
        <v>358.09899999999999</v>
      </c>
      <c r="BM192">
        <v>800.14099999999996</v>
      </c>
      <c r="BN192">
        <v>27.839500000000001</v>
      </c>
      <c r="BO192">
        <v>800.01499999999999</v>
      </c>
      <c r="BP192">
        <v>0.156833</v>
      </c>
      <c r="BQ192">
        <v>2.7812700000000001</v>
      </c>
      <c r="BR192">
        <v>1.5580500000000001E-2</v>
      </c>
      <c r="BS192">
        <v>22.773299999999999</v>
      </c>
      <c r="BT192">
        <v>-41.802300000000002</v>
      </c>
      <c r="BU192">
        <v>1800</v>
      </c>
      <c r="BV192">
        <v>0.90999300000000005</v>
      </c>
      <c r="BW192">
        <v>3.39999E-2</v>
      </c>
      <c r="BX192">
        <v>2.1999899999999999E-2</v>
      </c>
      <c r="BY192">
        <v>3.4007099999999998E-2</v>
      </c>
      <c r="BZ192">
        <v>25</v>
      </c>
      <c r="CA192">
        <v>33528.300000000003</v>
      </c>
      <c r="CB192">
        <v>1690286268.5999999</v>
      </c>
      <c r="CC192" t="s">
        <v>332</v>
      </c>
      <c r="CD192">
        <v>1690286261.0999999</v>
      </c>
      <c r="CE192">
        <v>1690286268.5999999</v>
      </c>
      <c r="CF192">
        <v>1</v>
      </c>
      <c r="CG192">
        <v>-0.89900000000000002</v>
      </c>
      <c r="CH192">
        <v>3.4000000000000002E-2</v>
      </c>
      <c r="CI192">
        <v>-1.2370000000000001</v>
      </c>
      <c r="CJ192">
        <v>8.5999999999999993E-2</v>
      </c>
      <c r="CK192">
        <v>799</v>
      </c>
      <c r="CL192">
        <v>16</v>
      </c>
      <c r="CM192">
        <v>0.28999999999999998</v>
      </c>
      <c r="CN192">
        <v>0.09</v>
      </c>
      <c r="CO192">
        <v>-451.68</v>
      </c>
      <c r="CP192">
        <v>-1.539151969979236</v>
      </c>
      <c r="CQ192">
        <v>0.15919594844090099</v>
      </c>
      <c r="CR192">
        <v>-1</v>
      </c>
      <c r="CS192">
        <v>27.822015</v>
      </c>
      <c r="CT192">
        <v>0.1024390243901746</v>
      </c>
      <c r="CU192">
        <v>9.954962330415755E-3</v>
      </c>
      <c r="CV192">
        <v>-1</v>
      </c>
      <c r="CW192">
        <v>0</v>
      </c>
      <c r="CX192">
        <v>0</v>
      </c>
      <c r="CY192" t="s">
        <v>333</v>
      </c>
      <c r="CZ192">
        <v>2.3652899999999999</v>
      </c>
      <c r="DA192">
        <v>2.7137799999999999</v>
      </c>
      <c r="DB192">
        <v>8.0838300000000002E-2</v>
      </c>
      <c r="DC192">
        <v>0.146565</v>
      </c>
      <c r="DD192">
        <v>0.12737499999999999</v>
      </c>
      <c r="DE192">
        <v>1.3266300000000001E-3</v>
      </c>
      <c r="DF192">
        <v>33564.9</v>
      </c>
      <c r="DG192">
        <v>27485.9</v>
      </c>
      <c r="DH192">
        <v>31172.1</v>
      </c>
      <c r="DI192">
        <v>28061.8</v>
      </c>
      <c r="DJ192">
        <v>36910.9</v>
      </c>
      <c r="DK192">
        <v>39839</v>
      </c>
      <c r="DL192">
        <v>44356.2</v>
      </c>
      <c r="DM192">
        <v>42510.8</v>
      </c>
      <c r="DN192">
        <v>1.4935700000000001</v>
      </c>
      <c r="DO192">
        <v>2.05945</v>
      </c>
      <c r="DP192">
        <v>7.7620099999999997E-2</v>
      </c>
      <c r="DQ192">
        <v>0.17463400000000001</v>
      </c>
      <c r="DR192">
        <v>25.721399999999999</v>
      </c>
      <c r="DS192">
        <v>25.3645</v>
      </c>
      <c r="DT192">
        <v>29.6</v>
      </c>
      <c r="DU192">
        <v>26.1</v>
      </c>
      <c r="DV192">
        <v>10.114000000000001</v>
      </c>
      <c r="DW192">
        <v>62.111400000000003</v>
      </c>
      <c r="DX192">
        <v>36.730800000000002</v>
      </c>
      <c r="DY192">
        <v>1</v>
      </c>
      <c r="DZ192">
        <v>-0.142487</v>
      </c>
      <c r="EA192">
        <v>-0.562056</v>
      </c>
      <c r="EB192">
        <v>20.189299999999999</v>
      </c>
      <c r="EC192">
        <v>5.2413999999999996</v>
      </c>
      <c r="ED192">
        <v>12.039899999999999</v>
      </c>
      <c r="EE192">
        <v>5.0172499999999998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1.86876</v>
      </c>
      <c r="EL192">
        <v>1.8644700000000001</v>
      </c>
      <c r="EM192">
        <v>1.86907</v>
      </c>
      <c r="EN192">
        <v>1.8670800000000001</v>
      </c>
      <c r="EO192">
        <v>1.8632500000000001</v>
      </c>
      <c r="EP192">
        <v>1.86432</v>
      </c>
      <c r="EQ192">
        <v>1.87012</v>
      </c>
      <c r="ER192">
        <v>1.8693299999999999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-0.91900000000000004</v>
      </c>
      <c r="FG192">
        <v>0.19120000000000001</v>
      </c>
      <c r="FH192">
        <v>-0.68620417327404271</v>
      </c>
      <c r="FI192">
        <v>-6.1462078757559423E-4</v>
      </c>
      <c r="FJ192">
        <v>-1.8861989874597051E-7</v>
      </c>
      <c r="FK192">
        <v>1.1980462299894961E-10</v>
      </c>
      <c r="FL192">
        <v>0.1911242781723908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35.5</v>
      </c>
      <c r="FU192">
        <v>35.4</v>
      </c>
      <c r="FV192">
        <v>1.7639199999999999</v>
      </c>
      <c r="FW192">
        <v>2.5671400000000002</v>
      </c>
      <c r="FX192">
        <v>1.5490699999999999</v>
      </c>
      <c r="FY192">
        <v>2.34009</v>
      </c>
      <c r="FZ192">
        <v>1.50146</v>
      </c>
      <c r="GA192">
        <v>2.3779300000000001</v>
      </c>
      <c r="GB192">
        <v>31.237400000000001</v>
      </c>
      <c r="GC192">
        <v>23.991199999999999</v>
      </c>
      <c r="GD192">
        <v>19</v>
      </c>
      <c r="GE192">
        <v>287.51499999999999</v>
      </c>
      <c r="GF192">
        <v>594.93499999999995</v>
      </c>
      <c r="GG192">
        <v>25.824400000000001</v>
      </c>
      <c r="GH192">
        <v>25.621500000000001</v>
      </c>
      <c r="GI192">
        <v>30.0001</v>
      </c>
      <c r="GJ192">
        <v>25.728000000000002</v>
      </c>
      <c r="GK192">
        <v>25.693999999999999</v>
      </c>
      <c r="GL192">
        <v>35.259700000000002</v>
      </c>
      <c r="GM192">
        <v>100</v>
      </c>
      <c r="GN192">
        <v>0</v>
      </c>
      <c r="GO192">
        <v>25.831199999999999</v>
      </c>
      <c r="GP192">
        <v>800</v>
      </c>
      <c r="GQ192">
        <v>0</v>
      </c>
      <c r="GR192">
        <v>99.731399999999994</v>
      </c>
      <c r="GS192">
        <v>99.467200000000005</v>
      </c>
    </row>
    <row r="193" spans="1:201" x14ac:dyDescent="0.25">
      <c r="A193">
        <v>177</v>
      </c>
      <c r="B193">
        <v>1690288400.5</v>
      </c>
      <c r="C193">
        <v>1861.900000095367</v>
      </c>
      <c r="D193" t="s">
        <v>687</v>
      </c>
      <c r="E193" t="s">
        <v>688</v>
      </c>
      <c r="F193" t="s">
        <v>330</v>
      </c>
      <c r="H193">
        <v>1690288400.5</v>
      </c>
      <c r="I193">
        <f t="shared" si="60"/>
        <v>2.954981813770349E-3</v>
      </c>
      <c r="J193">
        <f t="shared" si="61"/>
        <v>2.954981813770349</v>
      </c>
      <c r="K193">
        <f t="shared" si="62"/>
        <v>45.624510370082419</v>
      </c>
      <c r="L193">
        <f t="shared" si="63"/>
        <v>347.69499999999999</v>
      </c>
      <c r="M193">
        <f t="shared" si="64"/>
        <v>98.112431327951995</v>
      </c>
      <c r="N193">
        <f t="shared" si="65"/>
        <v>9.7567093982026147</v>
      </c>
      <c r="O193">
        <f t="shared" si="66"/>
        <v>34.576241035845001</v>
      </c>
      <c r="P193">
        <f t="shared" si="67"/>
        <v>0.31602949825274257</v>
      </c>
      <c r="Q193">
        <f t="shared" si="68"/>
        <v>2.2970670162231679</v>
      </c>
      <c r="R193">
        <f t="shared" si="69"/>
        <v>0.29370971426931708</v>
      </c>
      <c r="S193">
        <f t="shared" si="70"/>
        <v>0.18544238502852942</v>
      </c>
      <c r="T193">
        <f t="shared" si="71"/>
        <v>276.11583901199998</v>
      </c>
      <c r="U193">
        <f t="shared" si="72"/>
        <v>27.80567730137459</v>
      </c>
      <c r="V193">
        <f t="shared" si="73"/>
        <v>27.80567730137459</v>
      </c>
      <c r="W193">
        <f t="shared" si="74"/>
        <v>3.7520622737623555</v>
      </c>
      <c r="X193">
        <f t="shared" si="75"/>
        <v>79.044593898418071</v>
      </c>
      <c r="Y193">
        <f t="shared" si="76"/>
        <v>2.7844467324171003</v>
      </c>
      <c r="Z193">
        <f t="shared" si="77"/>
        <v>3.5226276650816293</v>
      </c>
      <c r="AA193">
        <f t="shared" si="78"/>
        <v>0.96761554134525518</v>
      </c>
      <c r="AB193">
        <f t="shared" si="79"/>
        <v>-130.31469798727238</v>
      </c>
      <c r="AC193">
        <f t="shared" si="80"/>
        <v>-133.31038598158941</v>
      </c>
      <c r="AD193">
        <f t="shared" si="81"/>
        <v>-12.558207116996881</v>
      </c>
      <c r="AE193">
        <f t="shared" si="82"/>
        <v>-6.7452073858675021E-2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52454.873868415969</v>
      </c>
      <c r="AK193">
        <f t="shared" si="86"/>
        <v>1800</v>
      </c>
      <c r="AL193">
        <f t="shared" si="87"/>
        <v>1499.1111071999997</v>
      </c>
      <c r="AM193">
        <f t="shared" si="88"/>
        <v>0.83283950399999984</v>
      </c>
      <c r="AN193">
        <f t="shared" si="89"/>
        <v>0.15339768834</v>
      </c>
      <c r="AO193">
        <v>29.1</v>
      </c>
      <c r="AP193">
        <v>0.5</v>
      </c>
      <c r="AQ193" t="s">
        <v>331</v>
      </c>
      <c r="AR193">
        <v>2</v>
      </c>
      <c r="AS193">
        <v>1690288400.5</v>
      </c>
      <c r="AT193">
        <v>347.69499999999999</v>
      </c>
      <c r="AU193">
        <v>799.94899999999996</v>
      </c>
      <c r="AV193">
        <v>28.0001</v>
      </c>
      <c r="AW193">
        <v>0.15596599999999999</v>
      </c>
      <c r="AX193">
        <v>348.613</v>
      </c>
      <c r="AY193">
        <v>27.808900000000001</v>
      </c>
      <c r="AZ193">
        <v>300.17899999999997</v>
      </c>
      <c r="BA193">
        <v>99.344200000000001</v>
      </c>
      <c r="BB193">
        <v>9.9971000000000004E-2</v>
      </c>
      <c r="BC193">
        <v>26.729199999999999</v>
      </c>
      <c r="BD193">
        <v>26.9895</v>
      </c>
      <c r="BE193">
        <v>28.2194</v>
      </c>
      <c r="BF193">
        <v>0</v>
      </c>
      <c r="BG193">
        <v>0</v>
      </c>
      <c r="BH193">
        <v>9975.6200000000008</v>
      </c>
      <c r="BI193">
        <v>1086.9100000000001</v>
      </c>
      <c r="BJ193">
        <v>1.23065</v>
      </c>
      <c r="BK193">
        <v>-452.25400000000002</v>
      </c>
      <c r="BL193">
        <v>357.71100000000001</v>
      </c>
      <c r="BM193">
        <v>800.07399999999996</v>
      </c>
      <c r="BN193">
        <v>27.844100000000001</v>
      </c>
      <c r="BO193">
        <v>799.94899999999996</v>
      </c>
      <c r="BP193">
        <v>0.15596599999999999</v>
      </c>
      <c r="BQ193">
        <v>2.7816399999999999</v>
      </c>
      <c r="BR193">
        <v>1.5494300000000001E-2</v>
      </c>
      <c r="BS193">
        <v>22.775600000000001</v>
      </c>
      <c r="BT193">
        <v>-41.854399999999998</v>
      </c>
      <c r="BU193">
        <v>1800</v>
      </c>
      <c r="BV193">
        <v>0.90998800000000002</v>
      </c>
      <c r="BW193">
        <v>3.3999599999999998E-2</v>
      </c>
      <c r="BX193">
        <v>2.20022E-2</v>
      </c>
      <c r="BY193">
        <v>3.4010600000000002E-2</v>
      </c>
      <c r="BZ193">
        <v>25</v>
      </c>
      <c r="CA193">
        <v>33528.300000000003</v>
      </c>
      <c r="CB193">
        <v>1690286268.5999999</v>
      </c>
      <c r="CC193" t="s">
        <v>332</v>
      </c>
      <c r="CD193">
        <v>1690286261.0999999</v>
      </c>
      <c r="CE193">
        <v>1690286268.5999999</v>
      </c>
      <c r="CF193">
        <v>1</v>
      </c>
      <c r="CG193">
        <v>-0.89900000000000002</v>
      </c>
      <c r="CH193">
        <v>3.4000000000000002E-2</v>
      </c>
      <c r="CI193">
        <v>-1.2370000000000001</v>
      </c>
      <c r="CJ193">
        <v>8.5999999999999993E-2</v>
      </c>
      <c r="CK193">
        <v>799</v>
      </c>
      <c r="CL193">
        <v>16</v>
      </c>
      <c r="CM193">
        <v>0.28999999999999998</v>
      </c>
      <c r="CN193">
        <v>0.09</v>
      </c>
      <c r="CO193">
        <v>-451.92897499999998</v>
      </c>
      <c r="CP193">
        <v>-1.613257035646098</v>
      </c>
      <c r="CQ193">
        <v>0.16217683057391469</v>
      </c>
      <c r="CR193">
        <v>-1</v>
      </c>
      <c r="CS193">
        <v>27.836287500000001</v>
      </c>
      <c r="CT193">
        <v>7.2588742964303107E-2</v>
      </c>
      <c r="CU193">
        <v>7.3300814286065344E-3</v>
      </c>
      <c r="CV193">
        <v>-1</v>
      </c>
      <c r="CW193">
        <v>0</v>
      </c>
      <c r="CX193">
        <v>0</v>
      </c>
      <c r="CY193" t="s">
        <v>333</v>
      </c>
      <c r="CZ193">
        <v>2.3652899999999999</v>
      </c>
      <c r="DA193">
        <v>2.71374</v>
      </c>
      <c r="DB193">
        <v>8.0769400000000005E-2</v>
      </c>
      <c r="DC193">
        <v>0.14655699999999999</v>
      </c>
      <c r="DD193">
        <v>0.127387</v>
      </c>
      <c r="DE193">
        <v>1.31937E-3</v>
      </c>
      <c r="DF193">
        <v>33567.199999999997</v>
      </c>
      <c r="DG193">
        <v>27486</v>
      </c>
      <c r="DH193">
        <v>31172</v>
      </c>
      <c r="DI193">
        <v>28061.599999999999</v>
      </c>
      <c r="DJ193">
        <v>36910.5</v>
      </c>
      <c r="DK193">
        <v>39839</v>
      </c>
      <c r="DL193">
        <v>44356.3</v>
      </c>
      <c r="DM193">
        <v>42510.5</v>
      </c>
      <c r="DN193">
        <v>1.4936</v>
      </c>
      <c r="DO193">
        <v>2.0594000000000001</v>
      </c>
      <c r="DP193">
        <v>7.7642500000000003E-2</v>
      </c>
      <c r="DQ193">
        <v>0.17446300000000001</v>
      </c>
      <c r="DR193">
        <v>25.718399999999999</v>
      </c>
      <c r="DS193">
        <v>25.365200000000002</v>
      </c>
      <c r="DT193">
        <v>29.6</v>
      </c>
      <c r="DU193">
        <v>26.1</v>
      </c>
      <c r="DV193">
        <v>10.112299999999999</v>
      </c>
      <c r="DW193">
        <v>62.101399999999998</v>
      </c>
      <c r="DX193">
        <v>36.5946</v>
      </c>
      <c r="DY193">
        <v>1</v>
      </c>
      <c r="DZ193">
        <v>-0.142536</v>
      </c>
      <c r="EA193">
        <v>-0.600885</v>
      </c>
      <c r="EB193">
        <v>20.189299999999999</v>
      </c>
      <c r="EC193">
        <v>5.2415500000000002</v>
      </c>
      <c r="ED193">
        <v>12.039899999999999</v>
      </c>
      <c r="EE193">
        <v>5.0172999999999996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1.86876</v>
      </c>
      <c r="EL193">
        <v>1.8644700000000001</v>
      </c>
      <c r="EM193">
        <v>1.8690800000000001</v>
      </c>
      <c r="EN193">
        <v>1.86711</v>
      </c>
      <c r="EO193">
        <v>1.8632599999999999</v>
      </c>
      <c r="EP193">
        <v>1.86432</v>
      </c>
      <c r="EQ193">
        <v>1.8701099999999999</v>
      </c>
      <c r="ER193">
        <v>1.86934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-0.91800000000000004</v>
      </c>
      <c r="FG193">
        <v>0.19120000000000001</v>
      </c>
      <c r="FH193">
        <v>-0.68620417327404271</v>
      </c>
      <c r="FI193">
        <v>-6.1462078757559423E-4</v>
      </c>
      <c r="FJ193">
        <v>-1.8861989874597051E-7</v>
      </c>
      <c r="FK193">
        <v>1.1980462299894961E-10</v>
      </c>
      <c r="FL193">
        <v>0.1911242781723908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35.700000000000003</v>
      </c>
      <c r="FU193">
        <v>35.5</v>
      </c>
      <c r="FV193">
        <v>1.7639199999999999</v>
      </c>
      <c r="FW193">
        <v>2.5671400000000002</v>
      </c>
      <c r="FX193">
        <v>1.5490699999999999</v>
      </c>
      <c r="FY193">
        <v>2.34009</v>
      </c>
      <c r="FZ193">
        <v>1.50146</v>
      </c>
      <c r="GA193">
        <v>2.4035600000000001</v>
      </c>
      <c r="GB193">
        <v>31.237400000000001</v>
      </c>
      <c r="GC193">
        <v>23.991199999999999</v>
      </c>
      <c r="GD193">
        <v>19</v>
      </c>
      <c r="GE193">
        <v>287.52600000000001</v>
      </c>
      <c r="GF193">
        <v>594.89300000000003</v>
      </c>
      <c r="GG193">
        <v>25.828199999999999</v>
      </c>
      <c r="GH193">
        <v>25.621500000000001</v>
      </c>
      <c r="GI193">
        <v>30.0001</v>
      </c>
      <c r="GJ193">
        <v>25.728000000000002</v>
      </c>
      <c r="GK193">
        <v>25.693999999999999</v>
      </c>
      <c r="GL193">
        <v>35.261600000000001</v>
      </c>
      <c r="GM193">
        <v>100</v>
      </c>
      <c r="GN193">
        <v>0</v>
      </c>
      <c r="GO193">
        <v>25.828399999999998</v>
      </c>
      <c r="GP193">
        <v>800</v>
      </c>
      <c r="GQ193">
        <v>0</v>
      </c>
      <c r="GR193">
        <v>99.731300000000005</v>
      </c>
      <c r="GS193">
        <v>99.466499999999996</v>
      </c>
    </row>
    <row r="194" spans="1:201" x14ac:dyDescent="0.25">
      <c r="A194">
        <v>178</v>
      </c>
      <c r="B194">
        <v>1690288410.5</v>
      </c>
      <c r="C194">
        <v>1871.900000095367</v>
      </c>
      <c r="D194" t="s">
        <v>689</v>
      </c>
      <c r="E194" t="s">
        <v>690</v>
      </c>
      <c r="F194" t="s">
        <v>330</v>
      </c>
      <c r="H194">
        <v>1690288410.5</v>
      </c>
      <c r="I194">
        <f t="shared" si="60"/>
        <v>2.9555729938184686E-3</v>
      </c>
      <c r="J194">
        <f t="shared" si="61"/>
        <v>2.9555729938184685</v>
      </c>
      <c r="K194">
        <f t="shared" si="62"/>
        <v>45.642036298460816</v>
      </c>
      <c r="L194">
        <f t="shared" si="63"/>
        <v>347.529</v>
      </c>
      <c r="M194">
        <f t="shared" si="64"/>
        <v>98.283150011468095</v>
      </c>
      <c r="N194">
        <f t="shared" si="65"/>
        <v>9.7738830997121475</v>
      </c>
      <c r="O194">
        <f t="shared" si="66"/>
        <v>34.560428917505398</v>
      </c>
      <c r="P194">
        <f t="shared" si="67"/>
        <v>0.3165604832367605</v>
      </c>
      <c r="Q194">
        <f t="shared" si="68"/>
        <v>2.3029272165651866</v>
      </c>
      <c r="R194">
        <f t="shared" si="69"/>
        <v>0.29422115233518259</v>
      </c>
      <c r="S194">
        <f t="shared" si="70"/>
        <v>0.18576378092568521</v>
      </c>
      <c r="T194">
        <f t="shared" si="71"/>
        <v>276.11646557400002</v>
      </c>
      <c r="U194">
        <f t="shared" si="72"/>
        <v>27.803484261291661</v>
      </c>
      <c r="V194">
        <f t="shared" si="73"/>
        <v>27.803484261291661</v>
      </c>
      <c r="W194">
        <f t="shared" si="74"/>
        <v>3.7515819179206971</v>
      </c>
      <c r="X194">
        <f t="shared" si="75"/>
        <v>79.070395006909393</v>
      </c>
      <c r="Y194">
        <f t="shared" si="76"/>
        <v>2.7854375714396995</v>
      </c>
      <c r="Z194">
        <f t="shared" si="77"/>
        <v>3.522731322129224</v>
      </c>
      <c r="AA194">
        <f t="shared" si="78"/>
        <v>0.96614434648099756</v>
      </c>
      <c r="AB194">
        <f t="shared" si="79"/>
        <v>-130.34076902739446</v>
      </c>
      <c r="AC194">
        <f t="shared" si="80"/>
        <v>-133.31612746658283</v>
      </c>
      <c r="AD194">
        <f t="shared" si="81"/>
        <v>-12.526683906099153</v>
      </c>
      <c r="AE194">
        <f t="shared" si="82"/>
        <v>-6.7114826076419831E-2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52676.640095668845</v>
      </c>
      <c r="AK194">
        <f t="shared" si="86"/>
        <v>1800</v>
      </c>
      <c r="AL194">
        <f t="shared" si="87"/>
        <v>1499.1109344000001</v>
      </c>
      <c r="AM194">
        <f t="shared" si="88"/>
        <v>0.83283940800000011</v>
      </c>
      <c r="AN194">
        <f t="shared" si="89"/>
        <v>0.15339803643000002</v>
      </c>
      <c r="AO194">
        <v>29.1</v>
      </c>
      <c r="AP194">
        <v>0.5</v>
      </c>
      <c r="AQ194" t="s">
        <v>331</v>
      </c>
      <c r="AR194">
        <v>2</v>
      </c>
      <c r="AS194">
        <v>1690288410.5</v>
      </c>
      <c r="AT194">
        <v>347.529</v>
      </c>
      <c r="AU194">
        <v>800.024</v>
      </c>
      <c r="AV194">
        <v>28.009499999999999</v>
      </c>
      <c r="AW194">
        <v>0.15551799999999999</v>
      </c>
      <c r="AX194">
        <v>348.447</v>
      </c>
      <c r="AY194">
        <v>27.8184</v>
      </c>
      <c r="AZ194">
        <v>300.13</v>
      </c>
      <c r="BA194">
        <v>99.346199999999996</v>
      </c>
      <c r="BB194">
        <v>9.9972599999999995E-2</v>
      </c>
      <c r="BC194">
        <v>26.729700000000001</v>
      </c>
      <c r="BD194">
        <v>26.994299999999999</v>
      </c>
      <c r="BE194">
        <v>28.230399999999999</v>
      </c>
      <c r="BF194">
        <v>0</v>
      </c>
      <c r="BG194">
        <v>0</v>
      </c>
      <c r="BH194">
        <v>10019.4</v>
      </c>
      <c r="BI194">
        <v>1086.97</v>
      </c>
      <c r="BJ194">
        <v>1.28952</v>
      </c>
      <c r="BK194">
        <v>-452.495</v>
      </c>
      <c r="BL194">
        <v>357.54300000000001</v>
      </c>
      <c r="BM194">
        <v>800.14800000000002</v>
      </c>
      <c r="BN194">
        <v>27.853999999999999</v>
      </c>
      <c r="BO194">
        <v>800.024</v>
      </c>
      <c r="BP194">
        <v>0.15551799999999999</v>
      </c>
      <c r="BQ194">
        <v>2.7826399999999998</v>
      </c>
      <c r="BR194">
        <v>1.54501E-2</v>
      </c>
      <c r="BS194">
        <v>22.781400000000001</v>
      </c>
      <c r="BT194">
        <v>-41.881300000000003</v>
      </c>
      <c r="BU194">
        <v>1800</v>
      </c>
      <c r="BV194">
        <v>0.90998100000000004</v>
      </c>
      <c r="BW194">
        <v>3.39987E-2</v>
      </c>
      <c r="BX194">
        <v>2.2006899999999999E-2</v>
      </c>
      <c r="BY194">
        <v>3.4013700000000001E-2</v>
      </c>
      <c r="BZ194">
        <v>25</v>
      </c>
      <c r="CA194">
        <v>33528.300000000003</v>
      </c>
      <c r="CB194">
        <v>1690286268.5999999</v>
      </c>
      <c r="CC194" t="s">
        <v>332</v>
      </c>
      <c r="CD194">
        <v>1690286261.0999999</v>
      </c>
      <c r="CE194">
        <v>1690286268.5999999</v>
      </c>
      <c r="CF194">
        <v>1</v>
      </c>
      <c r="CG194">
        <v>-0.89900000000000002</v>
      </c>
      <c r="CH194">
        <v>3.4000000000000002E-2</v>
      </c>
      <c r="CI194">
        <v>-1.2370000000000001</v>
      </c>
      <c r="CJ194">
        <v>8.5999999999999993E-2</v>
      </c>
      <c r="CK194">
        <v>799</v>
      </c>
      <c r="CL194">
        <v>16</v>
      </c>
      <c r="CM194">
        <v>0.28999999999999998</v>
      </c>
      <c r="CN194">
        <v>0.09</v>
      </c>
      <c r="CO194">
        <v>-452.19968292682921</v>
      </c>
      <c r="CP194">
        <v>-1.675254355400835</v>
      </c>
      <c r="CQ194">
        <v>0.16780570050848051</v>
      </c>
      <c r="CR194">
        <v>-1</v>
      </c>
      <c r="CS194">
        <v>27.844078048780489</v>
      </c>
      <c r="CT194">
        <v>2.8503135888476361E-2</v>
      </c>
      <c r="CU194">
        <v>3.0317436177012881E-3</v>
      </c>
      <c r="CV194">
        <v>-1</v>
      </c>
      <c r="CW194">
        <v>0</v>
      </c>
      <c r="CX194">
        <v>0</v>
      </c>
      <c r="CY194" t="s">
        <v>333</v>
      </c>
      <c r="CZ194">
        <v>2.3651599999999999</v>
      </c>
      <c r="DA194">
        <v>2.7137799999999999</v>
      </c>
      <c r="DB194">
        <v>8.0740699999999999E-2</v>
      </c>
      <c r="DC194">
        <v>0.146569</v>
      </c>
      <c r="DD194">
        <v>0.127419</v>
      </c>
      <c r="DE194">
        <v>1.3156299999999999E-3</v>
      </c>
      <c r="DF194">
        <v>33568.199999999997</v>
      </c>
      <c r="DG194">
        <v>27485.7</v>
      </c>
      <c r="DH194">
        <v>31171.9</v>
      </c>
      <c r="DI194">
        <v>28061.7</v>
      </c>
      <c r="DJ194">
        <v>36908.699999999997</v>
      </c>
      <c r="DK194">
        <v>39839.199999999997</v>
      </c>
      <c r="DL194">
        <v>44355.9</v>
      </c>
      <c r="DM194">
        <v>42510.6</v>
      </c>
      <c r="DN194">
        <v>1.4935</v>
      </c>
      <c r="DO194">
        <v>2.0594000000000001</v>
      </c>
      <c r="DP194">
        <v>7.7806399999999998E-2</v>
      </c>
      <c r="DQ194">
        <v>0.175007</v>
      </c>
      <c r="DR194">
        <v>25.720600000000001</v>
      </c>
      <c r="DS194">
        <v>25.3673</v>
      </c>
      <c r="DT194">
        <v>29.5</v>
      </c>
      <c r="DU194">
        <v>26.1</v>
      </c>
      <c r="DV194">
        <v>10.0786</v>
      </c>
      <c r="DW194">
        <v>61.881399999999999</v>
      </c>
      <c r="DX194">
        <v>36.446300000000001</v>
      </c>
      <c r="DY194">
        <v>1</v>
      </c>
      <c r="DZ194">
        <v>-0.142515</v>
      </c>
      <c r="EA194">
        <v>-0.62876600000000005</v>
      </c>
      <c r="EB194">
        <v>20.1892</v>
      </c>
      <c r="EC194">
        <v>5.2418500000000003</v>
      </c>
      <c r="ED194">
        <v>12.039899999999999</v>
      </c>
      <c r="EE194">
        <v>5.0174000000000003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1.8687499999999999</v>
      </c>
      <c r="EL194">
        <v>1.8644700000000001</v>
      </c>
      <c r="EM194">
        <v>1.8690800000000001</v>
      </c>
      <c r="EN194">
        <v>1.8670899999999999</v>
      </c>
      <c r="EO194">
        <v>1.8632500000000001</v>
      </c>
      <c r="EP194">
        <v>1.86432</v>
      </c>
      <c r="EQ194">
        <v>1.8701000000000001</v>
      </c>
      <c r="ER194">
        <v>1.8693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-0.91800000000000004</v>
      </c>
      <c r="FG194">
        <v>0.19109999999999999</v>
      </c>
      <c r="FH194">
        <v>-0.68620417327404271</v>
      </c>
      <c r="FI194">
        <v>-6.1462078757559423E-4</v>
      </c>
      <c r="FJ194">
        <v>-1.8861989874597051E-7</v>
      </c>
      <c r="FK194">
        <v>1.1980462299894961E-10</v>
      </c>
      <c r="FL194">
        <v>0.1911242781723908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35.799999999999997</v>
      </c>
      <c r="FU194">
        <v>35.700000000000003</v>
      </c>
      <c r="FV194">
        <v>1.7639199999999999</v>
      </c>
      <c r="FW194">
        <v>2.5695800000000002</v>
      </c>
      <c r="FX194">
        <v>1.5490699999999999</v>
      </c>
      <c r="FY194">
        <v>2.34009</v>
      </c>
      <c r="FZ194">
        <v>1.50146</v>
      </c>
      <c r="GA194">
        <v>2.34497</v>
      </c>
      <c r="GB194">
        <v>31.2591</v>
      </c>
      <c r="GC194">
        <v>23.982399999999998</v>
      </c>
      <c r="GD194">
        <v>19</v>
      </c>
      <c r="GE194">
        <v>287.483</v>
      </c>
      <c r="GF194">
        <v>594.91300000000001</v>
      </c>
      <c r="GG194">
        <v>25.833400000000001</v>
      </c>
      <c r="GH194">
        <v>25.621500000000001</v>
      </c>
      <c r="GI194">
        <v>30.0001</v>
      </c>
      <c r="GJ194">
        <v>25.728000000000002</v>
      </c>
      <c r="GK194">
        <v>25.695799999999998</v>
      </c>
      <c r="GL194">
        <v>35.261899999999997</v>
      </c>
      <c r="GM194">
        <v>100</v>
      </c>
      <c r="GN194">
        <v>0</v>
      </c>
      <c r="GO194">
        <v>25.839300000000001</v>
      </c>
      <c r="GP194">
        <v>800</v>
      </c>
      <c r="GQ194">
        <v>0</v>
      </c>
      <c r="GR194">
        <v>99.730599999999995</v>
      </c>
      <c r="GS194">
        <v>99.466700000000003</v>
      </c>
    </row>
    <row r="195" spans="1:201" x14ac:dyDescent="0.25">
      <c r="A195">
        <v>179</v>
      </c>
      <c r="B195">
        <v>1690288420.5</v>
      </c>
      <c r="C195">
        <v>1881.900000095367</v>
      </c>
      <c r="D195" t="s">
        <v>691</v>
      </c>
      <c r="E195" t="s">
        <v>692</v>
      </c>
      <c r="F195" t="s">
        <v>330</v>
      </c>
      <c r="H195">
        <v>1690288420.5</v>
      </c>
      <c r="I195">
        <f t="shared" si="60"/>
        <v>2.9582070598330383E-3</v>
      </c>
      <c r="J195">
        <f t="shared" si="61"/>
        <v>2.9582070598330383</v>
      </c>
      <c r="K195">
        <f t="shared" si="62"/>
        <v>45.678756650909591</v>
      </c>
      <c r="L195">
        <f t="shared" si="63"/>
        <v>347.238</v>
      </c>
      <c r="M195">
        <f t="shared" si="64"/>
        <v>98.469908693992849</v>
      </c>
      <c r="N195">
        <f t="shared" si="65"/>
        <v>9.792104146019879</v>
      </c>
      <c r="O195">
        <f t="shared" si="66"/>
        <v>34.530250962475804</v>
      </c>
      <c r="P195">
        <f t="shared" si="67"/>
        <v>0.31748459657326311</v>
      </c>
      <c r="Q195">
        <f t="shared" si="68"/>
        <v>2.302294931566697</v>
      </c>
      <c r="R195">
        <f t="shared" si="69"/>
        <v>0.29501390691401802</v>
      </c>
      <c r="S195">
        <f t="shared" si="70"/>
        <v>0.18626988915138099</v>
      </c>
      <c r="T195">
        <f t="shared" si="71"/>
        <v>276.11507456684137</v>
      </c>
      <c r="U195">
        <f t="shared" si="72"/>
        <v>27.802887830397886</v>
      </c>
      <c r="V195">
        <f t="shared" si="73"/>
        <v>27.802887830397886</v>
      </c>
      <c r="W195">
        <f t="shared" si="74"/>
        <v>3.7514512870619718</v>
      </c>
      <c r="X195">
        <f t="shared" si="75"/>
        <v>79.117240416919628</v>
      </c>
      <c r="Y195">
        <f t="shared" si="76"/>
        <v>2.7870878093711098</v>
      </c>
      <c r="Z195">
        <f t="shared" si="77"/>
        <v>3.522731322129224</v>
      </c>
      <c r="AA195">
        <f t="shared" si="78"/>
        <v>0.96436347769086206</v>
      </c>
      <c r="AB195">
        <f t="shared" si="79"/>
        <v>-130.45693133863699</v>
      </c>
      <c r="AC195">
        <f t="shared" si="80"/>
        <v>-133.20549478595805</v>
      </c>
      <c r="AD195">
        <f t="shared" si="81"/>
        <v>-12.519688642608109</v>
      </c>
      <c r="AE195">
        <f t="shared" si="82"/>
        <v>-6.7040200361788038E-2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52652.607088564539</v>
      </c>
      <c r="AK195">
        <f t="shared" si="86"/>
        <v>1799.99</v>
      </c>
      <c r="AL195">
        <f t="shared" si="87"/>
        <v>1499.1027104053403</v>
      </c>
      <c r="AM195">
        <f t="shared" si="88"/>
        <v>0.83283946600000014</v>
      </c>
      <c r="AN195">
        <f t="shared" si="89"/>
        <v>0.15339811585999999</v>
      </c>
      <c r="AO195">
        <v>29.1</v>
      </c>
      <c r="AP195">
        <v>0.5</v>
      </c>
      <c r="AQ195" t="s">
        <v>331</v>
      </c>
      <c r="AR195">
        <v>2</v>
      </c>
      <c r="AS195">
        <v>1690288420.5</v>
      </c>
      <c r="AT195">
        <v>347.238</v>
      </c>
      <c r="AU195">
        <v>799.99</v>
      </c>
      <c r="AV195">
        <v>28.027100000000001</v>
      </c>
      <c r="AW195">
        <v>0.15492800000000001</v>
      </c>
      <c r="AX195">
        <v>348.15600000000001</v>
      </c>
      <c r="AY195">
        <v>27.835999999999999</v>
      </c>
      <c r="AZ195">
        <v>300.19600000000003</v>
      </c>
      <c r="BA195">
        <v>99.342699999999994</v>
      </c>
      <c r="BB195">
        <v>9.9904099999999996E-2</v>
      </c>
      <c r="BC195">
        <v>26.729700000000001</v>
      </c>
      <c r="BD195">
        <v>26.999600000000001</v>
      </c>
      <c r="BE195">
        <v>28.2334</v>
      </c>
      <c r="BF195">
        <v>0</v>
      </c>
      <c r="BG195">
        <v>0</v>
      </c>
      <c r="BH195">
        <v>10015</v>
      </c>
      <c r="BI195">
        <v>1086.96</v>
      </c>
      <c r="BJ195">
        <v>1.28952</v>
      </c>
      <c r="BK195">
        <v>-452.75200000000001</v>
      </c>
      <c r="BL195">
        <v>357.25099999999998</v>
      </c>
      <c r="BM195">
        <v>800.11400000000003</v>
      </c>
      <c r="BN195">
        <v>27.872199999999999</v>
      </c>
      <c r="BO195">
        <v>799.99</v>
      </c>
      <c r="BP195">
        <v>0.15492800000000001</v>
      </c>
      <c r="BQ195">
        <v>2.7842899999999999</v>
      </c>
      <c r="BR195">
        <v>1.5390900000000001E-2</v>
      </c>
      <c r="BS195">
        <v>22.7912</v>
      </c>
      <c r="BT195">
        <v>-41.917400000000001</v>
      </c>
      <c r="BU195">
        <v>1799.99</v>
      </c>
      <c r="BV195">
        <v>0.90998100000000004</v>
      </c>
      <c r="BW195">
        <v>3.3997600000000003E-2</v>
      </c>
      <c r="BX195">
        <v>2.2008799999999999E-2</v>
      </c>
      <c r="BY195">
        <v>3.4012599999999997E-2</v>
      </c>
      <c r="BZ195">
        <v>25</v>
      </c>
      <c r="CA195">
        <v>33528.1</v>
      </c>
      <c r="CB195">
        <v>1690286268.5999999</v>
      </c>
      <c r="CC195" t="s">
        <v>332</v>
      </c>
      <c r="CD195">
        <v>1690286261.0999999</v>
      </c>
      <c r="CE195">
        <v>1690286268.5999999</v>
      </c>
      <c r="CF195">
        <v>1</v>
      </c>
      <c r="CG195">
        <v>-0.89900000000000002</v>
      </c>
      <c r="CH195">
        <v>3.4000000000000002E-2</v>
      </c>
      <c r="CI195">
        <v>-1.2370000000000001</v>
      </c>
      <c r="CJ195">
        <v>8.5999999999999993E-2</v>
      </c>
      <c r="CK195">
        <v>799</v>
      </c>
      <c r="CL195">
        <v>16</v>
      </c>
      <c r="CM195">
        <v>0.28999999999999998</v>
      </c>
      <c r="CN195">
        <v>0.09</v>
      </c>
      <c r="CO195">
        <v>-452.469675</v>
      </c>
      <c r="CP195">
        <v>-1.616724202624287</v>
      </c>
      <c r="CQ195">
        <v>0.15838550872791279</v>
      </c>
      <c r="CR195">
        <v>-1</v>
      </c>
      <c r="CS195">
        <v>27.853772500000002</v>
      </c>
      <c r="CT195">
        <v>9.1509568480265188E-2</v>
      </c>
      <c r="CU195">
        <v>9.0818221602275515E-3</v>
      </c>
      <c r="CV195">
        <v>-1</v>
      </c>
      <c r="CW195">
        <v>0</v>
      </c>
      <c r="CX195">
        <v>0</v>
      </c>
      <c r="CY195" t="s">
        <v>333</v>
      </c>
      <c r="CZ195">
        <v>2.36537</v>
      </c>
      <c r="DA195">
        <v>2.7137099999999998</v>
      </c>
      <c r="DB195">
        <v>8.0684599999999995E-2</v>
      </c>
      <c r="DC195">
        <v>0.14655899999999999</v>
      </c>
      <c r="DD195">
        <v>0.12747</v>
      </c>
      <c r="DE195">
        <v>1.3106400000000001E-3</v>
      </c>
      <c r="DF195">
        <v>33570.6</v>
      </c>
      <c r="DG195">
        <v>27485.9</v>
      </c>
      <c r="DH195">
        <v>31172.3</v>
      </c>
      <c r="DI195">
        <v>28061.599999999999</v>
      </c>
      <c r="DJ195">
        <v>36907</v>
      </c>
      <c r="DK195">
        <v>39839.300000000003</v>
      </c>
      <c r="DL195">
        <v>44356.5</v>
      </c>
      <c r="DM195">
        <v>42510.5</v>
      </c>
      <c r="DN195">
        <v>1.494</v>
      </c>
      <c r="DO195">
        <v>2.0592999999999999</v>
      </c>
      <c r="DP195">
        <v>7.8126799999999996E-2</v>
      </c>
      <c r="DQ195">
        <v>0.17519299999999999</v>
      </c>
      <c r="DR195">
        <v>25.720600000000001</v>
      </c>
      <c r="DS195">
        <v>25.3673</v>
      </c>
      <c r="DT195">
        <v>29.4</v>
      </c>
      <c r="DU195">
        <v>26.1</v>
      </c>
      <c r="DV195">
        <v>10.044499999999999</v>
      </c>
      <c r="DW195">
        <v>61.8414</v>
      </c>
      <c r="DX195">
        <v>36.326099999999997</v>
      </c>
      <c r="DY195">
        <v>1</v>
      </c>
      <c r="DZ195">
        <v>-0.14252300000000001</v>
      </c>
      <c r="EA195">
        <v>-0.61668000000000001</v>
      </c>
      <c r="EB195">
        <v>20.1891</v>
      </c>
      <c r="EC195">
        <v>5.2421499999999996</v>
      </c>
      <c r="ED195">
        <v>12.039899999999999</v>
      </c>
      <c r="EE195">
        <v>5.0173500000000004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1.8687400000000001</v>
      </c>
      <c r="EL195">
        <v>1.8644700000000001</v>
      </c>
      <c r="EM195">
        <v>1.86907</v>
      </c>
      <c r="EN195">
        <v>1.8671199999999999</v>
      </c>
      <c r="EO195">
        <v>1.8632500000000001</v>
      </c>
      <c r="EP195">
        <v>1.86432</v>
      </c>
      <c r="EQ195">
        <v>1.8701000000000001</v>
      </c>
      <c r="ER195">
        <v>1.8693299999999999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-0.91800000000000004</v>
      </c>
      <c r="FG195">
        <v>0.19109999999999999</v>
      </c>
      <c r="FH195">
        <v>-0.68620417327404271</v>
      </c>
      <c r="FI195">
        <v>-6.1462078757559423E-4</v>
      </c>
      <c r="FJ195">
        <v>-1.8861989874597051E-7</v>
      </c>
      <c r="FK195">
        <v>1.1980462299894961E-10</v>
      </c>
      <c r="FL195">
        <v>0.1911242781723908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36</v>
      </c>
      <c r="FU195">
        <v>35.9</v>
      </c>
      <c r="FV195">
        <v>1.7639199999999999</v>
      </c>
      <c r="FW195">
        <v>2.5756800000000002</v>
      </c>
      <c r="FX195">
        <v>1.5490699999999999</v>
      </c>
      <c r="FY195">
        <v>2.34009</v>
      </c>
      <c r="FZ195">
        <v>1.50146</v>
      </c>
      <c r="GA195">
        <v>2.32178</v>
      </c>
      <c r="GB195">
        <v>31.2591</v>
      </c>
      <c r="GC195">
        <v>23.982399999999998</v>
      </c>
      <c r="GD195">
        <v>19</v>
      </c>
      <c r="GE195">
        <v>287.70800000000003</v>
      </c>
      <c r="GF195">
        <v>594.83399999999995</v>
      </c>
      <c r="GG195">
        <v>25.841999999999999</v>
      </c>
      <c r="GH195">
        <v>25.6236</v>
      </c>
      <c r="GI195">
        <v>30.0001</v>
      </c>
      <c r="GJ195">
        <v>25.7302</v>
      </c>
      <c r="GK195">
        <v>25.696200000000001</v>
      </c>
      <c r="GL195">
        <v>35.261699999999998</v>
      </c>
      <c r="GM195">
        <v>100</v>
      </c>
      <c r="GN195">
        <v>0</v>
      </c>
      <c r="GO195">
        <v>25.835100000000001</v>
      </c>
      <c r="GP195">
        <v>800</v>
      </c>
      <c r="GQ195">
        <v>0</v>
      </c>
      <c r="GR195">
        <v>99.731999999999999</v>
      </c>
      <c r="GS195">
        <v>99.466499999999996</v>
      </c>
    </row>
    <row r="196" spans="1:201" x14ac:dyDescent="0.25">
      <c r="A196">
        <v>180</v>
      </c>
      <c r="B196">
        <v>1690288430.5</v>
      </c>
      <c r="C196">
        <v>1891.900000095367</v>
      </c>
      <c r="D196" t="s">
        <v>693</v>
      </c>
      <c r="E196" t="s">
        <v>694</v>
      </c>
      <c r="F196" t="s">
        <v>330</v>
      </c>
      <c r="H196">
        <v>1690288430.5</v>
      </c>
      <c r="I196">
        <f t="shared" si="60"/>
        <v>2.9584592473183972E-3</v>
      </c>
      <c r="J196">
        <f t="shared" si="61"/>
        <v>2.9584592473183973</v>
      </c>
      <c r="K196">
        <f t="shared" si="62"/>
        <v>45.706005243955204</v>
      </c>
      <c r="L196">
        <f t="shared" si="63"/>
        <v>346.96499999999997</v>
      </c>
      <c r="M196">
        <f t="shared" si="64"/>
        <v>98.187314964788271</v>
      </c>
      <c r="N196">
        <f t="shared" si="65"/>
        <v>9.7642808372792693</v>
      </c>
      <c r="O196">
        <f t="shared" si="66"/>
        <v>34.504087436565001</v>
      </c>
      <c r="P196">
        <f t="shared" si="67"/>
        <v>0.31767712087127731</v>
      </c>
      <c r="Q196">
        <f t="shared" si="68"/>
        <v>2.3009201611340542</v>
      </c>
      <c r="R196">
        <f t="shared" si="69"/>
        <v>0.29516778443176117</v>
      </c>
      <c r="S196">
        <f t="shared" si="70"/>
        <v>0.18636915818526575</v>
      </c>
      <c r="T196">
        <f t="shared" si="71"/>
        <v>276.11661767400005</v>
      </c>
      <c r="U196">
        <f t="shared" si="72"/>
        <v>27.803803219227817</v>
      </c>
      <c r="V196">
        <f t="shared" si="73"/>
        <v>27.803803219227817</v>
      </c>
      <c r="W196">
        <f t="shared" si="74"/>
        <v>3.751651778018473</v>
      </c>
      <c r="X196">
        <f t="shared" si="75"/>
        <v>79.132314058109856</v>
      </c>
      <c r="Y196">
        <f t="shared" si="76"/>
        <v>2.7876844357443002</v>
      </c>
      <c r="Z196">
        <f t="shared" si="77"/>
        <v>3.5228142496846462</v>
      </c>
      <c r="AA196">
        <f t="shared" si="78"/>
        <v>0.9639673422741728</v>
      </c>
      <c r="AB196">
        <f t="shared" si="79"/>
        <v>-130.46805280674133</v>
      </c>
      <c r="AC196">
        <f t="shared" si="80"/>
        <v>-133.18988627276508</v>
      </c>
      <c r="AD196">
        <f t="shared" si="81"/>
        <v>-12.525783456999211</v>
      </c>
      <c r="AE196">
        <f t="shared" si="82"/>
        <v>-6.7104862505544816E-2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52600.527899067798</v>
      </c>
      <c r="AK196">
        <f t="shared" si="86"/>
        <v>1800</v>
      </c>
      <c r="AL196">
        <f t="shared" si="87"/>
        <v>1499.1117354</v>
      </c>
      <c r="AM196">
        <f t="shared" si="88"/>
        <v>0.83283985299999996</v>
      </c>
      <c r="AN196">
        <f t="shared" si="89"/>
        <v>0.15339812093000002</v>
      </c>
      <c r="AO196">
        <v>29.1</v>
      </c>
      <c r="AP196">
        <v>0.5</v>
      </c>
      <c r="AQ196" t="s">
        <v>331</v>
      </c>
      <c r="AR196">
        <v>2</v>
      </c>
      <c r="AS196">
        <v>1690288430.5</v>
      </c>
      <c r="AT196">
        <v>346.96499999999997</v>
      </c>
      <c r="AU196">
        <v>800.03</v>
      </c>
      <c r="AV196">
        <v>28.032299999999999</v>
      </c>
      <c r="AW196">
        <v>0.15446499999999999</v>
      </c>
      <c r="AX196">
        <v>347.88299999999998</v>
      </c>
      <c r="AY196">
        <v>27.841200000000001</v>
      </c>
      <c r="AZ196">
        <v>300.15899999999999</v>
      </c>
      <c r="BA196">
        <v>99.345399999999998</v>
      </c>
      <c r="BB196">
        <v>0.100041</v>
      </c>
      <c r="BC196">
        <v>26.7301</v>
      </c>
      <c r="BD196">
        <v>26.9819</v>
      </c>
      <c r="BE196">
        <v>28.2302</v>
      </c>
      <c r="BF196">
        <v>0</v>
      </c>
      <c r="BG196">
        <v>0</v>
      </c>
      <c r="BH196">
        <v>10004.4</v>
      </c>
      <c r="BI196">
        <v>1087.05</v>
      </c>
      <c r="BJ196">
        <v>1.28952</v>
      </c>
      <c r="BK196">
        <v>-453.065</v>
      </c>
      <c r="BL196">
        <v>356.97199999999998</v>
      </c>
      <c r="BM196">
        <v>800.154</v>
      </c>
      <c r="BN196">
        <v>27.8779</v>
      </c>
      <c r="BO196">
        <v>800.03</v>
      </c>
      <c r="BP196">
        <v>0.15446499999999999</v>
      </c>
      <c r="BQ196">
        <v>2.7848799999999998</v>
      </c>
      <c r="BR196">
        <v>1.53454E-2</v>
      </c>
      <c r="BS196">
        <v>22.794699999999999</v>
      </c>
      <c r="BT196">
        <v>-41.9452</v>
      </c>
      <c r="BU196">
        <v>1800</v>
      </c>
      <c r="BV196">
        <v>0.90998299999999999</v>
      </c>
      <c r="BW196">
        <v>3.3996999999999999E-2</v>
      </c>
      <c r="BX196">
        <v>2.2008400000000001E-2</v>
      </c>
      <c r="BY196">
        <v>3.4011899999999998E-2</v>
      </c>
      <c r="BZ196">
        <v>25</v>
      </c>
      <c r="CA196">
        <v>33528.300000000003</v>
      </c>
      <c r="CB196">
        <v>1690286268.5999999</v>
      </c>
      <c r="CC196" t="s">
        <v>332</v>
      </c>
      <c r="CD196">
        <v>1690286261.0999999</v>
      </c>
      <c r="CE196">
        <v>1690286268.5999999</v>
      </c>
      <c r="CF196">
        <v>1</v>
      </c>
      <c r="CG196">
        <v>-0.89900000000000002</v>
      </c>
      <c r="CH196">
        <v>3.4000000000000002E-2</v>
      </c>
      <c r="CI196">
        <v>-1.2370000000000001</v>
      </c>
      <c r="CJ196">
        <v>8.5999999999999993E-2</v>
      </c>
      <c r="CK196">
        <v>799</v>
      </c>
      <c r="CL196">
        <v>16</v>
      </c>
      <c r="CM196">
        <v>0.28999999999999998</v>
      </c>
      <c r="CN196">
        <v>0.09</v>
      </c>
      <c r="CO196">
        <v>-452.71179999999998</v>
      </c>
      <c r="CP196">
        <v>-1.3721425891186301</v>
      </c>
      <c r="CQ196">
        <v>0.13774563513955471</v>
      </c>
      <c r="CR196">
        <v>-1</v>
      </c>
      <c r="CS196">
        <v>27.867447500000001</v>
      </c>
      <c r="CT196">
        <v>6.9261163226928213E-2</v>
      </c>
      <c r="CU196">
        <v>7.0364048881512197E-3</v>
      </c>
      <c r="CV196">
        <v>-1</v>
      </c>
      <c r="CW196">
        <v>0</v>
      </c>
      <c r="CX196">
        <v>0</v>
      </c>
      <c r="CY196" t="s">
        <v>333</v>
      </c>
      <c r="CZ196">
        <v>2.3652500000000001</v>
      </c>
      <c r="DA196">
        <v>2.7138399999999998</v>
      </c>
      <c r="DB196">
        <v>8.0636799999999995E-2</v>
      </c>
      <c r="DC196">
        <v>0.146568</v>
      </c>
      <c r="DD196">
        <v>0.12748999999999999</v>
      </c>
      <c r="DE196">
        <v>1.3068000000000001E-3</v>
      </c>
      <c r="DF196">
        <v>33572.400000000001</v>
      </c>
      <c r="DG196">
        <v>27485.3</v>
      </c>
      <c r="DH196">
        <v>31172.3</v>
      </c>
      <c r="DI196">
        <v>28061.3</v>
      </c>
      <c r="DJ196">
        <v>36906.300000000003</v>
      </c>
      <c r="DK196">
        <v>39839.300000000003</v>
      </c>
      <c r="DL196">
        <v>44356.7</v>
      </c>
      <c r="DM196">
        <v>42510.3</v>
      </c>
      <c r="DN196">
        <v>1.4938800000000001</v>
      </c>
      <c r="DO196">
        <v>2.0593499999999998</v>
      </c>
      <c r="DP196">
        <v>7.6912300000000003E-2</v>
      </c>
      <c r="DQ196">
        <v>0.17486499999999999</v>
      </c>
      <c r="DR196">
        <v>25.7227</v>
      </c>
      <c r="DS196">
        <v>25.369499999999999</v>
      </c>
      <c r="DT196">
        <v>29.4</v>
      </c>
      <c r="DU196">
        <v>26.1</v>
      </c>
      <c r="DV196">
        <v>10.045</v>
      </c>
      <c r="DW196">
        <v>62.041400000000003</v>
      </c>
      <c r="DX196">
        <v>36.586500000000001</v>
      </c>
      <c r="DY196">
        <v>1</v>
      </c>
      <c r="DZ196">
        <v>-0.14236499999999999</v>
      </c>
      <c r="EA196">
        <v>-0.60744299999999996</v>
      </c>
      <c r="EB196">
        <v>20.1891</v>
      </c>
      <c r="EC196">
        <v>5.2416999999999998</v>
      </c>
      <c r="ED196">
        <v>12.039899999999999</v>
      </c>
      <c r="EE196">
        <v>5.0172499999999998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1.86876</v>
      </c>
      <c r="EL196">
        <v>1.8644700000000001</v>
      </c>
      <c r="EM196">
        <v>1.8690899999999999</v>
      </c>
      <c r="EN196">
        <v>1.86711</v>
      </c>
      <c r="EO196">
        <v>1.8632500000000001</v>
      </c>
      <c r="EP196">
        <v>1.86432</v>
      </c>
      <c r="EQ196">
        <v>1.87012</v>
      </c>
      <c r="ER196">
        <v>1.8693299999999999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-0.91800000000000004</v>
      </c>
      <c r="FG196">
        <v>0.19109999999999999</v>
      </c>
      <c r="FH196">
        <v>-0.68620417327404271</v>
      </c>
      <c r="FI196">
        <v>-6.1462078757559423E-4</v>
      </c>
      <c r="FJ196">
        <v>-1.8861989874597051E-7</v>
      </c>
      <c r="FK196">
        <v>1.1980462299894961E-10</v>
      </c>
      <c r="FL196">
        <v>0.1911242781723908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36.200000000000003</v>
      </c>
      <c r="FU196">
        <v>36</v>
      </c>
      <c r="FV196">
        <v>1.7639199999999999</v>
      </c>
      <c r="FW196">
        <v>2.5744600000000002</v>
      </c>
      <c r="FX196">
        <v>1.5490699999999999</v>
      </c>
      <c r="FY196">
        <v>2.34009</v>
      </c>
      <c r="FZ196">
        <v>1.50146</v>
      </c>
      <c r="GA196">
        <v>2.3535200000000001</v>
      </c>
      <c r="GB196">
        <v>31.2591</v>
      </c>
      <c r="GC196">
        <v>23.973700000000001</v>
      </c>
      <c r="GD196">
        <v>19</v>
      </c>
      <c r="GE196">
        <v>287.654</v>
      </c>
      <c r="GF196">
        <v>594.87599999999998</v>
      </c>
      <c r="GG196">
        <v>25.836500000000001</v>
      </c>
      <c r="GH196">
        <v>25.6236</v>
      </c>
      <c r="GI196">
        <v>30.0001</v>
      </c>
      <c r="GJ196">
        <v>25.7302</v>
      </c>
      <c r="GK196">
        <v>25.696200000000001</v>
      </c>
      <c r="GL196">
        <v>35.262500000000003</v>
      </c>
      <c r="GM196">
        <v>100</v>
      </c>
      <c r="GN196">
        <v>0</v>
      </c>
      <c r="GO196">
        <v>25.840299999999999</v>
      </c>
      <c r="GP196">
        <v>800</v>
      </c>
      <c r="GQ196">
        <v>0</v>
      </c>
      <c r="GR196">
        <v>99.732200000000006</v>
      </c>
      <c r="GS196">
        <v>99.465800000000002</v>
      </c>
    </row>
    <row r="197" spans="1:201" x14ac:dyDescent="0.25">
      <c r="A197">
        <v>181</v>
      </c>
      <c r="B197">
        <v>1690288440.5</v>
      </c>
      <c r="C197">
        <v>1901.900000095367</v>
      </c>
      <c r="D197" t="s">
        <v>695</v>
      </c>
      <c r="E197" t="s">
        <v>696</v>
      </c>
      <c r="F197" t="s">
        <v>330</v>
      </c>
      <c r="H197">
        <v>1690288440.5</v>
      </c>
      <c r="I197">
        <f t="shared" si="60"/>
        <v>2.9598881897957906E-3</v>
      </c>
      <c r="J197">
        <f t="shared" si="61"/>
        <v>2.9598881897957905</v>
      </c>
      <c r="K197">
        <f t="shared" si="62"/>
        <v>45.734225324236732</v>
      </c>
      <c r="L197">
        <f t="shared" si="63"/>
        <v>346.69799999999998</v>
      </c>
      <c r="M197">
        <f t="shared" si="64"/>
        <v>97.954868270732348</v>
      </c>
      <c r="N197">
        <f t="shared" si="65"/>
        <v>9.7410568331504468</v>
      </c>
      <c r="O197">
        <f t="shared" si="66"/>
        <v>34.477152402527999</v>
      </c>
      <c r="P197">
        <f t="shared" si="67"/>
        <v>0.31792044587239904</v>
      </c>
      <c r="Q197">
        <f t="shared" si="68"/>
        <v>2.3016509854688776</v>
      </c>
      <c r="R197">
        <f t="shared" si="69"/>
        <v>0.29538453938351578</v>
      </c>
      <c r="S197">
        <f t="shared" si="70"/>
        <v>0.18650680478449089</v>
      </c>
      <c r="T197">
        <f t="shared" si="71"/>
        <v>276.11651962800005</v>
      </c>
      <c r="U197">
        <f t="shared" si="72"/>
        <v>27.807322363614144</v>
      </c>
      <c r="V197">
        <f t="shared" si="73"/>
        <v>27.807322363614144</v>
      </c>
      <c r="W197">
        <f t="shared" si="74"/>
        <v>3.7524226376767138</v>
      </c>
      <c r="X197">
        <f t="shared" si="75"/>
        <v>79.141609718155209</v>
      </c>
      <c r="Y197">
        <f t="shared" si="76"/>
        <v>2.7887175144480003</v>
      </c>
      <c r="Z197">
        <f t="shared" si="77"/>
        <v>3.5237058285513547</v>
      </c>
      <c r="AA197">
        <f t="shared" si="78"/>
        <v>0.96370512322871349</v>
      </c>
      <c r="AB197">
        <f t="shared" si="79"/>
        <v>-130.53106916999437</v>
      </c>
      <c r="AC197">
        <f t="shared" si="80"/>
        <v>-133.13529667161302</v>
      </c>
      <c r="AD197">
        <f t="shared" si="81"/>
        <v>-12.517162883763939</v>
      </c>
      <c r="AE197">
        <f t="shared" si="82"/>
        <v>-6.7009097371283133E-2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52627.424647551808</v>
      </c>
      <c r="AK197">
        <f t="shared" si="86"/>
        <v>1800</v>
      </c>
      <c r="AL197">
        <f t="shared" si="87"/>
        <v>1499.1113178000001</v>
      </c>
      <c r="AM197">
        <f t="shared" si="88"/>
        <v>0.83283962099999997</v>
      </c>
      <c r="AN197">
        <f t="shared" si="89"/>
        <v>0.15339806646000004</v>
      </c>
      <c r="AO197">
        <v>29.1</v>
      </c>
      <c r="AP197">
        <v>0.5</v>
      </c>
      <c r="AQ197" t="s">
        <v>331</v>
      </c>
      <c r="AR197">
        <v>2</v>
      </c>
      <c r="AS197">
        <v>1690288440.5</v>
      </c>
      <c r="AT197">
        <v>346.69799999999998</v>
      </c>
      <c r="AU197">
        <v>799.99900000000002</v>
      </c>
      <c r="AV197">
        <v>28.042999999999999</v>
      </c>
      <c r="AW197">
        <v>0.154144</v>
      </c>
      <c r="AX197">
        <v>347.61599999999999</v>
      </c>
      <c r="AY197">
        <v>27.851900000000001</v>
      </c>
      <c r="AZ197">
        <v>300.18200000000002</v>
      </c>
      <c r="BA197">
        <v>99.344300000000004</v>
      </c>
      <c r="BB197">
        <v>0.100036</v>
      </c>
      <c r="BC197">
        <v>26.734400000000001</v>
      </c>
      <c r="BD197">
        <v>27.003900000000002</v>
      </c>
      <c r="BE197">
        <v>28.2378</v>
      </c>
      <c r="BF197">
        <v>0</v>
      </c>
      <c r="BG197">
        <v>0</v>
      </c>
      <c r="BH197">
        <v>10010</v>
      </c>
      <c r="BI197">
        <v>1087.04</v>
      </c>
      <c r="BJ197">
        <v>1.2699</v>
      </c>
      <c r="BK197">
        <v>-453.30099999999999</v>
      </c>
      <c r="BL197">
        <v>356.70100000000002</v>
      </c>
      <c r="BM197">
        <v>800.12300000000005</v>
      </c>
      <c r="BN197">
        <v>27.8889</v>
      </c>
      <c r="BO197">
        <v>799.99900000000002</v>
      </c>
      <c r="BP197">
        <v>0.154144</v>
      </c>
      <c r="BQ197">
        <v>2.78592</v>
      </c>
      <c r="BR197">
        <v>1.53133E-2</v>
      </c>
      <c r="BS197">
        <v>22.800899999999999</v>
      </c>
      <c r="BT197">
        <v>-41.9649</v>
      </c>
      <c r="BU197">
        <v>1800</v>
      </c>
      <c r="BV197">
        <v>0.90998299999999999</v>
      </c>
      <c r="BW197">
        <v>3.3996899999999997E-2</v>
      </c>
      <c r="BX197">
        <v>2.2008300000000001E-2</v>
      </c>
      <c r="BY197">
        <v>3.4011800000000002E-2</v>
      </c>
      <c r="BZ197">
        <v>25</v>
      </c>
      <c r="CA197">
        <v>33528.199999999997</v>
      </c>
      <c r="CB197">
        <v>1690286268.5999999</v>
      </c>
      <c r="CC197" t="s">
        <v>332</v>
      </c>
      <c r="CD197">
        <v>1690286261.0999999</v>
      </c>
      <c r="CE197">
        <v>1690286268.5999999</v>
      </c>
      <c r="CF197">
        <v>1</v>
      </c>
      <c r="CG197">
        <v>-0.89900000000000002</v>
      </c>
      <c r="CH197">
        <v>3.4000000000000002E-2</v>
      </c>
      <c r="CI197">
        <v>-1.2370000000000001</v>
      </c>
      <c r="CJ197">
        <v>8.5999999999999993E-2</v>
      </c>
      <c r="CK197">
        <v>799</v>
      </c>
      <c r="CL197">
        <v>16</v>
      </c>
      <c r="CM197">
        <v>0.28999999999999998</v>
      </c>
      <c r="CN197">
        <v>0.09</v>
      </c>
      <c r="CO197">
        <v>-452.94175609756098</v>
      </c>
      <c r="CP197">
        <v>-1.270975609755624</v>
      </c>
      <c r="CQ197">
        <v>0.13850839201269061</v>
      </c>
      <c r="CR197">
        <v>-1</v>
      </c>
      <c r="CS197">
        <v>27.877697560975619</v>
      </c>
      <c r="CT197">
        <v>5.12257839722432E-2</v>
      </c>
      <c r="CU197">
        <v>5.1563121537365206E-3</v>
      </c>
      <c r="CV197">
        <v>-1</v>
      </c>
      <c r="CW197">
        <v>0</v>
      </c>
      <c r="CX197">
        <v>0</v>
      </c>
      <c r="CY197" t="s">
        <v>333</v>
      </c>
      <c r="CZ197">
        <v>2.36531</v>
      </c>
      <c r="DA197">
        <v>2.7138399999999998</v>
      </c>
      <c r="DB197">
        <v>8.0587300000000001E-2</v>
      </c>
      <c r="DC197">
        <v>0.146563</v>
      </c>
      <c r="DD197">
        <v>0.127522</v>
      </c>
      <c r="DE197">
        <v>1.3040899999999999E-3</v>
      </c>
      <c r="DF197">
        <v>33574.300000000003</v>
      </c>
      <c r="DG197">
        <v>27485.7</v>
      </c>
      <c r="DH197">
        <v>31172.400000000001</v>
      </c>
      <c r="DI197">
        <v>28061.5</v>
      </c>
      <c r="DJ197">
        <v>36904.800000000003</v>
      </c>
      <c r="DK197">
        <v>39839.800000000003</v>
      </c>
      <c r="DL197">
        <v>44356.5</v>
      </c>
      <c r="DM197">
        <v>42510.7</v>
      </c>
      <c r="DN197">
        <v>1.4937499999999999</v>
      </c>
      <c r="DO197">
        <v>2.0590700000000002</v>
      </c>
      <c r="DP197">
        <v>7.8126799999999996E-2</v>
      </c>
      <c r="DQ197">
        <v>0.17533499999999999</v>
      </c>
      <c r="DR197">
        <v>25.724900000000002</v>
      </c>
      <c r="DS197">
        <v>25.369499999999999</v>
      </c>
      <c r="DT197">
        <v>29.3</v>
      </c>
      <c r="DU197">
        <v>26.1</v>
      </c>
      <c r="DV197">
        <v>10.0101</v>
      </c>
      <c r="DW197">
        <v>62.031399999999998</v>
      </c>
      <c r="DX197">
        <v>36.750799999999998</v>
      </c>
      <c r="DY197">
        <v>1</v>
      </c>
      <c r="DZ197">
        <v>-0.14197399999999999</v>
      </c>
      <c r="EA197">
        <v>-0.65917499999999996</v>
      </c>
      <c r="EB197">
        <v>20.188800000000001</v>
      </c>
      <c r="EC197">
        <v>5.2421499999999996</v>
      </c>
      <c r="ED197">
        <v>12.039899999999999</v>
      </c>
      <c r="EE197">
        <v>5.0173500000000004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1.86877</v>
      </c>
      <c r="EL197">
        <v>1.8644700000000001</v>
      </c>
      <c r="EM197">
        <v>1.8690899999999999</v>
      </c>
      <c r="EN197">
        <v>1.8671199999999999</v>
      </c>
      <c r="EO197">
        <v>1.8632500000000001</v>
      </c>
      <c r="EP197">
        <v>1.86432</v>
      </c>
      <c r="EQ197">
        <v>1.8701099999999999</v>
      </c>
      <c r="ER197">
        <v>1.8693500000000001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-0.91800000000000004</v>
      </c>
      <c r="FG197">
        <v>0.19109999999999999</v>
      </c>
      <c r="FH197">
        <v>-0.68620417327404271</v>
      </c>
      <c r="FI197">
        <v>-6.1462078757559423E-4</v>
      </c>
      <c r="FJ197">
        <v>-1.8861989874597051E-7</v>
      </c>
      <c r="FK197">
        <v>1.1980462299894961E-10</v>
      </c>
      <c r="FL197">
        <v>0.1911242781723908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36.299999999999997</v>
      </c>
      <c r="FU197">
        <v>36.200000000000003</v>
      </c>
      <c r="FV197">
        <v>1.7639199999999999</v>
      </c>
      <c r="FW197">
        <v>2.5769000000000002</v>
      </c>
      <c r="FX197">
        <v>1.5490699999999999</v>
      </c>
      <c r="FY197">
        <v>2.34009</v>
      </c>
      <c r="FZ197">
        <v>1.50146</v>
      </c>
      <c r="GA197">
        <v>2.3278799999999999</v>
      </c>
      <c r="GB197">
        <v>31.2591</v>
      </c>
      <c r="GC197">
        <v>23.982399999999998</v>
      </c>
      <c r="GD197">
        <v>19</v>
      </c>
      <c r="GE197">
        <v>287.60000000000002</v>
      </c>
      <c r="GF197">
        <v>594.64800000000002</v>
      </c>
      <c r="GG197">
        <v>25.848800000000001</v>
      </c>
      <c r="GH197">
        <v>25.6236</v>
      </c>
      <c r="GI197">
        <v>30.0001</v>
      </c>
      <c r="GJ197">
        <v>25.7302</v>
      </c>
      <c r="GK197">
        <v>25.696300000000001</v>
      </c>
      <c r="GL197">
        <v>35.264000000000003</v>
      </c>
      <c r="GM197">
        <v>100</v>
      </c>
      <c r="GN197">
        <v>0</v>
      </c>
      <c r="GO197">
        <v>25.856000000000002</v>
      </c>
      <c r="GP197">
        <v>800</v>
      </c>
      <c r="GQ197">
        <v>0</v>
      </c>
      <c r="GR197">
        <v>99.732100000000003</v>
      </c>
      <c r="GS197">
        <v>99.466700000000003</v>
      </c>
    </row>
    <row r="198" spans="1:201" x14ac:dyDescent="0.25">
      <c r="A198">
        <v>182</v>
      </c>
      <c r="B198">
        <v>1690288450.5</v>
      </c>
      <c r="C198">
        <v>1911.900000095367</v>
      </c>
      <c r="D198" t="s">
        <v>697</v>
      </c>
      <c r="E198" t="s">
        <v>698</v>
      </c>
      <c r="F198" t="s">
        <v>330</v>
      </c>
      <c r="H198">
        <v>1690288450.5</v>
      </c>
      <c r="I198">
        <f t="shared" si="60"/>
        <v>2.9603005441039545E-3</v>
      </c>
      <c r="J198">
        <f t="shared" si="61"/>
        <v>2.9603005441039545</v>
      </c>
      <c r="K198">
        <f t="shared" si="62"/>
        <v>45.732795543941911</v>
      </c>
      <c r="L198">
        <f t="shared" si="63"/>
        <v>346.61799999999999</v>
      </c>
      <c r="M198">
        <f t="shared" si="64"/>
        <v>98.452414429176201</v>
      </c>
      <c r="N198">
        <f t="shared" si="65"/>
        <v>9.7908530704120249</v>
      </c>
      <c r="O198">
        <f t="shared" si="66"/>
        <v>34.470316743744192</v>
      </c>
      <c r="P198">
        <f t="shared" si="67"/>
        <v>0.31866553004165871</v>
      </c>
      <c r="Q198">
        <f t="shared" si="68"/>
        <v>2.3058430152368019</v>
      </c>
      <c r="R198">
        <f t="shared" si="69"/>
        <v>0.29606592645996782</v>
      </c>
      <c r="S198">
        <f t="shared" si="70"/>
        <v>0.18693795327113111</v>
      </c>
      <c r="T198">
        <f t="shared" si="71"/>
        <v>276.11651851199997</v>
      </c>
      <c r="U198">
        <f t="shared" si="72"/>
        <v>27.802906804845545</v>
      </c>
      <c r="V198">
        <f t="shared" si="73"/>
        <v>27.802906804845545</v>
      </c>
      <c r="W198">
        <f t="shared" si="74"/>
        <v>3.7514554428023299</v>
      </c>
      <c r="X198">
        <f t="shared" si="75"/>
        <v>79.184052451779337</v>
      </c>
      <c r="Y198">
        <f t="shared" si="76"/>
        <v>2.7898025942457001</v>
      </c>
      <c r="Z198">
        <f t="shared" si="77"/>
        <v>3.523187444775707</v>
      </c>
      <c r="AA198">
        <f t="shared" si="78"/>
        <v>0.9616528485566298</v>
      </c>
      <c r="AB198">
        <f t="shared" si="79"/>
        <v>-130.54925399498438</v>
      </c>
      <c r="AC198">
        <f t="shared" si="80"/>
        <v>-133.1396497788063</v>
      </c>
      <c r="AD198">
        <f t="shared" si="81"/>
        <v>-12.494383380894979</v>
      </c>
      <c r="AE198">
        <f t="shared" si="82"/>
        <v>-6.6768642685701707E-2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52786.836297096743</v>
      </c>
      <c r="AK198">
        <f t="shared" si="86"/>
        <v>1800</v>
      </c>
      <c r="AL198">
        <f t="shared" si="87"/>
        <v>1499.1123041999999</v>
      </c>
      <c r="AM198">
        <f t="shared" si="88"/>
        <v>0.83284016899999991</v>
      </c>
      <c r="AN198">
        <f t="shared" si="89"/>
        <v>0.15339806583999999</v>
      </c>
      <c r="AO198">
        <v>29.1</v>
      </c>
      <c r="AP198">
        <v>0.5</v>
      </c>
      <c r="AQ198" t="s">
        <v>331</v>
      </c>
      <c r="AR198">
        <v>2</v>
      </c>
      <c r="AS198">
        <v>1690288450.5</v>
      </c>
      <c r="AT198">
        <v>346.61799999999999</v>
      </c>
      <c r="AU198">
        <v>800.01599999999996</v>
      </c>
      <c r="AV198">
        <v>28.053000000000001</v>
      </c>
      <c r="AW198">
        <v>0.153668</v>
      </c>
      <c r="AX198">
        <v>347.536</v>
      </c>
      <c r="AY198">
        <v>27.861899999999999</v>
      </c>
      <c r="AZ198">
        <v>300.108</v>
      </c>
      <c r="BA198">
        <v>99.3476</v>
      </c>
      <c r="BB198">
        <v>9.9966899999999997E-2</v>
      </c>
      <c r="BC198">
        <v>26.7319</v>
      </c>
      <c r="BD198">
        <v>26.991900000000001</v>
      </c>
      <c r="BE198">
        <v>28.2441</v>
      </c>
      <c r="BF198">
        <v>0</v>
      </c>
      <c r="BG198">
        <v>0</v>
      </c>
      <c r="BH198">
        <v>10041.200000000001</v>
      </c>
      <c r="BI198">
        <v>1086.95</v>
      </c>
      <c r="BJ198">
        <v>1.2642899999999999</v>
      </c>
      <c r="BK198">
        <v>-453.39800000000002</v>
      </c>
      <c r="BL198">
        <v>356.62200000000001</v>
      </c>
      <c r="BM198">
        <v>800.13900000000001</v>
      </c>
      <c r="BN198">
        <v>27.8993</v>
      </c>
      <c r="BO198">
        <v>800.01599999999996</v>
      </c>
      <c r="BP198">
        <v>0.153668</v>
      </c>
      <c r="BQ198">
        <v>2.7869999999999999</v>
      </c>
      <c r="BR198">
        <v>1.5266500000000001E-2</v>
      </c>
      <c r="BS198">
        <v>22.807300000000001</v>
      </c>
      <c r="BT198">
        <v>-41.993600000000001</v>
      </c>
      <c r="BU198">
        <v>1800</v>
      </c>
      <c r="BV198">
        <v>0.90998599999999996</v>
      </c>
      <c r="BW198">
        <v>3.3995900000000003E-2</v>
      </c>
      <c r="BX198">
        <v>2.2007700000000002E-2</v>
      </c>
      <c r="BY198">
        <v>3.4010800000000001E-2</v>
      </c>
      <c r="BZ198">
        <v>25</v>
      </c>
      <c r="CA198">
        <v>33528.300000000003</v>
      </c>
      <c r="CB198">
        <v>1690286268.5999999</v>
      </c>
      <c r="CC198" t="s">
        <v>332</v>
      </c>
      <c r="CD198">
        <v>1690286261.0999999</v>
      </c>
      <c r="CE198">
        <v>1690286268.5999999</v>
      </c>
      <c r="CF198">
        <v>1</v>
      </c>
      <c r="CG198">
        <v>-0.89900000000000002</v>
      </c>
      <c r="CH198">
        <v>3.4000000000000002E-2</v>
      </c>
      <c r="CI198">
        <v>-1.2370000000000001</v>
      </c>
      <c r="CJ198">
        <v>8.5999999999999993E-2</v>
      </c>
      <c r="CK198">
        <v>799</v>
      </c>
      <c r="CL198">
        <v>16</v>
      </c>
      <c r="CM198">
        <v>0.28999999999999998</v>
      </c>
      <c r="CN198">
        <v>0.09</v>
      </c>
      <c r="CO198">
        <v>-453.19341463414628</v>
      </c>
      <c r="CP198">
        <v>-1.395198606271578</v>
      </c>
      <c r="CQ198">
        <v>0.15117442286083249</v>
      </c>
      <c r="CR198">
        <v>-1</v>
      </c>
      <c r="CS198">
        <v>27.88730731707318</v>
      </c>
      <c r="CT198">
        <v>6.358327526132504E-2</v>
      </c>
      <c r="CU198">
        <v>6.2891850743528391E-3</v>
      </c>
      <c r="CV198">
        <v>-1</v>
      </c>
      <c r="CW198">
        <v>0</v>
      </c>
      <c r="CX198">
        <v>0</v>
      </c>
      <c r="CY198" t="s">
        <v>333</v>
      </c>
      <c r="CZ198">
        <v>2.3650500000000001</v>
      </c>
      <c r="DA198">
        <v>2.7137899999999999</v>
      </c>
      <c r="DB198">
        <v>8.0575300000000002E-2</v>
      </c>
      <c r="DC198">
        <v>0.146569</v>
      </c>
      <c r="DD198">
        <v>0.127558</v>
      </c>
      <c r="DE198">
        <v>1.30014E-3</v>
      </c>
      <c r="DF198">
        <v>33574.699999999997</v>
      </c>
      <c r="DG198">
        <v>27485.7</v>
      </c>
      <c r="DH198">
        <v>31172.400000000001</v>
      </c>
      <c r="DI198">
        <v>28061.7</v>
      </c>
      <c r="DJ198">
        <v>36903.5</v>
      </c>
      <c r="DK198">
        <v>39840.199999999997</v>
      </c>
      <c r="DL198">
        <v>44356.7</v>
      </c>
      <c r="DM198">
        <v>42511</v>
      </c>
      <c r="DN198">
        <v>1.4936700000000001</v>
      </c>
      <c r="DO198">
        <v>2.0590999999999999</v>
      </c>
      <c r="DP198">
        <v>7.73147E-2</v>
      </c>
      <c r="DQ198">
        <v>0.17584900000000001</v>
      </c>
      <c r="DR198">
        <v>25.726199999999999</v>
      </c>
      <c r="DS198">
        <v>25.3673</v>
      </c>
      <c r="DT198">
        <v>29.2</v>
      </c>
      <c r="DU198">
        <v>26.1</v>
      </c>
      <c r="DV198">
        <v>9.9759799999999998</v>
      </c>
      <c r="DW198">
        <v>62.0214</v>
      </c>
      <c r="DX198">
        <v>36.979199999999999</v>
      </c>
      <c r="DY198">
        <v>1</v>
      </c>
      <c r="DZ198">
        <v>-0.14203299999999999</v>
      </c>
      <c r="EA198">
        <v>-0.62946299999999999</v>
      </c>
      <c r="EB198">
        <v>20.189</v>
      </c>
      <c r="EC198">
        <v>5.2418500000000003</v>
      </c>
      <c r="ED198">
        <v>12.039899999999999</v>
      </c>
      <c r="EE198">
        <v>5.0174500000000002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1.8687800000000001</v>
      </c>
      <c r="EL198">
        <v>1.8644700000000001</v>
      </c>
      <c r="EM198">
        <v>1.8690899999999999</v>
      </c>
      <c r="EN198">
        <v>1.8671199999999999</v>
      </c>
      <c r="EO198">
        <v>1.8632599999999999</v>
      </c>
      <c r="EP198">
        <v>1.86432</v>
      </c>
      <c r="EQ198">
        <v>1.8701000000000001</v>
      </c>
      <c r="ER198">
        <v>1.86934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-0.91800000000000004</v>
      </c>
      <c r="FG198">
        <v>0.19109999999999999</v>
      </c>
      <c r="FH198">
        <v>-0.68620417327404271</v>
      </c>
      <c r="FI198">
        <v>-6.1462078757559423E-4</v>
      </c>
      <c r="FJ198">
        <v>-1.8861989874597051E-7</v>
      </c>
      <c r="FK198">
        <v>1.1980462299894961E-10</v>
      </c>
      <c r="FL198">
        <v>0.1911242781723908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36.5</v>
      </c>
      <c r="FU198">
        <v>36.4</v>
      </c>
      <c r="FV198">
        <v>1.7639199999999999</v>
      </c>
      <c r="FW198">
        <v>2.5756800000000002</v>
      </c>
      <c r="FX198">
        <v>1.5490699999999999</v>
      </c>
      <c r="FY198">
        <v>2.34009</v>
      </c>
      <c r="FZ198">
        <v>1.50146</v>
      </c>
      <c r="GA198">
        <v>2.2522000000000002</v>
      </c>
      <c r="GB198">
        <v>31.280899999999999</v>
      </c>
      <c r="GC198">
        <v>23.973700000000001</v>
      </c>
      <c r="GD198">
        <v>19</v>
      </c>
      <c r="GE198">
        <v>287.56799999999998</v>
      </c>
      <c r="GF198">
        <v>594.69299999999998</v>
      </c>
      <c r="GG198">
        <v>25.8597</v>
      </c>
      <c r="GH198">
        <v>25.624199999999998</v>
      </c>
      <c r="GI198">
        <v>30</v>
      </c>
      <c r="GJ198">
        <v>25.7302</v>
      </c>
      <c r="GK198">
        <v>25.698399999999999</v>
      </c>
      <c r="GL198">
        <v>35.265000000000001</v>
      </c>
      <c r="GM198">
        <v>100</v>
      </c>
      <c r="GN198">
        <v>0</v>
      </c>
      <c r="GO198">
        <v>25.858599999999999</v>
      </c>
      <c r="GP198">
        <v>800</v>
      </c>
      <c r="GQ198">
        <v>0</v>
      </c>
      <c r="GR198">
        <v>99.732399999999998</v>
      </c>
      <c r="GS198">
        <v>99.467299999999994</v>
      </c>
    </row>
    <row r="199" spans="1:201" x14ac:dyDescent="0.25">
      <c r="A199">
        <v>183</v>
      </c>
      <c r="B199">
        <v>1690288460.5</v>
      </c>
      <c r="C199">
        <v>1921.900000095367</v>
      </c>
      <c r="D199" t="s">
        <v>699</v>
      </c>
      <c r="E199" t="s">
        <v>700</v>
      </c>
      <c r="F199" t="s">
        <v>330</v>
      </c>
      <c r="H199">
        <v>1690288460.5</v>
      </c>
      <c r="I199">
        <f t="shared" si="60"/>
        <v>2.962063941381409E-3</v>
      </c>
      <c r="J199">
        <f t="shared" si="61"/>
        <v>2.9620639413814089</v>
      </c>
      <c r="K199">
        <f t="shared" si="62"/>
        <v>45.758110437272443</v>
      </c>
      <c r="L199">
        <f t="shared" si="63"/>
        <v>346.31599999999997</v>
      </c>
      <c r="M199">
        <f t="shared" si="64"/>
        <v>98.372336219300394</v>
      </c>
      <c r="N199">
        <f t="shared" si="65"/>
        <v>9.7826544856041746</v>
      </c>
      <c r="O199">
        <f t="shared" si="66"/>
        <v>34.439456264247994</v>
      </c>
      <c r="P199">
        <f t="shared" si="67"/>
        <v>0.31916346122835615</v>
      </c>
      <c r="Q199">
        <f t="shared" si="68"/>
        <v>2.3047349947348148</v>
      </c>
      <c r="R199">
        <f t="shared" si="69"/>
        <v>0.29648580104532701</v>
      </c>
      <c r="S199">
        <f t="shared" si="70"/>
        <v>0.18720667175935979</v>
      </c>
      <c r="T199">
        <f t="shared" si="71"/>
        <v>276.11473111074952</v>
      </c>
      <c r="U199">
        <f t="shared" si="72"/>
        <v>27.807088217999176</v>
      </c>
      <c r="V199">
        <f t="shared" si="73"/>
        <v>27.807088217999176</v>
      </c>
      <c r="W199">
        <f t="shared" si="74"/>
        <v>3.7523713443818476</v>
      </c>
      <c r="X199">
        <f t="shared" si="75"/>
        <v>79.213473836069554</v>
      </c>
      <c r="Y199">
        <f t="shared" si="76"/>
        <v>2.7915454806736002</v>
      </c>
      <c r="Z199">
        <f t="shared" si="77"/>
        <v>3.5240791061008618</v>
      </c>
      <c r="AA199">
        <f t="shared" si="78"/>
        <v>0.96082586370824741</v>
      </c>
      <c r="AB199">
        <f t="shared" si="79"/>
        <v>-130.62701981492015</v>
      </c>
      <c r="AC199">
        <f t="shared" si="80"/>
        <v>-133.06093778695342</v>
      </c>
      <c r="AD199">
        <f t="shared" si="81"/>
        <v>-12.493529261971689</v>
      </c>
      <c r="AE199">
        <f t="shared" si="82"/>
        <v>-6.6755753095719683E-2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52744.001258794298</v>
      </c>
      <c r="AK199">
        <f t="shared" si="86"/>
        <v>1799.99</v>
      </c>
      <c r="AL199">
        <f t="shared" si="87"/>
        <v>1499.1028796044</v>
      </c>
      <c r="AM199">
        <f t="shared" si="88"/>
        <v>0.83283955999999992</v>
      </c>
      <c r="AN199">
        <f t="shared" si="89"/>
        <v>0.15339792504999999</v>
      </c>
      <c r="AO199">
        <v>29.1</v>
      </c>
      <c r="AP199">
        <v>0.5</v>
      </c>
      <c r="AQ199" t="s">
        <v>331</v>
      </c>
      <c r="AR199">
        <v>2</v>
      </c>
      <c r="AS199">
        <v>1690288460.5</v>
      </c>
      <c r="AT199">
        <v>346.31599999999997</v>
      </c>
      <c r="AU199">
        <v>799.99300000000005</v>
      </c>
      <c r="AV199">
        <v>28.071200000000001</v>
      </c>
      <c r="AW199">
        <v>0.15353900000000001</v>
      </c>
      <c r="AX199">
        <v>347.23399999999998</v>
      </c>
      <c r="AY199">
        <v>27.880099999999999</v>
      </c>
      <c r="AZ199">
        <v>300.084</v>
      </c>
      <c r="BA199">
        <v>99.345200000000006</v>
      </c>
      <c r="BB199">
        <v>9.9977999999999997E-2</v>
      </c>
      <c r="BC199">
        <v>26.7362</v>
      </c>
      <c r="BD199">
        <v>26.9817</v>
      </c>
      <c r="BE199">
        <v>28.248000000000001</v>
      </c>
      <c r="BF199">
        <v>0</v>
      </c>
      <c r="BG199">
        <v>0</v>
      </c>
      <c r="BH199">
        <v>10033.1</v>
      </c>
      <c r="BI199">
        <v>1086.8699999999999</v>
      </c>
      <c r="BJ199">
        <v>1.3455900000000001</v>
      </c>
      <c r="BK199">
        <v>-453.67700000000002</v>
      </c>
      <c r="BL199">
        <v>356.31799999999998</v>
      </c>
      <c r="BM199">
        <v>800.11599999999999</v>
      </c>
      <c r="BN199">
        <v>27.9177</v>
      </c>
      <c r="BO199">
        <v>799.99300000000005</v>
      </c>
      <c r="BP199">
        <v>0.15353900000000001</v>
      </c>
      <c r="BQ199">
        <v>2.7887400000000002</v>
      </c>
      <c r="BR199">
        <v>1.52534E-2</v>
      </c>
      <c r="BS199">
        <v>22.817599999999999</v>
      </c>
      <c r="BT199">
        <v>-42.0017</v>
      </c>
      <c r="BU199">
        <v>1799.99</v>
      </c>
      <c r="BV199">
        <v>0.90998599999999996</v>
      </c>
      <c r="BW199">
        <v>3.3995600000000001E-2</v>
      </c>
      <c r="BX199">
        <v>2.2007499999999999E-2</v>
      </c>
      <c r="BY199">
        <v>3.4010499999999999E-2</v>
      </c>
      <c r="BZ199">
        <v>25</v>
      </c>
      <c r="CA199">
        <v>33528.1</v>
      </c>
      <c r="CB199">
        <v>1690286268.5999999</v>
      </c>
      <c r="CC199" t="s">
        <v>332</v>
      </c>
      <c r="CD199">
        <v>1690286261.0999999</v>
      </c>
      <c r="CE199">
        <v>1690286268.5999999</v>
      </c>
      <c r="CF199">
        <v>1</v>
      </c>
      <c r="CG199">
        <v>-0.89900000000000002</v>
      </c>
      <c r="CH199">
        <v>3.4000000000000002E-2</v>
      </c>
      <c r="CI199">
        <v>-1.2370000000000001</v>
      </c>
      <c r="CJ199">
        <v>8.5999999999999993E-2</v>
      </c>
      <c r="CK199">
        <v>799</v>
      </c>
      <c r="CL199">
        <v>16</v>
      </c>
      <c r="CM199">
        <v>0.28999999999999998</v>
      </c>
      <c r="CN199">
        <v>0.09</v>
      </c>
      <c r="CO199">
        <v>-453.42426829268283</v>
      </c>
      <c r="CP199">
        <v>-1.2662926829275489</v>
      </c>
      <c r="CQ199">
        <v>0.13621199839529899</v>
      </c>
      <c r="CR199">
        <v>-1</v>
      </c>
      <c r="CS199">
        <v>27.90020975609756</v>
      </c>
      <c r="CT199">
        <v>9.2590243902457334E-2</v>
      </c>
      <c r="CU199">
        <v>9.3081345195047648E-3</v>
      </c>
      <c r="CV199">
        <v>-1</v>
      </c>
      <c r="CW199">
        <v>0</v>
      </c>
      <c r="CX199">
        <v>0</v>
      </c>
      <c r="CY199" t="s">
        <v>333</v>
      </c>
      <c r="CZ199">
        <v>2.3649900000000001</v>
      </c>
      <c r="DA199">
        <v>2.7138</v>
      </c>
      <c r="DB199">
        <v>8.05178E-2</v>
      </c>
      <c r="DC199">
        <v>0.146563</v>
      </c>
      <c r="DD199">
        <v>0.127611</v>
      </c>
      <c r="DE199">
        <v>1.2990300000000001E-3</v>
      </c>
      <c r="DF199">
        <v>33576.800000000003</v>
      </c>
      <c r="DG199">
        <v>27485.599999999999</v>
      </c>
      <c r="DH199">
        <v>31172.400000000001</v>
      </c>
      <c r="DI199">
        <v>28061.4</v>
      </c>
      <c r="DJ199">
        <v>36901.1</v>
      </c>
      <c r="DK199">
        <v>39840</v>
      </c>
      <c r="DL199">
        <v>44356.7</v>
      </c>
      <c r="DM199">
        <v>42510.7</v>
      </c>
      <c r="DN199">
        <v>1.4937800000000001</v>
      </c>
      <c r="DO199">
        <v>2.0590299999999999</v>
      </c>
      <c r="DP199">
        <v>7.6681399999999997E-2</v>
      </c>
      <c r="DQ199">
        <v>0.17608699999999999</v>
      </c>
      <c r="DR199">
        <v>25.726299999999998</v>
      </c>
      <c r="DS199">
        <v>25.3673</v>
      </c>
      <c r="DT199">
        <v>29.2</v>
      </c>
      <c r="DU199">
        <v>26.2</v>
      </c>
      <c r="DV199">
        <v>10.0341</v>
      </c>
      <c r="DW199">
        <v>61.831400000000002</v>
      </c>
      <c r="DX199">
        <v>36.983199999999997</v>
      </c>
      <c r="DY199">
        <v>1</v>
      </c>
      <c r="DZ199">
        <v>-0.142287</v>
      </c>
      <c r="EA199">
        <v>-0.63008200000000003</v>
      </c>
      <c r="EB199">
        <v>20.1891</v>
      </c>
      <c r="EC199">
        <v>5.2416999999999998</v>
      </c>
      <c r="ED199">
        <v>12.039899999999999</v>
      </c>
      <c r="EE199">
        <v>5.0166500000000003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1.86879</v>
      </c>
      <c r="EL199">
        <v>1.8644700000000001</v>
      </c>
      <c r="EM199">
        <v>1.8691</v>
      </c>
      <c r="EN199">
        <v>1.86713</v>
      </c>
      <c r="EO199">
        <v>1.8632599999999999</v>
      </c>
      <c r="EP199">
        <v>1.86432</v>
      </c>
      <c r="EQ199">
        <v>1.87012</v>
      </c>
      <c r="ER199">
        <v>1.8693500000000001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-0.91800000000000004</v>
      </c>
      <c r="FG199">
        <v>0.19109999999999999</v>
      </c>
      <c r="FH199">
        <v>-0.68620417327404271</v>
      </c>
      <c r="FI199">
        <v>-6.1462078757559423E-4</v>
      </c>
      <c r="FJ199">
        <v>-1.8861989874597051E-7</v>
      </c>
      <c r="FK199">
        <v>1.1980462299894961E-10</v>
      </c>
      <c r="FL199">
        <v>0.1911242781723908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36.700000000000003</v>
      </c>
      <c r="FU199">
        <v>36.5</v>
      </c>
      <c r="FV199">
        <v>1.7639199999999999</v>
      </c>
      <c r="FW199">
        <v>2.5720200000000002</v>
      </c>
      <c r="FX199">
        <v>1.5490699999999999</v>
      </c>
      <c r="FY199">
        <v>2.34009</v>
      </c>
      <c r="FZ199">
        <v>1.50146</v>
      </c>
      <c r="GA199">
        <v>2.2985799999999998</v>
      </c>
      <c r="GB199">
        <v>31.280899999999999</v>
      </c>
      <c r="GC199">
        <v>23.982399999999998</v>
      </c>
      <c r="GD199">
        <v>19</v>
      </c>
      <c r="GE199">
        <v>287.62099999999998</v>
      </c>
      <c r="GF199">
        <v>594.63</v>
      </c>
      <c r="GG199">
        <v>25.861499999999999</v>
      </c>
      <c r="GH199">
        <v>25.625800000000002</v>
      </c>
      <c r="GI199">
        <v>30.0002</v>
      </c>
      <c r="GJ199">
        <v>25.732299999999999</v>
      </c>
      <c r="GK199">
        <v>25.698399999999999</v>
      </c>
      <c r="GL199">
        <v>35.264899999999997</v>
      </c>
      <c r="GM199">
        <v>100</v>
      </c>
      <c r="GN199">
        <v>0</v>
      </c>
      <c r="GO199">
        <v>25.87</v>
      </c>
      <c r="GP199">
        <v>800</v>
      </c>
      <c r="GQ199">
        <v>0</v>
      </c>
      <c r="GR199">
        <v>99.732299999999995</v>
      </c>
      <c r="GS199">
        <v>99.4666</v>
      </c>
    </row>
    <row r="200" spans="1:201" x14ac:dyDescent="0.25">
      <c r="A200">
        <v>184</v>
      </c>
      <c r="B200">
        <v>1690288470.5</v>
      </c>
      <c r="C200">
        <v>1931.900000095367</v>
      </c>
      <c r="D200" t="s">
        <v>701</v>
      </c>
      <c r="E200" t="s">
        <v>702</v>
      </c>
      <c r="F200" t="s">
        <v>330</v>
      </c>
      <c r="H200">
        <v>1690288470.5</v>
      </c>
      <c r="I200">
        <f t="shared" si="60"/>
        <v>2.962261299576505E-3</v>
      </c>
      <c r="J200">
        <f t="shared" si="61"/>
        <v>2.9622612995765052</v>
      </c>
      <c r="K200">
        <f t="shared" si="62"/>
        <v>45.780897423312254</v>
      </c>
      <c r="L200">
        <f t="shared" si="63"/>
        <v>346.07799999999997</v>
      </c>
      <c r="M200">
        <f t="shared" si="64"/>
        <v>97.712536332754823</v>
      </c>
      <c r="N200">
        <f t="shared" si="65"/>
        <v>9.7170313346075865</v>
      </c>
      <c r="O200">
        <f t="shared" si="66"/>
        <v>34.415755607512999</v>
      </c>
      <c r="P200">
        <f t="shared" si="67"/>
        <v>0.31879439439398854</v>
      </c>
      <c r="Q200">
        <f t="shared" si="68"/>
        <v>2.2990800484216565</v>
      </c>
      <c r="R200">
        <f t="shared" si="69"/>
        <v>0.29611574654653305</v>
      </c>
      <c r="S200">
        <f t="shared" si="70"/>
        <v>0.18697530849529709</v>
      </c>
      <c r="T200">
        <f t="shared" si="71"/>
        <v>276.11622325800005</v>
      </c>
      <c r="U200">
        <f t="shared" si="72"/>
        <v>27.813939407337926</v>
      </c>
      <c r="V200">
        <f t="shared" si="73"/>
        <v>27.813939407337926</v>
      </c>
      <c r="W200">
        <f t="shared" si="74"/>
        <v>3.7538724585780354</v>
      </c>
      <c r="X200">
        <f t="shared" si="75"/>
        <v>79.199477433064374</v>
      </c>
      <c r="Y200">
        <f t="shared" si="76"/>
        <v>2.7917914406539497</v>
      </c>
      <c r="Z200">
        <f t="shared" si="77"/>
        <v>3.5250124510145144</v>
      </c>
      <c r="AA200">
        <f t="shared" si="78"/>
        <v>0.96208101792408574</v>
      </c>
      <c r="AB200">
        <f t="shared" si="79"/>
        <v>-130.63572331132386</v>
      </c>
      <c r="AC200">
        <f t="shared" si="80"/>
        <v>-133.02588189273155</v>
      </c>
      <c r="AD200">
        <f t="shared" si="81"/>
        <v>-12.521669621401623</v>
      </c>
      <c r="AE200">
        <f t="shared" si="82"/>
        <v>-6.7051567456957173E-2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52529.014915076121</v>
      </c>
      <c r="AK200">
        <f t="shared" si="86"/>
        <v>1800</v>
      </c>
      <c r="AL200">
        <f t="shared" si="87"/>
        <v>1499.1120378000003</v>
      </c>
      <c r="AM200">
        <f t="shared" si="88"/>
        <v>0.8328400210000001</v>
      </c>
      <c r="AN200">
        <f t="shared" si="89"/>
        <v>0.15339790181000001</v>
      </c>
      <c r="AO200">
        <v>29.1</v>
      </c>
      <c r="AP200">
        <v>0.5</v>
      </c>
      <c r="AQ200" t="s">
        <v>331</v>
      </c>
      <c r="AR200">
        <v>2</v>
      </c>
      <c r="AS200">
        <v>1690288470.5</v>
      </c>
      <c r="AT200">
        <v>346.07799999999997</v>
      </c>
      <c r="AU200">
        <v>799.99400000000003</v>
      </c>
      <c r="AV200">
        <v>28.073699999999999</v>
      </c>
      <c r="AW200">
        <v>0.15276200000000001</v>
      </c>
      <c r="AX200">
        <v>346.995</v>
      </c>
      <c r="AY200">
        <v>27.8826</v>
      </c>
      <c r="AZ200">
        <v>300.06799999999998</v>
      </c>
      <c r="BA200">
        <v>99.345100000000002</v>
      </c>
      <c r="BB200">
        <v>9.9983500000000003E-2</v>
      </c>
      <c r="BC200">
        <v>26.7407</v>
      </c>
      <c r="BD200">
        <v>26.989000000000001</v>
      </c>
      <c r="BE200">
        <v>28.2468</v>
      </c>
      <c r="BF200">
        <v>0</v>
      </c>
      <c r="BG200">
        <v>0</v>
      </c>
      <c r="BH200">
        <v>9990.6200000000008</v>
      </c>
      <c r="BI200">
        <v>1086.8900000000001</v>
      </c>
      <c r="BJ200">
        <v>1.3455900000000001</v>
      </c>
      <c r="BK200">
        <v>-453.916</v>
      </c>
      <c r="BL200">
        <v>356.07400000000001</v>
      </c>
      <c r="BM200">
        <v>800.11699999999996</v>
      </c>
      <c r="BN200">
        <v>27.9209</v>
      </c>
      <c r="BO200">
        <v>799.99400000000003</v>
      </c>
      <c r="BP200">
        <v>0.15276200000000001</v>
      </c>
      <c r="BQ200">
        <v>2.7889900000000001</v>
      </c>
      <c r="BR200">
        <v>1.51761E-2</v>
      </c>
      <c r="BS200">
        <v>22.818999999999999</v>
      </c>
      <c r="BT200">
        <v>-42.049300000000002</v>
      </c>
      <c r="BU200">
        <v>1800</v>
      </c>
      <c r="BV200">
        <v>0.90998900000000005</v>
      </c>
      <c r="BW200">
        <v>3.39946E-2</v>
      </c>
      <c r="BX200">
        <v>2.20068E-2</v>
      </c>
      <c r="BY200">
        <v>3.4009499999999998E-2</v>
      </c>
      <c r="BZ200">
        <v>25</v>
      </c>
      <c r="CA200">
        <v>33528.199999999997</v>
      </c>
      <c r="CB200">
        <v>1690286268.5999999</v>
      </c>
      <c r="CC200" t="s">
        <v>332</v>
      </c>
      <c r="CD200">
        <v>1690286261.0999999</v>
      </c>
      <c r="CE200">
        <v>1690286268.5999999</v>
      </c>
      <c r="CF200">
        <v>1</v>
      </c>
      <c r="CG200">
        <v>-0.89900000000000002</v>
      </c>
      <c r="CH200">
        <v>3.4000000000000002E-2</v>
      </c>
      <c r="CI200">
        <v>-1.2370000000000001</v>
      </c>
      <c r="CJ200">
        <v>8.5999999999999993E-2</v>
      </c>
      <c r="CK200">
        <v>799</v>
      </c>
      <c r="CL200">
        <v>16</v>
      </c>
      <c r="CM200">
        <v>0.28999999999999998</v>
      </c>
      <c r="CN200">
        <v>0.09</v>
      </c>
      <c r="CO200">
        <v>-453.63002439024388</v>
      </c>
      <c r="CP200">
        <v>-1.472257839722142</v>
      </c>
      <c r="CQ200">
        <v>0.15391009219114429</v>
      </c>
      <c r="CR200">
        <v>-1</v>
      </c>
      <c r="CS200">
        <v>27.913287804878049</v>
      </c>
      <c r="CT200">
        <v>6.9158885017474719E-2</v>
      </c>
      <c r="CU200">
        <v>7.4159746862629662E-3</v>
      </c>
      <c r="CV200">
        <v>-1</v>
      </c>
      <c r="CW200">
        <v>0</v>
      </c>
      <c r="CX200">
        <v>0</v>
      </c>
      <c r="CY200" t="s">
        <v>333</v>
      </c>
      <c r="CZ200">
        <v>2.3649399999999998</v>
      </c>
      <c r="DA200">
        <v>2.7137699999999998</v>
      </c>
      <c r="DB200">
        <v>8.0474199999999996E-2</v>
      </c>
      <c r="DC200">
        <v>0.146563</v>
      </c>
      <c r="DD200">
        <v>0.12761900000000001</v>
      </c>
      <c r="DE200">
        <v>1.29251E-3</v>
      </c>
      <c r="DF200">
        <v>33578.199999999997</v>
      </c>
      <c r="DG200">
        <v>27486.3</v>
      </c>
      <c r="DH200">
        <v>31172.2</v>
      </c>
      <c r="DI200">
        <v>28062.1</v>
      </c>
      <c r="DJ200">
        <v>36900.800000000003</v>
      </c>
      <c r="DK200">
        <v>39841.1</v>
      </c>
      <c r="DL200">
        <v>44356.6</v>
      </c>
      <c r="DM200">
        <v>42511.6</v>
      </c>
      <c r="DN200">
        <v>1.4939</v>
      </c>
      <c r="DO200">
        <v>2.05897</v>
      </c>
      <c r="DP200">
        <v>7.7217800000000003E-2</v>
      </c>
      <c r="DQ200">
        <v>0.176013</v>
      </c>
      <c r="DR200">
        <v>25.724900000000002</v>
      </c>
      <c r="DS200">
        <v>25.3673</v>
      </c>
      <c r="DT200">
        <v>29.1</v>
      </c>
      <c r="DU200">
        <v>26.2</v>
      </c>
      <c r="DV200">
        <v>10.0014</v>
      </c>
      <c r="DW200">
        <v>61.821399999999997</v>
      </c>
      <c r="DX200">
        <v>37.239600000000003</v>
      </c>
      <c r="DY200">
        <v>1</v>
      </c>
      <c r="DZ200">
        <v>-0.14222599999999999</v>
      </c>
      <c r="EA200">
        <v>-0.65882099999999999</v>
      </c>
      <c r="EB200">
        <v>20.1891</v>
      </c>
      <c r="EC200">
        <v>5.2416999999999998</v>
      </c>
      <c r="ED200">
        <v>12.039899999999999</v>
      </c>
      <c r="EE200">
        <v>5.0175000000000001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1.86877</v>
      </c>
      <c r="EL200">
        <v>1.8644700000000001</v>
      </c>
      <c r="EM200">
        <v>1.86907</v>
      </c>
      <c r="EN200">
        <v>1.8671</v>
      </c>
      <c r="EO200">
        <v>1.8632599999999999</v>
      </c>
      <c r="EP200">
        <v>1.8643099999999999</v>
      </c>
      <c r="EQ200">
        <v>1.8701099999999999</v>
      </c>
      <c r="ER200">
        <v>1.8693299999999999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-0.91700000000000004</v>
      </c>
      <c r="FG200">
        <v>0.19109999999999999</v>
      </c>
      <c r="FH200">
        <v>-0.68620417327404271</v>
      </c>
      <c r="FI200">
        <v>-6.1462078757559423E-4</v>
      </c>
      <c r="FJ200">
        <v>-1.8861989874597051E-7</v>
      </c>
      <c r="FK200">
        <v>1.1980462299894961E-10</v>
      </c>
      <c r="FL200">
        <v>0.1911242781723908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36.799999999999997</v>
      </c>
      <c r="FU200">
        <v>36.700000000000003</v>
      </c>
      <c r="FV200">
        <v>1.7639199999999999</v>
      </c>
      <c r="FW200">
        <v>2.5683600000000002</v>
      </c>
      <c r="FX200">
        <v>1.5490699999999999</v>
      </c>
      <c r="FY200">
        <v>2.34009</v>
      </c>
      <c r="FZ200">
        <v>1.50146</v>
      </c>
      <c r="GA200">
        <v>2.2705099999999998</v>
      </c>
      <c r="GB200">
        <v>31.280899999999999</v>
      </c>
      <c r="GC200">
        <v>23.982399999999998</v>
      </c>
      <c r="GD200">
        <v>19</v>
      </c>
      <c r="GE200">
        <v>287.67399999999998</v>
      </c>
      <c r="GF200">
        <v>594.58799999999997</v>
      </c>
      <c r="GG200">
        <v>25.8766</v>
      </c>
      <c r="GH200">
        <v>25.625800000000002</v>
      </c>
      <c r="GI200">
        <v>30.0001</v>
      </c>
      <c r="GJ200">
        <v>25.732299999999999</v>
      </c>
      <c r="GK200">
        <v>25.698399999999999</v>
      </c>
      <c r="GL200">
        <v>35.264299999999999</v>
      </c>
      <c r="GM200">
        <v>100</v>
      </c>
      <c r="GN200">
        <v>0</v>
      </c>
      <c r="GO200">
        <v>25.884</v>
      </c>
      <c r="GP200">
        <v>800</v>
      </c>
      <c r="GQ200">
        <v>0</v>
      </c>
      <c r="GR200">
        <v>99.731999999999999</v>
      </c>
      <c r="GS200">
        <v>99.468900000000005</v>
      </c>
    </row>
    <row r="201" spans="1:201" x14ac:dyDescent="0.25">
      <c r="A201">
        <v>185</v>
      </c>
      <c r="B201">
        <v>1690288480.5</v>
      </c>
      <c r="C201">
        <v>1941.900000095367</v>
      </c>
      <c r="D201" t="s">
        <v>703</v>
      </c>
      <c r="E201" t="s">
        <v>704</v>
      </c>
      <c r="F201" t="s">
        <v>330</v>
      </c>
      <c r="H201">
        <v>1690288480.5</v>
      </c>
      <c r="I201">
        <f t="shared" si="60"/>
        <v>2.9623712456188864E-3</v>
      </c>
      <c r="J201">
        <f t="shared" si="61"/>
        <v>2.9623712456188867</v>
      </c>
      <c r="K201">
        <f t="shared" si="62"/>
        <v>45.79066457856824</v>
      </c>
      <c r="L201">
        <f t="shared" si="63"/>
        <v>346.00799999999998</v>
      </c>
      <c r="M201">
        <f t="shared" si="64"/>
        <v>97.544004974558874</v>
      </c>
      <c r="N201">
        <f t="shared" si="65"/>
        <v>9.7001212287285465</v>
      </c>
      <c r="O201">
        <f t="shared" si="66"/>
        <v>34.408260630525596</v>
      </c>
      <c r="P201">
        <f t="shared" si="67"/>
        <v>0.31872361434530816</v>
      </c>
      <c r="Q201">
        <f t="shared" si="68"/>
        <v>2.2996437622994925</v>
      </c>
      <c r="R201">
        <f t="shared" si="69"/>
        <v>0.29605978538530858</v>
      </c>
      <c r="S201">
        <f t="shared" si="70"/>
        <v>0.18693914756763419</v>
      </c>
      <c r="T201">
        <f t="shared" si="71"/>
        <v>276.11613370799995</v>
      </c>
      <c r="U201">
        <f t="shared" si="72"/>
        <v>27.814661499898776</v>
      </c>
      <c r="V201">
        <f t="shared" si="73"/>
        <v>27.814661499898776</v>
      </c>
      <c r="W201">
        <f t="shared" si="74"/>
        <v>3.7540307015380807</v>
      </c>
      <c r="X201">
        <f t="shared" si="75"/>
        <v>79.19358835546187</v>
      </c>
      <c r="Y201">
        <f t="shared" si="76"/>
        <v>2.7917481285495902</v>
      </c>
      <c r="Z201">
        <f t="shared" si="77"/>
        <v>3.5252198903006868</v>
      </c>
      <c r="AA201">
        <f t="shared" si="78"/>
        <v>0.96228257298849051</v>
      </c>
      <c r="AB201">
        <f t="shared" si="79"/>
        <v>-130.64057193179289</v>
      </c>
      <c r="AC201">
        <f t="shared" si="80"/>
        <v>-133.02404413180727</v>
      </c>
      <c r="AD201">
        <f t="shared" si="81"/>
        <v>-12.518534896567983</v>
      </c>
      <c r="AE201">
        <f t="shared" si="82"/>
        <v>-6.7017252168199093E-2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52550.13796459986</v>
      </c>
      <c r="AK201">
        <f t="shared" si="86"/>
        <v>1800</v>
      </c>
      <c r="AL201">
        <f t="shared" si="87"/>
        <v>1499.1123258</v>
      </c>
      <c r="AM201">
        <f t="shared" si="88"/>
        <v>0.83284018100000001</v>
      </c>
      <c r="AN201">
        <f t="shared" si="89"/>
        <v>0.15339785205999998</v>
      </c>
      <c r="AO201">
        <v>29.1</v>
      </c>
      <c r="AP201">
        <v>0.5</v>
      </c>
      <c r="AQ201" t="s">
        <v>331</v>
      </c>
      <c r="AR201">
        <v>2</v>
      </c>
      <c r="AS201">
        <v>1690288480.5</v>
      </c>
      <c r="AT201">
        <v>346.00799999999998</v>
      </c>
      <c r="AU201">
        <v>800.00800000000004</v>
      </c>
      <c r="AV201">
        <v>28.073699999999999</v>
      </c>
      <c r="AW201">
        <v>0.152284</v>
      </c>
      <c r="AX201">
        <v>346.92599999999999</v>
      </c>
      <c r="AY201">
        <v>27.8825</v>
      </c>
      <c r="AZ201">
        <v>300.07400000000001</v>
      </c>
      <c r="BA201">
        <v>99.343599999999995</v>
      </c>
      <c r="BB201">
        <v>9.9940699999999993E-2</v>
      </c>
      <c r="BC201">
        <v>26.741700000000002</v>
      </c>
      <c r="BD201">
        <v>27.006799999999998</v>
      </c>
      <c r="BE201">
        <v>28.2346</v>
      </c>
      <c r="BF201">
        <v>0</v>
      </c>
      <c r="BG201">
        <v>0</v>
      </c>
      <c r="BH201">
        <v>9995</v>
      </c>
      <c r="BI201">
        <v>1087.03</v>
      </c>
      <c r="BJ201">
        <v>1.3455900000000001</v>
      </c>
      <c r="BK201">
        <v>-453.99900000000002</v>
      </c>
      <c r="BL201">
        <v>356.00299999999999</v>
      </c>
      <c r="BM201">
        <v>800.13</v>
      </c>
      <c r="BN201">
        <v>27.921399999999998</v>
      </c>
      <c r="BO201">
        <v>800.00800000000004</v>
      </c>
      <c r="BP201">
        <v>0.152284</v>
      </c>
      <c r="BQ201">
        <v>2.7889400000000002</v>
      </c>
      <c r="BR201">
        <v>1.51285E-2</v>
      </c>
      <c r="BS201">
        <v>22.8188</v>
      </c>
      <c r="BT201">
        <v>-42.078800000000001</v>
      </c>
      <c r="BU201">
        <v>1800</v>
      </c>
      <c r="BV201">
        <v>0.90999099999999999</v>
      </c>
      <c r="BW201">
        <v>3.3993799999999998E-2</v>
      </c>
      <c r="BX201">
        <v>2.2006299999999999E-2</v>
      </c>
      <c r="BY201">
        <v>3.4008799999999999E-2</v>
      </c>
      <c r="BZ201">
        <v>25</v>
      </c>
      <c r="CA201">
        <v>33528.199999999997</v>
      </c>
      <c r="CB201">
        <v>1690286268.5999999</v>
      </c>
      <c r="CC201" t="s">
        <v>332</v>
      </c>
      <c r="CD201">
        <v>1690286261.0999999</v>
      </c>
      <c r="CE201">
        <v>1690286268.5999999</v>
      </c>
      <c r="CF201">
        <v>1</v>
      </c>
      <c r="CG201">
        <v>-0.89900000000000002</v>
      </c>
      <c r="CH201">
        <v>3.4000000000000002E-2</v>
      </c>
      <c r="CI201">
        <v>-1.2370000000000001</v>
      </c>
      <c r="CJ201">
        <v>8.5999999999999993E-2</v>
      </c>
      <c r="CK201">
        <v>799</v>
      </c>
      <c r="CL201">
        <v>16</v>
      </c>
      <c r="CM201">
        <v>0.28999999999999998</v>
      </c>
      <c r="CN201">
        <v>0.09</v>
      </c>
      <c r="CO201">
        <v>-453.848975</v>
      </c>
      <c r="CP201">
        <v>-1.3017973733575621</v>
      </c>
      <c r="CQ201">
        <v>0.13139263440163179</v>
      </c>
      <c r="CR201">
        <v>-1</v>
      </c>
      <c r="CS201">
        <v>27.919905000000011</v>
      </c>
      <c r="CT201">
        <v>1.0088555347102851E-2</v>
      </c>
      <c r="CU201">
        <v>1.216747714195443E-3</v>
      </c>
      <c r="CV201">
        <v>-1</v>
      </c>
      <c r="CW201">
        <v>0</v>
      </c>
      <c r="CX201">
        <v>0</v>
      </c>
      <c r="CY201" t="s">
        <v>333</v>
      </c>
      <c r="CZ201">
        <v>2.36496</v>
      </c>
      <c r="DA201">
        <v>2.71373</v>
      </c>
      <c r="DB201">
        <v>8.0460299999999998E-2</v>
      </c>
      <c r="DC201">
        <v>0.146562</v>
      </c>
      <c r="DD201">
        <v>0.12761700000000001</v>
      </c>
      <c r="DE201">
        <v>1.28849E-3</v>
      </c>
      <c r="DF201">
        <v>33579.1</v>
      </c>
      <c r="DG201">
        <v>27486.400000000001</v>
      </c>
      <c r="DH201">
        <v>31172.6</v>
      </c>
      <c r="DI201">
        <v>28062.2</v>
      </c>
      <c r="DJ201">
        <v>36901.1</v>
      </c>
      <c r="DK201">
        <v>39841.4</v>
      </c>
      <c r="DL201">
        <v>44357</v>
      </c>
      <c r="DM201">
        <v>42511.8</v>
      </c>
      <c r="DN201">
        <v>1.4935700000000001</v>
      </c>
      <c r="DO201">
        <v>2.0589499999999998</v>
      </c>
      <c r="DP201">
        <v>7.8171500000000005E-2</v>
      </c>
      <c r="DQ201">
        <v>0.17526700000000001</v>
      </c>
      <c r="DR201">
        <v>25.7271</v>
      </c>
      <c r="DS201">
        <v>25.3673</v>
      </c>
      <c r="DT201">
        <v>29.1</v>
      </c>
      <c r="DU201">
        <v>26.2</v>
      </c>
      <c r="DV201">
        <v>10.0024</v>
      </c>
      <c r="DW201">
        <v>61.931399999999996</v>
      </c>
      <c r="DX201">
        <v>37.4679</v>
      </c>
      <c r="DY201">
        <v>1</v>
      </c>
      <c r="DZ201">
        <v>-0.14244899999999999</v>
      </c>
      <c r="EA201">
        <v>-0.67255200000000004</v>
      </c>
      <c r="EB201">
        <v>20.188800000000001</v>
      </c>
      <c r="EC201">
        <v>5.2413999999999996</v>
      </c>
      <c r="ED201">
        <v>12.039899999999999</v>
      </c>
      <c r="EE201">
        <v>5.0167999999999999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1.86876</v>
      </c>
      <c r="EL201">
        <v>1.8644700000000001</v>
      </c>
      <c r="EM201">
        <v>1.8690899999999999</v>
      </c>
      <c r="EN201">
        <v>1.8671199999999999</v>
      </c>
      <c r="EO201">
        <v>1.8632500000000001</v>
      </c>
      <c r="EP201">
        <v>1.86432</v>
      </c>
      <c r="EQ201">
        <v>1.87012</v>
      </c>
      <c r="ER201">
        <v>1.86934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-0.91800000000000004</v>
      </c>
      <c r="FG201">
        <v>0.19120000000000001</v>
      </c>
      <c r="FH201">
        <v>-0.68620417327404271</v>
      </c>
      <c r="FI201">
        <v>-6.1462078757559423E-4</v>
      </c>
      <c r="FJ201">
        <v>-1.8861989874597051E-7</v>
      </c>
      <c r="FK201">
        <v>1.1980462299894961E-10</v>
      </c>
      <c r="FL201">
        <v>0.1911242781723908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37</v>
      </c>
      <c r="FU201">
        <v>36.9</v>
      </c>
      <c r="FV201">
        <v>1.7639199999999999</v>
      </c>
      <c r="FW201">
        <v>2.5732400000000002</v>
      </c>
      <c r="FX201">
        <v>1.5490699999999999</v>
      </c>
      <c r="FY201">
        <v>2.34009</v>
      </c>
      <c r="FZ201">
        <v>1.50146</v>
      </c>
      <c r="GA201">
        <v>2.2839399999999999</v>
      </c>
      <c r="GB201">
        <v>31.280899999999999</v>
      </c>
      <c r="GC201">
        <v>23.991199999999999</v>
      </c>
      <c r="GD201">
        <v>19</v>
      </c>
      <c r="GE201">
        <v>287.53500000000003</v>
      </c>
      <c r="GF201">
        <v>594.58100000000002</v>
      </c>
      <c r="GG201">
        <v>25.890599999999999</v>
      </c>
      <c r="GH201">
        <v>25.625800000000002</v>
      </c>
      <c r="GI201">
        <v>30</v>
      </c>
      <c r="GJ201">
        <v>25.732299999999999</v>
      </c>
      <c r="GK201">
        <v>25.6996</v>
      </c>
      <c r="GL201">
        <v>35.263199999999998</v>
      </c>
      <c r="GM201">
        <v>100</v>
      </c>
      <c r="GN201">
        <v>0</v>
      </c>
      <c r="GO201">
        <v>25.896100000000001</v>
      </c>
      <c r="GP201">
        <v>800</v>
      </c>
      <c r="GQ201">
        <v>0</v>
      </c>
      <c r="GR201">
        <v>99.733000000000004</v>
      </c>
      <c r="GS201">
        <v>99.469200000000001</v>
      </c>
    </row>
    <row r="202" spans="1:201" x14ac:dyDescent="0.25">
      <c r="A202">
        <v>186</v>
      </c>
      <c r="B202">
        <v>1690288490.5</v>
      </c>
      <c r="C202">
        <v>1951.900000095367</v>
      </c>
      <c r="D202" t="s">
        <v>705</v>
      </c>
      <c r="E202" t="s">
        <v>706</v>
      </c>
      <c r="F202" t="s">
        <v>330</v>
      </c>
      <c r="H202">
        <v>1690288490.5</v>
      </c>
      <c r="I202">
        <f t="shared" si="60"/>
        <v>2.9632803450949916E-3</v>
      </c>
      <c r="J202">
        <f t="shared" si="61"/>
        <v>2.9632803450949918</v>
      </c>
      <c r="K202">
        <f t="shared" si="62"/>
        <v>45.833809099870571</v>
      </c>
      <c r="L202">
        <f t="shared" si="63"/>
        <v>345.65100000000001</v>
      </c>
      <c r="M202">
        <f t="shared" si="64"/>
        <v>97.044210679188524</v>
      </c>
      <c r="N202">
        <f t="shared" si="65"/>
        <v>9.6504367321369706</v>
      </c>
      <c r="O202">
        <f t="shared" si="66"/>
        <v>34.372819187813995</v>
      </c>
      <c r="P202">
        <f t="shared" si="67"/>
        <v>0.31880290438891878</v>
      </c>
      <c r="Q202">
        <f t="shared" si="68"/>
        <v>2.3033059508425189</v>
      </c>
      <c r="R202">
        <f t="shared" si="69"/>
        <v>0.29616153537597667</v>
      </c>
      <c r="S202">
        <f t="shared" si="70"/>
        <v>0.18700102372592547</v>
      </c>
      <c r="T202">
        <f t="shared" si="71"/>
        <v>276.11612409599996</v>
      </c>
      <c r="U202">
        <f t="shared" si="72"/>
        <v>27.816102968612583</v>
      </c>
      <c r="V202">
        <f t="shared" si="73"/>
        <v>27.816102968612583</v>
      </c>
      <c r="W202">
        <f t="shared" si="74"/>
        <v>3.7543466095776203</v>
      </c>
      <c r="X202">
        <f t="shared" si="75"/>
        <v>79.188220622456541</v>
      </c>
      <c r="Y202">
        <f t="shared" si="76"/>
        <v>2.7921010467208003</v>
      </c>
      <c r="Z202">
        <f t="shared" si="77"/>
        <v>3.5259045155625128</v>
      </c>
      <c r="AA202">
        <f t="shared" si="78"/>
        <v>0.96224556285682006</v>
      </c>
      <c r="AB202">
        <f t="shared" si="79"/>
        <v>-130.68066321868912</v>
      </c>
      <c r="AC202">
        <f t="shared" si="80"/>
        <v>-133.00510059474598</v>
      </c>
      <c r="AD202">
        <f t="shared" si="81"/>
        <v>-12.497146760707215</v>
      </c>
      <c r="AE202">
        <f t="shared" si="82"/>
        <v>-6.6786478142347505E-2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52688.248275884689</v>
      </c>
      <c r="AK202">
        <f t="shared" si="86"/>
        <v>1800</v>
      </c>
      <c r="AL202">
        <f t="shared" si="87"/>
        <v>1499.1126065999999</v>
      </c>
      <c r="AM202">
        <f t="shared" si="88"/>
        <v>0.83284033699999993</v>
      </c>
      <c r="AN202">
        <f t="shared" si="89"/>
        <v>0.15339784671999998</v>
      </c>
      <c r="AO202">
        <v>29.1</v>
      </c>
      <c r="AP202">
        <v>0.5</v>
      </c>
      <c r="AQ202" t="s">
        <v>331</v>
      </c>
      <c r="AR202">
        <v>2</v>
      </c>
      <c r="AS202">
        <v>1690288490.5</v>
      </c>
      <c r="AT202">
        <v>345.65100000000001</v>
      </c>
      <c r="AU202">
        <v>799.98800000000006</v>
      </c>
      <c r="AV202">
        <v>28.077200000000001</v>
      </c>
      <c r="AW202">
        <v>0.15187600000000001</v>
      </c>
      <c r="AX202">
        <v>346.56700000000001</v>
      </c>
      <c r="AY202">
        <v>27.886099999999999</v>
      </c>
      <c r="AZ202">
        <v>300.12299999999999</v>
      </c>
      <c r="BA202">
        <v>99.343699999999998</v>
      </c>
      <c r="BB202">
        <v>0.10001400000000001</v>
      </c>
      <c r="BC202">
        <v>26.745000000000001</v>
      </c>
      <c r="BD202">
        <v>27.000499999999999</v>
      </c>
      <c r="BE202">
        <v>28.245200000000001</v>
      </c>
      <c r="BF202">
        <v>0</v>
      </c>
      <c r="BG202">
        <v>0</v>
      </c>
      <c r="BH202">
        <v>10022.5</v>
      </c>
      <c r="BI202">
        <v>1086.96</v>
      </c>
      <c r="BJ202">
        <v>1.3455900000000001</v>
      </c>
      <c r="BK202">
        <v>-454.33699999999999</v>
      </c>
      <c r="BL202">
        <v>355.63600000000002</v>
      </c>
      <c r="BM202">
        <v>800.10900000000004</v>
      </c>
      <c r="BN202">
        <v>27.9254</v>
      </c>
      <c r="BO202">
        <v>799.98800000000006</v>
      </c>
      <c r="BP202">
        <v>0.15187600000000001</v>
      </c>
      <c r="BQ202">
        <v>2.7892999999999999</v>
      </c>
      <c r="BR202">
        <v>1.50879E-2</v>
      </c>
      <c r="BS202">
        <v>22.820900000000002</v>
      </c>
      <c r="BT202">
        <v>-42.103999999999999</v>
      </c>
      <c r="BU202">
        <v>1800</v>
      </c>
      <c r="BV202">
        <v>0.90999200000000002</v>
      </c>
      <c r="BW202">
        <v>3.3993500000000003E-2</v>
      </c>
      <c r="BX202">
        <v>2.2006100000000001E-2</v>
      </c>
      <c r="BY202">
        <v>3.4008400000000001E-2</v>
      </c>
      <c r="BZ202">
        <v>25</v>
      </c>
      <c r="CA202">
        <v>33528.300000000003</v>
      </c>
      <c r="CB202">
        <v>1690286268.5999999</v>
      </c>
      <c r="CC202" t="s">
        <v>332</v>
      </c>
      <c r="CD202">
        <v>1690286261.0999999</v>
      </c>
      <c r="CE202">
        <v>1690286268.5999999</v>
      </c>
      <c r="CF202">
        <v>1</v>
      </c>
      <c r="CG202">
        <v>-0.89900000000000002</v>
      </c>
      <c r="CH202">
        <v>3.4000000000000002E-2</v>
      </c>
      <c r="CI202">
        <v>-1.2370000000000001</v>
      </c>
      <c r="CJ202">
        <v>8.5999999999999993E-2</v>
      </c>
      <c r="CK202">
        <v>799</v>
      </c>
      <c r="CL202">
        <v>16</v>
      </c>
      <c r="CM202">
        <v>0.28999999999999998</v>
      </c>
      <c r="CN202">
        <v>0.09</v>
      </c>
      <c r="CO202">
        <v>-454.04502500000001</v>
      </c>
      <c r="CP202">
        <v>-1.0573621013121861</v>
      </c>
      <c r="CQ202">
        <v>0.10801492663053271</v>
      </c>
      <c r="CR202">
        <v>-1</v>
      </c>
      <c r="CS202">
        <v>27.921962499999999</v>
      </c>
      <c r="CT202">
        <v>1.315609756082806E-2</v>
      </c>
      <c r="CU202">
        <v>1.505936170626014E-3</v>
      </c>
      <c r="CV202">
        <v>-1</v>
      </c>
      <c r="CW202">
        <v>0</v>
      </c>
      <c r="CX202">
        <v>0</v>
      </c>
      <c r="CY202" t="s">
        <v>333</v>
      </c>
      <c r="CZ202">
        <v>2.3651200000000001</v>
      </c>
      <c r="DA202">
        <v>2.7138200000000001</v>
      </c>
      <c r="DB202">
        <v>8.0394800000000002E-2</v>
      </c>
      <c r="DC202">
        <v>0.14655899999999999</v>
      </c>
      <c r="DD202">
        <v>0.12762899999999999</v>
      </c>
      <c r="DE202">
        <v>1.28506E-3</v>
      </c>
      <c r="DF202">
        <v>33581.199999999997</v>
      </c>
      <c r="DG202">
        <v>27486.9</v>
      </c>
      <c r="DH202">
        <v>31172.3</v>
      </c>
      <c r="DI202">
        <v>28062.6</v>
      </c>
      <c r="DJ202">
        <v>36900.199999999997</v>
      </c>
      <c r="DK202">
        <v>39842.1</v>
      </c>
      <c r="DL202">
        <v>44356.4</v>
      </c>
      <c r="DM202">
        <v>42512.4</v>
      </c>
      <c r="DN202">
        <v>1.4937499999999999</v>
      </c>
      <c r="DO202">
        <v>2.0588299999999999</v>
      </c>
      <c r="DP202">
        <v>7.7657400000000001E-2</v>
      </c>
      <c r="DQ202">
        <v>0.175871</v>
      </c>
      <c r="DR202">
        <v>25.729199999999999</v>
      </c>
      <c r="DS202">
        <v>25.368099999999998</v>
      </c>
      <c r="DT202">
        <v>29</v>
      </c>
      <c r="DU202">
        <v>26.2</v>
      </c>
      <c r="DV202">
        <v>9.9681200000000008</v>
      </c>
      <c r="DW202">
        <v>61.741399999999999</v>
      </c>
      <c r="DX202">
        <v>37.479999999999997</v>
      </c>
      <c r="DY202">
        <v>1</v>
      </c>
      <c r="DZ202">
        <v>-0.14189299999999999</v>
      </c>
      <c r="EA202">
        <v>-0.55133399999999999</v>
      </c>
      <c r="EB202">
        <v>20.189399999999999</v>
      </c>
      <c r="EC202">
        <v>5.24125</v>
      </c>
      <c r="ED202">
        <v>12.039899999999999</v>
      </c>
      <c r="EE202">
        <v>5.0173500000000004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1.8687400000000001</v>
      </c>
      <c r="EL202">
        <v>1.8644700000000001</v>
      </c>
      <c r="EM202">
        <v>1.8690800000000001</v>
      </c>
      <c r="EN202">
        <v>1.8671199999999999</v>
      </c>
      <c r="EO202">
        <v>1.8632500000000001</v>
      </c>
      <c r="EP202">
        <v>1.86432</v>
      </c>
      <c r="EQ202">
        <v>1.8701000000000001</v>
      </c>
      <c r="ER202">
        <v>1.86934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-0.91600000000000004</v>
      </c>
      <c r="FG202">
        <v>0.19109999999999999</v>
      </c>
      <c r="FH202">
        <v>-0.68620417327404271</v>
      </c>
      <c r="FI202">
        <v>-6.1462078757559423E-4</v>
      </c>
      <c r="FJ202">
        <v>-1.8861989874597051E-7</v>
      </c>
      <c r="FK202">
        <v>1.1980462299894961E-10</v>
      </c>
      <c r="FL202">
        <v>0.1911242781723908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37.200000000000003</v>
      </c>
      <c r="FU202">
        <v>37</v>
      </c>
      <c r="FV202">
        <v>1.7639199999999999</v>
      </c>
      <c r="FW202">
        <v>2.5695800000000002</v>
      </c>
      <c r="FX202">
        <v>1.5490699999999999</v>
      </c>
      <c r="FY202">
        <v>2.34009</v>
      </c>
      <c r="FZ202">
        <v>1.50146</v>
      </c>
      <c r="GA202">
        <v>2.3046899999999999</v>
      </c>
      <c r="GB202">
        <v>31.302600000000002</v>
      </c>
      <c r="GC202">
        <v>23.991199999999999</v>
      </c>
      <c r="GD202">
        <v>19</v>
      </c>
      <c r="GE202">
        <v>287.61</v>
      </c>
      <c r="GF202">
        <v>594.48699999999997</v>
      </c>
      <c r="GG202">
        <v>25.877700000000001</v>
      </c>
      <c r="GH202">
        <v>25.625800000000002</v>
      </c>
      <c r="GI202">
        <v>30.0001</v>
      </c>
      <c r="GJ202">
        <v>25.732299999999999</v>
      </c>
      <c r="GK202">
        <v>25.700500000000002</v>
      </c>
      <c r="GL202">
        <v>35.266500000000001</v>
      </c>
      <c r="GM202">
        <v>100</v>
      </c>
      <c r="GN202">
        <v>0</v>
      </c>
      <c r="GO202">
        <v>25.873799999999999</v>
      </c>
      <c r="GP202">
        <v>800</v>
      </c>
      <c r="GQ202">
        <v>0</v>
      </c>
      <c r="GR202">
        <v>99.731800000000007</v>
      </c>
      <c r="GS202">
        <v>99.470600000000005</v>
      </c>
    </row>
    <row r="203" spans="1:201" x14ac:dyDescent="0.25">
      <c r="A203">
        <v>187</v>
      </c>
      <c r="B203">
        <v>1690288500.5</v>
      </c>
      <c r="C203">
        <v>1961.900000095367</v>
      </c>
      <c r="D203" t="s">
        <v>707</v>
      </c>
      <c r="E203" t="s">
        <v>708</v>
      </c>
      <c r="F203" t="s">
        <v>330</v>
      </c>
      <c r="H203">
        <v>1690288500.5</v>
      </c>
      <c r="I203">
        <f t="shared" si="60"/>
        <v>2.9629635272240928E-3</v>
      </c>
      <c r="J203">
        <f t="shared" si="61"/>
        <v>2.9629635272240926</v>
      </c>
      <c r="K203">
        <f t="shared" si="62"/>
        <v>45.837441434702804</v>
      </c>
      <c r="L203">
        <f t="shared" si="63"/>
        <v>345.45499999999998</v>
      </c>
      <c r="M203">
        <f t="shared" si="64"/>
        <v>97.187455030619248</v>
      </c>
      <c r="N203">
        <f t="shared" si="65"/>
        <v>9.6646362028174622</v>
      </c>
      <c r="O203">
        <f t="shared" si="66"/>
        <v>34.353167272385498</v>
      </c>
      <c r="P203">
        <f t="shared" si="67"/>
        <v>0.3192985227712421</v>
      </c>
      <c r="Q203">
        <f t="shared" si="68"/>
        <v>2.3026355819512525</v>
      </c>
      <c r="R203">
        <f t="shared" si="69"/>
        <v>0.29658328159709235</v>
      </c>
      <c r="S203">
        <f t="shared" si="70"/>
        <v>0.18727058410057268</v>
      </c>
      <c r="T203">
        <f t="shared" si="71"/>
        <v>276.11459861348561</v>
      </c>
      <c r="U203">
        <f t="shared" si="72"/>
        <v>27.812083862728343</v>
      </c>
      <c r="V203">
        <f t="shared" si="73"/>
        <v>27.812083862728343</v>
      </c>
      <c r="W203">
        <f t="shared" si="74"/>
        <v>3.7534658519847026</v>
      </c>
      <c r="X203">
        <f t="shared" si="75"/>
        <v>79.225564227243794</v>
      </c>
      <c r="Y203">
        <f t="shared" si="76"/>
        <v>2.7926945693667302</v>
      </c>
      <c r="Z203">
        <f t="shared" si="77"/>
        <v>3.5249917076720405</v>
      </c>
      <c r="AA203">
        <f t="shared" si="78"/>
        <v>0.9607712826179724</v>
      </c>
      <c r="AB203">
        <f t="shared" si="79"/>
        <v>-130.6666915505825</v>
      </c>
      <c r="AC203">
        <f t="shared" si="80"/>
        <v>-133.01367401709527</v>
      </c>
      <c r="AD203">
        <f t="shared" si="81"/>
        <v>-12.501065128976892</v>
      </c>
      <c r="AE203">
        <f t="shared" si="82"/>
        <v>-6.6832083169060752E-2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52663.611026731611</v>
      </c>
      <c r="AK203">
        <f t="shared" si="86"/>
        <v>1799.99</v>
      </c>
      <c r="AL203">
        <f t="shared" si="87"/>
        <v>1499.1049837927098</v>
      </c>
      <c r="AM203">
        <f t="shared" si="88"/>
        <v>0.83284072899999995</v>
      </c>
      <c r="AN203">
        <f t="shared" si="89"/>
        <v>0.15339785144000001</v>
      </c>
      <c r="AO203">
        <v>29.1</v>
      </c>
      <c r="AP203">
        <v>0.5</v>
      </c>
      <c r="AQ203" t="s">
        <v>331</v>
      </c>
      <c r="AR203">
        <v>2</v>
      </c>
      <c r="AS203">
        <v>1690288500.5</v>
      </c>
      <c r="AT203">
        <v>345.45499999999998</v>
      </c>
      <c r="AU203">
        <v>799.97500000000002</v>
      </c>
      <c r="AV203">
        <v>28.083300000000001</v>
      </c>
      <c r="AW203">
        <v>0.151644</v>
      </c>
      <c r="AX203">
        <v>346.37200000000001</v>
      </c>
      <c r="AY203">
        <v>27.892199999999999</v>
      </c>
      <c r="AZ203">
        <v>300.02100000000002</v>
      </c>
      <c r="BA203">
        <v>99.343299999999999</v>
      </c>
      <c r="BB203">
        <v>9.9948099999999998E-2</v>
      </c>
      <c r="BC203">
        <v>26.740600000000001</v>
      </c>
      <c r="BD203">
        <v>26.994399999999999</v>
      </c>
      <c r="BE203">
        <v>28.265699999999999</v>
      </c>
      <c r="BF203">
        <v>0</v>
      </c>
      <c r="BG203">
        <v>0</v>
      </c>
      <c r="BH203">
        <v>10017.5</v>
      </c>
      <c r="BI203">
        <v>1086.93</v>
      </c>
      <c r="BJ203">
        <v>1.3455900000000001</v>
      </c>
      <c r="BK203">
        <v>-454.52</v>
      </c>
      <c r="BL203">
        <v>355.43700000000001</v>
      </c>
      <c r="BM203">
        <v>800.096</v>
      </c>
      <c r="BN203">
        <v>27.9316</v>
      </c>
      <c r="BO203">
        <v>799.97500000000002</v>
      </c>
      <c r="BP203">
        <v>0.151644</v>
      </c>
      <c r="BQ203">
        <v>2.7898900000000002</v>
      </c>
      <c r="BR203">
        <v>1.5064900000000001E-2</v>
      </c>
      <c r="BS203">
        <v>22.824400000000001</v>
      </c>
      <c r="BT203">
        <v>-42.118299999999998</v>
      </c>
      <c r="BU203">
        <v>1799.99</v>
      </c>
      <c r="BV203">
        <v>0.90999399999999997</v>
      </c>
      <c r="BW203">
        <v>3.3992799999999997E-2</v>
      </c>
      <c r="BX203">
        <v>2.20057E-2</v>
      </c>
      <c r="BY203">
        <v>3.4007799999999998E-2</v>
      </c>
      <c r="BZ203">
        <v>25</v>
      </c>
      <c r="CA203">
        <v>33528.199999999997</v>
      </c>
      <c r="CB203">
        <v>1690286268.5999999</v>
      </c>
      <c r="CC203" t="s">
        <v>332</v>
      </c>
      <c r="CD203">
        <v>1690286261.0999999</v>
      </c>
      <c r="CE203">
        <v>1690286268.5999999</v>
      </c>
      <c r="CF203">
        <v>1</v>
      </c>
      <c r="CG203">
        <v>-0.89900000000000002</v>
      </c>
      <c r="CH203">
        <v>3.4000000000000002E-2</v>
      </c>
      <c r="CI203">
        <v>-1.2370000000000001</v>
      </c>
      <c r="CJ203">
        <v>8.5999999999999993E-2</v>
      </c>
      <c r="CK203">
        <v>799</v>
      </c>
      <c r="CL203">
        <v>16</v>
      </c>
      <c r="CM203">
        <v>0.28999999999999998</v>
      </c>
      <c r="CN203">
        <v>0.09</v>
      </c>
      <c r="CO203">
        <v>-454.28068292682929</v>
      </c>
      <c r="CP203">
        <v>-1.7017003484319499</v>
      </c>
      <c r="CQ203">
        <v>0.17107357410566801</v>
      </c>
      <c r="CR203">
        <v>-1</v>
      </c>
      <c r="CS203">
        <v>27.925090243902439</v>
      </c>
      <c r="CT203">
        <v>2.265365853661043E-2</v>
      </c>
      <c r="CU203">
        <v>2.28086471386404E-3</v>
      </c>
      <c r="CV203">
        <v>-1</v>
      </c>
      <c r="CW203">
        <v>0</v>
      </c>
      <c r="CX203">
        <v>0</v>
      </c>
      <c r="CY203" t="s">
        <v>333</v>
      </c>
      <c r="CZ203">
        <v>2.36477</v>
      </c>
      <c r="DA203">
        <v>2.7137500000000001</v>
      </c>
      <c r="DB203">
        <v>8.0358700000000005E-2</v>
      </c>
      <c r="DC203">
        <v>0.14655699999999999</v>
      </c>
      <c r="DD203">
        <v>0.12764700000000001</v>
      </c>
      <c r="DE203">
        <v>1.28312E-3</v>
      </c>
      <c r="DF203">
        <v>33582.400000000001</v>
      </c>
      <c r="DG203">
        <v>27487</v>
      </c>
      <c r="DH203">
        <v>31172.2</v>
      </c>
      <c r="DI203">
        <v>28062.7</v>
      </c>
      <c r="DJ203">
        <v>36899.5</v>
      </c>
      <c r="DK203">
        <v>39842.300000000003</v>
      </c>
      <c r="DL203">
        <v>44356.5</v>
      </c>
      <c r="DM203">
        <v>42512.5</v>
      </c>
      <c r="DN203">
        <v>1.4935499999999999</v>
      </c>
      <c r="DO203">
        <v>2.0588799999999998</v>
      </c>
      <c r="DP203">
        <v>7.7232700000000001E-2</v>
      </c>
      <c r="DQ203">
        <v>0.177041</v>
      </c>
      <c r="DR203">
        <v>25.73</v>
      </c>
      <c r="DS203">
        <v>25.369499999999999</v>
      </c>
      <c r="DT203">
        <v>29</v>
      </c>
      <c r="DU203">
        <v>26.2</v>
      </c>
      <c r="DV203">
        <v>9.9660100000000007</v>
      </c>
      <c r="DW203">
        <v>61.821399999999997</v>
      </c>
      <c r="DX203">
        <v>37.488</v>
      </c>
      <c r="DY203">
        <v>1</v>
      </c>
      <c r="DZ203">
        <v>-0.14238600000000001</v>
      </c>
      <c r="EA203">
        <v>-0.64765799999999996</v>
      </c>
      <c r="EB203">
        <v>20.1891</v>
      </c>
      <c r="EC203">
        <v>5.2418500000000003</v>
      </c>
      <c r="ED203">
        <v>12.039899999999999</v>
      </c>
      <c r="EE203">
        <v>5.0174000000000003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1.86876</v>
      </c>
      <c r="EL203">
        <v>1.8644700000000001</v>
      </c>
      <c r="EM203">
        <v>1.8690899999999999</v>
      </c>
      <c r="EN203">
        <v>1.8671199999999999</v>
      </c>
      <c r="EO203">
        <v>1.8632500000000001</v>
      </c>
      <c r="EP203">
        <v>1.86432</v>
      </c>
      <c r="EQ203">
        <v>1.87012</v>
      </c>
      <c r="ER203">
        <v>1.86934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-0.91700000000000004</v>
      </c>
      <c r="FG203">
        <v>0.19109999999999999</v>
      </c>
      <c r="FH203">
        <v>-0.68620417327404271</v>
      </c>
      <c r="FI203">
        <v>-6.1462078757559423E-4</v>
      </c>
      <c r="FJ203">
        <v>-1.8861989874597051E-7</v>
      </c>
      <c r="FK203">
        <v>1.1980462299894961E-10</v>
      </c>
      <c r="FL203">
        <v>0.1911242781723908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37.299999999999997</v>
      </c>
      <c r="FU203">
        <v>37.200000000000003</v>
      </c>
      <c r="FV203">
        <v>1.7639199999999999</v>
      </c>
      <c r="FW203">
        <v>2.5659200000000002</v>
      </c>
      <c r="FX203">
        <v>1.5490699999999999</v>
      </c>
      <c r="FY203">
        <v>2.34009</v>
      </c>
      <c r="FZ203">
        <v>1.50146</v>
      </c>
      <c r="GA203">
        <v>2.3071299999999999</v>
      </c>
      <c r="GB203">
        <v>31.302600000000002</v>
      </c>
      <c r="GC203">
        <v>23.991199999999999</v>
      </c>
      <c r="GD203">
        <v>19</v>
      </c>
      <c r="GE203">
        <v>287.52499999999998</v>
      </c>
      <c r="GF203">
        <v>594.529</v>
      </c>
      <c r="GG203">
        <v>25.875399999999999</v>
      </c>
      <c r="GH203">
        <v>25.6279</v>
      </c>
      <c r="GI203">
        <v>30</v>
      </c>
      <c r="GJ203">
        <v>25.732500000000002</v>
      </c>
      <c r="GK203">
        <v>25.700500000000002</v>
      </c>
      <c r="GL203">
        <v>35.2654</v>
      </c>
      <c r="GM203">
        <v>100</v>
      </c>
      <c r="GN203">
        <v>0</v>
      </c>
      <c r="GO203">
        <v>25.889199999999999</v>
      </c>
      <c r="GP203">
        <v>800</v>
      </c>
      <c r="GQ203">
        <v>0</v>
      </c>
      <c r="GR203">
        <v>99.731899999999996</v>
      </c>
      <c r="GS203">
        <v>99.470799999999997</v>
      </c>
    </row>
    <row r="204" spans="1:201" x14ac:dyDescent="0.25">
      <c r="A204">
        <v>188</v>
      </c>
      <c r="B204">
        <v>1690288510.5</v>
      </c>
      <c r="C204">
        <v>1971.900000095367</v>
      </c>
      <c r="D204" t="s">
        <v>709</v>
      </c>
      <c r="E204" t="s">
        <v>710</v>
      </c>
      <c r="F204" t="s">
        <v>330</v>
      </c>
      <c r="H204">
        <v>1690288510.5</v>
      </c>
      <c r="I204">
        <f t="shared" si="60"/>
        <v>2.9657801764099655E-3</v>
      </c>
      <c r="J204">
        <f t="shared" si="61"/>
        <v>2.9657801764099654</v>
      </c>
      <c r="K204">
        <f t="shared" si="62"/>
        <v>45.876640697914262</v>
      </c>
      <c r="L204">
        <f t="shared" si="63"/>
        <v>345.26400000000001</v>
      </c>
      <c r="M204">
        <f t="shared" si="64"/>
        <v>97.358797983946957</v>
      </c>
      <c r="N204">
        <f t="shared" si="65"/>
        <v>9.6816092783521004</v>
      </c>
      <c r="O204">
        <f t="shared" si="66"/>
        <v>34.333940179008003</v>
      </c>
      <c r="P204">
        <f t="shared" si="67"/>
        <v>0.3200837127044765</v>
      </c>
      <c r="Q204">
        <f t="shared" si="68"/>
        <v>2.303037183395094</v>
      </c>
      <c r="R204">
        <f t="shared" si="69"/>
        <v>0.29726457077220803</v>
      </c>
      <c r="S204">
        <f t="shared" si="70"/>
        <v>0.18770482135685471</v>
      </c>
      <c r="T204">
        <f t="shared" si="71"/>
        <v>276.11450969397958</v>
      </c>
      <c r="U204">
        <f t="shared" si="72"/>
        <v>27.81329531397116</v>
      </c>
      <c r="V204">
        <f t="shared" si="73"/>
        <v>27.81329531397116</v>
      </c>
      <c r="W204">
        <f t="shared" si="74"/>
        <v>3.7537313136609654</v>
      </c>
      <c r="X204">
        <f t="shared" si="75"/>
        <v>79.259434615428788</v>
      </c>
      <c r="Y204">
        <f t="shared" si="76"/>
        <v>2.7942666633996001</v>
      </c>
      <c r="Z204">
        <f t="shared" si="77"/>
        <v>3.5254688315120317</v>
      </c>
      <c r="AA204">
        <f t="shared" si="78"/>
        <v>0.95946465026136529</v>
      </c>
      <c r="AB204">
        <f t="shared" si="79"/>
        <v>-130.79090577967949</v>
      </c>
      <c r="AC204">
        <f t="shared" si="80"/>
        <v>-132.90171718800971</v>
      </c>
      <c r="AD204">
        <f t="shared" si="81"/>
        <v>-12.488583946443939</v>
      </c>
      <c r="AE204">
        <f t="shared" si="82"/>
        <v>-6.6697220153571379E-2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52678.406111726094</v>
      </c>
      <c r="AK204">
        <f t="shared" si="86"/>
        <v>1799.99</v>
      </c>
      <c r="AL204">
        <f t="shared" si="87"/>
        <v>1499.1052627911599</v>
      </c>
      <c r="AM204">
        <f t="shared" si="88"/>
        <v>0.832840884</v>
      </c>
      <c r="AN204">
        <f t="shared" si="89"/>
        <v>0.15339780203999998</v>
      </c>
      <c r="AO204">
        <v>29.1</v>
      </c>
      <c r="AP204">
        <v>0.5</v>
      </c>
      <c r="AQ204" t="s">
        <v>331</v>
      </c>
      <c r="AR204">
        <v>2</v>
      </c>
      <c r="AS204">
        <v>1690288510.5</v>
      </c>
      <c r="AT204">
        <v>345.26400000000001</v>
      </c>
      <c r="AU204">
        <v>800.00900000000001</v>
      </c>
      <c r="AV204">
        <v>28.099299999999999</v>
      </c>
      <c r="AW204">
        <v>0.151333</v>
      </c>
      <c r="AX204">
        <v>346.18099999999998</v>
      </c>
      <c r="AY204">
        <v>27.908200000000001</v>
      </c>
      <c r="AZ204">
        <v>300.12599999999998</v>
      </c>
      <c r="BA204">
        <v>99.342500000000001</v>
      </c>
      <c r="BB204">
        <v>0.10007199999999999</v>
      </c>
      <c r="BC204">
        <v>26.742899999999999</v>
      </c>
      <c r="BD204">
        <v>27.0062</v>
      </c>
      <c r="BE204">
        <v>28.2483</v>
      </c>
      <c r="BF204">
        <v>0</v>
      </c>
      <c r="BG204">
        <v>0</v>
      </c>
      <c r="BH204">
        <v>10020.6</v>
      </c>
      <c r="BI204">
        <v>1086.98</v>
      </c>
      <c r="BJ204">
        <v>1.3455900000000001</v>
      </c>
      <c r="BK204">
        <v>-454.74400000000003</v>
      </c>
      <c r="BL204">
        <v>355.24599999999998</v>
      </c>
      <c r="BM204">
        <v>800.13</v>
      </c>
      <c r="BN204">
        <v>27.948</v>
      </c>
      <c r="BO204">
        <v>800.00900000000001</v>
      </c>
      <c r="BP204">
        <v>0.151333</v>
      </c>
      <c r="BQ204">
        <v>2.7914500000000002</v>
      </c>
      <c r="BR204">
        <v>1.50338E-2</v>
      </c>
      <c r="BS204">
        <v>22.833600000000001</v>
      </c>
      <c r="BT204">
        <v>-42.137700000000002</v>
      </c>
      <c r="BU204">
        <v>1799.99</v>
      </c>
      <c r="BV204">
        <v>0.90999600000000003</v>
      </c>
      <c r="BW204">
        <v>3.3992099999999997E-2</v>
      </c>
      <c r="BX204">
        <v>2.2005199999999999E-2</v>
      </c>
      <c r="BY204">
        <v>3.4007000000000003E-2</v>
      </c>
      <c r="BZ204">
        <v>25</v>
      </c>
      <c r="CA204">
        <v>33528.199999999997</v>
      </c>
      <c r="CB204">
        <v>1690286268.5999999</v>
      </c>
      <c r="CC204" t="s">
        <v>332</v>
      </c>
      <c r="CD204">
        <v>1690286261.0999999</v>
      </c>
      <c r="CE204">
        <v>1690286268.5999999</v>
      </c>
      <c r="CF204">
        <v>1</v>
      </c>
      <c r="CG204">
        <v>-0.89900000000000002</v>
      </c>
      <c r="CH204">
        <v>3.4000000000000002E-2</v>
      </c>
      <c r="CI204">
        <v>-1.2370000000000001</v>
      </c>
      <c r="CJ204">
        <v>8.5999999999999993E-2</v>
      </c>
      <c r="CK204">
        <v>799</v>
      </c>
      <c r="CL204">
        <v>16</v>
      </c>
      <c r="CM204">
        <v>0.28999999999999998</v>
      </c>
      <c r="CN204">
        <v>0.09</v>
      </c>
      <c r="CO204">
        <v>-454.49178048780487</v>
      </c>
      <c r="CP204">
        <v>-0.91016027874514038</v>
      </c>
      <c r="CQ204">
        <v>9.7256641178994588E-2</v>
      </c>
      <c r="CR204">
        <v>-1</v>
      </c>
      <c r="CS204">
        <v>27.933117073170731</v>
      </c>
      <c r="CT204">
        <v>6.9652264808460443E-2</v>
      </c>
      <c r="CU204">
        <v>7.1994885468421302E-3</v>
      </c>
      <c r="CV204">
        <v>-1</v>
      </c>
      <c r="CW204">
        <v>0</v>
      </c>
      <c r="CX204">
        <v>0</v>
      </c>
      <c r="CY204" t="s">
        <v>333</v>
      </c>
      <c r="CZ204">
        <v>2.3651300000000002</v>
      </c>
      <c r="DA204">
        <v>2.7138800000000001</v>
      </c>
      <c r="DB204">
        <v>8.0322900000000003E-2</v>
      </c>
      <c r="DC204">
        <v>0.14656</v>
      </c>
      <c r="DD204">
        <v>0.127696</v>
      </c>
      <c r="DE204">
        <v>1.2805E-3</v>
      </c>
      <c r="DF204">
        <v>33584.400000000001</v>
      </c>
      <c r="DG204">
        <v>27487.1</v>
      </c>
      <c r="DH204">
        <v>31172.799999999999</v>
      </c>
      <c r="DI204">
        <v>28062.9</v>
      </c>
      <c r="DJ204">
        <v>36898.1</v>
      </c>
      <c r="DK204">
        <v>39843</v>
      </c>
      <c r="DL204">
        <v>44357.4</v>
      </c>
      <c r="DM204">
        <v>42513.2</v>
      </c>
      <c r="DN204">
        <v>1.4936700000000001</v>
      </c>
      <c r="DO204">
        <v>2.0586199999999999</v>
      </c>
      <c r="DP204">
        <v>7.7873499999999998E-2</v>
      </c>
      <c r="DQ204">
        <v>0.17597499999999999</v>
      </c>
      <c r="DR204">
        <v>25.731400000000001</v>
      </c>
      <c r="DS204">
        <v>25.369499999999999</v>
      </c>
      <c r="DT204">
        <v>28.9</v>
      </c>
      <c r="DU204">
        <v>26.2</v>
      </c>
      <c r="DV204">
        <v>9.9319699999999997</v>
      </c>
      <c r="DW204">
        <v>61.541400000000003</v>
      </c>
      <c r="DX204">
        <v>37.391800000000003</v>
      </c>
      <c r="DY204">
        <v>1</v>
      </c>
      <c r="DZ204">
        <v>-0.14194399999999999</v>
      </c>
      <c r="EA204">
        <v>-0.65929199999999999</v>
      </c>
      <c r="EB204">
        <v>20.189</v>
      </c>
      <c r="EC204">
        <v>5.2416999999999998</v>
      </c>
      <c r="ED204">
        <v>12.039899999999999</v>
      </c>
      <c r="EE204">
        <v>5.0173500000000004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1.86876</v>
      </c>
      <c r="EL204">
        <v>1.8644700000000001</v>
      </c>
      <c r="EM204">
        <v>1.8690800000000001</v>
      </c>
      <c r="EN204">
        <v>1.86713</v>
      </c>
      <c r="EO204">
        <v>1.8632599999999999</v>
      </c>
      <c r="EP204">
        <v>1.86432</v>
      </c>
      <c r="EQ204">
        <v>1.8701099999999999</v>
      </c>
      <c r="ER204">
        <v>1.86934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-0.91700000000000004</v>
      </c>
      <c r="FG204">
        <v>0.19109999999999999</v>
      </c>
      <c r="FH204">
        <v>-0.68620417327404271</v>
      </c>
      <c r="FI204">
        <v>-6.1462078757559423E-4</v>
      </c>
      <c r="FJ204">
        <v>-1.8861989874597051E-7</v>
      </c>
      <c r="FK204">
        <v>1.1980462299894961E-10</v>
      </c>
      <c r="FL204">
        <v>0.1911242781723908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37.5</v>
      </c>
      <c r="FU204">
        <v>37.4</v>
      </c>
      <c r="FV204">
        <v>1.7639199999999999</v>
      </c>
      <c r="FW204">
        <v>2.5708000000000002</v>
      </c>
      <c r="FX204">
        <v>1.5490699999999999</v>
      </c>
      <c r="FY204">
        <v>2.34009</v>
      </c>
      <c r="FZ204">
        <v>1.50146</v>
      </c>
      <c r="GA204">
        <v>2.32666</v>
      </c>
      <c r="GB204">
        <v>31.324400000000001</v>
      </c>
      <c r="GC204">
        <v>23.982399999999998</v>
      </c>
      <c r="GD204">
        <v>19</v>
      </c>
      <c r="GE204">
        <v>287.58699999999999</v>
      </c>
      <c r="GF204">
        <v>594.32100000000003</v>
      </c>
      <c r="GG204">
        <v>25.8917</v>
      </c>
      <c r="GH204">
        <v>25.6279</v>
      </c>
      <c r="GI204">
        <v>30</v>
      </c>
      <c r="GJ204">
        <v>25.734500000000001</v>
      </c>
      <c r="GK204">
        <v>25.700600000000001</v>
      </c>
      <c r="GL204">
        <v>35.265900000000002</v>
      </c>
      <c r="GM204">
        <v>100</v>
      </c>
      <c r="GN204">
        <v>0</v>
      </c>
      <c r="GO204">
        <v>25.8918</v>
      </c>
      <c r="GP204">
        <v>800</v>
      </c>
      <c r="GQ204">
        <v>0</v>
      </c>
      <c r="GR204">
        <v>99.733800000000002</v>
      </c>
      <c r="GS204">
        <v>99.472099999999998</v>
      </c>
    </row>
    <row r="205" spans="1:201" x14ac:dyDescent="0.25">
      <c r="A205">
        <v>189</v>
      </c>
      <c r="B205">
        <v>1690288520.5</v>
      </c>
      <c r="C205">
        <v>1981.900000095367</v>
      </c>
      <c r="D205" t="s">
        <v>711</v>
      </c>
      <c r="E205" t="s">
        <v>712</v>
      </c>
      <c r="F205" t="s">
        <v>330</v>
      </c>
      <c r="H205">
        <v>1690288520.5</v>
      </c>
      <c r="I205">
        <f t="shared" si="60"/>
        <v>2.9663157901302279E-3</v>
      </c>
      <c r="J205">
        <f t="shared" si="61"/>
        <v>2.9663157901302277</v>
      </c>
      <c r="K205">
        <f t="shared" si="62"/>
        <v>45.885918041263757</v>
      </c>
      <c r="L205">
        <f t="shared" si="63"/>
        <v>345.07499999999999</v>
      </c>
      <c r="M205">
        <f t="shared" si="64"/>
        <v>97.420987900525887</v>
      </c>
      <c r="N205">
        <f t="shared" si="65"/>
        <v>9.6880714482666654</v>
      </c>
      <c r="O205">
        <f t="shared" si="66"/>
        <v>34.316129686799997</v>
      </c>
      <c r="P205">
        <f t="shared" si="67"/>
        <v>0.3205524016061021</v>
      </c>
      <c r="Q205">
        <f t="shared" si="68"/>
        <v>2.297000341085135</v>
      </c>
      <c r="R205">
        <f t="shared" si="69"/>
        <v>0.29761341593840401</v>
      </c>
      <c r="S205">
        <f t="shared" si="70"/>
        <v>0.18793238625408845</v>
      </c>
      <c r="T205">
        <f t="shared" si="71"/>
        <v>276.11581748399999</v>
      </c>
      <c r="U205">
        <f t="shared" si="72"/>
        <v>27.81310507594662</v>
      </c>
      <c r="V205">
        <f t="shared" si="73"/>
        <v>27.81310507594662</v>
      </c>
      <c r="W205">
        <f t="shared" si="74"/>
        <v>3.7536896262891841</v>
      </c>
      <c r="X205">
        <f t="shared" si="75"/>
        <v>79.296687430419183</v>
      </c>
      <c r="Y205">
        <f t="shared" si="76"/>
        <v>2.7951523105375999</v>
      </c>
      <c r="Z205">
        <f t="shared" si="77"/>
        <v>3.5249294782840388</v>
      </c>
      <c r="AA205">
        <f t="shared" si="78"/>
        <v>0.95853731575158418</v>
      </c>
      <c r="AB205">
        <f t="shared" si="79"/>
        <v>-130.81452634474306</v>
      </c>
      <c r="AC205">
        <f t="shared" si="80"/>
        <v>-132.85176321079902</v>
      </c>
      <c r="AD205">
        <f t="shared" si="81"/>
        <v>-12.516524993149945</v>
      </c>
      <c r="AE205">
        <f t="shared" si="82"/>
        <v>-6.6997064692060349E-2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52450.436180696066</v>
      </c>
      <c r="AK205">
        <f t="shared" si="86"/>
        <v>1800</v>
      </c>
      <c r="AL205">
        <f t="shared" si="87"/>
        <v>1499.1136164</v>
      </c>
      <c r="AM205">
        <f t="shared" si="88"/>
        <v>0.83284089799999994</v>
      </c>
      <c r="AN205">
        <f t="shared" si="89"/>
        <v>0.15339767637999999</v>
      </c>
      <c r="AO205">
        <v>29.1</v>
      </c>
      <c r="AP205">
        <v>0.5</v>
      </c>
      <c r="AQ205" t="s">
        <v>331</v>
      </c>
      <c r="AR205">
        <v>2</v>
      </c>
      <c r="AS205">
        <v>1690288520.5</v>
      </c>
      <c r="AT205">
        <v>345.07499999999999</v>
      </c>
      <c r="AU205">
        <v>799.97299999999996</v>
      </c>
      <c r="AV205">
        <v>28.107399999999998</v>
      </c>
      <c r="AW205">
        <v>0.15051999999999999</v>
      </c>
      <c r="AX205">
        <v>345.99200000000002</v>
      </c>
      <c r="AY205">
        <v>27.9163</v>
      </c>
      <c r="AZ205">
        <v>300.08199999999999</v>
      </c>
      <c r="BA205">
        <v>99.345399999999998</v>
      </c>
      <c r="BB205">
        <v>0.100024</v>
      </c>
      <c r="BC205">
        <v>26.740300000000001</v>
      </c>
      <c r="BD205">
        <v>27.006499999999999</v>
      </c>
      <c r="BE205">
        <v>28.2715</v>
      </c>
      <c r="BF205">
        <v>0</v>
      </c>
      <c r="BG205">
        <v>0</v>
      </c>
      <c r="BH205">
        <v>9975</v>
      </c>
      <c r="BI205">
        <v>1086.8499999999999</v>
      </c>
      <c r="BJ205">
        <v>1.3455900000000001</v>
      </c>
      <c r="BK205">
        <v>-454.89800000000002</v>
      </c>
      <c r="BL205">
        <v>355.05500000000001</v>
      </c>
      <c r="BM205">
        <v>800.09400000000005</v>
      </c>
      <c r="BN205">
        <v>27.956900000000001</v>
      </c>
      <c r="BO205">
        <v>799.97299999999996</v>
      </c>
      <c r="BP205">
        <v>0.15051999999999999</v>
      </c>
      <c r="BQ205">
        <v>2.7923399999999998</v>
      </c>
      <c r="BR205">
        <v>1.49534E-2</v>
      </c>
      <c r="BS205">
        <v>22.838899999999999</v>
      </c>
      <c r="BT205">
        <v>-42.187899999999999</v>
      </c>
      <c r="BU205">
        <v>1800</v>
      </c>
      <c r="BV205">
        <v>0.909999</v>
      </c>
      <c r="BW205">
        <v>3.3990800000000002E-2</v>
      </c>
      <c r="BX205">
        <v>2.20044E-2</v>
      </c>
      <c r="BY205">
        <v>3.4005800000000003E-2</v>
      </c>
      <c r="BZ205">
        <v>25</v>
      </c>
      <c r="CA205">
        <v>33528.400000000001</v>
      </c>
      <c r="CB205">
        <v>1690286268.5999999</v>
      </c>
      <c r="CC205" t="s">
        <v>332</v>
      </c>
      <c r="CD205">
        <v>1690286261.0999999</v>
      </c>
      <c r="CE205">
        <v>1690286268.5999999</v>
      </c>
      <c r="CF205">
        <v>1</v>
      </c>
      <c r="CG205">
        <v>-0.89900000000000002</v>
      </c>
      <c r="CH205">
        <v>3.4000000000000002E-2</v>
      </c>
      <c r="CI205">
        <v>-1.2370000000000001</v>
      </c>
      <c r="CJ205">
        <v>8.5999999999999993E-2</v>
      </c>
      <c r="CK205">
        <v>799</v>
      </c>
      <c r="CL205">
        <v>16</v>
      </c>
      <c r="CM205">
        <v>0.28999999999999998</v>
      </c>
      <c r="CN205">
        <v>0.09</v>
      </c>
      <c r="CO205">
        <v>-454.6989512195122</v>
      </c>
      <c r="CP205">
        <v>-1.522933797908359</v>
      </c>
      <c r="CQ205">
        <v>0.1553684764491301</v>
      </c>
      <c r="CR205">
        <v>-1</v>
      </c>
      <c r="CS205">
        <v>27.94537804878048</v>
      </c>
      <c r="CT205">
        <v>7.7882926829327598E-2</v>
      </c>
      <c r="CU205">
        <v>7.7704729490086768E-3</v>
      </c>
      <c r="CV205">
        <v>-1</v>
      </c>
      <c r="CW205">
        <v>0</v>
      </c>
      <c r="CX205">
        <v>0</v>
      </c>
      <c r="CY205" t="s">
        <v>333</v>
      </c>
      <c r="CZ205">
        <v>2.3649800000000001</v>
      </c>
      <c r="DA205">
        <v>2.7137899999999999</v>
      </c>
      <c r="DB205">
        <v>8.0290100000000003E-2</v>
      </c>
      <c r="DC205">
        <v>0.14655799999999999</v>
      </c>
      <c r="DD205">
        <v>0.12772500000000001</v>
      </c>
      <c r="DE205">
        <v>1.2737E-3</v>
      </c>
      <c r="DF205">
        <v>33585.599999999999</v>
      </c>
      <c r="DG205">
        <v>27487.7</v>
      </c>
      <c r="DH205">
        <v>31172.9</v>
      </c>
      <c r="DI205">
        <v>28063.4</v>
      </c>
      <c r="DJ205">
        <v>36897</v>
      </c>
      <c r="DK205">
        <v>39843.9</v>
      </c>
      <c r="DL205">
        <v>44357.599999999999</v>
      </c>
      <c r="DM205">
        <v>42513.8</v>
      </c>
      <c r="DN205">
        <v>1.4935700000000001</v>
      </c>
      <c r="DO205">
        <v>2.0585800000000001</v>
      </c>
      <c r="DP205">
        <v>7.7888399999999997E-2</v>
      </c>
      <c r="DQ205">
        <v>0.177398</v>
      </c>
      <c r="DR205">
        <v>25.731400000000001</v>
      </c>
      <c r="DS205">
        <v>25.369499999999999</v>
      </c>
      <c r="DT205">
        <v>28.8</v>
      </c>
      <c r="DU205">
        <v>26.2</v>
      </c>
      <c r="DV205">
        <v>9.8988300000000002</v>
      </c>
      <c r="DW205">
        <v>62.041400000000003</v>
      </c>
      <c r="DX205">
        <v>37.451900000000002</v>
      </c>
      <c r="DY205">
        <v>1</v>
      </c>
      <c r="DZ205">
        <v>-0.142012</v>
      </c>
      <c r="EA205">
        <v>-0.59974899999999998</v>
      </c>
      <c r="EB205">
        <v>20.1891</v>
      </c>
      <c r="EC205">
        <v>5.2423000000000002</v>
      </c>
      <c r="ED205">
        <v>12.039899999999999</v>
      </c>
      <c r="EE205">
        <v>5.0174000000000003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1.8687499999999999</v>
      </c>
      <c r="EL205">
        <v>1.8644700000000001</v>
      </c>
      <c r="EM205">
        <v>1.8691</v>
      </c>
      <c r="EN205">
        <v>1.86713</v>
      </c>
      <c r="EO205">
        <v>1.8632500000000001</v>
      </c>
      <c r="EP205">
        <v>1.86432</v>
      </c>
      <c r="EQ205">
        <v>1.87012</v>
      </c>
      <c r="ER205">
        <v>1.8693200000000001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-0.91700000000000004</v>
      </c>
      <c r="FG205">
        <v>0.19109999999999999</v>
      </c>
      <c r="FH205">
        <v>-0.68620417327404271</v>
      </c>
      <c r="FI205">
        <v>-6.1462078757559423E-4</v>
      </c>
      <c r="FJ205">
        <v>-1.8861989874597051E-7</v>
      </c>
      <c r="FK205">
        <v>1.1980462299894961E-10</v>
      </c>
      <c r="FL205">
        <v>0.1911242781723908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37.700000000000003</v>
      </c>
      <c r="FU205">
        <v>37.5</v>
      </c>
      <c r="FV205">
        <v>1.7639199999999999</v>
      </c>
      <c r="FW205">
        <v>2.5708000000000002</v>
      </c>
      <c r="FX205">
        <v>1.5490699999999999</v>
      </c>
      <c r="FY205">
        <v>2.34009</v>
      </c>
      <c r="FZ205">
        <v>1.50146</v>
      </c>
      <c r="GA205">
        <v>2.34131</v>
      </c>
      <c r="GB205">
        <v>31.324400000000001</v>
      </c>
      <c r="GC205">
        <v>23.991199999999999</v>
      </c>
      <c r="GD205">
        <v>19</v>
      </c>
      <c r="GE205">
        <v>287.54399999999998</v>
      </c>
      <c r="GF205">
        <v>594.303</v>
      </c>
      <c r="GG205">
        <v>25.887899999999998</v>
      </c>
      <c r="GH205">
        <v>25.6279</v>
      </c>
      <c r="GI205">
        <v>30</v>
      </c>
      <c r="GJ205">
        <v>25.734500000000001</v>
      </c>
      <c r="GK205">
        <v>25.7026</v>
      </c>
      <c r="GL205">
        <v>35.267699999999998</v>
      </c>
      <c r="GM205">
        <v>100</v>
      </c>
      <c r="GN205">
        <v>0</v>
      </c>
      <c r="GO205">
        <v>25.867599999999999</v>
      </c>
      <c r="GP205">
        <v>800</v>
      </c>
      <c r="GQ205">
        <v>0</v>
      </c>
      <c r="GR205">
        <v>99.734200000000001</v>
      </c>
      <c r="GS205">
        <v>99.473600000000005</v>
      </c>
    </row>
    <row r="206" spans="1:201" x14ac:dyDescent="0.25">
      <c r="A206">
        <v>190</v>
      </c>
      <c r="B206">
        <v>1690288530.5</v>
      </c>
      <c r="C206">
        <v>1991.900000095367</v>
      </c>
      <c r="D206" t="s">
        <v>713</v>
      </c>
      <c r="E206" t="s">
        <v>714</v>
      </c>
      <c r="F206" t="s">
        <v>330</v>
      </c>
      <c r="H206">
        <v>1690288530.5</v>
      </c>
      <c r="I206">
        <f t="shared" si="60"/>
        <v>2.9670107216722271E-3</v>
      </c>
      <c r="J206">
        <f t="shared" si="61"/>
        <v>2.967010721672227</v>
      </c>
      <c r="K206">
        <f t="shared" si="62"/>
        <v>45.911146230989274</v>
      </c>
      <c r="L206">
        <f t="shared" si="63"/>
        <v>344.83199999999999</v>
      </c>
      <c r="M206">
        <f t="shared" si="64"/>
        <v>96.85282022484482</v>
      </c>
      <c r="N206">
        <f t="shared" si="65"/>
        <v>9.6318528736489863</v>
      </c>
      <c r="O206">
        <f t="shared" si="66"/>
        <v>34.292972392703994</v>
      </c>
      <c r="P206">
        <f t="shared" si="67"/>
        <v>0.32027599495357767</v>
      </c>
      <c r="Q206">
        <f t="shared" si="68"/>
        <v>2.297623775353193</v>
      </c>
      <c r="R206">
        <f t="shared" si="69"/>
        <v>0.29738077528472873</v>
      </c>
      <c r="S206">
        <f t="shared" si="70"/>
        <v>0.18778345856218615</v>
      </c>
      <c r="T206">
        <f t="shared" si="71"/>
        <v>276.11438083269553</v>
      </c>
      <c r="U206">
        <f t="shared" si="72"/>
        <v>27.819695568941459</v>
      </c>
      <c r="V206">
        <f t="shared" si="73"/>
        <v>27.819695568941459</v>
      </c>
      <c r="W206">
        <f t="shared" si="74"/>
        <v>3.7551340542381748</v>
      </c>
      <c r="X206">
        <f t="shared" si="75"/>
        <v>79.276328471719907</v>
      </c>
      <c r="Y206">
        <f t="shared" si="76"/>
        <v>2.7956024273516999</v>
      </c>
      <c r="Z206">
        <f t="shared" si="77"/>
        <v>3.526402497750599</v>
      </c>
      <c r="AA206">
        <f t="shared" si="78"/>
        <v>0.95953162688647486</v>
      </c>
      <c r="AB206">
        <f t="shared" si="79"/>
        <v>-130.84517282574521</v>
      </c>
      <c r="AC206">
        <f t="shared" si="80"/>
        <v>-132.82470844609225</v>
      </c>
      <c r="AD206">
        <f t="shared" si="81"/>
        <v>-12.511436094246909</v>
      </c>
      <c r="AE206">
        <f t="shared" si="82"/>
        <v>-6.6936533388826547E-2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52472.826983198014</v>
      </c>
      <c r="AK206">
        <f t="shared" si="86"/>
        <v>1799.99</v>
      </c>
      <c r="AL206">
        <f t="shared" si="87"/>
        <v>1499.10472459415</v>
      </c>
      <c r="AM206">
        <f t="shared" si="88"/>
        <v>0.83284058500000002</v>
      </c>
      <c r="AN206">
        <f t="shared" si="89"/>
        <v>0.15339773045000002</v>
      </c>
      <c r="AO206">
        <v>29.1</v>
      </c>
      <c r="AP206">
        <v>0.5</v>
      </c>
      <c r="AQ206" t="s">
        <v>331</v>
      </c>
      <c r="AR206">
        <v>2</v>
      </c>
      <c r="AS206">
        <v>1690288530.5</v>
      </c>
      <c r="AT206">
        <v>344.83199999999999</v>
      </c>
      <c r="AU206">
        <v>799.92600000000004</v>
      </c>
      <c r="AV206">
        <v>28.1111</v>
      </c>
      <c r="AW206">
        <v>0.150479</v>
      </c>
      <c r="AX206">
        <v>345.74799999999999</v>
      </c>
      <c r="AY206">
        <v>27.92</v>
      </c>
      <c r="AZ206">
        <v>300.11099999999999</v>
      </c>
      <c r="BA206">
        <v>99.348299999999995</v>
      </c>
      <c r="BB206">
        <v>0.100047</v>
      </c>
      <c r="BC206">
        <v>26.747399999999999</v>
      </c>
      <c r="BD206">
        <v>27.0015</v>
      </c>
      <c r="BE206">
        <v>28.235199999999999</v>
      </c>
      <c r="BF206">
        <v>0</v>
      </c>
      <c r="BG206">
        <v>0</v>
      </c>
      <c r="BH206">
        <v>9979.3799999999992</v>
      </c>
      <c r="BI206">
        <v>1086.8</v>
      </c>
      <c r="BJ206">
        <v>1.3455900000000001</v>
      </c>
      <c r="BK206">
        <v>-455.09500000000003</v>
      </c>
      <c r="BL206">
        <v>354.80599999999998</v>
      </c>
      <c r="BM206">
        <v>800.04700000000003</v>
      </c>
      <c r="BN206">
        <v>27.960599999999999</v>
      </c>
      <c r="BO206">
        <v>799.92600000000004</v>
      </c>
      <c r="BP206">
        <v>0.150479</v>
      </c>
      <c r="BQ206">
        <v>2.7927900000000001</v>
      </c>
      <c r="BR206">
        <v>1.4949799999999999E-2</v>
      </c>
      <c r="BS206">
        <v>22.8415</v>
      </c>
      <c r="BT206">
        <v>-42.190199999999997</v>
      </c>
      <c r="BU206">
        <v>1799.99</v>
      </c>
      <c r="BV206">
        <v>0.90999600000000003</v>
      </c>
      <c r="BW206">
        <v>3.3995200000000003E-2</v>
      </c>
      <c r="BX206">
        <v>2.2003999999999999E-2</v>
      </c>
      <c r="BY206">
        <v>3.4005100000000003E-2</v>
      </c>
      <c r="BZ206">
        <v>25</v>
      </c>
      <c r="CA206">
        <v>33528.199999999997</v>
      </c>
      <c r="CB206">
        <v>1690286268.5999999</v>
      </c>
      <c r="CC206" t="s">
        <v>332</v>
      </c>
      <c r="CD206">
        <v>1690286261.0999999</v>
      </c>
      <c r="CE206">
        <v>1690286268.5999999</v>
      </c>
      <c r="CF206">
        <v>1</v>
      </c>
      <c r="CG206">
        <v>-0.89900000000000002</v>
      </c>
      <c r="CH206">
        <v>3.4000000000000002E-2</v>
      </c>
      <c r="CI206">
        <v>-1.2370000000000001</v>
      </c>
      <c r="CJ206">
        <v>8.5999999999999993E-2</v>
      </c>
      <c r="CK206">
        <v>799</v>
      </c>
      <c r="CL206">
        <v>16</v>
      </c>
      <c r="CM206">
        <v>0.28999999999999998</v>
      </c>
      <c r="CN206">
        <v>0.09</v>
      </c>
      <c r="CO206">
        <v>-454.91578048780468</v>
      </c>
      <c r="CP206">
        <v>-1.073121951219689</v>
      </c>
      <c r="CQ206">
        <v>0.1108795242033723</v>
      </c>
      <c r="CR206">
        <v>-1</v>
      </c>
      <c r="CS206">
        <v>27.955048780487811</v>
      </c>
      <c r="CT206">
        <v>4.0526132404237192E-2</v>
      </c>
      <c r="CU206">
        <v>4.1678281149437951E-3</v>
      </c>
      <c r="CV206">
        <v>-1</v>
      </c>
      <c r="CW206">
        <v>0</v>
      </c>
      <c r="CX206">
        <v>0</v>
      </c>
      <c r="CY206" t="s">
        <v>333</v>
      </c>
      <c r="CZ206">
        <v>2.3650699999999998</v>
      </c>
      <c r="DA206">
        <v>2.7138200000000001</v>
      </c>
      <c r="DB206">
        <v>8.0248200000000006E-2</v>
      </c>
      <c r="DC206">
        <v>0.14655699999999999</v>
      </c>
      <c r="DD206">
        <v>0.12773999999999999</v>
      </c>
      <c r="DE206">
        <v>1.2734000000000001E-3</v>
      </c>
      <c r="DF206">
        <v>33587.4</v>
      </c>
      <c r="DG206">
        <v>27487.599999999999</v>
      </c>
      <c r="DH206">
        <v>31173.1</v>
      </c>
      <c r="DI206">
        <v>28063.3</v>
      </c>
      <c r="DJ206">
        <v>36896.5</v>
      </c>
      <c r="DK206">
        <v>39843.9</v>
      </c>
      <c r="DL206">
        <v>44357.8</v>
      </c>
      <c r="DM206">
        <v>42513.8</v>
      </c>
      <c r="DN206">
        <v>1.4935700000000001</v>
      </c>
      <c r="DO206">
        <v>2.0586000000000002</v>
      </c>
      <c r="DP206">
        <v>7.7404100000000003E-2</v>
      </c>
      <c r="DQ206">
        <v>0.175126</v>
      </c>
      <c r="DR206">
        <v>25.734400000000001</v>
      </c>
      <c r="DS206">
        <v>25.370200000000001</v>
      </c>
      <c r="DT206">
        <v>28.8</v>
      </c>
      <c r="DU206">
        <v>26.2</v>
      </c>
      <c r="DV206">
        <v>9.8977500000000003</v>
      </c>
      <c r="DW206">
        <v>62.391399999999997</v>
      </c>
      <c r="DX206">
        <v>37.4559</v>
      </c>
      <c r="DY206">
        <v>1</v>
      </c>
      <c r="DZ206">
        <v>-0.14180899999999999</v>
      </c>
      <c r="EA206">
        <v>-0.63700999999999997</v>
      </c>
      <c r="EB206">
        <v>20.1889</v>
      </c>
      <c r="EC206">
        <v>5.2416999999999998</v>
      </c>
      <c r="ED206">
        <v>12.039899999999999</v>
      </c>
      <c r="EE206">
        <v>5.0173500000000004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1.86877</v>
      </c>
      <c r="EL206">
        <v>1.8644700000000001</v>
      </c>
      <c r="EM206">
        <v>1.86907</v>
      </c>
      <c r="EN206">
        <v>1.86713</v>
      </c>
      <c r="EO206">
        <v>1.8632500000000001</v>
      </c>
      <c r="EP206">
        <v>1.86432</v>
      </c>
      <c r="EQ206">
        <v>1.8701099999999999</v>
      </c>
      <c r="ER206">
        <v>1.8693500000000001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-0.91600000000000004</v>
      </c>
      <c r="FG206">
        <v>0.19109999999999999</v>
      </c>
      <c r="FH206">
        <v>-0.68620417327404271</v>
      </c>
      <c r="FI206">
        <v>-6.1462078757559423E-4</v>
      </c>
      <c r="FJ206">
        <v>-1.8861989874597051E-7</v>
      </c>
      <c r="FK206">
        <v>1.1980462299894961E-10</v>
      </c>
      <c r="FL206">
        <v>0.1911242781723908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37.799999999999997</v>
      </c>
      <c r="FU206">
        <v>37.700000000000003</v>
      </c>
      <c r="FV206">
        <v>1.7639199999999999</v>
      </c>
      <c r="FW206">
        <v>2.5708000000000002</v>
      </c>
      <c r="FX206">
        <v>1.5490699999999999</v>
      </c>
      <c r="FY206">
        <v>2.34009</v>
      </c>
      <c r="FZ206">
        <v>1.50146</v>
      </c>
      <c r="GA206">
        <v>2.31812</v>
      </c>
      <c r="GB206">
        <v>31.324400000000001</v>
      </c>
      <c r="GC206">
        <v>23.991199999999999</v>
      </c>
      <c r="GD206">
        <v>19</v>
      </c>
      <c r="GE206">
        <v>287.54599999999999</v>
      </c>
      <c r="GF206">
        <v>594.32399999999996</v>
      </c>
      <c r="GG206">
        <v>25.8734</v>
      </c>
      <c r="GH206">
        <v>25.629300000000001</v>
      </c>
      <c r="GI206">
        <v>30.0002</v>
      </c>
      <c r="GJ206">
        <v>25.7347</v>
      </c>
      <c r="GK206">
        <v>25.7026</v>
      </c>
      <c r="GL206">
        <v>35.271900000000002</v>
      </c>
      <c r="GM206">
        <v>100</v>
      </c>
      <c r="GN206">
        <v>0</v>
      </c>
      <c r="GO206">
        <v>25.8794</v>
      </c>
      <c r="GP206">
        <v>800</v>
      </c>
      <c r="GQ206">
        <v>0</v>
      </c>
      <c r="GR206">
        <v>99.734700000000004</v>
      </c>
      <c r="GS206">
        <v>99.473600000000005</v>
      </c>
    </row>
    <row r="207" spans="1:201" x14ac:dyDescent="0.25">
      <c r="A207">
        <v>191</v>
      </c>
      <c r="B207">
        <v>1690288540.5</v>
      </c>
      <c r="C207">
        <v>2001.900000095367</v>
      </c>
      <c r="D207" t="s">
        <v>715</v>
      </c>
      <c r="E207" t="s">
        <v>716</v>
      </c>
      <c r="F207" t="s">
        <v>330</v>
      </c>
      <c r="H207">
        <v>1690288540.5</v>
      </c>
      <c r="I207">
        <f t="shared" si="60"/>
        <v>2.9682493909296806E-3</v>
      </c>
      <c r="J207">
        <f t="shared" si="61"/>
        <v>2.9682493909296808</v>
      </c>
      <c r="K207">
        <f t="shared" si="62"/>
        <v>45.944085066379259</v>
      </c>
      <c r="L207">
        <f t="shared" si="63"/>
        <v>344.65300000000002</v>
      </c>
      <c r="M207">
        <f t="shared" si="64"/>
        <v>97.056789866363005</v>
      </c>
      <c r="N207">
        <f t="shared" si="65"/>
        <v>9.6523371572664853</v>
      </c>
      <c r="O207">
        <f t="shared" si="66"/>
        <v>34.275880779117998</v>
      </c>
      <c r="P207">
        <f t="shared" si="67"/>
        <v>0.32097925099771568</v>
      </c>
      <c r="Q207">
        <f t="shared" si="68"/>
        <v>2.3051368857077303</v>
      </c>
      <c r="R207">
        <f t="shared" si="69"/>
        <v>0.29805644500125733</v>
      </c>
      <c r="S207">
        <f t="shared" si="70"/>
        <v>0.18820820176769637</v>
      </c>
      <c r="T207">
        <f t="shared" si="71"/>
        <v>276.11729623645698</v>
      </c>
      <c r="U207">
        <f t="shared" si="72"/>
        <v>27.814819778702649</v>
      </c>
      <c r="V207">
        <f t="shared" si="73"/>
        <v>27.814819778702649</v>
      </c>
      <c r="W207">
        <f t="shared" si="74"/>
        <v>3.7540653883211577</v>
      </c>
      <c r="X207">
        <f t="shared" si="75"/>
        <v>79.301802969305029</v>
      </c>
      <c r="Y207">
        <f t="shared" si="76"/>
        <v>2.7962868456643997</v>
      </c>
      <c r="Z207">
        <f t="shared" si="77"/>
        <v>3.5261327497771329</v>
      </c>
      <c r="AA207">
        <f t="shared" si="78"/>
        <v>0.95777854265675799</v>
      </c>
      <c r="AB207">
        <f t="shared" si="79"/>
        <v>-130.89979813999892</v>
      </c>
      <c r="AC207">
        <f t="shared" si="80"/>
        <v>-132.81465865448683</v>
      </c>
      <c r="AD207">
        <f t="shared" si="81"/>
        <v>-12.469329187894608</v>
      </c>
      <c r="AE207">
        <f t="shared" si="82"/>
        <v>-6.6489745923405508E-2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52757.614566438358</v>
      </c>
      <c r="AK207">
        <f t="shared" si="86"/>
        <v>1800.01</v>
      </c>
      <c r="AL207">
        <f t="shared" si="87"/>
        <v>1499.1204094004499</v>
      </c>
      <c r="AM207">
        <f t="shared" si="88"/>
        <v>0.83284004499999997</v>
      </c>
      <c r="AN207">
        <f t="shared" si="89"/>
        <v>0.1533976457</v>
      </c>
      <c r="AO207">
        <v>29.1</v>
      </c>
      <c r="AP207">
        <v>0.5</v>
      </c>
      <c r="AQ207" t="s">
        <v>331</v>
      </c>
      <c r="AR207">
        <v>2</v>
      </c>
      <c r="AS207">
        <v>1690288540.5</v>
      </c>
      <c r="AT207">
        <v>344.65300000000002</v>
      </c>
      <c r="AU207">
        <v>799.98800000000006</v>
      </c>
      <c r="AV207">
        <v>28.1174</v>
      </c>
      <c r="AW207">
        <v>0.15004000000000001</v>
      </c>
      <c r="AX207">
        <v>345.57</v>
      </c>
      <c r="AY207">
        <v>27.926300000000001</v>
      </c>
      <c r="AZ207">
        <v>300.16199999999998</v>
      </c>
      <c r="BA207">
        <v>99.350399999999993</v>
      </c>
      <c r="BB207">
        <v>0.100006</v>
      </c>
      <c r="BC207">
        <v>26.746099999999998</v>
      </c>
      <c r="BD207">
        <v>26.990300000000001</v>
      </c>
      <c r="BE207">
        <v>28.244</v>
      </c>
      <c r="BF207">
        <v>0</v>
      </c>
      <c r="BG207">
        <v>0</v>
      </c>
      <c r="BH207">
        <v>10035.6</v>
      </c>
      <c r="BI207">
        <v>1086.8499999999999</v>
      </c>
      <c r="BJ207">
        <v>1.3455900000000001</v>
      </c>
      <c r="BK207">
        <v>-455.334</v>
      </c>
      <c r="BL207">
        <v>354.625</v>
      </c>
      <c r="BM207">
        <v>800.10799999999995</v>
      </c>
      <c r="BN207">
        <v>27.967400000000001</v>
      </c>
      <c r="BO207">
        <v>799.98800000000006</v>
      </c>
      <c r="BP207">
        <v>0.15004000000000001</v>
      </c>
      <c r="BQ207">
        <v>2.7934800000000002</v>
      </c>
      <c r="BR207">
        <v>1.4906600000000001E-2</v>
      </c>
      <c r="BS207">
        <v>22.845600000000001</v>
      </c>
      <c r="BT207">
        <v>-42.217300000000002</v>
      </c>
      <c r="BU207">
        <v>1800.01</v>
      </c>
      <c r="BV207">
        <v>0.909995</v>
      </c>
      <c r="BW207">
        <v>3.3996999999999999E-2</v>
      </c>
      <c r="BX207">
        <v>2.2003499999999999E-2</v>
      </c>
      <c r="BY207">
        <v>3.4004399999999997E-2</v>
      </c>
      <c r="BZ207">
        <v>25</v>
      </c>
      <c r="CA207">
        <v>33528.5</v>
      </c>
      <c r="CB207">
        <v>1690286268.5999999</v>
      </c>
      <c r="CC207" t="s">
        <v>332</v>
      </c>
      <c r="CD207">
        <v>1690286261.0999999</v>
      </c>
      <c r="CE207">
        <v>1690286268.5999999</v>
      </c>
      <c r="CF207">
        <v>1</v>
      </c>
      <c r="CG207">
        <v>-0.89900000000000002</v>
      </c>
      <c r="CH207">
        <v>3.4000000000000002E-2</v>
      </c>
      <c r="CI207">
        <v>-1.2370000000000001</v>
      </c>
      <c r="CJ207">
        <v>8.5999999999999993E-2</v>
      </c>
      <c r="CK207">
        <v>799</v>
      </c>
      <c r="CL207">
        <v>16</v>
      </c>
      <c r="CM207">
        <v>0.28999999999999998</v>
      </c>
      <c r="CN207">
        <v>0.09</v>
      </c>
      <c r="CO207">
        <v>-455.08917500000013</v>
      </c>
      <c r="CP207">
        <v>-1.3113433395869001</v>
      </c>
      <c r="CQ207">
        <v>0.12993323044933541</v>
      </c>
      <c r="CR207">
        <v>-1</v>
      </c>
      <c r="CS207">
        <v>27.9608825</v>
      </c>
      <c r="CT207">
        <v>2.8384615384545689E-2</v>
      </c>
      <c r="CU207">
        <v>2.827621571215065E-3</v>
      </c>
      <c r="CV207">
        <v>-1</v>
      </c>
      <c r="CW207">
        <v>0</v>
      </c>
      <c r="CX207">
        <v>0</v>
      </c>
      <c r="CY207" t="s">
        <v>333</v>
      </c>
      <c r="CZ207">
        <v>2.36524</v>
      </c>
      <c r="DA207">
        <v>2.7138300000000002</v>
      </c>
      <c r="DB207">
        <v>8.0216800000000005E-2</v>
      </c>
      <c r="DC207">
        <v>0.146567</v>
      </c>
      <c r="DD207">
        <v>0.12776299999999999</v>
      </c>
      <c r="DE207">
        <v>1.2697400000000001E-3</v>
      </c>
      <c r="DF207">
        <v>33588.800000000003</v>
      </c>
      <c r="DG207">
        <v>27487.1</v>
      </c>
      <c r="DH207">
        <v>31173.3</v>
      </c>
      <c r="DI207">
        <v>28063.1</v>
      </c>
      <c r="DJ207">
        <v>36895.9</v>
      </c>
      <c r="DK207">
        <v>39843.800000000003</v>
      </c>
      <c r="DL207">
        <v>44358.2</v>
      </c>
      <c r="DM207">
        <v>42513.599999999999</v>
      </c>
      <c r="DN207">
        <v>1.4940199999999999</v>
      </c>
      <c r="DO207">
        <v>2.0585</v>
      </c>
      <c r="DP207">
        <v>7.6420600000000005E-2</v>
      </c>
      <c r="DQ207">
        <v>0.17544599999999999</v>
      </c>
      <c r="DR207">
        <v>25.7392</v>
      </c>
      <c r="DS207">
        <v>25.373799999999999</v>
      </c>
      <c r="DT207">
        <v>28.7</v>
      </c>
      <c r="DU207">
        <v>26.2</v>
      </c>
      <c r="DV207">
        <v>9.86294</v>
      </c>
      <c r="DW207">
        <v>61.871400000000001</v>
      </c>
      <c r="DX207">
        <v>37.431899999999999</v>
      </c>
      <c r="DY207">
        <v>1</v>
      </c>
      <c r="DZ207">
        <v>-0.141761</v>
      </c>
      <c r="EA207">
        <v>-0.63502199999999998</v>
      </c>
      <c r="EB207">
        <v>20.1891</v>
      </c>
      <c r="EC207">
        <v>5.2415500000000002</v>
      </c>
      <c r="ED207">
        <v>12.039899999999999</v>
      </c>
      <c r="EE207">
        <v>5.01755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1.8687499999999999</v>
      </c>
      <c r="EL207">
        <v>1.8644700000000001</v>
      </c>
      <c r="EM207">
        <v>1.8690800000000001</v>
      </c>
      <c r="EN207">
        <v>1.8671</v>
      </c>
      <c r="EO207">
        <v>1.8632500000000001</v>
      </c>
      <c r="EP207">
        <v>1.86432</v>
      </c>
      <c r="EQ207">
        <v>1.8701099999999999</v>
      </c>
      <c r="ER207">
        <v>1.86934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-0.91700000000000004</v>
      </c>
      <c r="FG207">
        <v>0.19109999999999999</v>
      </c>
      <c r="FH207">
        <v>-0.68620417327404271</v>
      </c>
      <c r="FI207">
        <v>-6.1462078757559423E-4</v>
      </c>
      <c r="FJ207">
        <v>-1.8861989874597051E-7</v>
      </c>
      <c r="FK207">
        <v>1.1980462299894961E-10</v>
      </c>
      <c r="FL207">
        <v>0.1911242781723908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38</v>
      </c>
      <c r="FU207">
        <v>37.9</v>
      </c>
      <c r="FV207">
        <v>1.7639199999999999</v>
      </c>
      <c r="FW207">
        <v>2.5671400000000002</v>
      </c>
      <c r="FX207">
        <v>1.5490699999999999</v>
      </c>
      <c r="FY207">
        <v>2.34009</v>
      </c>
      <c r="FZ207">
        <v>1.50146</v>
      </c>
      <c r="GA207">
        <v>2.35107</v>
      </c>
      <c r="GB207">
        <v>31.324400000000001</v>
      </c>
      <c r="GC207">
        <v>23.991199999999999</v>
      </c>
      <c r="GD207">
        <v>19</v>
      </c>
      <c r="GE207">
        <v>287.74799999999999</v>
      </c>
      <c r="GF207">
        <v>594.26599999999996</v>
      </c>
      <c r="GG207">
        <v>25.8797</v>
      </c>
      <c r="GH207">
        <v>25.630099999999999</v>
      </c>
      <c r="GI207">
        <v>30.0001</v>
      </c>
      <c r="GJ207">
        <v>25.736599999999999</v>
      </c>
      <c r="GK207">
        <v>25.704799999999999</v>
      </c>
      <c r="GL207">
        <v>35.2684</v>
      </c>
      <c r="GM207">
        <v>100</v>
      </c>
      <c r="GN207">
        <v>0</v>
      </c>
      <c r="GO207">
        <v>25.879100000000001</v>
      </c>
      <c r="GP207">
        <v>800</v>
      </c>
      <c r="GQ207">
        <v>0</v>
      </c>
      <c r="GR207">
        <v>99.735500000000002</v>
      </c>
      <c r="GS207">
        <v>99.472999999999999</v>
      </c>
    </row>
    <row r="208" spans="1:201" x14ac:dyDescent="0.25">
      <c r="A208">
        <v>192</v>
      </c>
      <c r="B208">
        <v>1690288550.5</v>
      </c>
      <c r="C208">
        <v>2011.900000095367</v>
      </c>
      <c r="D208" t="s">
        <v>717</v>
      </c>
      <c r="E208" t="s">
        <v>718</v>
      </c>
      <c r="F208" t="s">
        <v>330</v>
      </c>
      <c r="H208">
        <v>1690288550.5</v>
      </c>
      <c r="I208">
        <f t="shared" si="60"/>
        <v>2.968835563793112E-3</v>
      </c>
      <c r="J208">
        <f t="shared" si="61"/>
        <v>2.9688355637931121</v>
      </c>
      <c r="K208">
        <f t="shared" si="62"/>
        <v>45.965166998811561</v>
      </c>
      <c r="L208">
        <f t="shared" si="63"/>
        <v>344.44200000000001</v>
      </c>
      <c r="M208">
        <f t="shared" si="64"/>
        <v>96.635426764457989</v>
      </c>
      <c r="N208">
        <f t="shared" si="65"/>
        <v>9.6099920580688476</v>
      </c>
      <c r="O208">
        <f t="shared" si="66"/>
        <v>34.253327121258003</v>
      </c>
      <c r="P208">
        <f t="shared" si="67"/>
        <v>0.32086242556150646</v>
      </c>
      <c r="Q208">
        <f t="shared" si="68"/>
        <v>2.3024163440978889</v>
      </c>
      <c r="R208">
        <f t="shared" si="69"/>
        <v>0.29793067120233679</v>
      </c>
      <c r="S208">
        <f t="shared" si="70"/>
        <v>0.18813024031441378</v>
      </c>
      <c r="T208">
        <f t="shared" si="71"/>
        <v>276.11580484800004</v>
      </c>
      <c r="U208">
        <f t="shared" si="72"/>
        <v>27.819469786838702</v>
      </c>
      <c r="V208">
        <f t="shared" si="73"/>
        <v>27.819469786838702</v>
      </c>
      <c r="W208">
        <f t="shared" si="74"/>
        <v>3.7550845619095425</v>
      </c>
      <c r="X208">
        <f t="shared" si="75"/>
        <v>79.298106129414151</v>
      </c>
      <c r="Y208">
        <f t="shared" si="76"/>
        <v>2.7967653343515</v>
      </c>
      <c r="Z208">
        <f t="shared" si="77"/>
        <v>3.5269005413410399</v>
      </c>
      <c r="AA208">
        <f t="shared" si="78"/>
        <v>0.95831922755804255</v>
      </c>
      <c r="AB208">
        <f t="shared" si="79"/>
        <v>-130.92564836327625</v>
      </c>
      <c r="AC208">
        <f t="shared" si="80"/>
        <v>-132.77583218267671</v>
      </c>
      <c r="AD208">
        <f t="shared" si="81"/>
        <v>-12.480934091958737</v>
      </c>
      <c r="AE208">
        <f t="shared" si="82"/>
        <v>-6.6609789911638018E-2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52653.743561316951</v>
      </c>
      <c r="AK208">
        <f t="shared" si="86"/>
        <v>1800</v>
      </c>
      <c r="AL208">
        <f t="shared" si="87"/>
        <v>1499.1090048000001</v>
      </c>
      <c r="AM208">
        <f t="shared" si="88"/>
        <v>0.83283833600000001</v>
      </c>
      <c r="AN208">
        <f t="shared" si="89"/>
        <v>0.15339766936000002</v>
      </c>
      <c r="AO208">
        <v>29.1</v>
      </c>
      <c r="AP208">
        <v>0.5</v>
      </c>
      <c r="AQ208" t="s">
        <v>331</v>
      </c>
      <c r="AR208">
        <v>2</v>
      </c>
      <c r="AS208">
        <v>1690288550.5</v>
      </c>
      <c r="AT208">
        <v>344.44200000000001</v>
      </c>
      <c r="AU208">
        <v>799.99699999999996</v>
      </c>
      <c r="AV208">
        <v>28.1235</v>
      </c>
      <c r="AW208">
        <v>0.14958099999999999</v>
      </c>
      <c r="AX208">
        <v>345.358</v>
      </c>
      <c r="AY208">
        <v>27.932400000000001</v>
      </c>
      <c r="AZ208">
        <v>300.149</v>
      </c>
      <c r="BA208">
        <v>99.345799999999997</v>
      </c>
      <c r="BB208">
        <v>0.100049</v>
      </c>
      <c r="BC208">
        <v>26.7498</v>
      </c>
      <c r="BD208">
        <v>26.991599999999998</v>
      </c>
      <c r="BE208">
        <v>28.245000000000001</v>
      </c>
      <c r="BF208">
        <v>0</v>
      </c>
      <c r="BG208">
        <v>0</v>
      </c>
      <c r="BH208">
        <v>10015.6</v>
      </c>
      <c r="BI208">
        <v>1086.79</v>
      </c>
      <c r="BJ208">
        <v>1.3455900000000001</v>
      </c>
      <c r="BK208">
        <v>-455.55500000000001</v>
      </c>
      <c r="BL208">
        <v>354.40899999999999</v>
      </c>
      <c r="BM208">
        <v>800.11699999999996</v>
      </c>
      <c r="BN208">
        <v>27.9739</v>
      </c>
      <c r="BO208">
        <v>799.99699999999996</v>
      </c>
      <c r="BP208">
        <v>0.14958099999999999</v>
      </c>
      <c r="BQ208">
        <v>2.7939500000000002</v>
      </c>
      <c r="BR208">
        <v>1.48603E-2</v>
      </c>
      <c r="BS208">
        <v>22.848400000000002</v>
      </c>
      <c r="BT208">
        <v>-42.246400000000001</v>
      </c>
      <c r="BU208">
        <v>1800</v>
      </c>
      <c r="BV208">
        <v>0.90998500000000004</v>
      </c>
      <c r="BW208">
        <v>3.4008499999999997E-2</v>
      </c>
      <c r="BX208">
        <v>2.2002799999999999E-2</v>
      </c>
      <c r="BY208">
        <v>3.4003400000000003E-2</v>
      </c>
      <c r="BZ208">
        <v>25</v>
      </c>
      <c r="CA208">
        <v>33528.199999999997</v>
      </c>
      <c r="CB208">
        <v>1690286268.5999999</v>
      </c>
      <c r="CC208" t="s">
        <v>332</v>
      </c>
      <c r="CD208">
        <v>1690286261.0999999</v>
      </c>
      <c r="CE208">
        <v>1690286268.5999999</v>
      </c>
      <c r="CF208">
        <v>1</v>
      </c>
      <c r="CG208">
        <v>-0.89900000000000002</v>
      </c>
      <c r="CH208">
        <v>3.4000000000000002E-2</v>
      </c>
      <c r="CI208">
        <v>-1.2370000000000001</v>
      </c>
      <c r="CJ208">
        <v>8.5999999999999993E-2</v>
      </c>
      <c r="CK208">
        <v>799</v>
      </c>
      <c r="CL208">
        <v>16</v>
      </c>
      <c r="CM208">
        <v>0.28999999999999998</v>
      </c>
      <c r="CN208">
        <v>0.09</v>
      </c>
      <c r="CO208">
        <v>-455.31767500000012</v>
      </c>
      <c r="CP208">
        <v>-1.595403377109877</v>
      </c>
      <c r="CQ208">
        <v>0.15710544030999729</v>
      </c>
      <c r="CR208">
        <v>-1</v>
      </c>
      <c r="CS208">
        <v>27.966985000000001</v>
      </c>
      <c r="CT208">
        <v>4.0790994371400532E-2</v>
      </c>
      <c r="CU208">
        <v>4.0350061957821178E-3</v>
      </c>
      <c r="CV208">
        <v>-1</v>
      </c>
      <c r="CW208">
        <v>0</v>
      </c>
      <c r="CX208">
        <v>0</v>
      </c>
      <c r="CY208" t="s">
        <v>333</v>
      </c>
      <c r="CZ208">
        <v>2.3652000000000002</v>
      </c>
      <c r="DA208">
        <v>2.7138499999999999</v>
      </c>
      <c r="DB208">
        <v>8.0174400000000007E-2</v>
      </c>
      <c r="DC208">
        <v>0.146562</v>
      </c>
      <c r="DD208">
        <v>0.127776</v>
      </c>
      <c r="DE208">
        <v>1.2658400000000001E-3</v>
      </c>
      <c r="DF208">
        <v>33589.800000000003</v>
      </c>
      <c r="DG208">
        <v>27487.3</v>
      </c>
      <c r="DH208">
        <v>31172.799999999999</v>
      </c>
      <c r="DI208">
        <v>28063.1</v>
      </c>
      <c r="DJ208">
        <v>36894.9</v>
      </c>
      <c r="DK208">
        <v>39844</v>
      </c>
      <c r="DL208">
        <v>44357.7</v>
      </c>
      <c r="DM208">
        <v>42513.599999999999</v>
      </c>
      <c r="DN208">
        <v>1.4937800000000001</v>
      </c>
      <c r="DO208">
        <v>2.0585</v>
      </c>
      <c r="DP208">
        <v>7.6316300000000004E-2</v>
      </c>
      <c r="DQ208">
        <v>0.17526700000000001</v>
      </c>
      <c r="DR208">
        <v>25.7423</v>
      </c>
      <c r="DS208">
        <v>25.377700000000001</v>
      </c>
      <c r="DT208">
        <v>28.7</v>
      </c>
      <c r="DU208">
        <v>26.2</v>
      </c>
      <c r="DV208">
        <v>9.86388</v>
      </c>
      <c r="DW208">
        <v>61.681399999999996</v>
      </c>
      <c r="DX208">
        <v>37.527999999999999</v>
      </c>
      <c r="DY208">
        <v>1</v>
      </c>
      <c r="DZ208">
        <v>-0.141712</v>
      </c>
      <c r="EA208">
        <v>-0.62873100000000004</v>
      </c>
      <c r="EB208">
        <v>20.1892</v>
      </c>
      <c r="EC208">
        <v>5.24125</v>
      </c>
      <c r="ED208">
        <v>12.039899999999999</v>
      </c>
      <c r="EE208">
        <v>5.01715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1.86876</v>
      </c>
      <c r="EL208">
        <v>1.8644700000000001</v>
      </c>
      <c r="EM208">
        <v>1.8690899999999999</v>
      </c>
      <c r="EN208">
        <v>1.8671</v>
      </c>
      <c r="EO208">
        <v>1.8632500000000001</v>
      </c>
      <c r="EP208">
        <v>1.86432</v>
      </c>
      <c r="EQ208">
        <v>1.8701099999999999</v>
      </c>
      <c r="ER208">
        <v>1.8693500000000001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-0.91600000000000004</v>
      </c>
      <c r="FG208">
        <v>0.19109999999999999</v>
      </c>
      <c r="FH208">
        <v>-0.68620417327404271</v>
      </c>
      <c r="FI208">
        <v>-6.1462078757559423E-4</v>
      </c>
      <c r="FJ208">
        <v>-1.8861989874597051E-7</v>
      </c>
      <c r="FK208">
        <v>1.1980462299894961E-10</v>
      </c>
      <c r="FL208">
        <v>0.1911242781723908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38.200000000000003</v>
      </c>
      <c r="FU208">
        <v>38</v>
      </c>
      <c r="FV208">
        <v>1.7639199999999999</v>
      </c>
      <c r="FW208">
        <v>2.5671400000000002</v>
      </c>
      <c r="FX208">
        <v>1.5490699999999999</v>
      </c>
      <c r="FY208">
        <v>2.34009</v>
      </c>
      <c r="FZ208">
        <v>1.50024</v>
      </c>
      <c r="GA208">
        <v>2.3742700000000001</v>
      </c>
      <c r="GB208">
        <v>31.3462</v>
      </c>
      <c r="GC208">
        <v>23.991199999999999</v>
      </c>
      <c r="GD208">
        <v>19</v>
      </c>
      <c r="GE208">
        <v>287.64</v>
      </c>
      <c r="GF208">
        <v>594.26599999999996</v>
      </c>
      <c r="GG208">
        <v>25.8797</v>
      </c>
      <c r="GH208">
        <v>25.630099999999999</v>
      </c>
      <c r="GI208">
        <v>30.0002</v>
      </c>
      <c r="GJ208">
        <v>25.736599999999999</v>
      </c>
      <c r="GK208">
        <v>25.704799999999999</v>
      </c>
      <c r="GL208">
        <v>35.267699999999998</v>
      </c>
      <c r="GM208">
        <v>100</v>
      </c>
      <c r="GN208">
        <v>0</v>
      </c>
      <c r="GO208">
        <v>25.8796</v>
      </c>
      <c r="GP208">
        <v>800</v>
      </c>
      <c r="GQ208">
        <v>0</v>
      </c>
      <c r="GR208">
        <v>99.734200000000001</v>
      </c>
      <c r="GS208">
        <v>99.473100000000002</v>
      </c>
    </row>
    <row r="209" spans="1:201" x14ac:dyDescent="0.25">
      <c r="A209">
        <v>193</v>
      </c>
      <c r="B209">
        <v>1690288560.5</v>
      </c>
      <c r="C209">
        <v>2021.900000095367</v>
      </c>
      <c r="D209" t="s">
        <v>719</v>
      </c>
      <c r="E209" t="s">
        <v>720</v>
      </c>
      <c r="F209" t="s">
        <v>330</v>
      </c>
      <c r="H209">
        <v>1690288560.5</v>
      </c>
      <c r="I209">
        <f t="shared" ref="I209:I272" si="90">(J209)/1000</f>
        <v>2.9703183197432319E-3</v>
      </c>
      <c r="J209">
        <f t="shared" ref="J209:J226" si="91">1000*AZ209*AH209*(AV209-AW209)/(100*AO209*(1000-AH209*AV209))</f>
        <v>2.9703183197432317</v>
      </c>
      <c r="K209">
        <f t="shared" ref="K209:K226" si="92">AZ209*AH209*(AU209-AT209*(1000-AH209*AW209)/(1000-AH209*AV209))/(100*AO209)</f>
        <v>45.983746316601746</v>
      </c>
      <c r="L209">
        <f t="shared" ref="L209:L272" si="93">AT209 - IF(AH209&gt;1, K209*AO209*100/(AJ209*BH209), 0)</f>
        <v>344.3</v>
      </c>
      <c r="M209">
        <f t="shared" ref="M209:M272" si="94">((S209-I209/2)*L209-K209)/(S209+I209/2)</f>
        <v>96.901734328802604</v>
      </c>
      <c r="N209">
        <f t="shared" ref="N209:N272" si="95">M209*(BA209+BB209)/1000</f>
        <v>9.6366422984902016</v>
      </c>
      <c r="O209">
        <f t="shared" ref="O209:O226" si="96">(AT209 - IF(AH209&gt;1, K209*AO209*100/(AJ209*BH209), 0))*(BA209+BB209)/1000</f>
        <v>34.239799383899999</v>
      </c>
      <c r="P209">
        <f t="shared" ref="P209:P272" si="97">2/((1/R209-1/Q209)+SIGN(R209)*SQRT((1/R209-1/Q209)*(1/R209-1/Q209) + 4*AP209/((AP209+1)*(AP209+1))*(2*1/R209*1/Q209-1/Q209*1/Q209)))</f>
        <v>0.32156453938626028</v>
      </c>
      <c r="Q209">
        <f t="shared" ref="Q209:Q226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2.3026919202731473</v>
      </c>
      <c r="R209">
        <f t="shared" ref="R209:R226" si="99">I209*(1000-(1000*0.61365*EXP(17.502*V209/(240.97+V209))/(BA209+BB209)+AV209)/2)/(1000*0.61365*EXP(17.502*V209/(240.97+V209))/(BA209+BB209)-AV209)</f>
        <v>0.29853872059639963</v>
      </c>
      <c r="S209">
        <f t="shared" ref="S209:S226" si="100">1/((AP209+1)/(P209/1.6)+1/(Q209/1.37)) + AP209/((AP209+1)/(P209/1.6) + AP209/(Q209/1.37))</f>
        <v>0.18851789840627498</v>
      </c>
      <c r="T209">
        <f t="shared" ref="T209:T226" si="101">(AK209*AN209)</f>
        <v>276.11564835599995</v>
      </c>
      <c r="U209">
        <f t="shared" ref="U209:U272" si="102">(BC209+(T209+2*0.95*0.0000000567*(((BC209+$B$7)+273)^4-(BC209+273)^4)-44100*I209)/(1.84*29.3*Q209+8*0.95*0.0000000567*(BC209+273)^3))</f>
        <v>27.817970692049684</v>
      </c>
      <c r="V209">
        <f t="shared" ref="V209:V272" si="103">($C$7*BD209+$D$7*BE209+$E$7*U209)</f>
        <v>27.817970692049684</v>
      </c>
      <c r="W209">
        <f t="shared" ref="W209:W272" si="104">0.61365*EXP(17.502*V209/(240.97+V209))</f>
        <v>3.7547559688458136</v>
      </c>
      <c r="X209">
        <f t="shared" ref="X209:X272" si="105">(Y209/Z209*100)</f>
        <v>79.334416741102388</v>
      </c>
      <c r="Y209">
        <f t="shared" ref="Y209:Y226" si="106">AV209*(BA209+BB209)/1000</f>
        <v>2.7978977978111996</v>
      </c>
      <c r="Z209">
        <f t="shared" ref="Z209:Z226" si="107">0.61365*EXP(17.502*BC209/(240.97+BC209))</f>
        <v>3.5267137677986304</v>
      </c>
      <c r="AA209">
        <f t="shared" ref="AA209:AA226" si="108">(W209-AV209*(BA209+BB209)/1000)</f>
        <v>0.95685817103461401</v>
      </c>
      <c r="AB209">
        <f t="shared" ref="AB209:AB226" si="109">(-I209*44100)</f>
        <v>-130.99103790067653</v>
      </c>
      <c r="AC209">
        <f t="shared" ref="AC209:AC226" si="110">2*29.3*Q209*0.92*(BC209-V209)</f>
        <v>-132.71735085917518</v>
      </c>
      <c r="AD209">
        <f t="shared" ref="AD209:AD226" si="111">2*0.95*0.0000000567*(((BC209+$B$7)+273)^4-(V209+273)^4)</f>
        <v>-12.473794306393112</v>
      </c>
      <c r="AE209">
        <f t="shared" ref="AE209:AE272" si="112">T209+AD209+AB209+AC209</f>
        <v>-6.6534710244894768E-2</v>
      </c>
      <c r="AF209">
        <v>0</v>
      </c>
      <c r="AG209">
        <v>0</v>
      </c>
      <c r="AH209">
        <f t="shared" ref="AH209:AH226" si="113">IF(AF209*$H$13&gt;=AJ209,1,(AJ209/(AJ209-AF209*$H$13)))</f>
        <v>1</v>
      </c>
      <c r="AI209">
        <f t="shared" ref="AI209:AI272" si="114">(AH209-1)*100</f>
        <v>0</v>
      </c>
      <c r="AJ209">
        <f t="shared" ref="AJ209:AJ226" si="115">MAX(0,($B$13+$C$13*BH209)/(1+$D$13*BH209)*BA209/(BC209+273)*$E$13)</f>
        <v>52664.379210998726</v>
      </c>
      <c r="AK209">
        <f t="shared" ref="AK209:AK226" si="116">$B$11*BI209+$C$11*BJ209+$D$11*BU209</f>
        <v>1800</v>
      </c>
      <c r="AL209">
        <f t="shared" ref="AL209:AL272" si="117">AK209*AM209</f>
        <v>1499.1093125999998</v>
      </c>
      <c r="AM209">
        <f t="shared" ref="AM209:AM226" si="118">($B$11*$D$9+$C$11*$D$9+$D$11*(BV209*$E$9+BW209*$F$9+BX209*$G$9+BY209*$H$9))/($B$11+$C$11+$D$11)</f>
        <v>0.83283850699999995</v>
      </c>
      <c r="AN209">
        <f t="shared" ref="AN209:AN226" si="119">($B$11*$K$9+$C$11*$K$9+$D$11*(BV209*$L$9+BW209*$M$9+BX209*$N$9+BY209*$O$9))/($B$11+$C$11+$D$11)</f>
        <v>0.15339758241999998</v>
      </c>
      <c r="AO209">
        <v>29.1</v>
      </c>
      <c r="AP209">
        <v>0.5</v>
      </c>
      <c r="AQ209" t="s">
        <v>331</v>
      </c>
      <c r="AR209">
        <v>2</v>
      </c>
      <c r="AS209">
        <v>1690288560.5</v>
      </c>
      <c r="AT209">
        <v>344.3</v>
      </c>
      <c r="AU209">
        <v>799.995</v>
      </c>
      <c r="AV209">
        <v>28.134399999999999</v>
      </c>
      <c r="AW209">
        <v>0.149341</v>
      </c>
      <c r="AX209">
        <v>345.21600000000001</v>
      </c>
      <c r="AY209">
        <v>27.943300000000001</v>
      </c>
      <c r="AZ209">
        <v>300.17599999999999</v>
      </c>
      <c r="BA209">
        <v>99.347499999999997</v>
      </c>
      <c r="BB209">
        <v>0.100073</v>
      </c>
      <c r="BC209">
        <v>26.748899999999999</v>
      </c>
      <c r="BD209">
        <v>27.002700000000001</v>
      </c>
      <c r="BE209">
        <v>28.2453</v>
      </c>
      <c r="BF209">
        <v>0</v>
      </c>
      <c r="BG209">
        <v>0</v>
      </c>
      <c r="BH209">
        <v>10017.5</v>
      </c>
      <c r="BI209">
        <v>1086.58</v>
      </c>
      <c r="BJ209">
        <v>1.3455900000000001</v>
      </c>
      <c r="BK209">
        <v>-455.69499999999999</v>
      </c>
      <c r="BL209">
        <v>354.267</v>
      </c>
      <c r="BM209">
        <v>800.11500000000001</v>
      </c>
      <c r="BN209">
        <v>27.985099999999999</v>
      </c>
      <c r="BO209">
        <v>799.995</v>
      </c>
      <c r="BP209">
        <v>0.149341</v>
      </c>
      <c r="BQ209">
        <v>2.7950900000000001</v>
      </c>
      <c r="BR209">
        <v>1.48367E-2</v>
      </c>
      <c r="BS209">
        <v>22.8551</v>
      </c>
      <c r="BT209">
        <v>-42.261299999999999</v>
      </c>
      <c r="BU209">
        <v>1800</v>
      </c>
      <c r="BV209">
        <v>0.90998800000000002</v>
      </c>
      <c r="BW209">
        <v>3.4007299999999997E-2</v>
      </c>
      <c r="BX209">
        <v>2.20021E-2</v>
      </c>
      <c r="BY209">
        <v>3.4002200000000003E-2</v>
      </c>
      <c r="BZ209">
        <v>25</v>
      </c>
      <c r="CA209">
        <v>33528.199999999997</v>
      </c>
      <c r="CB209">
        <v>1690286268.5999999</v>
      </c>
      <c r="CC209" t="s">
        <v>332</v>
      </c>
      <c r="CD209">
        <v>1690286261.0999999</v>
      </c>
      <c r="CE209">
        <v>1690286268.5999999</v>
      </c>
      <c r="CF209">
        <v>1</v>
      </c>
      <c r="CG209">
        <v>-0.89900000000000002</v>
      </c>
      <c r="CH209">
        <v>3.4000000000000002E-2</v>
      </c>
      <c r="CI209">
        <v>-1.2370000000000001</v>
      </c>
      <c r="CJ209">
        <v>8.5999999999999993E-2</v>
      </c>
      <c r="CK209">
        <v>799</v>
      </c>
      <c r="CL209">
        <v>16</v>
      </c>
      <c r="CM209">
        <v>0.28999999999999998</v>
      </c>
      <c r="CN209">
        <v>0.09</v>
      </c>
      <c r="CO209">
        <v>-455.52221951219508</v>
      </c>
      <c r="CP209">
        <v>-1.0268153310104791</v>
      </c>
      <c r="CQ209">
        <v>0.1102780327051712</v>
      </c>
      <c r="CR209">
        <v>-1</v>
      </c>
      <c r="CS209">
        <v>27.974368292682929</v>
      </c>
      <c r="CT209">
        <v>4.6122648083670018E-2</v>
      </c>
      <c r="CU209">
        <v>4.665986891369686E-3</v>
      </c>
      <c r="CV209">
        <v>-1</v>
      </c>
      <c r="CW209">
        <v>0</v>
      </c>
      <c r="CX209">
        <v>0</v>
      </c>
      <c r="CY209" t="s">
        <v>333</v>
      </c>
      <c r="CZ209">
        <v>2.36531</v>
      </c>
      <c r="DA209">
        <v>2.7138800000000001</v>
      </c>
      <c r="DB209">
        <v>8.0149399999999996E-2</v>
      </c>
      <c r="DC209">
        <v>0.146564</v>
      </c>
      <c r="DD209">
        <v>0.12781200000000001</v>
      </c>
      <c r="DE209">
        <v>1.26384E-3</v>
      </c>
      <c r="DF209">
        <v>33591</v>
      </c>
      <c r="DG209">
        <v>27487</v>
      </c>
      <c r="DH209">
        <v>31173.1</v>
      </c>
      <c r="DI209">
        <v>28062.9</v>
      </c>
      <c r="DJ209">
        <v>36893.699999999997</v>
      </c>
      <c r="DK209">
        <v>39843.9</v>
      </c>
      <c r="DL209">
        <v>44358.1</v>
      </c>
      <c r="DM209">
        <v>42513.4</v>
      </c>
      <c r="DN209">
        <v>1.49417</v>
      </c>
      <c r="DO209">
        <v>2.0584199999999999</v>
      </c>
      <c r="DP209">
        <v>7.6815499999999995E-2</v>
      </c>
      <c r="DQ209">
        <v>0.17505899999999999</v>
      </c>
      <c r="DR209">
        <v>25.745200000000001</v>
      </c>
      <c r="DS209">
        <v>25.381499999999999</v>
      </c>
      <c r="DT209">
        <v>28.7</v>
      </c>
      <c r="DU209">
        <v>26.3</v>
      </c>
      <c r="DV209">
        <v>9.9233700000000002</v>
      </c>
      <c r="DW209">
        <v>61.731400000000001</v>
      </c>
      <c r="DX209">
        <v>37.4559</v>
      </c>
      <c r="DY209">
        <v>1</v>
      </c>
      <c r="DZ209">
        <v>-0.14167199999999999</v>
      </c>
      <c r="EA209">
        <v>-0.62984499999999999</v>
      </c>
      <c r="EB209">
        <v>20.189</v>
      </c>
      <c r="EC209">
        <v>5.2418500000000003</v>
      </c>
      <c r="ED209">
        <v>12.039899999999999</v>
      </c>
      <c r="EE209">
        <v>5.0175999999999998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1.86876</v>
      </c>
      <c r="EL209">
        <v>1.8644700000000001</v>
      </c>
      <c r="EM209">
        <v>1.8691</v>
      </c>
      <c r="EN209">
        <v>1.8671</v>
      </c>
      <c r="EO209">
        <v>1.8632500000000001</v>
      </c>
      <c r="EP209">
        <v>1.86432</v>
      </c>
      <c r="EQ209">
        <v>1.87012</v>
      </c>
      <c r="ER209">
        <v>1.86934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-0.91600000000000004</v>
      </c>
      <c r="FG209">
        <v>0.19109999999999999</v>
      </c>
      <c r="FH209">
        <v>-0.68620417327404271</v>
      </c>
      <c r="FI209">
        <v>-6.1462078757559423E-4</v>
      </c>
      <c r="FJ209">
        <v>-1.8861989874597051E-7</v>
      </c>
      <c r="FK209">
        <v>1.1980462299894961E-10</v>
      </c>
      <c r="FL209">
        <v>0.1911242781723908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38.299999999999997</v>
      </c>
      <c r="FU209">
        <v>38.200000000000003</v>
      </c>
      <c r="FV209">
        <v>1.7639199999999999</v>
      </c>
      <c r="FW209">
        <v>2.5683600000000002</v>
      </c>
      <c r="FX209">
        <v>1.5490699999999999</v>
      </c>
      <c r="FY209">
        <v>2.34009</v>
      </c>
      <c r="FZ209">
        <v>1.50146</v>
      </c>
      <c r="GA209">
        <v>2.34375</v>
      </c>
      <c r="GB209">
        <v>31.3462</v>
      </c>
      <c r="GC209">
        <v>23.982399999999998</v>
      </c>
      <c r="GD209">
        <v>19</v>
      </c>
      <c r="GE209">
        <v>287.822</v>
      </c>
      <c r="GF209">
        <v>594.20299999999997</v>
      </c>
      <c r="GG209">
        <v>25.8796</v>
      </c>
      <c r="GH209">
        <v>25.632300000000001</v>
      </c>
      <c r="GI209">
        <v>30.0001</v>
      </c>
      <c r="GJ209">
        <v>25.738800000000001</v>
      </c>
      <c r="GK209">
        <v>25.704799999999999</v>
      </c>
      <c r="GL209">
        <v>35.267299999999999</v>
      </c>
      <c r="GM209">
        <v>100</v>
      </c>
      <c r="GN209">
        <v>0</v>
      </c>
      <c r="GO209">
        <v>25.8825</v>
      </c>
      <c r="GP209">
        <v>800</v>
      </c>
      <c r="GQ209">
        <v>0</v>
      </c>
      <c r="GR209">
        <v>99.735100000000003</v>
      </c>
      <c r="GS209">
        <v>99.472499999999997</v>
      </c>
    </row>
    <row r="210" spans="1:201" x14ac:dyDescent="0.25">
      <c r="A210">
        <v>194</v>
      </c>
      <c r="B210">
        <v>1690288570.5</v>
      </c>
      <c r="C210">
        <v>2031.900000095367</v>
      </c>
      <c r="D210" t="s">
        <v>721</v>
      </c>
      <c r="E210" t="s">
        <v>722</v>
      </c>
      <c r="F210" t="s">
        <v>330</v>
      </c>
      <c r="H210">
        <v>1690288570.5</v>
      </c>
      <c r="I210">
        <f t="shared" si="90"/>
        <v>2.9700504063456951E-3</v>
      </c>
      <c r="J210">
        <f t="shared" si="91"/>
        <v>2.9700504063456949</v>
      </c>
      <c r="K210">
        <f t="shared" si="92"/>
        <v>45.987116104257574</v>
      </c>
      <c r="L210">
        <f t="shared" si="93"/>
        <v>344.13799999999998</v>
      </c>
      <c r="M210">
        <f t="shared" si="94"/>
        <v>96.33073293922331</v>
      </c>
      <c r="N210">
        <f t="shared" si="95"/>
        <v>9.5798234854043827</v>
      </c>
      <c r="O210">
        <f t="shared" si="96"/>
        <v>34.2235670178082</v>
      </c>
      <c r="P210">
        <f t="shared" si="97"/>
        <v>0.32104655924586567</v>
      </c>
      <c r="Q210">
        <f t="shared" si="98"/>
        <v>2.2992775154915064</v>
      </c>
      <c r="R210">
        <f t="shared" si="99"/>
        <v>0.29806055203516069</v>
      </c>
      <c r="S210">
        <f t="shared" si="100"/>
        <v>0.1882157203341531</v>
      </c>
      <c r="T210">
        <f t="shared" si="101"/>
        <v>276.11566597799998</v>
      </c>
      <c r="U210">
        <f t="shared" si="102"/>
        <v>27.828301552295851</v>
      </c>
      <c r="V210">
        <f t="shared" si="103"/>
        <v>27.828301552295851</v>
      </c>
      <c r="W210">
        <f t="shared" si="104"/>
        <v>3.7570209441329223</v>
      </c>
      <c r="X210">
        <f t="shared" si="105"/>
        <v>79.317021895960664</v>
      </c>
      <c r="Y210">
        <f t="shared" si="106"/>
        <v>2.7987331367808106</v>
      </c>
      <c r="Z210">
        <f t="shared" si="107"/>
        <v>3.5285403686132852</v>
      </c>
      <c r="AA210">
        <f t="shared" si="108"/>
        <v>0.95828780735211172</v>
      </c>
      <c r="AB210">
        <f t="shared" si="109"/>
        <v>-130.97922291984514</v>
      </c>
      <c r="AC210">
        <f t="shared" si="110"/>
        <v>-132.71032248438695</v>
      </c>
      <c r="AD210">
        <f t="shared" si="111"/>
        <v>-12.492850110048417</v>
      </c>
      <c r="AE210">
        <f t="shared" si="112"/>
        <v>-6.6729536280547563E-2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52533.554309390354</v>
      </c>
      <c r="AK210">
        <f t="shared" si="116"/>
        <v>1800</v>
      </c>
      <c r="AL210">
        <f t="shared" si="117"/>
        <v>1499.1107148000001</v>
      </c>
      <c r="AM210">
        <f t="shared" si="118"/>
        <v>0.83283928600000001</v>
      </c>
      <c r="AN210">
        <f t="shared" si="119"/>
        <v>0.15339759220999999</v>
      </c>
      <c r="AO210">
        <v>29.1</v>
      </c>
      <c r="AP210">
        <v>0.5</v>
      </c>
      <c r="AQ210" t="s">
        <v>331</v>
      </c>
      <c r="AR210">
        <v>2</v>
      </c>
      <c r="AS210">
        <v>1690288570.5</v>
      </c>
      <c r="AT210">
        <v>344.13799999999998</v>
      </c>
      <c r="AU210">
        <v>800.053</v>
      </c>
      <c r="AV210">
        <v>28.142900000000001</v>
      </c>
      <c r="AW210">
        <v>0.14876600000000001</v>
      </c>
      <c r="AX210">
        <v>345.05399999999997</v>
      </c>
      <c r="AY210">
        <v>27.951799999999999</v>
      </c>
      <c r="AZ210">
        <v>300.04899999999998</v>
      </c>
      <c r="BA210">
        <v>99.347300000000004</v>
      </c>
      <c r="BB210">
        <v>9.9918900000000005E-2</v>
      </c>
      <c r="BC210">
        <v>26.7577</v>
      </c>
      <c r="BD210">
        <v>27.003900000000002</v>
      </c>
      <c r="BE210">
        <v>28.236699999999999</v>
      </c>
      <c r="BF210">
        <v>0</v>
      </c>
      <c r="BG210">
        <v>0</v>
      </c>
      <c r="BH210">
        <v>9991.8799999999992</v>
      </c>
      <c r="BI210">
        <v>1086.45</v>
      </c>
      <c r="BJ210">
        <v>1.3455900000000001</v>
      </c>
      <c r="BK210">
        <v>-455.91500000000002</v>
      </c>
      <c r="BL210">
        <v>354.10399999999998</v>
      </c>
      <c r="BM210">
        <v>800.17200000000003</v>
      </c>
      <c r="BN210">
        <v>27.9941</v>
      </c>
      <c r="BO210">
        <v>800.053</v>
      </c>
      <c r="BP210">
        <v>0.14876600000000001</v>
      </c>
      <c r="BQ210">
        <v>2.7959200000000002</v>
      </c>
      <c r="BR210">
        <v>1.4779499999999999E-2</v>
      </c>
      <c r="BS210">
        <v>22.86</v>
      </c>
      <c r="BT210">
        <v>-42.297499999999999</v>
      </c>
      <c r="BU210">
        <v>1800</v>
      </c>
      <c r="BV210">
        <v>0.90999200000000002</v>
      </c>
      <c r="BW210">
        <v>3.4006000000000002E-2</v>
      </c>
      <c r="BX210">
        <v>2.2001300000000001E-2</v>
      </c>
      <c r="BY210">
        <v>3.4000900000000001E-2</v>
      </c>
      <c r="BZ210">
        <v>25</v>
      </c>
      <c r="CA210">
        <v>33528.300000000003</v>
      </c>
      <c r="CB210">
        <v>1690286268.5999999</v>
      </c>
      <c r="CC210" t="s">
        <v>332</v>
      </c>
      <c r="CD210">
        <v>1690286261.0999999</v>
      </c>
      <c r="CE210">
        <v>1690286268.5999999</v>
      </c>
      <c r="CF210">
        <v>1</v>
      </c>
      <c r="CG210">
        <v>-0.89900000000000002</v>
      </c>
      <c r="CH210">
        <v>3.4000000000000002E-2</v>
      </c>
      <c r="CI210">
        <v>-1.2370000000000001</v>
      </c>
      <c r="CJ210">
        <v>8.5999999999999993E-2</v>
      </c>
      <c r="CK210">
        <v>799</v>
      </c>
      <c r="CL210">
        <v>16</v>
      </c>
      <c r="CM210">
        <v>0.28999999999999998</v>
      </c>
      <c r="CN210">
        <v>0.09</v>
      </c>
      <c r="CO210">
        <v>-455.65305000000001</v>
      </c>
      <c r="CP210">
        <v>-0.8001275797371139</v>
      </c>
      <c r="CQ210">
        <v>9.3518701338287533E-2</v>
      </c>
      <c r="CR210">
        <v>-1</v>
      </c>
      <c r="CS210">
        <v>27.983532499999999</v>
      </c>
      <c r="CT210">
        <v>7.0096435271883417E-2</v>
      </c>
      <c r="CU210">
        <v>6.7587494220456247E-3</v>
      </c>
      <c r="CV210">
        <v>-1</v>
      </c>
      <c r="CW210">
        <v>0</v>
      </c>
      <c r="CX210">
        <v>0</v>
      </c>
      <c r="CY210" t="s">
        <v>333</v>
      </c>
      <c r="CZ210">
        <v>2.3648600000000002</v>
      </c>
      <c r="DA210">
        <v>2.7136999999999998</v>
      </c>
      <c r="DB210">
        <v>8.01201E-2</v>
      </c>
      <c r="DC210">
        <v>0.14657100000000001</v>
      </c>
      <c r="DD210">
        <v>0.12783900000000001</v>
      </c>
      <c r="DE210">
        <v>1.25902E-3</v>
      </c>
      <c r="DF210">
        <v>33592.5</v>
      </c>
      <c r="DG210">
        <v>27487.200000000001</v>
      </c>
      <c r="DH210">
        <v>31173.5</v>
      </c>
      <c r="DI210">
        <v>28063.3</v>
      </c>
      <c r="DJ210">
        <v>36892.9</v>
      </c>
      <c r="DK210">
        <v>39844.400000000001</v>
      </c>
      <c r="DL210">
        <v>44358.5</v>
      </c>
      <c r="DM210">
        <v>42513.7</v>
      </c>
      <c r="DN210">
        <v>1.49325</v>
      </c>
      <c r="DO210">
        <v>2.0584799999999999</v>
      </c>
      <c r="DP210">
        <v>7.6688800000000001E-2</v>
      </c>
      <c r="DQ210">
        <v>0.17446999999999999</v>
      </c>
      <c r="DR210">
        <v>25.7485</v>
      </c>
      <c r="DS210">
        <v>25.3825</v>
      </c>
      <c r="DT210">
        <v>28.6</v>
      </c>
      <c r="DU210">
        <v>26.3</v>
      </c>
      <c r="DV210">
        <v>9.8869699999999998</v>
      </c>
      <c r="DW210">
        <v>61.901400000000002</v>
      </c>
      <c r="DX210">
        <v>37.616199999999999</v>
      </c>
      <c r="DY210">
        <v>1</v>
      </c>
      <c r="DZ210">
        <v>-0.141374</v>
      </c>
      <c r="EA210">
        <v>-0.62607000000000002</v>
      </c>
      <c r="EB210">
        <v>20.1889</v>
      </c>
      <c r="EC210">
        <v>5.2411000000000003</v>
      </c>
      <c r="ED210">
        <v>12.039899999999999</v>
      </c>
      <c r="EE210">
        <v>5.0171000000000001</v>
      </c>
      <c r="EF210">
        <v>3.2879299999999998</v>
      </c>
      <c r="EG210">
        <v>9999</v>
      </c>
      <c r="EH210">
        <v>9999</v>
      </c>
      <c r="EI210">
        <v>9999</v>
      </c>
      <c r="EJ210">
        <v>999.9</v>
      </c>
      <c r="EK210">
        <v>1.86877</v>
      </c>
      <c r="EL210">
        <v>1.8644700000000001</v>
      </c>
      <c r="EM210">
        <v>1.8690800000000001</v>
      </c>
      <c r="EN210">
        <v>1.8670899999999999</v>
      </c>
      <c r="EO210">
        <v>1.8632500000000001</v>
      </c>
      <c r="EP210">
        <v>1.86432</v>
      </c>
      <c r="EQ210">
        <v>1.87012</v>
      </c>
      <c r="ER210">
        <v>1.8693500000000001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-0.91600000000000004</v>
      </c>
      <c r="FG210">
        <v>0.19109999999999999</v>
      </c>
      <c r="FH210">
        <v>-0.68620417327404271</v>
      </c>
      <c r="FI210">
        <v>-6.1462078757559423E-4</v>
      </c>
      <c r="FJ210">
        <v>-1.8861989874597051E-7</v>
      </c>
      <c r="FK210">
        <v>1.1980462299894961E-10</v>
      </c>
      <c r="FL210">
        <v>0.1911242781723908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38.5</v>
      </c>
      <c r="FU210">
        <v>38.4</v>
      </c>
      <c r="FV210">
        <v>1.7639199999999999</v>
      </c>
      <c r="FW210">
        <v>2.5708000000000002</v>
      </c>
      <c r="FX210">
        <v>1.5490699999999999</v>
      </c>
      <c r="FY210">
        <v>2.34009</v>
      </c>
      <c r="FZ210">
        <v>1.50146</v>
      </c>
      <c r="GA210">
        <v>2.2973599999999998</v>
      </c>
      <c r="GB210">
        <v>31.3462</v>
      </c>
      <c r="GC210">
        <v>23.991199999999999</v>
      </c>
      <c r="GD210">
        <v>19</v>
      </c>
      <c r="GE210">
        <v>287.42500000000001</v>
      </c>
      <c r="GF210">
        <v>594.27</v>
      </c>
      <c r="GG210">
        <v>25.881399999999999</v>
      </c>
      <c r="GH210">
        <v>25.632300000000001</v>
      </c>
      <c r="GI210">
        <v>30</v>
      </c>
      <c r="GJ210">
        <v>25.738800000000001</v>
      </c>
      <c r="GK210">
        <v>25.706900000000001</v>
      </c>
      <c r="GL210">
        <v>35.269300000000001</v>
      </c>
      <c r="GM210">
        <v>100</v>
      </c>
      <c r="GN210">
        <v>0</v>
      </c>
      <c r="GO210">
        <v>25.8811</v>
      </c>
      <c r="GP210">
        <v>800</v>
      </c>
      <c r="GQ210">
        <v>0</v>
      </c>
      <c r="GR210">
        <v>99.736199999999997</v>
      </c>
      <c r="GS210">
        <v>99.473500000000001</v>
      </c>
    </row>
    <row r="211" spans="1:201" x14ac:dyDescent="0.25">
      <c r="A211">
        <v>195</v>
      </c>
      <c r="B211">
        <v>1690288580.5</v>
      </c>
      <c r="C211">
        <v>2041.900000095367</v>
      </c>
      <c r="D211" t="s">
        <v>723</v>
      </c>
      <c r="E211" t="s">
        <v>724</v>
      </c>
      <c r="F211" t="s">
        <v>330</v>
      </c>
      <c r="H211">
        <v>1690288580.5</v>
      </c>
      <c r="I211">
        <f t="shared" si="90"/>
        <v>2.9725141915406946E-3</v>
      </c>
      <c r="J211">
        <f t="shared" si="91"/>
        <v>2.9725141915406947</v>
      </c>
      <c r="K211">
        <f t="shared" si="92"/>
        <v>46.014918262523906</v>
      </c>
      <c r="L211">
        <f t="shared" si="93"/>
        <v>343.98500000000001</v>
      </c>
      <c r="M211">
        <f t="shared" si="94"/>
        <v>96.643445970153152</v>
      </c>
      <c r="N211">
        <f t="shared" si="95"/>
        <v>9.6108711018559081</v>
      </c>
      <c r="O211">
        <f t="shared" si="96"/>
        <v>34.208170691605005</v>
      </c>
      <c r="P211">
        <f t="shared" si="97"/>
        <v>0.32186512523567384</v>
      </c>
      <c r="Q211">
        <f t="shared" si="98"/>
        <v>2.3031719789490492</v>
      </c>
      <c r="R211">
        <f t="shared" si="99"/>
        <v>0.298802332604786</v>
      </c>
      <c r="S211">
        <f t="shared" si="100"/>
        <v>0.18868566424270805</v>
      </c>
      <c r="T211">
        <f t="shared" si="101"/>
        <v>276.11397338695912</v>
      </c>
      <c r="U211">
        <f t="shared" si="102"/>
        <v>27.826133029017956</v>
      </c>
      <c r="V211">
        <f t="shared" si="103"/>
        <v>27.826133029017956</v>
      </c>
      <c r="W211">
        <f t="shared" si="104"/>
        <v>3.7565454103903644</v>
      </c>
      <c r="X211">
        <f t="shared" si="105"/>
        <v>79.347331041442615</v>
      </c>
      <c r="Y211">
        <f t="shared" si="106"/>
        <v>2.7998520287298998</v>
      </c>
      <c r="Z211">
        <f t="shared" si="107"/>
        <v>3.5286026536513933</v>
      </c>
      <c r="AA211">
        <f t="shared" si="108"/>
        <v>0.95669338166046458</v>
      </c>
      <c r="AB211">
        <f t="shared" si="109"/>
        <v>-131.08787584694463</v>
      </c>
      <c r="AC211">
        <f t="shared" si="110"/>
        <v>-132.62859108262737</v>
      </c>
      <c r="AD211">
        <f t="shared" si="111"/>
        <v>-12.463928395549678</v>
      </c>
      <c r="AE211">
        <f t="shared" si="112"/>
        <v>-6.6421938162534389E-2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52680.950160419779</v>
      </c>
      <c r="AK211">
        <f t="shared" si="116"/>
        <v>1799.99</v>
      </c>
      <c r="AL211">
        <f t="shared" si="117"/>
        <v>1499.10238280716</v>
      </c>
      <c r="AM211">
        <f t="shared" si="118"/>
        <v>0.83283928399999996</v>
      </c>
      <c r="AN211">
        <f t="shared" si="119"/>
        <v>0.15339750409</v>
      </c>
      <c r="AO211">
        <v>29.1</v>
      </c>
      <c r="AP211">
        <v>0.5</v>
      </c>
      <c r="AQ211" t="s">
        <v>331</v>
      </c>
      <c r="AR211">
        <v>2</v>
      </c>
      <c r="AS211">
        <v>1690288580.5</v>
      </c>
      <c r="AT211">
        <v>343.98500000000001</v>
      </c>
      <c r="AU211">
        <v>799.98500000000001</v>
      </c>
      <c r="AV211">
        <v>28.154299999999999</v>
      </c>
      <c r="AW211">
        <v>0.14884600000000001</v>
      </c>
      <c r="AX211">
        <v>344.9</v>
      </c>
      <c r="AY211">
        <v>27.963200000000001</v>
      </c>
      <c r="AZ211">
        <v>300.173</v>
      </c>
      <c r="BA211">
        <v>99.346599999999995</v>
      </c>
      <c r="BB211">
        <v>0.100093</v>
      </c>
      <c r="BC211">
        <v>26.757999999999999</v>
      </c>
      <c r="BD211">
        <v>27.0289</v>
      </c>
      <c r="BE211">
        <v>28.260999999999999</v>
      </c>
      <c r="BF211">
        <v>0</v>
      </c>
      <c r="BG211">
        <v>0</v>
      </c>
      <c r="BH211">
        <v>10021.200000000001</v>
      </c>
      <c r="BI211">
        <v>1086.46</v>
      </c>
      <c r="BJ211">
        <v>1.3455900000000001</v>
      </c>
      <c r="BK211">
        <v>-456</v>
      </c>
      <c r="BL211">
        <v>353.95</v>
      </c>
      <c r="BM211">
        <v>800.10400000000004</v>
      </c>
      <c r="BN211">
        <v>28.005500000000001</v>
      </c>
      <c r="BO211">
        <v>799.98500000000001</v>
      </c>
      <c r="BP211">
        <v>0.14884600000000001</v>
      </c>
      <c r="BQ211">
        <v>2.7970299999999999</v>
      </c>
      <c r="BR211">
        <v>1.4787399999999999E-2</v>
      </c>
      <c r="BS211">
        <v>22.866599999999998</v>
      </c>
      <c r="BT211">
        <v>-42.292499999999997</v>
      </c>
      <c r="BU211">
        <v>1799.99</v>
      </c>
      <c r="BV211">
        <v>0.90999399999999997</v>
      </c>
      <c r="BW211">
        <v>3.4005199999999999E-2</v>
      </c>
      <c r="BX211">
        <v>2.2000700000000002E-2</v>
      </c>
      <c r="BY211">
        <v>3.4000099999999998E-2</v>
      </c>
      <c r="BZ211">
        <v>25</v>
      </c>
      <c r="CA211">
        <v>33528.199999999997</v>
      </c>
      <c r="CB211">
        <v>1690286268.5999999</v>
      </c>
      <c r="CC211" t="s">
        <v>332</v>
      </c>
      <c r="CD211">
        <v>1690286261.0999999</v>
      </c>
      <c r="CE211">
        <v>1690286268.5999999</v>
      </c>
      <c r="CF211">
        <v>1</v>
      </c>
      <c r="CG211">
        <v>-0.89900000000000002</v>
      </c>
      <c r="CH211">
        <v>3.4000000000000002E-2</v>
      </c>
      <c r="CI211">
        <v>-1.2370000000000001</v>
      </c>
      <c r="CJ211">
        <v>8.5999999999999993E-2</v>
      </c>
      <c r="CK211">
        <v>799</v>
      </c>
      <c r="CL211">
        <v>16</v>
      </c>
      <c r="CM211">
        <v>0.28999999999999998</v>
      </c>
      <c r="CN211">
        <v>0.09</v>
      </c>
      <c r="CO211">
        <v>-455.83434146341472</v>
      </c>
      <c r="CP211">
        <v>-1.2003763066194111</v>
      </c>
      <c r="CQ211">
        <v>0.13121730436079229</v>
      </c>
      <c r="CR211">
        <v>-1</v>
      </c>
      <c r="CS211">
        <v>27.993929268292678</v>
      </c>
      <c r="CT211">
        <v>5.4313588850227017E-2</v>
      </c>
      <c r="CU211">
        <v>5.42591990188542E-3</v>
      </c>
      <c r="CV211">
        <v>-1</v>
      </c>
      <c r="CW211">
        <v>0</v>
      </c>
      <c r="CX211">
        <v>0</v>
      </c>
      <c r="CY211" t="s">
        <v>333</v>
      </c>
      <c r="CZ211">
        <v>2.3652500000000001</v>
      </c>
      <c r="DA211">
        <v>2.7139000000000002</v>
      </c>
      <c r="DB211">
        <v>8.0090900000000007E-2</v>
      </c>
      <c r="DC211">
        <v>0.146561</v>
      </c>
      <c r="DD211">
        <v>0.12787299999999999</v>
      </c>
      <c r="DE211">
        <v>1.2596700000000001E-3</v>
      </c>
      <c r="DF211">
        <v>33592.9</v>
      </c>
      <c r="DG211">
        <v>27487</v>
      </c>
      <c r="DH211">
        <v>31172.9</v>
      </c>
      <c r="DI211">
        <v>28062.799999999999</v>
      </c>
      <c r="DJ211">
        <v>36890.800000000003</v>
      </c>
      <c r="DK211">
        <v>39843.9</v>
      </c>
      <c r="DL211">
        <v>44357.7</v>
      </c>
      <c r="DM211">
        <v>42513.2</v>
      </c>
      <c r="DN211">
        <v>1.49397</v>
      </c>
      <c r="DO211">
        <v>2.0580500000000002</v>
      </c>
      <c r="DP211">
        <v>7.7888399999999997E-2</v>
      </c>
      <c r="DQ211">
        <v>0.17563300000000001</v>
      </c>
      <c r="DR211">
        <v>25.753900000000002</v>
      </c>
      <c r="DS211">
        <v>25.387899999999998</v>
      </c>
      <c r="DT211">
        <v>28.5</v>
      </c>
      <c r="DU211">
        <v>26.3</v>
      </c>
      <c r="DV211">
        <v>9.8533200000000001</v>
      </c>
      <c r="DW211">
        <v>61.621400000000001</v>
      </c>
      <c r="DX211">
        <v>37.343800000000002</v>
      </c>
      <c r="DY211">
        <v>1</v>
      </c>
      <c r="DZ211">
        <v>-0.14122699999999999</v>
      </c>
      <c r="EA211">
        <v>-0.60927799999999999</v>
      </c>
      <c r="EB211">
        <v>20.1892</v>
      </c>
      <c r="EC211">
        <v>5.2418500000000003</v>
      </c>
      <c r="ED211">
        <v>12.039899999999999</v>
      </c>
      <c r="EE211">
        <v>5.0174000000000003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1.86876</v>
      </c>
      <c r="EL211">
        <v>1.8644700000000001</v>
      </c>
      <c r="EM211">
        <v>1.86907</v>
      </c>
      <c r="EN211">
        <v>1.8671</v>
      </c>
      <c r="EO211">
        <v>1.8632500000000001</v>
      </c>
      <c r="EP211">
        <v>1.86432</v>
      </c>
      <c r="EQ211">
        <v>1.87012</v>
      </c>
      <c r="ER211">
        <v>1.8693500000000001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-0.91500000000000004</v>
      </c>
      <c r="FG211">
        <v>0.19109999999999999</v>
      </c>
      <c r="FH211">
        <v>-0.68620417327404271</v>
      </c>
      <c r="FI211">
        <v>-6.1462078757559423E-4</v>
      </c>
      <c r="FJ211">
        <v>-1.8861989874597051E-7</v>
      </c>
      <c r="FK211">
        <v>1.1980462299894961E-10</v>
      </c>
      <c r="FL211">
        <v>0.1911242781723908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38.700000000000003</v>
      </c>
      <c r="FU211">
        <v>38.5</v>
      </c>
      <c r="FV211">
        <v>1.7639199999999999</v>
      </c>
      <c r="FW211">
        <v>2.5744600000000002</v>
      </c>
      <c r="FX211">
        <v>1.5490699999999999</v>
      </c>
      <c r="FY211">
        <v>2.34009</v>
      </c>
      <c r="FZ211">
        <v>1.50146</v>
      </c>
      <c r="GA211">
        <v>2.3071299999999999</v>
      </c>
      <c r="GB211">
        <v>31.367999999999999</v>
      </c>
      <c r="GC211">
        <v>23.991199999999999</v>
      </c>
      <c r="GD211">
        <v>19</v>
      </c>
      <c r="GE211">
        <v>287.73599999999999</v>
      </c>
      <c r="GF211">
        <v>593.91499999999996</v>
      </c>
      <c r="GG211">
        <v>25.8811</v>
      </c>
      <c r="GH211">
        <v>25.634399999999999</v>
      </c>
      <c r="GI211">
        <v>30.0002</v>
      </c>
      <c r="GJ211">
        <v>25.738800000000001</v>
      </c>
      <c r="GK211">
        <v>25.706900000000001</v>
      </c>
      <c r="GL211">
        <v>35.270099999999999</v>
      </c>
      <c r="GM211">
        <v>100</v>
      </c>
      <c r="GN211">
        <v>0</v>
      </c>
      <c r="GO211">
        <v>25.849599999999999</v>
      </c>
      <c r="GP211">
        <v>800</v>
      </c>
      <c r="GQ211">
        <v>0</v>
      </c>
      <c r="GR211">
        <v>99.734300000000005</v>
      </c>
      <c r="GS211">
        <v>99.471999999999994</v>
      </c>
    </row>
    <row r="212" spans="1:201" x14ac:dyDescent="0.25">
      <c r="A212">
        <v>196</v>
      </c>
      <c r="B212">
        <v>1690288590.5</v>
      </c>
      <c r="C212">
        <v>2051.900000095367</v>
      </c>
      <c r="D212" t="s">
        <v>725</v>
      </c>
      <c r="E212" t="s">
        <v>726</v>
      </c>
      <c r="F212" t="s">
        <v>330</v>
      </c>
      <c r="H212">
        <v>1690288590.5</v>
      </c>
      <c r="I212">
        <f t="shared" si="90"/>
        <v>2.9736859280909758E-3</v>
      </c>
      <c r="J212">
        <f t="shared" si="91"/>
        <v>2.9736859280909758</v>
      </c>
      <c r="K212">
        <f t="shared" si="92"/>
        <v>46.020464460288842</v>
      </c>
      <c r="L212">
        <f t="shared" si="93"/>
        <v>343.78899999999999</v>
      </c>
      <c r="M212">
        <f t="shared" si="94"/>
        <v>97.178371731010657</v>
      </c>
      <c r="N212">
        <f t="shared" si="95"/>
        <v>9.6642182679428554</v>
      </c>
      <c r="O212">
        <f t="shared" si="96"/>
        <v>34.189211806453599</v>
      </c>
      <c r="P212">
        <f t="shared" si="97"/>
        <v>0.32293910000117343</v>
      </c>
      <c r="Q212">
        <f t="shared" si="98"/>
        <v>2.3020373729858505</v>
      </c>
      <c r="R212">
        <f t="shared" si="99"/>
        <v>0.29971753150048597</v>
      </c>
      <c r="S212">
        <f t="shared" si="100"/>
        <v>0.18927048692892909</v>
      </c>
      <c r="T212">
        <f t="shared" si="101"/>
        <v>276.11406182046784</v>
      </c>
      <c r="U212">
        <f t="shared" si="102"/>
        <v>27.822437829258298</v>
      </c>
      <c r="V212">
        <f t="shared" si="103"/>
        <v>27.822437829258298</v>
      </c>
      <c r="W212">
        <f t="shared" si="104"/>
        <v>3.7557352139684057</v>
      </c>
      <c r="X212">
        <f t="shared" si="105"/>
        <v>79.413951540843655</v>
      </c>
      <c r="Y212">
        <f t="shared" si="106"/>
        <v>2.8015763262988798</v>
      </c>
      <c r="Z212">
        <f t="shared" si="107"/>
        <v>3.5278137807536147</v>
      </c>
      <c r="AA212">
        <f t="shared" si="108"/>
        <v>0.95415888766952595</v>
      </c>
      <c r="AB212">
        <f t="shared" si="109"/>
        <v>-131.13954942881205</v>
      </c>
      <c r="AC212">
        <f t="shared" si="110"/>
        <v>-132.57626107450875</v>
      </c>
      <c r="AD212">
        <f t="shared" si="111"/>
        <v>-12.464684623079066</v>
      </c>
      <c r="AE212">
        <f t="shared" si="112"/>
        <v>-6.6433305932008579E-2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52638.66978607748</v>
      </c>
      <c r="AK212">
        <f t="shared" si="116"/>
        <v>1799.99</v>
      </c>
      <c r="AL212">
        <f t="shared" si="117"/>
        <v>1499.10308120328</v>
      </c>
      <c r="AM212">
        <f t="shared" si="118"/>
        <v>0.83283967199999998</v>
      </c>
      <c r="AN212">
        <f t="shared" si="119"/>
        <v>0.15339755322000001</v>
      </c>
      <c r="AO212">
        <v>29.1</v>
      </c>
      <c r="AP212">
        <v>0.5</v>
      </c>
      <c r="AQ212" t="s">
        <v>331</v>
      </c>
      <c r="AR212">
        <v>2</v>
      </c>
      <c r="AS212">
        <v>1690288590.5</v>
      </c>
      <c r="AT212">
        <v>343.78899999999999</v>
      </c>
      <c r="AU212">
        <v>799.95500000000004</v>
      </c>
      <c r="AV212">
        <v>28.171199999999999</v>
      </c>
      <c r="AW212">
        <v>0.14819199999999999</v>
      </c>
      <c r="AX212">
        <v>344.70400000000001</v>
      </c>
      <c r="AY212">
        <v>27.9801</v>
      </c>
      <c r="AZ212">
        <v>300.09800000000001</v>
      </c>
      <c r="BA212">
        <v>99.348299999999995</v>
      </c>
      <c r="BB212">
        <v>9.9942400000000001E-2</v>
      </c>
      <c r="BC212">
        <v>26.754200000000001</v>
      </c>
      <c r="BD212">
        <v>27.023299999999999</v>
      </c>
      <c r="BE212">
        <v>28.270600000000002</v>
      </c>
      <c r="BF212">
        <v>0</v>
      </c>
      <c r="BG212">
        <v>0</v>
      </c>
      <c r="BH212">
        <v>10012.5</v>
      </c>
      <c r="BI212">
        <v>1086.55</v>
      </c>
      <c r="BJ212">
        <v>1.3455900000000001</v>
      </c>
      <c r="BK212">
        <v>-456.16699999999997</v>
      </c>
      <c r="BL212">
        <v>353.75400000000002</v>
      </c>
      <c r="BM212">
        <v>800.07399999999996</v>
      </c>
      <c r="BN212">
        <v>28.023</v>
      </c>
      <c r="BO212">
        <v>799.95500000000004</v>
      </c>
      <c r="BP212">
        <v>0.14819199999999999</v>
      </c>
      <c r="BQ212">
        <v>2.7987600000000001</v>
      </c>
      <c r="BR212">
        <v>1.4722600000000001E-2</v>
      </c>
      <c r="BS212">
        <v>22.876799999999999</v>
      </c>
      <c r="BT212">
        <v>-42.333599999999997</v>
      </c>
      <c r="BU212">
        <v>1799.99</v>
      </c>
      <c r="BV212">
        <v>0.909995</v>
      </c>
      <c r="BW212">
        <v>3.4005000000000001E-2</v>
      </c>
      <c r="BX212">
        <v>2.2000599999999999E-2</v>
      </c>
      <c r="BY212">
        <v>3.3999799999999997E-2</v>
      </c>
      <c r="BZ212">
        <v>25</v>
      </c>
      <c r="CA212">
        <v>33528.199999999997</v>
      </c>
      <c r="CB212">
        <v>1690286268.5999999</v>
      </c>
      <c r="CC212" t="s">
        <v>332</v>
      </c>
      <c r="CD212">
        <v>1690286261.0999999</v>
      </c>
      <c r="CE212">
        <v>1690286268.5999999</v>
      </c>
      <c r="CF212">
        <v>1</v>
      </c>
      <c r="CG212">
        <v>-0.89900000000000002</v>
      </c>
      <c r="CH212">
        <v>3.4000000000000002E-2</v>
      </c>
      <c r="CI212">
        <v>-1.2370000000000001</v>
      </c>
      <c r="CJ212">
        <v>8.5999999999999993E-2</v>
      </c>
      <c r="CK212">
        <v>799</v>
      </c>
      <c r="CL212">
        <v>16</v>
      </c>
      <c r="CM212">
        <v>0.28999999999999998</v>
      </c>
      <c r="CN212">
        <v>0.09</v>
      </c>
      <c r="CO212">
        <v>-456.02267499999999</v>
      </c>
      <c r="CP212">
        <v>-0.91534333958616221</v>
      </c>
      <c r="CQ212">
        <v>9.4666358200787462E-2</v>
      </c>
      <c r="CR212">
        <v>-1</v>
      </c>
      <c r="CS212">
        <v>28.0059875</v>
      </c>
      <c r="CT212">
        <v>9.3711444652880338E-2</v>
      </c>
      <c r="CU212">
        <v>9.2130936036705358E-3</v>
      </c>
      <c r="CV212">
        <v>-1</v>
      </c>
      <c r="CW212">
        <v>0</v>
      </c>
      <c r="CX212">
        <v>0</v>
      </c>
      <c r="CY212" t="s">
        <v>333</v>
      </c>
      <c r="CZ212">
        <v>2.36503</v>
      </c>
      <c r="DA212">
        <v>2.71374</v>
      </c>
      <c r="DB212">
        <v>8.0056100000000005E-2</v>
      </c>
      <c r="DC212">
        <v>0.14656</v>
      </c>
      <c r="DD212">
        <v>0.12792799999999999</v>
      </c>
      <c r="DE212">
        <v>1.2542E-3</v>
      </c>
      <c r="DF212">
        <v>33594</v>
      </c>
      <c r="DG212">
        <v>27487.5</v>
      </c>
      <c r="DH212">
        <v>31172.7</v>
      </c>
      <c r="DI212">
        <v>28063.200000000001</v>
      </c>
      <c r="DJ212">
        <v>36888.1</v>
      </c>
      <c r="DK212">
        <v>39844.800000000003</v>
      </c>
      <c r="DL212">
        <v>44357.4</v>
      </c>
      <c r="DM212">
        <v>42513.9</v>
      </c>
      <c r="DN212">
        <v>1.4934700000000001</v>
      </c>
      <c r="DO212">
        <v>2.0584799999999999</v>
      </c>
      <c r="DP212">
        <v>7.7277399999999996E-2</v>
      </c>
      <c r="DQ212">
        <v>0.176035</v>
      </c>
      <c r="DR212">
        <v>25.758299999999998</v>
      </c>
      <c r="DS212">
        <v>25.390899999999998</v>
      </c>
      <c r="DT212">
        <v>28.5</v>
      </c>
      <c r="DU212">
        <v>26.3</v>
      </c>
      <c r="DV212">
        <v>9.8531700000000004</v>
      </c>
      <c r="DW212">
        <v>61.7014</v>
      </c>
      <c r="DX212">
        <v>37.399799999999999</v>
      </c>
      <c r="DY212">
        <v>1</v>
      </c>
      <c r="DZ212">
        <v>-0.141319</v>
      </c>
      <c r="EA212">
        <v>-0.50218099999999999</v>
      </c>
      <c r="EB212">
        <v>20.189800000000002</v>
      </c>
      <c r="EC212">
        <v>5.2416999999999998</v>
      </c>
      <c r="ED212">
        <v>12.039899999999999</v>
      </c>
      <c r="EE212">
        <v>5.0174500000000002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1.86876</v>
      </c>
      <c r="EL212">
        <v>1.8644700000000001</v>
      </c>
      <c r="EM212">
        <v>1.86907</v>
      </c>
      <c r="EN212">
        <v>1.8671199999999999</v>
      </c>
      <c r="EO212">
        <v>1.8632500000000001</v>
      </c>
      <c r="EP212">
        <v>1.86432</v>
      </c>
      <c r="EQ212">
        <v>1.8701099999999999</v>
      </c>
      <c r="ER212">
        <v>1.8693299999999999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-0.91500000000000004</v>
      </c>
      <c r="FG212">
        <v>0.19109999999999999</v>
      </c>
      <c r="FH212">
        <v>-0.68620417327404271</v>
      </c>
      <c r="FI212">
        <v>-6.1462078757559423E-4</v>
      </c>
      <c r="FJ212">
        <v>-1.8861989874597051E-7</v>
      </c>
      <c r="FK212">
        <v>1.1980462299894961E-10</v>
      </c>
      <c r="FL212">
        <v>0.1911242781723908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38.799999999999997</v>
      </c>
      <c r="FU212">
        <v>38.700000000000003</v>
      </c>
      <c r="FV212">
        <v>1.7639199999999999</v>
      </c>
      <c r="FW212">
        <v>2.5756800000000002</v>
      </c>
      <c r="FX212">
        <v>1.5490699999999999</v>
      </c>
      <c r="FY212">
        <v>2.33887</v>
      </c>
      <c r="FZ212">
        <v>1.50146</v>
      </c>
      <c r="GA212">
        <v>2.3034699999999999</v>
      </c>
      <c r="GB212">
        <v>31.367999999999999</v>
      </c>
      <c r="GC212">
        <v>23.991199999999999</v>
      </c>
      <c r="GD212">
        <v>19</v>
      </c>
      <c r="GE212">
        <v>287.53100000000001</v>
      </c>
      <c r="GF212">
        <v>594.27800000000002</v>
      </c>
      <c r="GG212">
        <v>25.8338</v>
      </c>
      <c r="GH212">
        <v>25.634399999999999</v>
      </c>
      <c r="GI212">
        <v>30.0001</v>
      </c>
      <c r="GJ212">
        <v>25.7409</v>
      </c>
      <c r="GK212">
        <v>25.707599999999999</v>
      </c>
      <c r="GL212">
        <v>35.269399999999997</v>
      </c>
      <c r="GM212">
        <v>100</v>
      </c>
      <c r="GN212">
        <v>0</v>
      </c>
      <c r="GO212">
        <v>25.814499999999999</v>
      </c>
      <c r="GP212">
        <v>800</v>
      </c>
      <c r="GQ212">
        <v>0</v>
      </c>
      <c r="GR212">
        <v>99.733599999999996</v>
      </c>
      <c r="GS212">
        <v>99.473699999999994</v>
      </c>
    </row>
    <row r="213" spans="1:201" x14ac:dyDescent="0.25">
      <c r="A213">
        <v>197</v>
      </c>
      <c r="B213">
        <v>1690288600.5</v>
      </c>
      <c r="C213">
        <v>2061.900000095367</v>
      </c>
      <c r="D213" t="s">
        <v>727</v>
      </c>
      <c r="E213" t="s">
        <v>728</v>
      </c>
      <c r="F213" t="s">
        <v>330</v>
      </c>
      <c r="H213">
        <v>1690288600.5</v>
      </c>
      <c r="I213">
        <f t="shared" si="90"/>
        <v>2.9745732168551405E-3</v>
      </c>
      <c r="J213">
        <f t="shared" si="91"/>
        <v>2.9745732168551404</v>
      </c>
      <c r="K213">
        <f t="shared" si="92"/>
        <v>46.054056679849076</v>
      </c>
      <c r="L213">
        <f t="shared" si="93"/>
        <v>343.58300000000003</v>
      </c>
      <c r="M213">
        <f t="shared" si="94"/>
        <v>97.380578839708704</v>
      </c>
      <c r="N213">
        <f t="shared" si="95"/>
        <v>9.6843826827202104</v>
      </c>
      <c r="O213">
        <f t="shared" si="96"/>
        <v>34.16892048623</v>
      </c>
      <c r="P213">
        <f t="shared" si="97"/>
        <v>0.32378050827169447</v>
      </c>
      <c r="Q213">
        <f t="shared" si="98"/>
        <v>2.2997961100637254</v>
      </c>
      <c r="R213">
        <f t="shared" si="99"/>
        <v>0.30042147635134675</v>
      </c>
      <c r="S213">
        <f t="shared" si="100"/>
        <v>0.18972151323829164</v>
      </c>
      <c r="T213">
        <f t="shared" si="101"/>
        <v>276.11529141599999</v>
      </c>
      <c r="U213">
        <f t="shared" si="102"/>
        <v>27.815517215897216</v>
      </c>
      <c r="V213">
        <f t="shared" si="103"/>
        <v>27.815517215897216</v>
      </c>
      <c r="W213">
        <f t="shared" si="104"/>
        <v>3.7542182349393642</v>
      </c>
      <c r="X213">
        <f t="shared" si="105"/>
        <v>79.461489859898307</v>
      </c>
      <c r="Y213">
        <f t="shared" si="106"/>
        <v>2.8020000563929996</v>
      </c>
      <c r="Z213">
        <f t="shared" si="107"/>
        <v>3.5262364968657356</v>
      </c>
      <c r="AA213">
        <f t="shared" si="108"/>
        <v>0.95221817854636459</v>
      </c>
      <c r="AB213">
        <f t="shared" si="109"/>
        <v>-131.17867886331169</v>
      </c>
      <c r="AC213">
        <f t="shared" si="110"/>
        <v>-132.5314197097816</v>
      </c>
      <c r="AD213">
        <f t="shared" si="111"/>
        <v>-12.471707408797176</v>
      </c>
      <c r="AE213">
        <f t="shared" si="112"/>
        <v>-6.6514565890457789E-2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52555.156518495751</v>
      </c>
      <c r="AK213">
        <f t="shared" si="116"/>
        <v>1800</v>
      </c>
      <c r="AL213">
        <f t="shared" si="117"/>
        <v>1499.1104465999997</v>
      </c>
      <c r="AM213">
        <f t="shared" si="118"/>
        <v>0.8328391369999999</v>
      </c>
      <c r="AN213">
        <f t="shared" si="119"/>
        <v>0.15339738412000001</v>
      </c>
      <c r="AO213">
        <v>29.1</v>
      </c>
      <c r="AP213">
        <v>0.5</v>
      </c>
      <c r="AQ213" t="s">
        <v>331</v>
      </c>
      <c r="AR213">
        <v>2</v>
      </c>
      <c r="AS213">
        <v>1690288600.5</v>
      </c>
      <c r="AT213">
        <v>343.58300000000003</v>
      </c>
      <c r="AU213">
        <v>800.01700000000005</v>
      </c>
      <c r="AV213">
        <v>28.1753</v>
      </c>
      <c r="AW213">
        <v>0.14741099999999999</v>
      </c>
      <c r="AX213">
        <v>344.49900000000002</v>
      </c>
      <c r="AY213">
        <v>27.984200000000001</v>
      </c>
      <c r="AZ213">
        <v>300.13400000000001</v>
      </c>
      <c r="BA213">
        <v>99.348799999999997</v>
      </c>
      <c r="BB213">
        <v>0.10001</v>
      </c>
      <c r="BC213">
        <v>26.746600000000001</v>
      </c>
      <c r="BD213">
        <v>27.023199999999999</v>
      </c>
      <c r="BE213">
        <v>28.264399999999998</v>
      </c>
      <c r="BF213">
        <v>0</v>
      </c>
      <c r="BG213">
        <v>0</v>
      </c>
      <c r="BH213">
        <v>9995.6200000000008</v>
      </c>
      <c r="BI213">
        <v>1086.54</v>
      </c>
      <c r="BJ213">
        <v>1.3455900000000001</v>
      </c>
      <c r="BK213">
        <v>-456.43400000000003</v>
      </c>
      <c r="BL213">
        <v>353.54399999999998</v>
      </c>
      <c r="BM213">
        <v>800.13499999999999</v>
      </c>
      <c r="BN213">
        <v>28.027899999999999</v>
      </c>
      <c r="BO213">
        <v>800.01700000000005</v>
      </c>
      <c r="BP213">
        <v>0.14741099999999999</v>
      </c>
      <c r="BQ213">
        <v>2.7991899999999998</v>
      </c>
      <c r="BR213">
        <v>1.4645099999999999E-2</v>
      </c>
      <c r="BS213">
        <v>22.879300000000001</v>
      </c>
      <c r="BT213">
        <v>-42.382899999999999</v>
      </c>
      <c r="BU213">
        <v>1800</v>
      </c>
      <c r="BV213">
        <v>0.90999600000000003</v>
      </c>
      <c r="BW213">
        <v>3.4004300000000001E-2</v>
      </c>
      <c r="BX213">
        <v>2.2000100000000002E-2</v>
      </c>
      <c r="BY213">
        <v>3.39992E-2</v>
      </c>
      <c r="BZ213">
        <v>25</v>
      </c>
      <c r="CA213">
        <v>33528.300000000003</v>
      </c>
      <c r="CB213">
        <v>1690286268.5999999</v>
      </c>
      <c r="CC213" t="s">
        <v>332</v>
      </c>
      <c r="CD213">
        <v>1690286261.0999999</v>
      </c>
      <c r="CE213">
        <v>1690286268.5999999</v>
      </c>
      <c r="CF213">
        <v>1</v>
      </c>
      <c r="CG213">
        <v>-0.89900000000000002</v>
      </c>
      <c r="CH213">
        <v>3.4000000000000002E-2</v>
      </c>
      <c r="CI213">
        <v>-1.2370000000000001</v>
      </c>
      <c r="CJ213">
        <v>8.5999999999999993E-2</v>
      </c>
      <c r="CK213">
        <v>799</v>
      </c>
      <c r="CL213">
        <v>16</v>
      </c>
      <c r="CM213">
        <v>0.28999999999999998</v>
      </c>
      <c r="CN213">
        <v>0.09</v>
      </c>
      <c r="CO213">
        <v>-456.19343902439027</v>
      </c>
      <c r="CP213">
        <v>-1.0760487804888179</v>
      </c>
      <c r="CQ213">
        <v>0.1122999139457323</v>
      </c>
      <c r="CR213">
        <v>-1</v>
      </c>
      <c r="CS213">
        <v>28.019678048780481</v>
      </c>
      <c r="CT213">
        <v>6.6687804878102705E-2</v>
      </c>
      <c r="CU213">
        <v>6.9984497306025181E-3</v>
      </c>
      <c r="CV213">
        <v>-1</v>
      </c>
      <c r="CW213">
        <v>0</v>
      </c>
      <c r="CX213">
        <v>0</v>
      </c>
      <c r="CY213" t="s">
        <v>333</v>
      </c>
      <c r="CZ213">
        <v>2.3651399999999998</v>
      </c>
      <c r="DA213">
        <v>2.7138</v>
      </c>
      <c r="DB213">
        <v>8.0018900000000004E-2</v>
      </c>
      <c r="DC213">
        <v>0.146567</v>
      </c>
      <c r="DD213">
        <v>0.127942</v>
      </c>
      <c r="DE213">
        <v>1.24766E-3</v>
      </c>
      <c r="DF213">
        <v>33595.1</v>
      </c>
      <c r="DG213">
        <v>27487.3</v>
      </c>
      <c r="DH213">
        <v>31172.400000000001</v>
      </c>
      <c r="DI213">
        <v>28063.3</v>
      </c>
      <c r="DJ213">
        <v>36887.300000000003</v>
      </c>
      <c r="DK213">
        <v>39845</v>
      </c>
      <c r="DL213">
        <v>44357.1</v>
      </c>
      <c r="DM213">
        <v>42513.9</v>
      </c>
      <c r="DN213">
        <v>1.4939</v>
      </c>
      <c r="DO213">
        <v>2.0581499999999999</v>
      </c>
      <c r="DP213">
        <v>7.7053899999999995E-2</v>
      </c>
      <c r="DQ213">
        <v>0.17539399999999999</v>
      </c>
      <c r="DR213">
        <v>25.761800000000001</v>
      </c>
      <c r="DS213">
        <v>25.395199999999999</v>
      </c>
      <c r="DT213">
        <v>28.4</v>
      </c>
      <c r="DU213">
        <v>26.3</v>
      </c>
      <c r="DV213">
        <v>9.8190200000000001</v>
      </c>
      <c r="DW213">
        <v>61.931399999999996</v>
      </c>
      <c r="DX213">
        <v>37.303699999999999</v>
      </c>
      <c r="DY213">
        <v>1</v>
      </c>
      <c r="DZ213">
        <v>-0.14105400000000001</v>
      </c>
      <c r="EA213">
        <v>-0.48972500000000002</v>
      </c>
      <c r="EB213">
        <v>20.189699999999998</v>
      </c>
      <c r="EC213">
        <v>5.2416999999999998</v>
      </c>
      <c r="ED213">
        <v>12.039899999999999</v>
      </c>
      <c r="EE213">
        <v>5.0174500000000002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1.86876</v>
      </c>
      <c r="EL213">
        <v>1.8644700000000001</v>
      </c>
      <c r="EM213">
        <v>1.8690800000000001</v>
      </c>
      <c r="EN213">
        <v>1.8671199999999999</v>
      </c>
      <c r="EO213">
        <v>1.8632500000000001</v>
      </c>
      <c r="EP213">
        <v>1.86432</v>
      </c>
      <c r="EQ213">
        <v>1.87012</v>
      </c>
      <c r="ER213">
        <v>1.8693500000000001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-0.91600000000000004</v>
      </c>
      <c r="FG213">
        <v>0.19109999999999999</v>
      </c>
      <c r="FH213">
        <v>-0.68620417327404271</v>
      </c>
      <c r="FI213">
        <v>-6.1462078757559423E-4</v>
      </c>
      <c r="FJ213">
        <v>-1.8861989874597051E-7</v>
      </c>
      <c r="FK213">
        <v>1.1980462299894961E-10</v>
      </c>
      <c r="FL213">
        <v>0.1911242781723908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39</v>
      </c>
      <c r="FU213">
        <v>38.9</v>
      </c>
      <c r="FV213">
        <v>1.7639199999999999</v>
      </c>
      <c r="FW213">
        <v>2.5708000000000002</v>
      </c>
      <c r="FX213">
        <v>1.5490699999999999</v>
      </c>
      <c r="FY213">
        <v>2.33887</v>
      </c>
      <c r="FZ213">
        <v>1.50146</v>
      </c>
      <c r="GA213">
        <v>2.3339799999999999</v>
      </c>
      <c r="GB213">
        <v>31.367999999999999</v>
      </c>
      <c r="GC213">
        <v>23.982399999999998</v>
      </c>
      <c r="GD213">
        <v>19</v>
      </c>
      <c r="GE213">
        <v>287.714</v>
      </c>
      <c r="GF213">
        <v>594.024</v>
      </c>
      <c r="GG213">
        <v>25.795200000000001</v>
      </c>
      <c r="GH213">
        <v>25.6358</v>
      </c>
      <c r="GI213">
        <v>30.000299999999999</v>
      </c>
      <c r="GJ213">
        <v>25.7409</v>
      </c>
      <c r="GK213">
        <v>25.709099999999999</v>
      </c>
      <c r="GL213">
        <v>35.269199999999998</v>
      </c>
      <c r="GM213">
        <v>100</v>
      </c>
      <c r="GN213">
        <v>0</v>
      </c>
      <c r="GO213">
        <v>25.773299999999999</v>
      </c>
      <c r="GP213">
        <v>800</v>
      </c>
      <c r="GQ213">
        <v>0</v>
      </c>
      <c r="GR213">
        <v>99.732900000000001</v>
      </c>
      <c r="GS213">
        <v>99.473799999999997</v>
      </c>
    </row>
    <row r="214" spans="1:201" x14ac:dyDescent="0.25">
      <c r="A214">
        <v>198</v>
      </c>
      <c r="B214">
        <v>1690288610.5</v>
      </c>
      <c r="C214">
        <v>2071.900000095367</v>
      </c>
      <c r="D214" t="s">
        <v>729</v>
      </c>
      <c r="E214" t="s">
        <v>730</v>
      </c>
      <c r="F214" t="s">
        <v>330</v>
      </c>
      <c r="H214">
        <v>1690288610.5</v>
      </c>
      <c r="I214">
        <f t="shared" si="90"/>
        <v>2.9745969769273926E-3</v>
      </c>
      <c r="J214">
        <f t="shared" si="91"/>
        <v>2.9745969769273928</v>
      </c>
      <c r="K214">
        <f t="shared" si="92"/>
        <v>46.056469557324533</v>
      </c>
      <c r="L214">
        <f t="shared" si="93"/>
        <v>343.51299999999998</v>
      </c>
      <c r="M214">
        <f t="shared" si="94"/>
        <v>97.540534564629255</v>
      </c>
      <c r="N214">
        <f t="shared" si="95"/>
        <v>9.7002912597026612</v>
      </c>
      <c r="O214">
        <f t="shared" si="96"/>
        <v>34.161963191685992</v>
      </c>
      <c r="P214">
        <f t="shared" si="97"/>
        <v>0.32416672523466278</v>
      </c>
      <c r="Q214">
        <f t="shared" si="98"/>
        <v>2.2950424044488598</v>
      </c>
      <c r="R214">
        <f t="shared" si="99"/>
        <v>0.30070935863067161</v>
      </c>
      <c r="S214">
        <f t="shared" si="100"/>
        <v>0.18990925561498578</v>
      </c>
      <c r="T214">
        <f t="shared" si="101"/>
        <v>276.11522447399994</v>
      </c>
      <c r="U214">
        <f t="shared" si="102"/>
        <v>27.81253775573072</v>
      </c>
      <c r="V214">
        <f t="shared" si="103"/>
        <v>27.81253775573072</v>
      </c>
      <c r="W214">
        <f t="shared" si="104"/>
        <v>3.7535653102775854</v>
      </c>
      <c r="X214">
        <f t="shared" si="105"/>
        <v>79.491935081646076</v>
      </c>
      <c r="Y214">
        <f t="shared" si="106"/>
        <v>2.8022490165516003</v>
      </c>
      <c r="Z214">
        <f t="shared" si="107"/>
        <v>3.5251991458924903</v>
      </c>
      <c r="AA214">
        <f t="shared" si="108"/>
        <v>0.95131629372598514</v>
      </c>
      <c r="AB214">
        <f t="shared" si="109"/>
        <v>-131.17972668249803</v>
      </c>
      <c r="AC214">
        <f t="shared" si="110"/>
        <v>-132.50747775862462</v>
      </c>
      <c r="AD214">
        <f t="shared" si="111"/>
        <v>-12.494784372218259</v>
      </c>
      <c r="AE214">
        <f t="shared" si="112"/>
        <v>-6.6764339340949164E-2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52376.288273193961</v>
      </c>
      <c r="AK214">
        <f t="shared" si="116"/>
        <v>1800</v>
      </c>
      <c r="AL214">
        <f t="shared" si="117"/>
        <v>1499.1104664</v>
      </c>
      <c r="AM214">
        <f t="shared" si="118"/>
        <v>0.83283914799999992</v>
      </c>
      <c r="AN214">
        <f t="shared" si="119"/>
        <v>0.15339734692999998</v>
      </c>
      <c r="AO214">
        <v>29.1</v>
      </c>
      <c r="AP214">
        <v>0.5</v>
      </c>
      <c r="AQ214" t="s">
        <v>331</v>
      </c>
      <c r="AR214">
        <v>2</v>
      </c>
      <c r="AS214">
        <v>1690288610.5</v>
      </c>
      <c r="AT214">
        <v>343.51299999999998</v>
      </c>
      <c r="AU214">
        <v>800.00800000000004</v>
      </c>
      <c r="AV214">
        <v>28.177800000000001</v>
      </c>
      <c r="AW214">
        <v>0.14733099999999999</v>
      </c>
      <c r="AX214">
        <v>344.42899999999997</v>
      </c>
      <c r="AY214">
        <v>27.986699999999999</v>
      </c>
      <c r="AZ214">
        <v>300.108</v>
      </c>
      <c r="BA214">
        <v>99.348799999999997</v>
      </c>
      <c r="BB214">
        <v>0.100022</v>
      </c>
      <c r="BC214">
        <v>26.741599999999998</v>
      </c>
      <c r="BD214">
        <v>26.992999999999999</v>
      </c>
      <c r="BE214">
        <v>28.246300000000002</v>
      </c>
      <c r="BF214">
        <v>0</v>
      </c>
      <c r="BG214">
        <v>0</v>
      </c>
      <c r="BH214">
        <v>9960</v>
      </c>
      <c r="BI214">
        <v>1086.51</v>
      </c>
      <c r="BJ214">
        <v>1.3455900000000001</v>
      </c>
      <c r="BK214">
        <v>-456.49400000000003</v>
      </c>
      <c r="BL214">
        <v>353.47300000000001</v>
      </c>
      <c r="BM214">
        <v>800.12599999999998</v>
      </c>
      <c r="BN214">
        <v>28.0305</v>
      </c>
      <c r="BO214">
        <v>800.00800000000004</v>
      </c>
      <c r="BP214">
        <v>0.14733099999999999</v>
      </c>
      <c r="BQ214">
        <v>2.7994300000000001</v>
      </c>
      <c r="BR214">
        <v>1.46372E-2</v>
      </c>
      <c r="BS214">
        <v>22.880700000000001</v>
      </c>
      <c r="BT214">
        <v>-42.387999999999998</v>
      </c>
      <c r="BU214">
        <v>1800</v>
      </c>
      <c r="BV214">
        <v>0.90999699999999994</v>
      </c>
      <c r="BW214">
        <v>3.4003899999999997E-2</v>
      </c>
      <c r="BX214">
        <v>2.1999899999999999E-2</v>
      </c>
      <c r="BY214">
        <v>3.39987E-2</v>
      </c>
      <c r="BZ214">
        <v>25</v>
      </c>
      <c r="CA214">
        <v>33528.400000000001</v>
      </c>
      <c r="CB214">
        <v>1690286268.5999999</v>
      </c>
      <c r="CC214" t="s">
        <v>332</v>
      </c>
      <c r="CD214">
        <v>1690286261.0999999</v>
      </c>
      <c r="CE214">
        <v>1690286268.5999999</v>
      </c>
      <c r="CF214">
        <v>1</v>
      </c>
      <c r="CG214">
        <v>-0.89900000000000002</v>
      </c>
      <c r="CH214">
        <v>3.4000000000000002E-2</v>
      </c>
      <c r="CI214">
        <v>-1.2370000000000001</v>
      </c>
      <c r="CJ214">
        <v>8.5999999999999993E-2</v>
      </c>
      <c r="CK214">
        <v>799</v>
      </c>
      <c r="CL214">
        <v>16</v>
      </c>
      <c r="CM214">
        <v>0.28999999999999998</v>
      </c>
      <c r="CN214">
        <v>0.09</v>
      </c>
      <c r="CO214">
        <v>-456.35575609756103</v>
      </c>
      <c r="CP214">
        <v>-0.89519163763228371</v>
      </c>
      <c r="CQ214">
        <v>9.5289233770537593E-2</v>
      </c>
      <c r="CR214">
        <v>-1</v>
      </c>
      <c r="CS214">
        <v>28.027602439024388</v>
      </c>
      <c r="CT214">
        <v>2.848013937274228E-2</v>
      </c>
      <c r="CU214">
        <v>2.892419681189827E-3</v>
      </c>
      <c r="CV214">
        <v>-1</v>
      </c>
      <c r="CW214">
        <v>0</v>
      </c>
      <c r="CX214">
        <v>0</v>
      </c>
      <c r="CY214" t="s">
        <v>333</v>
      </c>
      <c r="CZ214">
        <v>2.3650699999999998</v>
      </c>
      <c r="DA214">
        <v>2.7137799999999999</v>
      </c>
      <c r="DB214">
        <v>8.0005900000000005E-2</v>
      </c>
      <c r="DC214">
        <v>0.146566</v>
      </c>
      <c r="DD214">
        <v>0.12794900000000001</v>
      </c>
      <c r="DE214">
        <v>1.24698E-3</v>
      </c>
      <c r="DF214">
        <v>33595.300000000003</v>
      </c>
      <c r="DG214">
        <v>27487.200000000001</v>
      </c>
      <c r="DH214">
        <v>31172.3</v>
      </c>
      <c r="DI214">
        <v>28063.1</v>
      </c>
      <c r="DJ214">
        <v>36886.699999999997</v>
      </c>
      <c r="DK214">
        <v>39844.9</v>
      </c>
      <c r="DL214">
        <v>44356.7</v>
      </c>
      <c r="DM214">
        <v>42513.8</v>
      </c>
      <c r="DN214">
        <v>1.4937</v>
      </c>
      <c r="DO214">
        <v>2.0581999999999998</v>
      </c>
      <c r="DP214">
        <v>7.5072100000000003E-2</v>
      </c>
      <c r="DQ214">
        <v>0.17415700000000001</v>
      </c>
      <c r="DR214">
        <v>25.763999999999999</v>
      </c>
      <c r="DS214">
        <v>25.397300000000001</v>
      </c>
      <c r="DT214">
        <v>28.4</v>
      </c>
      <c r="DU214">
        <v>26.3</v>
      </c>
      <c r="DV214">
        <v>9.8185500000000001</v>
      </c>
      <c r="DW214">
        <v>61.921399999999998</v>
      </c>
      <c r="DX214">
        <v>37.283700000000003</v>
      </c>
      <c r="DY214">
        <v>1</v>
      </c>
      <c r="DZ214">
        <v>-0.14104700000000001</v>
      </c>
      <c r="EA214">
        <v>-0.51911799999999997</v>
      </c>
      <c r="EB214">
        <v>20.189699999999998</v>
      </c>
      <c r="EC214">
        <v>5.2421499999999996</v>
      </c>
      <c r="ED214">
        <v>12.039899999999999</v>
      </c>
      <c r="EE214">
        <v>5.0175000000000001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1.8687499999999999</v>
      </c>
      <c r="EL214">
        <v>1.8644700000000001</v>
      </c>
      <c r="EM214">
        <v>1.86907</v>
      </c>
      <c r="EN214">
        <v>1.86713</v>
      </c>
      <c r="EO214">
        <v>1.8632599999999999</v>
      </c>
      <c r="EP214">
        <v>1.86432</v>
      </c>
      <c r="EQ214">
        <v>1.8701099999999999</v>
      </c>
      <c r="ER214">
        <v>1.8693299999999999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-0.91600000000000004</v>
      </c>
      <c r="FG214">
        <v>0.19109999999999999</v>
      </c>
      <c r="FH214">
        <v>-0.68620417327404271</v>
      </c>
      <c r="FI214">
        <v>-6.1462078757559423E-4</v>
      </c>
      <c r="FJ214">
        <v>-1.8861989874597051E-7</v>
      </c>
      <c r="FK214">
        <v>1.1980462299894961E-10</v>
      </c>
      <c r="FL214">
        <v>0.1911242781723908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39.200000000000003</v>
      </c>
      <c r="FU214">
        <v>39</v>
      </c>
      <c r="FV214">
        <v>1.7639199999999999</v>
      </c>
      <c r="FW214">
        <v>2.5708000000000002</v>
      </c>
      <c r="FX214">
        <v>1.5490699999999999</v>
      </c>
      <c r="FY214">
        <v>2.34009</v>
      </c>
      <c r="FZ214">
        <v>1.50146</v>
      </c>
      <c r="GA214">
        <v>2.2985799999999998</v>
      </c>
      <c r="GB214">
        <v>31.367999999999999</v>
      </c>
      <c r="GC214">
        <v>23.991199999999999</v>
      </c>
      <c r="GD214">
        <v>19</v>
      </c>
      <c r="GE214">
        <v>287.62799999999999</v>
      </c>
      <c r="GF214">
        <v>594.06500000000005</v>
      </c>
      <c r="GG214">
        <v>25.7544</v>
      </c>
      <c r="GH214">
        <v>25.636600000000001</v>
      </c>
      <c r="GI214">
        <v>30.0002</v>
      </c>
      <c r="GJ214">
        <v>25.7409</v>
      </c>
      <c r="GK214">
        <v>25.709099999999999</v>
      </c>
      <c r="GL214">
        <v>35.271799999999999</v>
      </c>
      <c r="GM214">
        <v>100</v>
      </c>
      <c r="GN214">
        <v>0</v>
      </c>
      <c r="GO214">
        <v>25.8185</v>
      </c>
      <c r="GP214">
        <v>800</v>
      </c>
      <c r="GQ214">
        <v>0</v>
      </c>
      <c r="GR214">
        <v>99.732200000000006</v>
      </c>
      <c r="GS214">
        <v>99.473299999999995</v>
      </c>
    </row>
    <row r="215" spans="1:201" x14ac:dyDescent="0.25">
      <c r="A215">
        <v>199</v>
      </c>
      <c r="B215">
        <v>1690288620.5</v>
      </c>
      <c r="C215">
        <v>2081.900000095367</v>
      </c>
      <c r="D215" t="s">
        <v>731</v>
      </c>
      <c r="E215" t="s">
        <v>732</v>
      </c>
      <c r="F215" t="s">
        <v>330</v>
      </c>
      <c r="H215">
        <v>1690288620.5</v>
      </c>
      <c r="I215">
        <f t="shared" si="90"/>
        <v>2.9752102212459758E-3</v>
      </c>
      <c r="J215">
        <f t="shared" si="91"/>
        <v>2.9752102212459759</v>
      </c>
      <c r="K215">
        <f t="shared" si="92"/>
        <v>46.090383288702093</v>
      </c>
      <c r="L215">
        <f t="shared" si="93"/>
        <v>343.255</v>
      </c>
      <c r="M215">
        <f t="shared" si="94"/>
        <v>97.474659405255878</v>
      </c>
      <c r="N215">
        <f t="shared" si="95"/>
        <v>9.6936364371409702</v>
      </c>
      <c r="O215">
        <f t="shared" si="96"/>
        <v>34.135940515545002</v>
      </c>
      <c r="P215">
        <f t="shared" si="97"/>
        <v>0.32457657656234401</v>
      </c>
      <c r="Q215">
        <f t="shared" si="98"/>
        <v>2.3066806164375593</v>
      </c>
      <c r="R215">
        <f t="shared" si="99"/>
        <v>0.30117163477726033</v>
      </c>
      <c r="S215">
        <f t="shared" si="100"/>
        <v>0.19019428026391186</v>
      </c>
      <c r="T215">
        <f t="shared" si="101"/>
        <v>276.11380404389985</v>
      </c>
      <c r="U215">
        <f t="shared" si="102"/>
        <v>27.807286333826106</v>
      </c>
      <c r="V215">
        <f t="shared" si="103"/>
        <v>27.807286333826106</v>
      </c>
      <c r="W215">
        <f t="shared" si="104"/>
        <v>3.7524147447427922</v>
      </c>
      <c r="X215">
        <f t="shared" si="105"/>
        <v>79.495784778552718</v>
      </c>
      <c r="Y215">
        <f t="shared" si="106"/>
        <v>2.8023682351887</v>
      </c>
      <c r="Z215">
        <f t="shared" si="107"/>
        <v>3.5251784015908667</v>
      </c>
      <c r="AA215">
        <f t="shared" si="108"/>
        <v>0.9500465095540922</v>
      </c>
      <c r="AB215">
        <f t="shared" si="109"/>
        <v>-131.20677075694752</v>
      </c>
      <c r="AC215">
        <f t="shared" si="110"/>
        <v>-132.53880686141946</v>
      </c>
      <c r="AD215">
        <f t="shared" si="111"/>
        <v>-12.434349209154824</v>
      </c>
      <c r="AE215">
        <f t="shared" si="112"/>
        <v>-6.6122783621977987E-2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52816.927702140179</v>
      </c>
      <c r="AK215">
        <f t="shared" si="116"/>
        <v>1799.99</v>
      </c>
      <c r="AL215">
        <f t="shared" si="117"/>
        <v>1499.1036464001397</v>
      </c>
      <c r="AM215">
        <f t="shared" si="118"/>
        <v>0.83283998599999987</v>
      </c>
      <c r="AN215">
        <f t="shared" si="119"/>
        <v>0.15339741000999998</v>
      </c>
      <c r="AO215">
        <v>29.1</v>
      </c>
      <c r="AP215">
        <v>0.5</v>
      </c>
      <c r="AQ215" t="s">
        <v>331</v>
      </c>
      <c r="AR215">
        <v>2</v>
      </c>
      <c r="AS215">
        <v>1690288620.5</v>
      </c>
      <c r="AT215">
        <v>343.255</v>
      </c>
      <c r="AU215">
        <v>800.00800000000004</v>
      </c>
      <c r="AV215">
        <v>28.179300000000001</v>
      </c>
      <c r="AW215">
        <v>0.14711199999999999</v>
      </c>
      <c r="AX215">
        <v>344.17</v>
      </c>
      <c r="AY215">
        <v>27.988199999999999</v>
      </c>
      <c r="AZ215">
        <v>300.15100000000001</v>
      </c>
      <c r="BA215">
        <v>99.347700000000003</v>
      </c>
      <c r="BB215">
        <v>0.100059</v>
      </c>
      <c r="BC215">
        <v>26.741499999999998</v>
      </c>
      <c r="BD215">
        <v>26.998699999999999</v>
      </c>
      <c r="BE215">
        <v>28.228999999999999</v>
      </c>
      <c r="BF215">
        <v>0</v>
      </c>
      <c r="BG215">
        <v>0</v>
      </c>
      <c r="BH215">
        <v>10047.5</v>
      </c>
      <c r="BI215">
        <v>1086.55</v>
      </c>
      <c r="BJ215">
        <v>1.3455900000000001</v>
      </c>
      <c r="BK215">
        <v>-456.75299999999999</v>
      </c>
      <c r="BL215">
        <v>353.20800000000003</v>
      </c>
      <c r="BM215">
        <v>800.12599999999998</v>
      </c>
      <c r="BN215">
        <v>28.0322</v>
      </c>
      <c r="BO215">
        <v>800.00800000000004</v>
      </c>
      <c r="BP215">
        <v>0.14711199999999999</v>
      </c>
      <c r="BQ215">
        <v>2.79955</v>
      </c>
      <c r="BR215">
        <v>1.46152E-2</v>
      </c>
      <c r="BS215">
        <v>22.881399999999999</v>
      </c>
      <c r="BT215">
        <v>-42.402000000000001</v>
      </c>
      <c r="BU215">
        <v>1799.99</v>
      </c>
      <c r="BV215">
        <v>0.91</v>
      </c>
      <c r="BW215">
        <v>3.4003100000000001E-2</v>
      </c>
      <c r="BX215">
        <v>2.1999299999999999E-2</v>
      </c>
      <c r="BY215">
        <v>3.3997899999999998E-2</v>
      </c>
      <c r="BZ215">
        <v>25</v>
      </c>
      <c r="CA215">
        <v>33528.199999999997</v>
      </c>
      <c r="CB215">
        <v>1690286268.5999999</v>
      </c>
      <c r="CC215" t="s">
        <v>332</v>
      </c>
      <c r="CD215">
        <v>1690286261.0999999</v>
      </c>
      <c r="CE215">
        <v>1690286268.5999999</v>
      </c>
      <c r="CF215">
        <v>1</v>
      </c>
      <c r="CG215">
        <v>-0.89900000000000002</v>
      </c>
      <c r="CH215">
        <v>3.4000000000000002E-2</v>
      </c>
      <c r="CI215">
        <v>-1.2370000000000001</v>
      </c>
      <c r="CJ215">
        <v>8.5999999999999993E-2</v>
      </c>
      <c r="CK215">
        <v>799</v>
      </c>
      <c r="CL215">
        <v>16</v>
      </c>
      <c r="CM215">
        <v>0.28999999999999998</v>
      </c>
      <c r="CN215">
        <v>0.09</v>
      </c>
      <c r="CO215">
        <v>-456.51968292682932</v>
      </c>
      <c r="CP215">
        <v>-1.0196236933793501</v>
      </c>
      <c r="CQ215">
        <v>0.1064957205196299</v>
      </c>
      <c r="CR215">
        <v>-1</v>
      </c>
      <c r="CS215">
        <v>28.029770731707309</v>
      </c>
      <c r="CT215">
        <v>-1.262717769966698E-3</v>
      </c>
      <c r="CU215">
        <v>1.0743674037600891E-3</v>
      </c>
      <c r="CV215">
        <v>-1</v>
      </c>
      <c r="CW215">
        <v>0</v>
      </c>
      <c r="CX215">
        <v>0</v>
      </c>
      <c r="CY215" t="s">
        <v>333</v>
      </c>
      <c r="CZ215">
        <v>2.3652000000000002</v>
      </c>
      <c r="DA215">
        <v>2.7138900000000001</v>
      </c>
      <c r="DB215">
        <v>7.9957200000000006E-2</v>
      </c>
      <c r="DC215">
        <v>0.146564</v>
      </c>
      <c r="DD215">
        <v>0.12795200000000001</v>
      </c>
      <c r="DE215">
        <v>1.24512E-3</v>
      </c>
      <c r="DF215">
        <v>33597.300000000003</v>
      </c>
      <c r="DG215">
        <v>27487.4</v>
      </c>
      <c r="DH215">
        <v>31172.400000000001</v>
      </c>
      <c r="DI215">
        <v>28063.3</v>
      </c>
      <c r="DJ215">
        <v>36886.9</v>
      </c>
      <c r="DK215">
        <v>39845.4</v>
      </c>
      <c r="DL215">
        <v>44357.2</v>
      </c>
      <c r="DM215">
        <v>42514.2</v>
      </c>
      <c r="DN215">
        <v>1.49397</v>
      </c>
      <c r="DO215">
        <v>2.0579200000000002</v>
      </c>
      <c r="DP215">
        <v>7.5422199999999995E-2</v>
      </c>
      <c r="DQ215">
        <v>0.17297999999999999</v>
      </c>
      <c r="DR215">
        <v>25.763999999999999</v>
      </c>
      <c r="DS215">
        <v>25.3992</v>
      </c>
      <c r="DT215">
        <v>28.3</v>
      </c>
      <c r="DU215">
        <v>26.3</v>
      </c>
      <c r="DV215">
        <v>9.7832899999999992</v>
      </c>
      <c r="DW215">
        <v>61.611400000000003</v>
      </c>
      <c r="DX215">
        <v>37.103400000000001</v>
      </c>
      <c r="DY215">
        <v>1</v>
      </c>
      <c r="DZ215">
        <v>-0.141126</v>
      </c>
      <c r="EA215">
        <v>-0.59726000000000001</v>
      </c>
      <c r="EB215">
        <v>20.1892</v>
      </c>
      <c r="EC215">
        <v>5.2415500000000002</v>
      </c>
      <c r="ED215">
        <v>12.039899999999999</v>
      </c>
      <c r="EE215">
        <v>5.0173500000000004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1.86876</v>
      </c>
      <c r="EL215">
        <v>1.8644700000000001</v>
      </c>
      <c r="EM215">
        <v>1.8690800000000001</v>
      </c>
      <c r="EN215">
        <v>1.86713</v>
      </c>
      <c r="EO215">
        <v>1.8632500000000001</v>
      </c>
      <c r="EP215">
        <v>1.86432</v>
      </c>
      <c r="EQ215">
        <v>1.8701099999999999</v>
      </c>
      <c r="ER215">
        <v>1.86934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-0.91500000000000004</v>
      </c>
      <c r="FG215">
        <v>0.19109999999999999</v>
      </c>
      <c r="FH215">
        <v>-0.68620417327404271</v>
      </c>
      <c r="FI215">
        <v>-6.1462078757559423E-4</v>
      </c>
      <c r="FJ215">
        <v>-1.8861989874597051E-7</v>
      </c>
      <c r="FK215">
        <v>1.1980462299894961E-10</v>
      </c>
      <c r="FL215">
        <v>0.1911242781723908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39.299999999999997</v>
      </c>
      <c r="FU215">
        <v>39.200000000000003</v>
      </c>
      <c r="FV215">
        <v>1.7639199999999999</v>
      </c>
      <c r="FW215">
        <v>2.5720200000000002</v>
      </c>
      <c r="FX215">
        <v>1.5490699999999999</v>
      </c>
      <c r="FY215">
        <v>2.34009</v>
      </c>
      <c r="FZ215">
        <v>1.50146</v>
      </c>
      <c r="GA215">
        <v>2.2851599999999999</v>
      </c>
      <c r="GB215">
        <v>31.389800000000001</v>
      </c>
      <c r="GC215">
        <v>23.982399999999998</v>
      </c>
      <c r="GD215">
        <v>19</v>
      </c>
      <c r="GE215">
        <v>287.75599999999997</v>
      </c>
      <c r="GF215">
        <v>593.86</v>
      </c>
      <c r="GG215">
        <v>25.808399999999999</v>
      </c>
      <c r="GH215">
        <v>25.636600000000001</v>
      </c>
      <c r="GI215">
        <v>30</v>
      </c>
      <c r="GJ215">
        <v>25.743099999999998</v>
      </c>
      <c r="GK215">
        <v>25.711200000000002</v>
      </c>
      <c r="GL215">
        <v>35.270000000000003</v>
      </c>
      <c r="GM215">
        <v>100</v>
      </c>
      <c r="GN215">
        <v>0</v>
      </c>
      <c r="GO215">
        <v>25.791</v>
      </c>
      <c r="GP215">
        <v>800</v>
      </c>
      <c r="GQ215">
        <v>0</v>
      </c>
      <c r="GR215">
        <v>99.733000000000004</v>
      </c>
      <c r="GS215">
        <v>99.474100000000007</v>
      </c>
    </row>
    <row r="216" spans="1:201" x14ac:dyDescent="0.25">
      <c r="A216">
        <v>200</v>
      </c>
      <c r="B216">
        <v>1690288630.5</v>
      </c>
      <c r="C216">
        <v>2091.900000095367</v>
      </c>
      <c r="D216" t="s">
        <v>733</v>
      </c>
      <c r="E216" t="s">
        <v>734</v>
      </c>
      <c r="F216" t="s">
        <v>330</v>
      </c>
      <c r="H216">
        <v>1690288630.5</v>
      </c>
      <c r="I216">
        <f t="shared" si="90"/>
        <v>2.9749848710223545E-3</v>
      </c>
      <c r="J216">
        <f t="shared" si="91"/>
        <v>2.9749848710223543</v>
      </c>
      <c r="K216">
        <f t="shared" si="92"/>
        <v>46.078884313250015</v>
      </c>
      <c r="L216">
        <f t="shared" si="93"/>
        <v>343.12200000000001</v>
      </c>
      <c r="M216">
        <f t="shared" si="94"/>
        <v>97.680810846010985</v>
      </c>
      <c r="N216">
        <f t="shared" si="95"/>
        <v>9.7141339459232263</v>
      </c>
      <c r="O216">
        <f t="shared" si="96"/>
        <v>34.122700650464402</v>
      </c>
      <c r="P216">
        <f t="shared" si="97"/>
        <v>0.32501667918402138</v>
      </c>
      <c r="Q216">
        <f t="shared" si="98"/>
        <v>2.3016979271404825</v>
      </c>
      <c r="R216">
        <f t="shared" si="99"/>
        <v>0.30150382188266323</v>
      </c>
      <c r="S216">
        <f t="shared" si="100"/>
        <v>0.19041048212414913</v>
      </c>
      <c r="T216">
        <f t="shared" si="101"/>
        <v>276.11533801799999</v>
      </c>
      <c r="U216">
        <f t="shared" si="102"/>
        <v>27.807682407845444</v>
      </c>
      <c r="V216">
        <f t="shared" si="103"/>
        <v>27.807682407845444</v>
      </c>
      <c r="W216">
        <f t="shared" si="104"/>
        <v>3.752501512245491</v>
      </c>
      <c r="X216">
        <f t="shared" si="105"/>
        <v>79.538595360971414</v>
      </c>
      <c r="Y216">
        <f t="shared" si="106"/>
        <v>2.8035804040183003</v>
      </c>
      <c r="Z216">
        <f t="shared" si="107"/>
        <v>3.5248050223853737</v>
      </c>
      <c r="AA216">
        <f t="shared" si="108"/>
        <v>0.94892110822719067</v>
      </c>
      <c r="AB216">
        <f t="shared" si="109"/>
        <v>-131.19683281208583</v>
      </c>
      <c r="AC216">
        <f t="shared" si="110"/>
        <v>-132.52501708075587</v>
      </c>
      <c r="AD216">
        <f t="shared" si="111"/>
        <v>-12.459883211772805</v>
      </c>
      <c r="AE216">
        <f t="shared" si="112"/>
        <v>-6.6395086614534193E-2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52628.348173493723</v>
      </c>
      <c r="AK216">
        <f t="shared" si="116"/>
        <v>1800</v>
      </c>
      <c r="AL216">
        <f t="shared" si="117"/>
        <v>1499.1119747999999</v>
      </c>
      <c r="AM216">
        <f t="shared" si="118"/>
        <v>0.83283998599999987</v>
      </c>
      <c r="AN216">
        <f t="shared" si="119"/>
        <v>0.15339741000999998</v>
      </c>
      <c r="AO216">
        <v>29.1</v>
      </c>
      <c r="AP216">
        <v>0.5</v>
      </c>
      <c r="AQ216" t="s">
        <v>331</v>
      </c>
      <c r="AR216">
        <v>2</v>
      </c>
      <c r="AS216">
        <v>1690288630.5</v>
      </c>
      <c r="AT216">
        <v>343.12200000000001</v>
      </c>
      <c r="AU216">
        <v>800.00400000000002</v>
      </c>
      <c r="AV216">
        <v>28.191500000000001</v>
      </c>
      <c r="AW216">
        <v>0.14674400000000001</v>
      </c>
      <c r="AX216">
        <v>344.03699999999998</v>
      </c>
      <c r="AY216">
        <v>28.000399999999999</v>
      </c>
      <c r="AZ216">
        <v>299.99</v>
      </c>
      <c r="BA216">
        <v>99.347800000000007</v>
      </c>
      <c r="BB216">
        <v>9.9920200000000001E-2</v>
      </c>
      <c r="BC216">
        <v>26.739699999999999</v>
      </c>
      <c r="BD216">
        <v>26.999300000000002</v>
      </c>
      <c r="BE216">
        <v>28.230799999999999</v>
      </c>
      <c r="BF216">
        <v>0</v>
      </c>
      <c r="BG216">
        <v>0</v>
      </c>
      <c r="BH216">
        <v>10010</v>
      </c>
      <c r="BI216">
        <v>1086.5999999999999</v>
      </c>
      <c r="BJ216">
        <v>1.3455900000000001</v>
      </c>
      <c r="BK216">
        <v>-456.88200000000001</v>
      </c>
      <c r="BL216">
        <v>353.07600000000002</v>
      </c>
      <c r="BM216">
        <v>800.12099999999998</v>
      </c>
      <c r="BN216">
        <v>28.044699999999999</v>
      </c>
      <c r="BO216">
        <v>800.00400000000002</v>
      </c>
      <c r="BP216">
        <v>0.14674400000000001</v>
      </c>
      <c r="BQ216">
        <v>2.8007599999999999</v>
      </c>
      <c r="BR216">
        <v>1.45787E-2</v>
      </c>
      <c r="BS216">
        <v>22.8886</v>
      </c>
      <c r="BT216">
        <v>-42.425400000000003</v>
      </c>
      <c r="BU216">
        <v>1800</v>
      </c>
      <c r="BV216">
        <v>0.91</v>
      </c>
      <c r="BW216">
        <v>3.4003100000000001E-2</v>
      </c>
      <c r="BX216">
        <v>2.1999299999999999E-2</v>
      </c>
      <c r="BY216">
        <v>3.3997899999999998E-2</v>
      </c>
      <c r="BZ216">
        <v>25</v>
      </c>
      <c r="CA216">
        <v>33528.400000000001</v>
      </c>
      <c r="CB216">
        <v>1690286268.5999999</v>
      </c>
      <c r="CC216" t="s">
        <v>332</v>
      </c>
      <c r="CD216">
        <v>1690286261.0999999</v>
      </c>
      <c r="CE216">
        <v>1690286268.5999999</v>
      </c>
      <c r="CF216">
        <v>1</v>
      </c>
      <c r="CG216">
        <v>-0.89900000000000002</v>
      </c>
      <c r="CH216">
        <v>3.4000000000000002E-2</v>
      </c>
      <c r="CI216">
        <v>-1.2370000000000001</v>
      </c>
      <c r="CJ216">
        <v>8.5999999999999993E-2</v>
      </c>
      <c r="CK216">
        <v>799</v>
      </c>
      <c r="CL216">
        <v>16</v>
      </c>
      <c r="CM216">
        <v>0.28999999999999998</v>
      </c>
      <c r="CN216">
        <v>0.09</v>
      </c>
      <c r="CO216">
        <v>-456.67907317073173</v>
      </c>
      <c r="CP216">
        <v>-0.80370731707378862</v>
      </c>
      <c r="CQ216">
        <v>9.3593930969566766E-2</v>
      </c>
      <c r="CR216">
        <v>-1</v>
      </c>
      <c r="CS216">
        <v>28.03393170731707</v>
      </c>
      <c r="CT216">
        <v>4.6954703832764011E-2</v>
      </c>
      <c r="CU216">
        <v>5.2290669327809116E-3</v>
      </c>
      <c r="CV216">
        <v>-1</v>
      </c>
      <c r="CW216">
        <v>0</v>
      </c>
      <c r="CX216">
        <v>0</v>
      </c>
      <c r="CY216" t="s">
        <v>333</v>
      </c>
      <c r="CZ216">
        <v>2.3646799999999999</v>
      </c>
      <c r="DA216">
        <v>2.7137199999999999</v>
      </c>
      <c r="DB216">
        <v>7.9933100000000007E-2</v>
      </c>
      <c r="DC216">
        <v>0.146564</v>
      </c>
      <c r="DD216">
        <v>0.12799099999999999</v>
      </c>
      <c r="DE216">
        <v>1.24204E-3</v>
      </c>
      <c r="DF216">
        <v>33598.6</v>
      </c>
      <c r="DG216">
        <v>27487.599999999999</v>
      </c>
      <c r="DH216">
        <v>31172.799999999999</v>
      </c>
      <c r="DI216">
        <v>28063.5</v>
      </c>
      <c r="DJ216">
        <v>36885.699999999997</v>
      </c>
      <c r="DK216">
        <v>39845.699999999997</v>
      </c>
      <c r="DL216">
        <v>44357.7</v>
      </c>
      <c r="DM216">
        <v>42514.400000000001</v>
      </c>
      <c r="DN216">
        <v>1.4934000000000001</v>
      </c>
      <c r="DO216">
        <v>2.0581499999999999</v>
      </c>
      <c r="DP216">
        <v>7.5459499999999999E-2</v>
      </c>
      <c r="DQ216">
        <v>0.173204</v>
      </c>
      <c r="DR216">
        <v>25.763999999999999</v>
      </c>
      <c r="DS216">
        <v>25.397300000000001</v>
      </c>
      <c r="DT216">
        <v>28.3</v>
      </c>
      <c r="DU216">
        <v>26.3</v>
      </c>
      <c r="DV216">
        <v>9.7848100000000002</v>
      </c>
      <c r="DW216">
        <v>61.751399999999997</v>
      </c>
      <c r="DX216">
        <v>37.2316</v>
      </c>
      <c r="DY216">
        <v>1</v>
      </c>
      <c r="DZ216">
        <v>-0.14077999999999999</v>
      </c>
      <c r="EA216">
        <v>-0.59604299999999999</v>
      </c>
      <c r="EB216">
        <v>20.1891</v>
      </c>
      <c r="EC216">
        <v>5.24125</v>
      </c>
      <c r="ED216">
        <v>12.039899999999999</v>
      </c>
      <c r="EE216">
        <v>5.0173500000000004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1.86877</v>
      </c>
      <c r="EL216">
        <v>1.8644700000000001</v>
      </c>
      <c r="EM216">
        <v>1.86907</v>
      </c>
      <c r="EN216">
        <v>1.86713</v>
      </c>
      <c r="EO216">
        <v>1.8632500000000001</v>
      </c>
      <c r="EP216">
        <v>1.86432</v>
      </c>
      <c r="EQ216">
        <v>1.87012</v>
      </c>
      <c r="ER216">
        <v>1.86934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-0.91500000000000004</v>
      </c>
      <c r="FG216">
        <v>0.19109999999999999</v>
      </c>
      <c r="FH216">
        <v>-0.68620417327404271</v>
      </c>
      <c r="FI216">
        <v>-6.1462078757559423E-4</v>
      </c>
      <c r="FJ216">
        <v>-1.8861989874597051E-7</v>
      </c>
      <c r="FK216">
        <v>1.1980462299894961E-10</v>
      </c>
      <c r="FL216">
        <v>0.1911242781723908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39.5</v>
      </c>
      <c r="FU216">
        <v>39.4</v>
      </c>
      <c r="FV216">
        <v>1.7639199999999999</v>
      </c>
      <c r="FW216">
        <v>2.5732400000000002</v>
      </c>
      <c r="FX216">
        <v>1.5490699999999999</v>
      </c>
      <c r="FY216">
        <v>2.34009</v>
      </c>
      <c r="FZ216">
        <v>1.50146</v>
      </c>
      <c r="GA216">
        <v>2.2802699999999998</v>
      </c>
      <c r="GB216">
        <v>31.389800000000001</v>
      </c>
      <c r="GC216">
        <v>23.982399999999998</v>
      </c>
      <c r="GD216">
        <v>19</v>
      </c>
      <c r="GE216">
        <v>287.50900000000001</v>
      </c>
      <c r="GF216">
        <v>594.048</v>
      </c>
      <c r="GG216">
        <v>25.799600000000002</v>
      </c>
      <c r="GH216">
        <v>25.6387</v>
      </c>
      <c r="GI216">
        <v>30</v>
      </c>
      <c r="GJ216">
        <v>25.743099999999998</v>
      </c>
      <c r="GK216">
        <v>25.711200000000002</v>
      </c>
      <c r="GL216">
        <v>35.272500000000001</v>
      </c>
      <c r="GM216">
        <v>100</v>
      </c>
      <c r="GN216">
        <v>0</v>
      </c>
      <c r="GO216">
        <v>25.8003</v>
      </c>
      <c r="GP216">
        <v>800</v>
      </c>
      <c r="GQ216">
        <v>0</v>
      </c>
      <c r="GR216">
        <v>99.734200000000001</v>
      </c>
      <c r="GS216">
        <v>99.474800000000002</v>
      </c>
    </row>
    <row r="217" spans="1:201" x14ac:dyDescent="0.25">
      <c r="A217">
        <v>201</v>
      </c>
      <c r="B217">
        <v>1690288640.5</v>
      </c>
      <c r="C217">
        <v>2101.900000095367</v>
      </c>
      <c r="D217" t="s">
        <v>735</v>
      </c>
      <c r="E217" t="s">
        <v>736</v>
      </c>
      <c r="F217" t="s">
        <v>330</v>
      </c>
      <c r="H217">
        <v>1690288640.5</v>
      </c>
      <c r="I217">
        <f t="shared" si="90"/>
        <v>2.9781723797385412E-3</v>
      </c>
      <c r="J217">
        <f t="shared" si="91"/>
        <v>2.9781723797385413</v>
      </c>
      <c r="K217">
        <f t="shared" si="92"/>
        <v>46.106002279957842</v>
      </c>
      <c r="L217">
        <f t="shared" si="93"/>
        <v>343.05799999999999</v>
      </c>
      <c r="M217">
        <f t="shared" si="94"/>
        <v>98.363905869711303</v>
      </c>
      <c r="N217">
        <f t="shared" si="95"/>
        <v>9.7819223610070232</v>
      </c>
      <c r="O217">
        <f t="shared" si="96"/>
        <v>34.115834376963996</v>
      </c>
      <c r="P217">
        <f t="shared" si="97"/>
        <v>0.32625316367414547</v>
      </c>
      <c r="Q217">
        <f t="shared" si="98"/>
        <v>2.3055055412652559</v>
      </c>
      <c r="R217">
        <f t="shared" si="99"/>
        <v>0.30260412661658176</v>
      </c>
      <c r="S217">
        <f t="shared" si="100"/>
        <v>0.19110930204549531</v>
      </c>
      <c r="T217">
        <f t="shared" si="101"/>
        <v>276.11528068799998</v>
      </c>
      <c r="U217">
        <f t="shared" si="102"/>
        <v>27.803236067474593</v>
      </c>
      <c r="V217">
        <f t="shared" si="103"/>
        <v>27.803236067474593</v>
      </c>
      <c r="W217">
        <f t="shared" si="104"/>
        <v>3.751527557793874</v>
      </c>
      <c r="X217">
        <f t="shared" si="105"/>
        <v>79.589022193196186</v>
      </c>
      <c r="Y217">
        <f t="shared" si="106"/>
        <v>2.8050607101544003</v>
      </c>
      <c r="Z217">
        <f t="shared" si="107"/>
        <v>3.5244316777071751</v>
      </c>
      <c r="AA217">
        <f t="shared" si="108"/>
        <v>0.94646684763947375</v>
      </c>
      <c r="AB217">
        <f t="shared" si="109"/>
        <v>-131.33740194646967</v>
      </c>
      <c r="AC217">
        <f t="shared" si="110"/>
        <v>-132.41532300890546</v>
      </c>
      <c r="AD217">
        <f t="shared" si="111"/>
        <v>-12.428621006610205</v>
      </c>
      <c r="AE217">
        <f t="shared" si="112"/>
        <v>-6.6065273985373096E-2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52772.947083381674</v>
      </c>
      <c r="AK217">
        <f t="shared" si="116"/>
        <v>1800</v>
      </c>
      <c r="AL217">
        <f t="shared" si="117"/>
        <v>1499.1117138</v>
      </c>
      <c r="AM217">
        <f t="shared" si="118"/>
        <v>0.83283984099999997</v>
      </c>
      <c r="AN217">
        <f t="shared" si="119"/>
        <v>0.15339737815999999</v>
      </c>
      <c r="AO217">
        <v>29.1</v>
      </c>
      <c r="AP217">
        <v>0.5</v>
      </c>
      <c r="AQ217" t="s">
        <v>331</v>
      </c>
      <c r="AR217">
        <v>2</v>
      </c>
      <c r="AS217">
        <v>1690288640.5</v>
      </c>
      <c r="AT217">
        <v>343.05799999999999</v>
      </c>
      <c r="AU217">
        <v>799.99400000000003</v>
      </c>
      <c r="AV217">
        <v>28.206800000000001</v>
      </c>
      <c r="AW217">
        <v>0.145814</v>
      </c>
      <c r="AX217">
        <v>343.97300000000001</v>
      </c>
      <c r="AY217">
        <v>28.015699999999999</v>
      </c>
      <c r="AZ217">
        <v>300.13299999999998</v>
      </c>
      <c r="BA217">
        <v>99.346199999999996</v>
      </c>
      <c r="BB217">
        <v>0.10005799999999999</v>
      </c>
      <c r="BC217">
        <v>26.7379</v>
      </c>
      <c r="BD217">
        <v>27.003399999999999</v>
      </c>
      <c r="BE217">
        <v>28.245999999999999</v>
      </c>
      <c r="BF217">
        <v>0</v>
      </c>
      <c r="BG217">
        <v>0</v>
      </c>
      <c r="BH217">
        <v>10038.799999999999</v>
      </c>
      <c r="BI217">
        <v>1086.5999999999999</v>
      </c>
      <c r="BJ217">
        <v>1.3455900000000001</v>
      </c>
      <c r="BK217">
        <v>-456.935</v>
      </c>
      <c r="BL217">
        <v>353.01600000000002</v>
      </c>
      <c r="BM217">
        <v>800.11</v>
      </c>
      <c r="BN217">
        <v>28.061</v>
      </c>
      <c r="BO217">
        <v>799.99400000000003</v>
      </c>
      <c r="BP217">
        <v>0.145814</v>
      </c>
      <c r="BQ217">
        <v>2.8022399999999998</v>
      </c>
      <c r="BR217">
        <v>1.44861E-2</v>
      </c>
      <c r="BS217">
        <v>22.897300000000001</v>
      </c>
      <c r="BT217">
        <v>-42.484900000000003</v>
      </c>
      <c r="BU217">
        <v>1800</v>
      </c>
      <c r="BV217">
        <v>0.91</v>
      </c>
      <c r="BW217">
        <v>3.4002999999999999E-2</v>
      </c>
      <c r="BX217">
        <v>2.1999299999999999E-2</v>
      </c>
      <c r="BY217">
        <v>3.3997800000000002E-2</v>
      </c>
      <c r="BZ217">
        <v>25</v>
      </c>
      <c r="CA217">
        <v>33528.300000000003</v>
      </c>
      <c r="CB217">
        <v>1690286268.5999999</v>
      </c>
      <c r="CC217" t="s">
        <v>332</v>
      </c>
      <c r="CD217">
        <v>1690286261.0999999</v>
      </c>
      <c r="CE217">
        <v>1690286268.5999999</v>
      </c>
      <c r="CF217">
        <v>1</v>
      </c>
      <c r="CG217">
        <v>-0.89900000000000002</v>
      </c>
      <c r="CH217">
        <v>3.4000000000000002E-2</v>
      </c>
      <c r="CI217">
        <v>-1.2370000000000001</v>
      </c>
      <c r="CJ217">
        <v>8.5999999999999993E-2</v>
      </c>
      <c r="CK217">
        <v>799</v>
      </c>
      <c r="CL217">
        <v>16</v>
      </c>
      <c r="CM217">
        <v>0.28999999999999998</v>
      </c>
      <c r="CN217">
        <v>0.09</v>
      </c>
      <c r="CO217">
        <v>-456.80515000000003</v>
      </c>
      <c r="CP217">
        <v>-0.52829268292560738</v>
      </c>
      <c r="CQ217">
        <v>7.004910777447719E-2</v>
      </c>
      <c r="CR217">
        <v>-1</v>
      </c>
      <c r="CS217">
        <v>28.045147499999999</v>
      </c>
      <c r="CT217">
        <v>8.8722326453947842E-2</v>
      </c>
      <c r="CU217">
        <v>8.6252242724465782E-3</v>
      </c>
      <c r="CV217">
        <v>-1</v>
      </c>
      <c r="CW217">
        <v>0</v>
      </c>
      <c r="CX217">
        <v>0</v>
      </c>
      <c r="CY217" t="s">
        <v>333</v>
      </c>
      <c r="CZ217">
        <v>2.3651499999999999</v>
      </c>
      <c r="DA217">
        <v>2.7138800000000001</v>
      </c>
      <c r="DB217">
        <v>7.9919599999999993E-2</v>
      </c>
      <c r="DC217">
        <v>0.14656</v>
      </c>
      <c r="DD217">
        <v>0.12803600000000001</v>
      </c>
      <c r="DE217">
        <v>1.2342200000000001E-3</v>
      </c>
      <c r="DF217">
        <v>33599</v>
      </c>
      <c r="DG217">
        <v>27487.7</v>
      </c>
      <c r="DH217">
        <v>31172.7</v>
      </c>
      <c r="DI217">
        <v>28063.5</v>
      </c>
      <c r="DJ217">
        <v>36883.699999999997</v>
      </c>
      <c r="DK217">
        <v>39845.9</v>
      </c>
      <c r="DL217">
        <v>44357.599999999999</v>
      </c>
      <c r="DM217">
        <v>42514.3</v>
      </c>
      <c r="DN217">
        <v>1.4939499999999999</v>
      </c>
      <c r="DO217">
        <v>2.0579200000000002</v>
      </c>
      <c r="DP217">
        <v>7.5854400000000002E-2</v>
      </c>
      <c r="DQ217">
        <v>0.174314</v>
      </c>
      <c r="DR217">
        <v>25.761600000000001</v>
      </c>
      <c r="DS217">
        <v>25.394400000000001</v>
      </c>
      <c r="DT217">
        <v>28.2</v>
      </c>
      <c r="DU217">
        <v>26.3</v>
      </c>
      <c r="DV217">
        <v>9.7487899999999996</v>
      </c>
      <c r="DW217">
        <v>61.441499999999998</v>
      </c>
      <c r="DX217">
        <v>36.714700000000001</v>
      </c>
      <c r="DY217">
        <v>1</v>
      </c>
      <c r="DZ217">
        <v>-0.14069599999999999</v>
      </c>
      <c r="EA217">
        <v>-0.56426500000000002</v>
      </c>
      <c r="EB217">
        <v>20.189499999999999</v>
      </c>
      <c r="EC217">
        <v>5.2416999999999998</v>
      </c>
      <c r="ED217">
        <v>12.039899999999999</v>
      </c>
      <c r="EE217">
        <v>5.0174000000000003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1.8687400000000001</v>
      </c>
      <c r="EL217">
        <v>1.8644700000000001</v>
      </c>
      <c r="EM217">
        <v>1.8690500000000001</v>
      </c>
      <c r="EN217">
        <v>1.86707</v>
      </c>
      <c r="EO217">
        <v>1.8632500000000001</v>
      </c>
      <c r="EP217">
        <v>1.86432</v>
      </c>
      <c r="EQ217">
        <v>1.87009</v>
      </c>
      <c r="ER217">
        <v>1.8693299999999999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-0.91500000000000004</v>
      </c>
      <c r="FG217">
        <v>0.19109999999999999</v>
      </c>
      <c r="FH217">
        <v>-0.68620417327404271</v>
      </c>
      <c r="FI217">
        <v>-6.1462078757559423E-4</v>
      </c>
      <c r="FJ217">
        <v>-1.8861989874597051E-7</v>
      </c>
      <c r="FK217">
        <v>1.1980462299894961E-10</v>
      </c>
      <c r="FL217">
        <v>0.1911242781723908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39.700000000000003</v>
      </c>
      <c r="FU217">
        <v>39.5</v>
      </c>
      <c r="FV217">
        <v>1.7639199999999999</v>
      </c>
      <c r="FW217">
        <v>2.5769000000000002</v>
      </c>
      <c r="FX217">
        <v>1.5490699999999999</v>
      </c>
      <c r="FY217">
        <v>2.33887</v>
      </c>
      <c r="FZ217">
        <v>1.50146</v>
      </c>
      <c r="GA217">
        <v>2.2924799999999999</v>
      </c>
      <c r="GB217">
        <v>31.389800000000001</v>
      </c>
      <c r="GC217">
        <v>23.982399999999998</v>
      </c>
      <c r="GD217">
        <v>19</v>
      </c>
      <c r="GE217">
        <v>287.755</v>
      </c>
      <c r="GF217">
        <v>593.86800000000005</v>
      </c>
      <c r="GG217">
        <v>25.798300000000001</v>
      </c>
      <c r="GH217">
        <v>25.6387</v>
      </c>
      <c r="GI217">
        <v>30.0001</v>
      </c>
      <c r="GJ217">
        <v>25.745200000000001</v>
      </c>
      <c r="GK217">
        <v>25.7119</v>
      </c>
      <c r="GL217">
        <v>35.270200000000003</v>
      </c>
      <c r="GM217">
        <v>100</v>
      </c>
      <c r="GN217">
        <v>0</v>
      </c>
      <c r="GO217">
        <v>25.7927</v>
      </c>
      <c r="GP217">
        <v>800</v>
      </c>
      <c r="GQ217">
        <v>0</v>
      </c>
      <c r="GR217">
        <v>99.733900000000006</v>
      </c>
      <c r="GS217">
        <v>99.474500000000006</v>
      </c>
    </row>
    <row r="218" spans="1:201" x14ac:dyDescent="0.25">
      <c r="A218">
        <v>202</v>
      </c>
      <c r="B218">
        <v>1690288650.5</v>
      </c>
      <c r="C218">
        <v>2111.900000095367</v>
      </c>
      <c r="D218" t="s">
        <v>737</v>
      </c>
      <c r="E218" t="s">
        <v>738</v>
      </c>
      <c r="F218" t="s">
        <v>330</v>
      </c>
      <c r="H218">
        <v>1690288650.5</v>
      </c>
      <c r="I218">
        <f t="shared" si="90"/>
        <v>2.9788766425652416E-3</v>
      </c>
      <c r="J218">
        <f t="shared" si="91"/>
        <v>2.9788766425652415</v>
      </c>
      <c r="K218">
        <f t="shared" si="92"/>
        <v>46.130962979432709</v>
      </c>
      <c r="L218">
        <f t="shared" si="93"/>
        <v>342.93900000000002</v>
      </c>
      <c r="M218">
        <f t="shared" si="94"/>
        <v>98.187450833387373</v>
      </c>
      <c r="N218">
        <f t="shared" si="95"/>
        <v>9.7645386391696984</v>
      </c>
      <c r="O218">
        <f t="shared" si="96"/>
        <v>34.104573323331003</v>
      </c>
      <c r="P218">
        <f t="shared" si="97"/>
        <v>0.32639254266405771</v>
      </c>
      <c r="Q218">
        <f t="shared" si="98"/>
        <v>2.3015395293371093</v>
      </c>
      <c r="R218">
        <f t="shared" si="99"/>
        <v>0.30268646952098643</v>
      </c>
      <c r="S218">
        <f t="shared" si="100"/>
        <v>0.19116526035953629</v>
      </c>
      <c r="T218">
        <f t="shared" si="101"/>
        <v>276.115074354</v>
      </c>
      <c r="U218">
        <f t="shared" si="102"/>
        <v>27.802786166143882</v>
      </c>
      <c r="V218">
        <f t="shared" si="103"/>
        <v>27.802786166143882</v>
      </c>
      <c r="W218">
        <f t="shared" si="104"/>
        <v>3.7514290208567753</v>
      </c>
      <c r="X218">
        <f t="shared" si="105"/>
        <v>79.59559053050296</v>
      </c>
      <c r="Y218">
        <f t="shared" si="106"/>
        <v>2.8049785614095004</v>
      </c>
      <c r="Z218">
        <f t="shared" si="107"/>
        <v>3.5240376291128399</v>
      </c>
      <c r="AA218">
        <f t="shared" si="108"/>
        <v>0.94645045944727491</v>
      </c>
      <c r="AB218">
        <f t="shared" si="109"/>
        <v>-131.36845993712714</v>
      </c>
      <c r="AC218">
        <f t="shared" si="110"/>
        <v>-132.36746661272267</v>
      </c>
      <c r="AD218">
        <f t="shared" si="111"/>
        <v>-12.445392426766693</v>
      </c>
      <c r="AE218">
        <f t="shared" si="112"/>
        <v>-6.6244622616522975E-2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52623.000911187279</v>
      </c>
      <c r="AK218">
        <f t="shared" si="116"/>
        <v>1800</v>
      </c>
      <c r="AL218">
        <f t="shared" si="117"/>
        <v>1499.1111684</v>
      </c>
      <c r="AM218">
        <f t="shared" si="118"/>
        <v>0.83283953799999999</v>
      </c>
      <c r="AN218">
        <f t="shared" si="119"/>
        <v>0.15339726352999999</v>
      </c>
      <c r="AO218">
        <v>29.1</v>
      </c>
      <c r="AP218">
        <v>0.5</v>
      </c>
      <c r="AQ218" t="s">
        <v>331</v>
      </c>
      <c r="AR218">
        <v>2</v>
      </c>
      <c r="AS218">
        <v>1690288650.5</v>
      </c>
      <c r="AT218">
        <v>342.93900000000002</v>
      </c>
      <c r="AU218">
        <v>799.98800000000006</v>
      </c>
      <c r="AV218">
        <v>28.205500000000001</v>
      </c>
      <c r="AW218">
        <v>0.14569399999999999</v>
      </c>
      <c r="AX218">
        <v>343.85399999999998</v>
      </c>
      <c r="AY218">
        <v>28.014399999999998</v>
      </c>
      <c r="AZ218">
        <v>300.21699999999998</v>
      </c>
      <c r="BA218">
        <v>99.347899999999996</v>
      </c>
      <c r="BB218">
        <v>0.10002900000000001</v>
      </c>
      <c r="BC218">
        <v>26.736000000000001</v>
      </c>
      <c r="BD218">
        <v>27.004100000000001</v>
      </c>
      <c r="BE218">
        <v>28.241499999999998</v>
      </c>
      <c r="BF218">
        <v>0</v>
      </c>
      <c r="BG218">
        <v>0</v>
      </c>
      <c r="BH218">
        <v>10008.799999999999</v>
      </c>
      <c r="BI218">
        <v>1086.6400000000001</v>
      </c>
      <c r="BJ218">
        <v>1.3455900000000001</v>
      </c>
      <c r="BK218">
        <v>-457.04899999999998</v>
      </c>
      <c r="BL218">
        <v>352.89299999999997</v>
      </c>
      <c r="BM218">
        <v>800.10500000000002</v>
      </c>
      <c r="BN218">
        <v>28.059799999999999</v>
      </c>
      <c r="BO218">
        <v>799.98800000000006</v>
      </c>
      <c r="BP218">
        <v>0.14569399999999999</v>
      </c>
      <c r="BQ218">
        <v>2.8021600000000002</v>
      </c>
      <c r="BR218">
        <v>1.44744E-2</v>
      </c>
      <c r="BS218">
        <v>22.896799999999999</v>
      </c>
      <c r="BT218">
        <v>-42.4925</v>
      </c>
      <c r="BU218">
        <v>1800</v>
      </c>
      <c r="BV218">
        <v>0.91000099999999995</v>
      </c>
      <c r="BW218">
        <v>3.4002400000000002E-2</v>
      </c>
      <c r="BX218">
        <v>2.1998899999999998E-2</v>
      </c>
      <c r="BY218">
        <v>3.3997300000000001E-2</v>
      </c>
      <c r="BZ218">
        <v>25</v>
      </c>
      <c r="CA218">
        <v>33528.400000000001</v>
      </c>
      <c r="CB218">
        <v>1690286268.5999999</v>
      </c>
      <c r="CC218" t="s">
        <v>332</v>
      </c>
      <c r="CD218">
        <v>1690286261.0999999</v>
      </c>
      <c r="CE218">
        <v>1690286268.5999999</v>
      </c>
      <c r="CF218">
        <v>1</v>
      </c>
      <c r="CG218">
        <v>-0.89900000000000002</v>
      </c>
      <c r="CH218">
        <v>3.4000000000000002E-2</v>
      </c>
      <c r="CI218">
        <v>-1.2370000000000001</v>
      </c>
      <c r="CJ218">
        <v>8.5999999999999993E-2</v>
      </c>
      <c r="CK218">
        <v>799</v>
      </c>
      <c r="CL218">
        <v>16</v>
      </c>
      <c r="CM218">
        <v>0.28999999999999998</v>
      </c>
      <c r="CN218">
        <v>0.09</v>
      </c>
      <c r="CO218">
        <v>-456.93595121951222</v>
      </c>
      <c r="CP218">
        <v>-0.69430662020872957</v>
      </c>
      <c r="CQ218">
        <v>7.6242856912764487E-2</v>
      </c>
      <c r="CR218">
        <v>-1</v>
      </c>
      <c r="CS218">
        <v>28.056734146341459</v>
      </c>
      <c r="CT218">
        <v>5.0830662020916302E-2</v>
      </c>
      <c r="CU218">
        <v>5.697436726008958E-3</v>
      </c>
      <c r="CV218">
        <v>-1</v>
      </c>
      <c r="CW218">
        <v>0</v>
      </c>
      <c r="CX218">
        <v>0</v>
      </c>
      <c r="CY218" t="s">
        <v>333</v>
      </c>
      <c r="CZ218">
        <v>2.3654099999999998</v>
      </c>
      <c r="DA218">
        <v>2.7138300000000002</v>
      </c>
      <c r="DB218">
        <v>7.9899100000000001E-2</v>
      </c>
      <c r="DC218">
        <v>0.146561</v>
      </c>
      <c r="DD218">
        <v>0.12803400000000001</v>
      </c>
      <c r="DE218">
        <v>1.2332300000000001E-3</v>
      </c>
      <c r="DF218">
        <v>33600.1</v>
      </c>
      <c r="DG218">
        <v>27488</v>
      </c>
      <c r="DH218">
        <v>31173.1</v>
      </c>
      <c r="DI218">
        <v>28063.8</v>
      </c>
      <c r="DJ218">
        <v>36884</v>
      </c>
      <c r="DK218">
        <v>39846.5</v>
      </c>
      <c r="DL218">
        <v>44357.9</v>
      </c>
      <c r="DM218">
        <v>42514.9</v>
      </c>
      <c r="DN218">
        <v>1.4939499999999999</v>
      </c>
      <c r="DO218">
        <v>2.05783</v>
      </c>
      <c r="DP218">
        <v>7.6018299999999997E-2</v>
      </c>
      <c r="DQ218">
        <v>0.17425399999999999</v>
      </c>
      <c r="DR218">
        <v>25.759599999999999</v>
      </c>
      <c r="DS218">
        <v>25.390899999999998</v>
      </c>
      <c r="DT218">
        <v>28.2</v>
      </c>
      <c r="DU218">
        <v>26.3</v>
      </c>
      <c r="DV218">
        <v>9.7509300000000003</v>
      </c>
      <c r="DW218">
        <v>61.701500000000003</v>
      </c>
      <c r="DX218">
        <v>36.582500000000003</v>
      </c>
      <c r="DY218">
        <v>1</v>
      </c>
      <c r="DZ218">
        <v>-0.14074200000000001</v>
      </c>
      <c r="EA218">
        <v>-0.54003800000000002</v>
      </c>
      <c r="EB218">
        <v>20.189399999999999</v>
      </c>
      <c r="EC218">
        <v>5.2416999999999998</v>
      </c>
      <c r="ED218">
        <v>12.039899999999999</v>
      </c>
      <c r="EE218">
        <v>5.0172499999999998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1.8687499999999999</v>
      </c>
      <c r="EL218">
        <v>1.8644700000000001</v>
      </c>
      <c r="EM218">
        <v>1.86907</v>
      </c>
      <c r="EN218">
        <v>1.8670899999999999</v>
      </c>
      <c r="EO218">
        <v>1.8632500000000001</v>
      </c>
      <c r="EP218">
        <v>1.86432</v>
      </c>
      <c r="EQ218">
        <v>1.87009</v>
      </c>
      <c r="ER218">
        <v>1.8693299999999999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-0.91500000000000004</v>
      </c>
      <c r="FG218">
        <v>0.19109999999999999</v>
      </c>
      <c r="FH218">
        <v>-0.68620417327404271</v>
      </c>
      <c r="FI218">
        <v>-6.1462078757559423E-4</v>
      </c>
      <c r="FJ218">
        <v>-1.8861989874597051E-7</v>
      </c>
      <c r="FK218">
        <v>1.1980462299894961E-10</v>
      </c>
      <c r="FL218">
        <v>0.1911242781723908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39.799999999999997</v>
      </c>
      <c r="FU218">
        <v>39.700000000000003</v>
      </c>
      <c r="FV218">
        <v>1.7639199999999999</v>
      </c>
      <c r="FW218">
        <v>2.5781200000000002</v>
      </c>
      <c r="FX218">
        <v>1.5490699999999999</v>
      </c>
      <c r="FY218">
        <v>2.34009</v>
      </c>
      <c r="FZ218">
        <v>1.50146</v>
      </c>
      <c r="GA218">
        <v>2.2997999999999998</v>
      </c>
      <c r="GB218">
        <v>31.4115</v>
      </c>
      <c r="GC218">
        <v>23.982399999999998</v>
      </c>
      <c r="GD218">
        <v>19</v>
      </c>
      <c r="GE218">
        <v>287.755</v>
      </c>
      <c r="GF218">
        <v>593.80200000000002</v>
      </c>
      <c r="GG218">
        <v>25.7837</v>
      </c>
      <c r="GH218">
        <v>25.640699999999999</v>
      </c>
      <c r="GI218">
        <v>30.0001</v>
      </c>
      <c r="GJ218">
        <v>25.745200000000001</v>
      </c>
      <c r="GK218">
        <v>25.7133</v>
      </c>
      <c r="GL218">
        <v>35.271900000000002</v>
      </c>
      <c r="GM218">
        <v>100</v>
      </c>
      <c r="GN218">
        <v>0</v>
      </c>
      <c r="GO218">
        <v>25.7926</v>
      </c>
      <c r="GP218">
        <v>800</v>
      </c>
      <c r="GQ218">
        <v>0</v>
      </c>
      <c r="GR218">
        <v>99.734899999999996</v>
      </c>
      <c r="GS218">
        <v>99.475800000000007</v>
      </c>
    </row>
    <row r="219" spans="1:201" x14ac:dyDescent="0.25">
      <c r="A219">
        <v>203</v>
      </c>
      <c r="B219">
        <v>1690288660.5</v>
      </c>
      <c r="C219">
        <v>2121.900000095367</v>
      </c>
      <c r="D219" t="s">
        <v>739</v>
      </c>
      <c r="E219" t="s">
        <v>740</v>
      </c>
      <c r="F219" t="s">
        <v>330</v>
      </c>
      <c r="H219">
        <v>1690288660.5</v>
      </c>
      <c r="I219">
        <f t="shared" si="90"/>
        <v>2.9762827150641544E-3</v>
      </c>
      <c r="J219">
        <f t="shared" si="91"/>
        <v>2.9762827150641544</v>
      </c>
      <c r="K219">
        <f t="shared" si="92"/>
        <v>46.137765108862524</v>
      </c>
      <c r="L219">
        <f t="shared" si="93"/>
        <v>342.779</v>
      </c>
      <c r="M219">
        <f t="shared" si="94"/>
        <v>97.425593564877417</v>
      </c>
      <c r="N219">
        <f t="shared" si="95"/>
        <v>9.6886342514793444</v>
      </c>
      <c r="O219">
        <f t="shared" si="96"/>
        <v>34.088171686388399</v>
      </c>
      <c r="P219">
        <f t="shared" si="97"/>
        <v>0.32560158018024776</v>
      </c>
      <c r="Q219">
        <f t="shared" si="98"/>
        <v>2.2986828148565053</v>
      </c>
      <c r="R219">
        <f t="shared" si="99"/>
        <v>0.30197876929946926</v>
      </c>
      <c r="S219">
        <f t="shared" si="100"/>
        <v>0.19071612842145391</v>
      </c>
      <c r="T219">
        <f t="shared" si="101"/>
        <v>276.11511182999999</v>
      </c>
      <c r="U219">
        <f t="shared" si="102"/>
        <v>27.803244188635404</v>
      </c>
      <c r="V219">
        <f t="shared" si="103"/>
        <v>27.803244188635404</v>
      </c>
      <c r="W219">
        <f t="shared" si="104"/>
        <v>3.7515293365031006</v>
      </c>
      <c r="X219">
        <f t="shared" si="105"/>
        <v>79.566663610379734</v>
      </c>
      <c r="Y219">
        <f t="shared" si="106"/>
        <v>2.8036951632228004</v>
      </c>
      <c r="Z219">
        <f t="shared" si="107"/>
        <v>3.5237058285513547</v>
      </c>
      <c r="AA219">
        <f t="shared" si="108"/>
        <v>0.94783417328030017</v>
      </c>
      <c r="AB219">
        <f t="shared" si="109"/>
        <v>-131.2540677343292</v>
      </c>
      <c r="AC219">
        <f t="shared" si="110"/>
        <v>-132.45821330987459</v>
      </c>
      <c r="AD219">
        <f t="shared" si="111"/>
        <v>-12.469330845652429</v>
      </c>
      <c r="AE219">
        <f t="shared" si="112"/>
        <v>-6.6500059856252847E-2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52515.120349150435</v>
      </c>
      <c r="AK219">
        <f t="shared" si="116"/>
        <v>1800</v>
      </c>
      <c r="AL219">
        <f t="shared" si="117"/>
        <v>1499.1120000000001</v>
      </c>
      <c r="AM219">
        <f t="shared" si="118"/>
        <v>0.83284000000000002</v>
      </c>
      <c r="AN219">
        <f t="shared" si="119"/>
        <v>0.15339728435</v>
      </c>
      <c r="AO219">
        <v>29.1</v>
      </c>
      <c r="AP219">
        <v>0.5</v>
      </c>
      <c r="AQ219" t="s">
        <v>331</v>
      </c>
      <c r="AR219">
        <v>2</v>
      </c>
      <c r="AS219">
        <v>1690288660.5</v>
      </c>
      <c r="AT219">
        <v>342.779</v>
      </c>
      <c r="AU219">
        <v>800.06500000000005</v>
      </c>
      <c r="AV219">
        <v>28.193000000000001</v>
      </c>
      <c r="AW219">
        <v>0.14596300000000001</v>
      </c>
      <c r="AX219">
        <v>343.69400000000002</v>
      </c>
      <c r="AY219">
        <v>28.001899999999999</v>
      </c>
      <c r="AZ219">
        <v>300.096</v>
      </c>
      <c r="BA219">
        <v>99.346500000000006</v>
      </c>
      <c r="BB219">
        <v>9.9999599999999994E-2</v>
      </c>
      <c r="BC219">
        <v>26.734400000000001</v>
      </c>
      <c r="BD219">
        <v>27.010200000000001</v>
      </c>
      <c r="BE219">
        <v>28.230599999999999</v>
      </c>
      <c r="BF219">
        <v>0</v>
      </c>
      <c r="BG219">
        <v>0</v>
      </c>
      <c r="BH219">
        <v>9987.5</v>
      </c>
      <c r="BI219">
        <v>1086.56</v>
      </c>
      <c r="BJ219">
        <v>1.24186</v>
      </c>
      <c r="BK219">
        <v>-457.286</v>
      </c>
      <c r="BL219">
        <v>352.72300000000001</v>
      </c>
      <c r="BM219">
        <v>800.18200000000002</v>
      </c>
      <c r="BN219">
        <v>28.0471</v>
      </c>
      <c r="BO219">
        <v>800.06500000000005</v>
      </c>
      <c r="BP219">
        <v>0.14596300000000001</v>
      </c>
      <c r="BQ219">
        <v>2.8008799999999998</v>
      </c>
      <c r="BR219">
        <v>1.4500900000000001E-2</v>
      </c>
      <c r="BS219">
        <v>22.889299999999999</v>
      </c>
      <c r="BT219">
        <v>-42.4754</v>
      </c>
      <c r="BU219">
        <v>1800</v>
      </c>
      <c r="BV219">
        <v>0.91000300000000001</v>
      </c>
      <c r="BW219">
        <v>3.4001799999999999E-2</v>
      </c>
      <c r="BX219">
        <v>2.1998500000000001E-2</v>
      </c>
      <c r="BY219">
        <v>3.3996699999999998E-2</v>
      </c>
      <c r="BZ219">
        <v>25</v>
      </c>
      <c r="CA219">
        <v>33528.400000000001</v>
      </c>
      <c r="CB219">
        <v>1690286268.5999999</v>
      </c>
      <c r="CC219" t="s">
        <v>332</v>
      </c>
      <c r="CD219">
        <v>1690286261.0999999</v>
      </c>
      <c r="CE219">
        <v>1690286268.5999999</v>
      </c>
      <c r="CF219">
        <v>1</v>
      </c>
      <c r="CG219">
        <v>-0.89900000000000002</v>
      </c>
      <c r="CH219">
        <v>3.4000000000000002E-2</v>
      </c>
      <c r="CI219">
        <v>-1.2370000000000001</v>
      </c>
      <c r="CJ219">
        <v>8.5999999999999993E-2</v>
      </c>
      <c r="CK219">
        <v>799</v>
      </c>
      <c r="CL219">
        <v>16</v>
      </c>
      <c r="CM219">
        <v>0.28999999999999998</v>
      </c>
      <c r="CN219">
        <v>0.09</v>
      </c>
      <c r="CO219">
        <v>-457.07690243902442</v>
      </c>
      <c r="CP219">
        <v>-0.94003484320592112</v>
      </c>
      <c r="CQ219">
        <v>9.8873361940251925E-2</v>
      </c>
      <c r="CR219">
        <v>-1</v>
      </c>
      <c r="CS219">
        <v>28.05803902439024</v>
      </c>
      <c r="CT219">
        <v>-3.301881533105476E-2</v>
      </c>
      <c r="CU219">
        <v>3.774553958386617E-3</v>
      </c>
      <c r="CV219">
        <v>-1</v>
      </c>
      <c r="CW219">
        <v>0</v>
      </c>
      <c r="CX219">
        <v>0</v>
      </c>
      <c r="CY219" t="s">
        <v>333</v>
      </c>
      <c r="CZ219">
        <v>2.3650199999999999</v>
      </c>
      <c r="DA219">
        <v>2.7137799999999999</v>
      </c>
      <c r="DB219">
        <v>7.9868400000000006E-2</v>
      </c>
      <c r="DC219">
        <v>0.146568</v>
      </c>
      <c r="DD219">
        <v>0.127993</v>
      </c>
      <c r="DE219">
        <v>1.23547E-3</v>
      </c>
      <c r="DF219">
        <v>33600.9</v>
      </c>
      <c r="DG219">
        <v>27487.599999999999</v>
      </c>
      <c r="DH219">
        <v>31172.799999999999</v>
      </c>
      <c r="DI219">
        <v>28063.599999999999</v>
      </c>
      <c r="DJ219">
        <v>36885.5</v>
      </c>
      <c r="DK219">
        <v>39846.300000000003</v>
      </c>
      <c r="DL219">
        <v>44357.599999999999</v>
      </c>
      <c r="DM219">
        <v>42514.8</v>
      </c>
      <c r="DN219">
        <v>1.4936</v>
      </c>
      <c r="DO219">
        <v>2.0577999999999999</v>
      </c>
      <c r="DP219">
        <v>7.6390799999999995E-2</v>
      </c>
      <c r="DQ219">
        <v>0.17371800000000001</v>
      </c>
      <c r="DR219">
        <v>25.759599999999999</v>
      </c>
      <c r="DS219">
        <v>25.3888</v>
      </c>
      <c r="DT219">
        <v>28.1</v>
      </c>
      <c r="DU219">
        <v>26.4</v>
      </c>
      <c r="DV219">
        <v>9.7720400000000005</v>
      </c>
      <c r="DW219">
        <v>61.961500000000001</v>
      </c>
      <c r="DX219">
        <v>36.450299999999999</v>
      </c>
      <c r="DY219">
        <v>1</v>
      </c>
      <c r="DZ219">
        <v>-0.140732</v>
      </c>
      <c r="EA219">
        <v>-0.56741600000000003</v>
      </c>
      <c r="EB219">
        <v>20.189299999999999</v>
      </c>
      <c r="EC219">
        <v>5.2416999999999998</v>
      </c>
      <c r="ED219">
        <v>12.039899999999999</v>
      </c>
      <c r="EE219">
        <v>5.0168999999999997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1.86876</v>
      </c>
      <c r="EL219">
        <v>1.8644700000000001</v>
      </c>
      <c r="EM219">
        <v>1.86911</v>
      </c>
      <c r="EN219">
        <v>1.8671</v>
      </c>
      <c r="EO219">
        <v>1.8632599999999999</v>
      </c>
      <c r="EP219">
        <v>1.86432</v>
      </c>
      <c r="EQ219">
        <v>1.87012</v>
      </c>
      <c r="ER219">
        <v>1.8693500000000001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-0.91500000000000004</v>
      </c>
      <c r="FG219">
        <v>0.19109999999999999</v>
      </c>
      <c r="FH219">
        <v>-0.68620417327404271</v>
      </c>
      <c r="FI219">
        <v>-6.1462078757559423E-4</v>
      </c>
      <c r="FJ219">
        <v>-1.8861989874597051E-7</v>
      </c>
      <c r="FK219">
        <v>1.1980462299894961E-10</v>
      </c>
      <c r="FL219">
        <v>0.1911242781723908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40</v>
      </c>
      <c r="FU219">
        <v>39.9</v>
      </c>
      <c r="FV219">
        <v>1.7639199999999999</v>
      </c>
      <c r="FW219">
        <v>2.5732400000000002</v>
      </c>
      <c r="FX219">
        <v>1.5490699999999999</v>
      </c>
      <c r="FY219">
        <v>2.34009</v>
      </c>
      <c r="FZ219">
        <v>1.50146</v>
      </c>
      <c r="GA219">
        <v>2.2961399999999998</v>
      </c>
      <c r="GB219">
        <v>31.4115</v>
      </c>
      <c r="GC219">
        <v>23.982399999999998</v>
      </c>
      <c r="GD219">
        <v>19</v>
      </c>
      <c r="GE219">
        <v>287.60500000000002</v>
      </c>
      <c r="GF219">
        <v>593.78</v>
      </c>
      <c r="GG219">
        <v>25.789200000000001</v>
      </c>
      <c r="GH219">
        <v>25.640899999999998</v>
      </c>
      <c r="GI219">
        <v>30.000299999999999</v>
      </c>
      <c r="GJ219">
        <v>25.745200000000001</v>
      </c>
      <c r="GK219">
        <v>25.7133</v>
      </c>
      <c r="GL219">
        <v>35.268799999999999</v>
      </c>
      <c r="GM219">
        <v>100</v>
      </c>
      <c r="GN219">
        <v>0</v>
      </c>
      <c r="GO219">
        <v>25.776199999999999</v>
      </c>
      <c r="GP219">
        <v>800</v>
      </c>
      <c r="GQ219">
        <v>0</v>
      </c>
      <c r="GR219">
        <v>99.733999999999995</v>
      </c>
      <c r="GS219">
        <v>99.475499999999997</v>
      </c>
    </row>
    <row r="220" spans="1:201" x14ac:dyDescent="0.25">
      <c r="A220">
        <v>204</v>
      </c>
      <c r="B220">
        <v>1690288670.5</v>
      </c>
      <c r="C220">
        <v>2131.900000095367</v>
      </c>
      <c r="D220" t="s">
        <v>741</v>
      </c>
      <c r="E220" t="s">
        <v>742</v>
      </c>
      <c r="F220" t="s">
        <v>330</v>
      </c>
      <c r="H220">
        <v>1690288670.5</v>
      </c>
      <c r="I220">
        <f t="shared" si="90"/>
        <v>2.9758651391946773E-3</v>
      </c>
      <c r="J220">
        <f t="shared" si="91"/>
        <v>2.9758651391946773</v>
      </c>
      <c r="K220">
        <f t="shared" si="92"/>
        <v>46.140011140414465</v>
      </c>
      <c r="L220">
        <f t="shared" si="93"/>
        <v>342.673</v>
      </c>
      <c r="M220">
        <f t="shared" si="94"/>
        <v>97.179469448686987</v>
      </c>
      <c r="N220">
        <f t="shared" si="95"/>
        <v>9.6643257431136504</v>
      </c>
      <c r="O220">
        <f t="shared" si="96"/>
        <v>34.078221605425</v>
      </c>
      <c r="P220">
        <f t="shared" si="97"/>
        <v>0.32541600251612512</v>
      </c>
      <c r="Q220">
        <f t="shared" si="98"/>
        <v>2.298622924923488</v>
      </c>
      <c r="R220">
        <f t="shared" si="99"/>
        <v>0.30181849905300467</v>
      </c>
      <c r="S220">
        <f t="shared" si="100"/>
        <v>0.19061391088570462</v>
      </c>
      <c r="T220">
        <f t="shared" si="101"/>
        <v>276.11507323800004</v>
      </c>
      <c r="U220">
        <f t="shared" si="102"/>
        <v>27.803605062036983</v>
      </c>
      <c r="V220">
        <f t="shared" si="103"/>
        <v>27.803605062036983</v>
      </c>
      <c r="W220">
        <f t="shared" si="104"/>
        <v>3.7516083762975851</v>
      </c>
      <c r="X220">
        <f t="shared" si="105"/>
        <v>79.556947574546484</v>
      </c>
      <c r="Y220">
        <f t="shared" si="106"/>
        <v>2.803385793815</v>
      </c>
      <c r="Z220">
        <f t="shared" si="107"/>
        <v>3.5237473021299239</v>
      </c>
      <c r="AA220">
        <f t="shared" si="108"/>
        <v>0.94822258248258517</v>
      </c>
      <c r="AB220">
        <f t="shared" si="109"/>
        <v>-131.23565263848528</v>
      </c>
      <c r="AC220">
        <f t="shared" si="110"/>
        <v>-132.47469821296676</v>
      </c>
      <c r="AD220">
        <f t="shared" si="111"/>
        <v>-12.471242578419959</v>
      </c>
      <c r="AE220">
        <f t="shared" si="112"/>
        <v>-6.6520191871944689E-2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52512.856108487598</v>
      </c>
      <c r="AK220">
        <f t="shared" si="116"/>
        <v>1800</v>
      </c>
      <c r="AL220">
        <f t="shared" si="117"/>
        <v>1499.1121547999999</v>
      </c>
      <c r="AM220">
        <f t="shared" si="118"/>
        <v>0.83284008599999992</v>
      </c>
      <c r="AN220">
        <f t="shared" si="119"/>
        <v>0.15339726291000003</v>
      </c>
      <c r="AO220">
        <v>29.1</v>
      </c>
      <c r="AP220">
        <v>0.5</v>
      </c>
      <c r="AQ220" t="s">
        <v>331</v>
      </c>
      <c r="AR220">
        <v>2</v>
      </c>
      <c r="AS220">
        <v>1690288670.5</v>
      </c>
      <c r="AT220">
        <v>342.673</v>
      </c>
      <c r="AU220">
        <v>799.98699999999997</v>
      </c>
      <c r="AV220">
        <v>28.189399999999999</v>
      </c>
      <c r="AW220">
        <v>0.14554</v>
      </c>
      <c r="AX220">
        <v>343.58800000000002</v>
      </c>
      <c r="AY220">
        <v>27.998200000000001</v>
      </c>
      <c r="AZ220">
        <v>300.089</v>
      </c>
      <c r="BA220">
        <v>99.348200000000006</v>
      </c>
      <c r="BB220">
        <v>0.100025</v>
      </c>
      <c r="BC220">
        <v>26.7346</v>
      </c>
      <c r="BD220">
        <v>26.981400000000001</v>
      </c>
      <c r="BE220">
        <v>28.233499999999999</v>
      </c>
      <c r="BF220">
        <v>0</v>
      </c>
      <c r="BG220">
        <v>0</v>
      </c>
      <c r="BH220">
        <v>9986.8799999999992</v>
      </c>
      <c r="BI220">
        <v>1086.5899999999999</v>
      </c>
      <c r="BJ220">
        <v>1.2334499999999999</v>
      </c>
      <c r="BK220">
        <v>-457.31400000000002</v>
      </c>
      <c r="BL220">
        <v>352.613</v>
      </c>
      <c r="BM220">
        <v>800.10400000000004</v>
      </c>
      <c r="BN220">
        <v>28.043800000000001</v>
      </c>
      <c r="BO220">
        <v>799.98699999999997</v>
      </c>
      <c r="BP220">
        <v>0.14554</v>
      </c>
      <c r="BQ220">
        <v>2.8005599999999999</v>
      </c>
      <c r="BR220">
        <v>1.4459100000000001E-2</v>
      </c>
      <c r="BS220">
        <v>22.8874</v>
      </c>
      <c r="BT220">
        <v>-42.502400000000002</v>
      </c>
      <c r="BU220">
        <v>1800</v>
      </c>
      <c r="BV220">
        <v>0.91000400000000004</v>
      </c>
      <c r="BW220">
        <v>3.4001400000000001E-2</v>
      </c>
      <c r="BX220">
        <v>2.1998299999999998E-2</v>
      </c>
      <c r="BY220">
        <v>3.39963E-2</v>
      </c>
      <c r="BZ220">
        <v>25</v>
      </c>
      <c r="CA220">
        <v>33528.400000000001</v>
      </c>
      <c r="CB220">
        <v>1690286268.5999999</v>
      </c>
      <c r="CC220" t="s">
        <v>332</v>
      </c>
      <c r="CD220">
        <v>1690286261.0999999</v>
      </c>
      <c r="CE220">
        <v>1690286268.5999999</v>
      </c>
      <c r="CF220">
        <v>1</v>
      </c>
      <c r="CG220">
        <v>-0.89900000000000002</v>
      </c>
      <c r="CH220">
        <v>3.4000000000000002E-2</v>
      </c>
      <c r="CI220">
        <v>-1.2370000000000001</v>
      </c>
      <c r="CJ220">
        <v>8.5999999999999993E-2</v>
      </c>
      <c r="CK220">
        <v>799</v>
      </c>
      <c r="CL220">
        <v>16</v>
      </c>
      <c r="CM220">
        <v>0.28999999999999998</v>
      </c>
      <c r="CN220">
        <v>0.09</v>
      </c>
      <c r="CO220">
        <v>-457.22451219512197</v>
      </c>
      <c r="CP220">
        <v>-0.97963066202124516</v>
      </c>
      <c r="CQ220">
        <v>0.1031920118744399</v>
      </c>
      <c r="CR220">
        <v>-1</v>
      </c>
      <c r="CS220">
        <v>28.050421951219509</v>
      </c>
      <c r="CT220">
        <v>-5.5944250871056561E-2</v>
      </c>
      <c r="CU220">
        <v>5.6817857118752731E-3</v>
      </c>
      <c r="CV220">
        <v>-1</v>
      </c>
      <c r="CW220">
        <v>0</v>
      </c>
      <c r="CX220">
        <v>0</v>
      </c>
      <c r="CY220" t="s">
        <v>333</v>
      </c>
      <c r="CZ220">
        <v>2.3649900000000001</v>
      </c>
      <c r="DA220">
        <v>2.7138</v>
      </c>
      <c r="DB220">
        <v>7.9850199999999996E-2</v>
      </c>
      <c r="DC220">
        <v>0.146561</v>
      </c>
      <c r="DD220">
        <v>0.12798399999999999</v>
      </c>
      <c r="DE220">
        <v>1.23193E-3</v>
      </c>
      <c r="DF220">
        <v>33601.4</v>
      </c>
      <c r="DG220">
        <v>27487.9</v>
      </c>
      <c r="DH220">
        <v>31172.6</v>
      </c>
      <c r="DI220">
        <v>28063.7</v>
      </c>
      <c r="DJ220">
        <v>36885.800000000003</v>
      </c>
      <c r="DK220">
        <v>39846.699999999997</v>
      </c>
      <c r="DL220">
        <v>44357.4</v>
      </c>
      <c r="DM220">
        <v>42515</v>
      </c>
      <c r="DN220">
        <v>1.4933799999999999</v>
      </c>
      <c r="DO220">
        <v>2.0578500000000002</v>
      </c>
      <c r="DP220">
        <v>7.4841099999999994E-2</v>
      </c>
      <c r="DQ220">
        <v>0.17413500000000001</v>
      </c>
      <c r="DR220">
        <v>25.7562</v>
      </c>
      <c r="DS220">
        <v>25.384799999999998</v>
      </c>
      <c r="DT220">
        <v>28.1</v>
      </c>
      <c r="DU220">
        <v>26.4</v>
      </c>
      <c r="DV220">
        <v>9.7706599999999995</v>
      </c>
      <c r="DW220">
        <v>61.831499999999998</v>
      </c>
      <c r="DX220">
        <v>36.482399999999998</v>
      </c>
      <c r="DY220">
        <v>1</v>
      </c>
      <c r="DZ220">
        <v>-0.14028199999999999</v>
      </c>
      <c r="EA220">
        <v>-0.58945800000000004</v>
      </c>
      <c r="EB220">
        <v>20.1892</v>
      </c>
      <c r="EC220">
        <v>5.2416999999999998</v>
      </c>
      <c r="ED220">
        <v>12.039899999999999</v>
      </c>
      <c r="EE220">
        <v>5.01715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1.8687400000000001</v>
      </c>
      <c r="EL220">
        <v>1.8644700000000001</v>
      </c>
      <c r="EM220">
        <v>1.8690800000000001</v>
      </c>
      <c r="EN220">
        <v>1.8670899999999999</v>
      </c>
      <c r="EO220">
        <v>1.8632500000000001</v>
      </c>
      <c r="EP220">
        <v>1.86432</v>
      </c>
      <c r="EQ220">
        <v>1.87012</v>
      </c>
      <c r="ER220">
        <v>1.8693500000000001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-0.91500000000000004</v>
      </c>
      <c r="FG220">
        <v>0.19120000000000001</v>
      </c>
      <c r="FH220">
        <v>-0.68620417327404271</v>
      </c>
      <c r="FI220">
        <v>-6.1462078757559423E-4</v>
      </c>
      <c r="FJ220">
        <v>-1.8861989874597051E-7</v>
      </c>
      <c r="FK220">
        <v>1.1980462299894961E-10</v>
      </c>
      <c r="FL220">
        <v>0.1911242781723908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40.200000000000003</v>
      </c>
      <c r="FU220">
        <v>40</v>
      </c>
      <c r="FV220">
        <v>1.7639199999999999</v>
      </c>
      <c r="FW220">
        <v>2.5769000000000002</v>
      </c>
      <c r="FX220">
        <v>1.5490699999999999</v>
      </c>
      <c r="FY220">
        <v>2.33887</v>
      </c>
      <c r="FZ220">
        <v>1.50146</v>
      </c>
      <c r="GA220">
        <v>2.35107</v>
      </c>
      <c r="GB220">
        <v>31.4115</v>
      </c>
      <c r="GC220">
        <v>23.982399999999998</v>
      </c>
      <c r="GD220">
        <v>19</v>
      </c>
      <c r="GE220">
        <v>287.50799999999998</v>
      </c>
      <c r="GF220">
        <v>593.84799999999996</v>
      </c>
      <c r="GG220">
        <v>25.781199999999998</v>
      </c>
      <c r="GH220">
        <v>25.642299999999999</v>
      </c>
      <c r="GI220">
        <v>30.000299999999999</v>
      </c>
      <c r="GJ220">
        <v>25.745200000000001</v>
      </c>
      <c r="GK220">
        <v>25.715499999999999</v>
      </c>
      <c r="GL220">
        <v>35.2699</v>
      </c>
      <c r="GM220">
        <v>100</v>
      </c>
      <c r="GN220">
        <v>0</v>
      </c>
      <c r="GO220">
        <v>25.792400000000001</v>
      </c>
      <c r="GP220">
        <v>800</v>
      </c>
      <c r="GQ220">
        <v>0</v>
      </c>
      <c r="GR220">
        <v>99.733599999999996</v>
      </c>
      <c r="GS220">
        <v>99.475800000000007</v>
      </c>
    </row>
    <row r="221" spans="1:201" x14ac:dyDescent="0.25">
      <c r="A221">
        <v>205</v>
      </c>
      <c r="B221">
        <v>1690288680.5</v>
      </c>
      <c r="C221">
        <v>2141.900000095367</v>
      </c>
      <c r="D221" t="s">
        <v>743</v>
      </c>
      <c r="E221" t="s">
        <v>744</v>
      </c>
      <c r="F221" t="s">
        <v>330</v>
      </c>
      <c r="H221">
        <v>1690288680.5</v>
      </c>
      <c r="I221">
        <f t="shared" si="90"/>
        <v>2.9774870742796757E-3</v>
      </c>
      <c r="J221">
        <f t="shared" si="91"/>
        <v>2.9774870742796757</v>
      </c>
      <c r="K221">
        <f t="shared" si="92"/>
        <v>46.169672598841501</v>
      </c>
      <c r="L221">
        <f t="shared" si="93"/>
        <v>342.49099999999999</v>
      </c>
      <c r="M221">
        <f t="shared" si="94"/>
        <v>97.182504981551432</v>
      </c>
      <c r="N221">
        <f t="shared" si="95"/>
        <v>9.6645826259691408</v>
      </c>
      <c r="O221">
        <f t="shared" si="96"/>
        <v>34.059963455141997</v>
      </c>
      <c r="P221">
        <f t="shared" si="97"/>
        <v>0.32592646155106691</v>
      </c>
      <c r="Q221">
        <f t="shared" si="98"/>
        <v>2.2956957688961293</v>
      </c>
      <c r="R221">
        <f t="shared" si="99"/>
        <v>0.30222992574550189</v>
      </c>
      <c r="S221">
        <f t="shared" si="100"/>
        <v>0.19087897336907539</v>
      </c>
      <c r="T221">
        <f t="shared" si="101"/>
        <v>276.11355800326675</v>
      </c>
      <c r="U221">
        <f t="shared" si="102"/>
        <v>27.803512424005319</v>
      </c>
      <c r="V221">
        <f t="shared" si="103"/>
        <v>27.803512424005319</v>
      </c>
      <c r="W221">
        <f t="shared" si="104"/>
        <v>3.7515880862430198</v>
      </c>
      <c r="X221">
        <f t="shared" si="105"/>
        <v>79.582337062274917</v>
      </c>
      <c r="Y221">
        <f t="shared" si="106"/>
        <v>2.8041484346663998</v>
      </c>
      <c r="Z221">
        <f t="shared" si="107"/>
        <v>3.5235814103726213</v>
      </c>
      <c r="AA221">
        <f t="shared" si="108"/>
        <v>0.94743965157661991</v>
      </c>
      <c r="AB221">
        <f t="shared" si="109"/>
        <v>-131.3071799757337</v>
      </c>
      <c r="AC221">
        <f t="shared" si="110"/>
        <v>-132.39354681198662</v>
      </c>
      <c r="AD221">
        <f t="shared" si="111"/>
        <v>-12.479439219127377</v>
      </c>
      <c r="AE221">
        <f t="shared" si="112"/>
        <v>-6.6608003580938657E-2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52402.313893057035</v>
      </c>
      <c r="AK221">
        <f t="shared" si="116"/>
        <v>1799.99</v>
      </c>
      <c r="AL221">
        <f t="shared" si="117"/>
        <v>1499.10424219683</v>
      </c>
      <c r="AM221">
        <f t="shared" si="118"/>
        <v>0.83284031699999994</v>
      </c>
      <c r="AN221">
        <f t="shared" si="119"/>
        <v>0.15339727331999997</v>
      </c>
      <c r="AO221">
        <v>29.1</v>
      </c>
      <c r="AP221">
        <v>0.5</v>
      </c>
      <c r="AQ221" t="s">
        <v>331</v>
      </c>
      <c r="AR221">
        <v>2</v>
      </c>
      <c r="AS221">
        <v>1690288680.5</v>
      </c>
      <c r="AT221">
        <v>342.49099999999999</v>
      </c>
      <c r="AU221">
        <v>799.98299999999995</v>
      </c>
      <c r="AV221">
        <v>28.197199999999999</v>
      </c>
      <c r="AW221">
        <v>0.145011</v>
      </c>
      <c r="AX221">
        <v>343.40600000000001</v>
      </c>
      <c r="AY221">
        <v>28.0061</v>
      </c>
      <c r="AZ221">
        <v>300.161</v>
      </c>
      <c r="BA221">
        <v>99.347700000000003</v>
      </c>
      <c r="BB221">
        <v>0.100062</v>
      </c>
      <c r="BC221">
        <v>26.733799999999999</v>
      </c>
      <c r="BD221">
        <v>27.011099999999999</v>
      </c>
      <c r="BE221">
        <v>28.255800000000001</v>
      </c>
      <c r="BF221">
        <v>0</v>
      </c>
      <c r="BG221">
        <v>0</v>
      </c>
      <c r="BH221">
        <v>9965</v>
      </c>
      <c r="BI221">
        <v>1086.58</v>
      </c>
      <c r="BJ221">
        <v>1.2334499999999999</v>
      </c>
      <c r="BK221">
        <v>-457.49200000000002</v>
      </c>
      <c r="BL221">
        <v>352.42899999999997</v>
      </c>
      <c r="BM221">
        <v>800.09900000000005</v>
      </c>
      <c r="BN221">
        <v>28.052199999999999</v>
      </c>
      <c r="BO221">
        <v>799.98299999999995</v>
      </c>
      <c r="BP221">
        <v>0.145011</v>
      </c>
      <c r="BQ221">
        <v>2.80132</v>
      </c>
      <c r="BR221">
        <v>1.4406499999999999E-2</v>
      </c>
      <c r="BS221">
        <v>22.8919</v>
      </c>
      <c r="BT221">
        <v>-42.5364</v>
      </c>
      <c r="BU221">
        <v>1799.99</v>
      </c>
      <c r="BV221">
        <v>0.91000499999999995</v>
      </c>
      <c r="BW221">
        <v>3.4001099999999999E-2</v>
      </c>
      <c r="BX221">
        <v>2.19981E-2</v>
      </c>
      <c r="BY221">
        <v>3.3995999999999998E-2</v>
      </c>
      <c r="BZ221">
        <v>25</v>
      </c>
      <c r="CA221">
        <v>33528.199999999997</v>
      </c>
      <c r="CB221">
        <v>1690286268.5999999</v>
      </c>
      <c r="CC221" t="s">
        <v>332</v>
      </c>
      <c r="CD221">
        <v>1690286261.0999999</v>
      </c>
      <c r="CE221">
        <v>1690286268.5999999</v>
      </c>
      <c r="CF221">
        <v>1</v>
      </c>
      <c r="CG221">
        <v>-0.89900000000000002</v>
      </c>
      <c r="CH221">
        <v>3.4000000000000002E-2</v>
      </c>
      <c r="CI221">
        <v>-1.2370000000000001</v>
      </c>
      <c r="CJ221">
        <v>8.5999999999999993E-2</v>
      </c>
      <c r="CK221">
        <v>799</v>
      </c>
      <c r="CL221">
        <v>16</v>
      </c>
      <c r="CM221">
        <v>0.28999999999999998</v>
      </c>
      <c r="CN221">
        <v>0.09</v>
      </c>
      <c r="CO221">
        <v>-457.33429268292679</v>
      </c>
      <c r="CP221">
        <v>-0.4643414634149074</v>
      </c>
      <c r="CQ221">
        <v>5.2259317713913608E-2</v>
      </c>
      <c r="CR221">
        <v>-1</v>
      </c>
      <c r="CS221">
        <v>28.04653658536585</v>
      </c>
      <c r="CT221">
        <v>1.3151916376282231E-2</v>
      </c>
      <c r="CU221">
        <v>2.28256980739677E-3</v>
      </c>
      <c r="CV221">
        <v>-1</v>
      </c>
      <c r="CW221">
        <v>0</v>
      </c>
      <c r="CX221">
        <v>0</v>
      </c>
      <c r="CY221" t="s">
        <v>333</v>
      </c>
      <c r="CZ221">
        <v>2.3652299999999999</v>
      </c>
      <c r="DA221">
        <v>2.7138200000000001</v>
      </c>
      <c r="DB221">
        <v>7.9815999999999998E-2</v>
      </c>
      <c r="DC221">
        <v>0.14655899999999999</v>
      </c>
      <c r="DD221">
        <v>0.12800700000000001</v>
      </c>
      <c r="DE221">
        <v>1.22748E-3</v>
      </c>
      <c r="DF221">
        <v>33603.4</v>
      </c>
      <c r="DG221">
        <v>27488.6</v>
      </c>
      <c r="DH221">
        <v>31173.3</v>
      </c>
      <c r="DI221">
        <v>28064.400000000001</v>
      </c>
      <c r="DJ221">
        <v>36885.699999999997</v>
      </c>
      <c r="DK221">
        <v>39847.800000000003</v>
      </c>
      <c r="DL221">
        <v>44358.6</v>
      </c>
      <c r="DM221">
        <v>42516</v>
      </c>
      <c r="DN221">
        <v>1.4936499999999999</v>
      </c>
      <c r="DO221">
        <v>2.0576699999999999</v>
      </c>
      <c r="DP221">
        <v>7.6711199999999993E-2</v>
      </c>
      <c r="DQ221">
        <v>0.17565500000000001</v>
      </c>
      <c r="DR221">
        <v>25.755299999999998</v>
      </c>
      <c r="DS221">
        <v>25.382300000000001</v>
      </c>
      <c r="DT221">
        <v>28</v>
      </c>
      <c r="DU221">
        <v>26.4</v>
      </c>
      <c r="DV221">
        <v>9.7379800000000003</v>
      </c>
      <c r="DW221">
        <v>62.271500000000003</v>
      </c>
      <c r="DX221">
        <v>36.362200000000001</v>
      </c>
      <c r="DY221">
        <v>1</v>
      </c>
      <c r="DZ221">
        <v>-0.14050099999999999</v>
      </c>
      <c r="EA221">
        <v>-0.59501099999999996</v>
      </c>
      <c r="EB221">
        <v>20.1891</v>
      </c>
      <c r="EC221">
        <v>5.242</v>
      </c>
      <c r="ED221">
        <v>12.039899999999999</v>
      </c>
      <c r="EE221">
        <v>5.0171999999999999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1.86876</v>
      </c>
      <c r="EL221">
        <v>1.8644700000000001</v>
      </c>
      <c r="EM221">
        <v>1.8691</v>
      </c>
      <c r="EN221">
        <v>1.86711</v>
      </c>
      <c r="EO221">
        <v>1.8632500000000001</v>
      </c>
      <c r="EP221">
        <v>1.86432</v>
      </c>
      <c r="EQ221">
        <v>1.8701000000000001</v>
      </c>
      <c r="ER221">
        <v>1.86934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-0.91500000000000004</v>
      </c>
      <c r="FG221">
        <v>0.19109999999999999</v>
      </c>
      <c r="FH221">
        <v>-0.68620417327404271</v>
      </c>
      <c r="FI221">
        <v>-6.1462078757559423E-4</v>
      </c>
      <c r="FJ221">
        <v>-1.8861989874597051E-7</v>
      </c>
      <c r="FK221">
        <v>1.1980462299894961E-10</v>
      </c>
      <c r="FL221">
        <v>0.1911242781723908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40.299999999999997</v>
      </c>
      <c r="FU221">
        <v>40.200000000000003</v>
      </c>
      <c r="FV221">
        <v>1.7639199999999999</v>
      </c>
      <c r="FW221">
        <v>2.5683600000000002</v>
      </c>
      <c r="FX221">
        <v>1.5490699999999999</v>
      </c>
      <c r="FY221">
        <v>2.33887</v>
      </c>
      <c r="FZ221">
        <v>1.50146</v>
      </c>
      <c r="GA221">
        <v>2.3938000000000001</v>
      </c>
      <c r="GB221">
        <v>31.433299999999999</v>
      </c>
      <c r="GC221">
        <v>23.982399999999998</v>
      </c>
      <c r="GD221">
        <v>19</v>
      </c>
      <c r="GE221">
        <v>287.63600000000002</v>
      </c>
      <c r="GF221">
        <v>593.702</v>
      </c>
      <c r="GG221">
        <v>25.795300000000001</v>
      </c>
      <c r="GH221">
        <v>25.6431</v>
      </c>
      <c r="GI221">
        <v>29.9999</v>
      </c>
      <c r="GJ221">
        <v>25.747399999999999</v>
      </c>
      <c r="GK221">
        <v>25.715499999999999</v>
      </c>
      <c r="GL221">
        <v>35.270899999999997</v>
      </c>
      <c r="GM221">
        <v>100</v>
      </c>
      <c r="GN221">
        <v>0</v>
      </c>
      <c r="GO221">
        <v>25.79</v>
      </c>
      <c r="GP221">
        <v>800</v>
      </c>
      <c r="GQ221">
        <v>0</v>
      </c>
      <c r="GR221">
        <v>99.736000000000004</v>
      </c>
      <c r="GS221">
        <v>99.478200000000001</v>
      </c>
    </row>
    <row r="222" spans="1:201" x14ac:dyDescent="0.25">
      <c r="A222">
        <v>206</v>
      </c>
      <c r="B222">
        <v>1690288690.5</v>
      </c>
      <c r="C222">
        <v>2151.900000095367</v>
      </c>
      <c r="D222" t="s">
        <v>745</v>
      </c>
      <c r="E222" t="s">
        <v>746</v>
      </c>
      <c r="F222" t="s">
        <v>330</v>
      </c>
      <c r="H222">
        <v>1690288690.5</v>
      </c>
      <c r="I222">
        <f t="shared" si="90"/>
        <v>2.9776265849831775E-3</v>
      </c>
      <c r="J222">
        <f t="shared" si="91"/>
        <v>2.9776265849831773</v>
      </c>
      <c r="K222">
        <f t="shared" si="92"/>
        <v>46.16598943558796</v>
      </c>
      <c r="L222">
        <f t="shared" si="93"/>
        <v>342.41699999999997</v>
      </c>
      <c r="M222">
        <f t="shared" si="94"/>
        <v>97.566756205246804</v>
      </c>
      <c r="N222">
        <f t="shared" si="95"/>
        <v>9.7031026903599411</v>
      </c>
      <c r="O222">
        <f t="shared" si="96"/>
        <v>34.053682249469993</v>
      </c>
      <c r="P222">
        <f t="shared" si="97"/>
        <v>0.3264271741585511</v>
      </c>
      <c r="Q222">
        <f t="shared" si="98"/>
        <v>2.3090456205386132</v>
      </c>
      <c r="R222">
        <f t="shared" si="99"/>
        <v>0.30278736185794497</v>
      </c>
      <c r="S222">
        <f t="shared" si="100"/>
        <v>0.191223183504586</v>
      </c>
      <c r="T222">
        <f t="shared" si="101"/>
        <v>276.11485729200001</v>
      </c>
      <c r="U222">
        <f t="shared" si="102"/>
        <v>27.800017514724964</v>
      </c>
      <c r="V222">
        <f t="shared" si="103"/>
        <v>27.800017514724964</v>
      </c>
      <c r="W222">
        <f t="shared" si="104"/>
        <v>3.7508226833149441</v>
      </c>
      <c r="X222">
        <f t="shared" si="105"/>
        <v>79.597694239722387</v>
      </c>
      <c r="Y222">
        <f t="shared" si="106"/>
        <v>2.8050526969140002</v>
      </c>
      <c r="Z222">
        <f t="shared" si="107"/>
        <v>3.5240376291128399</v>
      </c>
      <c r="AA222">
        <f t="shared" si="108"/>
        <v>0.9457699864009439</v>
      </c>
      <c r="AB222">
        <f t="shared" si="109"/>
        <v>-131.31333239775813</v>
      </c>
      <c r="AC222">
        <f t="shared" si="110"/>
        <v>-132.45450493934641</v>
      </c>
      <c r="AD222">
        <f t="shared" si="111"/>
        <v>-12.412920766157132</v>
      </c>
      <c r="AE222">
        <f t="shared" si="112"/>
        <v>-6.5900811261656145E-2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52907.761113957087</v>
      </c>
      <c r="AK222">
        <f t="shared" si="116"/>
        <v>1800</v>
      </c>
      <c r="AL222">
        <f t="shared" si="117"/>
        <v>1499.1118902000001</v>
      </c>
      <c r="AM222">
        <f t="shared" si="118"/>
        <v>0.83283993899999997</v>
      </c>
      <c r="AN222">
        <f t="shared" si="119"/>
        <v>0.15339714294000001</v>
      </c>
      <c r="AO222">
        <v>29.1</v>
      </c>
      <c r="AP222">
        <v>0.5</v>
      </c>
      <c r="AQ222" t="s">
        <v>331</v>
      </c>
      <c r="AR222">
        <v>2</v>
      </c>
      <c r="AS222">
        <v>1690288690.5</v>
      </c>
      <c r="AT222">
        <v>342.41699999999997</v>
      </c>
      <c r="AU222">
        <v>799.98900000000003</v>
      </c>
      <c r="AV222">
        <v>28.205400000000001</v>
      </c>
      <c r="AW222">
        <v>0.14493500000000001</v>
      </c>
      <c r="AX222">
        <v>343.33100000000002</v>
      </c>
      <c r="AY222">
        <v>28.014299999999999</v>
      </c>
      <c r="AZ222">
        <v>300.084</v>
      </c>
      <c r="BA222">
        <v>99.350999999999999</v>
      </c>
      <c r="BB222">
        <v>9.9909999999999999E-2</v>
      </c>
      <c r="BC222">
        <v>26.736000000000001</v>
      </c>
      <c r="BD222">
        <v>27.005199999999999</v>
      </c>
      <c r="BE222">
        <v>28.235800000000001</v>
      </c>
      <c r="BF222">
        <v>0</v>
      </c>
      <c r="BG222">
        <v>0</v>
      </c>
      <c r="BH222">
        <v>10065</v>
      </c>
      <c r="BI222">
        <v>1086.53</v>
      </c>
      <c r="BJ222">
        <v>1.1409499999999999</v>
      </c>
      <c r="BK222">
        <v>-457.572</v>
      </c>
      <c r="BL222">
        <v>352.35500000000002</v>
      </c>
      <c r="BM222">
        <v>800.10500000000002</v>
      </c>
      <c r="BN222">
        <v>28.060500000000001</v>
      </c>
      <c r="BO222">
        <v>799.98900000000003</v>
      </c>
      <c r="BP222">
        <v>0.14493500000000001</v>
      </c>
      <c r="BQ222">
        <v>2.8022399999999998</v>
      </c>
      <c r="BR222">
        <v>1.4399500000000001E-2</v>
      </c>
      <c r="BS222">
        <v>22.897300000000001</v>
      </c>
      <c r="BT222">
        <v>-42.540999999999997</v>
      </c>
      <c r="BU222">
        <v>1800</v>
      </c>
      <c r="BV222">
        <v>0.91000599999999998</v>
      </c>
      <c r="BW222">
        <v>3.4000500000000003E-2</v>
      </c>
      <c r="BX222">
        <v>2.1997699999999999E-2</v>
      </c>
      <c r="BY222">
        <v>3.3995400000000002E-2</v>
      </c>
      <c r="BZ222">
        <v>25</v>
      </c>
      <c r="CA222">
        <v>33528.400000000001</v>
      </c>
      <c r="CB222">
        <v>1690286268.5999999</v>
      </c>
      <c r="CC222" t="s">
        <v>332</v>
      </c>
      <c r="CD222">
        <v>1690286261.0999999</v>
      </c>
      <c r="CE222">
        <v>1690286268.5999999</v>
      </c>
      <c r="CF222">
        <v>1</v>
      </c>
      <c r="CG222">
        <v>-0.89900000000000002</v>
      </c>
      <c r="CH222">
        <v>3.4000000000000002E-2</v>
      </c>
      <c r="CI222">
        <v>-1.2370000000000001</v>
      </c>
      <c r="CJ222">
        <v>8.5999999999999993E-2</v>
      </c>
      <c r="CK222">
        <v>799</v>
      </c>
      <c r="CL222">
        <v>16</v>
      </c>
      <c r="CM222">
        <v>0.28999999999999998</v>
      </c>
      <c r="CN222">
        <v>0.09</v>
      </c>
      <c r="CO222">
        <v>-457.44385365853668</v>
      </c>
      <c r="CP222">
        <v>-0.92153310104527486</v>
      </c>
      <c r="CQ222">
        <v>9.410957831441695E-2</v>
      </c>
      <c r="CR222">
        <v>-1</v>
      </c>
      <c r="CS222">
        <v>28.051768292682929</v>
      </c>
      <c r="CT222">
        <v>5.2034843205614571E-2</v>
      </c>
      <c r="CU222">
        <v>5.1654782332083409E-3</v>
      </c>
      <c r="CV222">
        <v>-1</v>
      </c>
      <c r="CW222">
        <v>0</v>
      </c>
      <c r="CX222">
        <v>0</v>
      </c>
      <c r="CY222" t="s">
        <v>333</v>
      </c>
      <c r="CZ222">
        <v>2.3649800000000001</v>
      </c>
      <c r="DA222">
        <v>2.7137600000000002</v>
      </c>
      <c r="DB222">
        <v>7.98045E-2</v>
      </c>
      <c r="DC222">
        <v>0.146564</v>
      </c>
      <c r="DD222">
        <v>0.12803600000000001</v>
      </c>
      <c r="DE222">
        <v>1.2268800000000001E-3</v>
      </c>
      <c r="DF222">
        <v>33603.599999999999</v>
      </c>
      <c r="DG222">
        <v>27488.2</v>
      </c>
      <c r="DH222">
        <v>31173.1</v>
      </c>
      <c r="DI222">
        <v>28064.1</v>
      </c>
      <c r="DJ222">
        <v>36884.1</v>
      </c>
      <c r="DK222">
        <v>39847.5</v>
      </c>
      <c r="DL222">
        <v>44358.2</v>
      </c>
      <c r="DM222">
        <v>42515.7</v>
      </c>
      <c r="DN222">
        <v>1.4935700000000001</v>
      </c>
      <c r="DO222">
        <v>2.0579800000000001</v>
      </c>
      <c r="DP222">
        <v>7.6219400000000007E-2</v>
      </c>
      <c r="DQ222">
        <v>0.17435100000000001</v>
      </c>
      <c r="DR222">
        <v>25.7575</v>
      </c>
      <c r="DS222">
        <v>25.383600000000001</v>
      </c>
      <c r="DT222">
        <v>28</v>
      </c>
      <c r="DU222">
        <v>26.4</v>
      </c>
      <c r="DV222">
        <v>9.7378800000000005</v>
      </c>
      <c r="DW222">
        <v>61.061500000000002</v>
      </c>
      <c r="DX222">
        <v>36.782899999999998</v>
      </c>
      <c r="DY222">
        <v>1</v>
      </c>
      <c r="DZ222">
        <v>-0.14064299999999999</v>
      </c>
      <c r="EA222">
        <v>-0.57754099999999997</v>
      </c>
      <c r="EB222">
        <v>20.1891</v>
      </c>
      <c r="EC222">
        <v>5.2415500000000002</v>
      </c>
      <c r="ED222">
        <v>12.039899999999999</v>
      </c>
      <c r="EE222">
        <v>5.0168999999999997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1.8687499999999999</v>
      </c>
      <c r="EL222">
        <v>1.8644700000000001</v>
      </c>
      <c r="EM222">
        <v>1.8691</v>
      </c>
      <c r="EN222">
        <v>1.8671</v>
      </c>
      <c r="EO222">
        <v>1.8632500000000001</v>
      </c>
      <c r="EP222">
        <v>1.86432</v>
      </c>
      <c r="EQ222">
        <v>1.87012</v>
      </c>
      <c r="ER222">
        <v>1.86934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-0.91400000000000003</v>
      </c>
      <c r="FG222">
        <v>0.19109999999999999</v>
      </c>
      <c r="FH222">
        <v>-0.68620417327404271</v>
      </c>
      <c r="FI222">
        <v>-6.1462078757559423E-4</v>
      </c>
      <c r="FJ222">
        <v>-1.8861989874597051E-7</v>
      </c>
      <c r="FK222">
        <v>1.1980462299894961E-10</v>
      </c>
      <c r="FL222">
        <v>0.1911242781723908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40.5</v>
      </c>
      <c r="FU222">
        <v>40.4</v>
      </c>
      <c r="FV222">
        <v>1.7639199999999999</v>
      </c>
      <c r="FW222">
        <v>2.5708000000000002</v>
      </c>
      <c r="FX222">
        <v>1.5490699999999999</v>
      </c>
      <c r="FY222">
        <v>2.34009</v>
      </c>
      <c r="FZ222">
        <v>1.50146</v>
      </c>
      <c r="GA222">
        <v>2.3791500000000001</v>
      </c>
      <c r="GB222">
        <v>31.433299999999999</v>
      </c>
      <c r="GC222">
        <v>23.991199999999999</v>
      </c>
      <c r="GD222">
        <v>19</v>
      </c>
      <c r="GE222">
        <v>287.60899999999998</v>
      </c>
      <c r="GF222">
        <v>593.97699999999998</v>
      </c>
      <c r="GG222">
        <v>25.791799999999999</v>
      </c>
      <c r="GH222">
        <v>25.6434</v>
      </c>
      <c r="GI222">
        <v>30.0001</v>
      </c>
      <c r="GJ222">
        <v>25.748699999999999</v>
      </c>
      <c r="GK222">
        <v>25.717600000000001</v>
      </c>
      <c r="GL222">
        <v>35.273200000000003</v>
      </c>
      <c r="GM222">
        <v>100</v>
      </c>
      <c r="GN222">
        <v>0</v>
      </c>
      <c r="GO222">
        <v>25.791699999999999</v>
      </c>
      <c r="GP222">
        <v>800</v>
      </c>
      <c r="GQ222">
        <v>0</v>
      </c>
      <c r="GR222">
        <v>99.735200000000006</v>
      </c>
      <c r="GS222">
        <v>99.477400000000003</v>
      </c>
    </row>
    <row r="223" spans="1:201" x14ac:dyDescent="0.25">
      <c r="A223">
        <v>207</v>
      </c>
      <c r="B223">
        <v>1690288700.5</v>
      </c>
      <c r="C223">
        <v>2161.900000095367</v>
      </c>
      <c r="D223" t="s">
        <v>747</v>
      </c>
      <c r="E223" t="s">
        <v>748</v>
      </c>
      <c r="F223" t="s">
        <v>330</v>
      </c>
      <c r="H223">
        <v>1690288700.5</v>
      </c>
      <c r="I223">
        <f t="shared" si="90"/>
        <v>2.9791987421242585E-3</v>
      </c>
      <c r="J223">
        <f t="shared" si="91"/>
        <v>2.9791987421242583</v>
      </c>
      <c r="K223">
        <f t="shared" si="92"/>
        <v>46.20390818761792</v>
      </c>
      <c r="L223">
        <f t="shared" si="93"/>
        <v>342.25599999999997</v>
      </c>
      <c r="M223">
        <f t="shared" si="94"/>
        <v>96.925083201784503</v>
      </c>
      <c r="N223">
        <f t="shared" si="95"/>
        <v>9.6390753633858868</v>
      </c>
      <c r="O223">
        <f t="shared" si="96"/>
        <v>34.036920770063993</v>
      </c>
      <c r="P223">
        <f t="shared" si="97"/>
        <v>0.3261342227746063</v>
      </c>
      <c r="Q223">
        <f t="shared" si="98"/>
        <v>2.2969618065129254</v>
      </c>
      <c r="R223">
        <f t="shared" si="99"/>
        <v>0.30242070314981589</v>
      </c>
      <c r="S223">
        <f t="shared" si="100"/>
        <v>0.19099962069386656</v>
      </c>
      <c r="T223">
        <f t="shared" si="101"/>
        <v>276.11479672199999</v>
      </c>
      <c r="U223">
        <f t="shared" si="102"/>
        <v>27.808919187849391</v>
      </c>
      <c r="V223">
        <f t="shared" si="103"/>
        <v>27.808919187849391</v>
      </c>
      <c r="W223">
        <f t="shared" si="104"/>
        <v>3.7527724635578288</v>
      </c>
      <c r="X223">
        <f t="shared" si="105"/>
        <v>79.587087090442537</v>
      </c>
      <c r="Y223">
        <f t="shared" si="106"/>
        <v>2.8053886937585997</v>
      </c>
      <c r="Z223">
        <f t="shared" si="107"/>
        <v>3.5249294782840388</v>
      </c>
      <c r="AA223">
        <f t="shared" si="108"/>
        <v>0.94738376979922911</v>
      </c>
      <c r="AB223">
        <f t="shared" si="109"/>
        <v>-131.38266452767979</v>
      </c>
      <c r="AC223">
        <f t="shared" si="110"/>
        <v>-132.33118003413574</v>
      </c>
      <c r="AD223">
        <f t="shared" si="111"/>
        <v>-12.467426805886854</v>
      </c>
      <c r="AE223">
        <f t="shared" si="112"/>
        <v>-6.6474645702413682E-2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52449.049523325804</v>
      </c>
      <c r="AK223">
        <f t="shared" si="116"/>
        <v>1800</v>
      </c>
      <c r="AL223">
        <f t="shared" si="117"/>
        <v>1499.1123041999999</v>
      </c>
      <c r="AM223">
        <f t="shared" si="118"/>
        <v>0.83284016900000002</v>
      </c>
      <c r="AN223">
        <f t="shared" si="119"/>
        <v>0.15339710929</v>
      </c>
      <c r="AO223">
        <v>29.1</v>
      </c>
      <c r="AP223">
        <v>0.5</v>
      </c>
      <c r="AQ223" t="s">
        <v>331</v>
      </c>
      <c r="AR223">
        <v>2</v>
      </c>
      <c r="AS223">
        <v>1690288700.5</v>
      </c>
      <c r="AT223">
        <v>342.25599999999997</v>
      </c>
      <c r="AU223">
        <v>800.03</v>
      </c>
      <c r="AV223">
        <v>28.209399999999999</v>
      </c>
      <c r="AW223">
        <v>0.144429</v>
      </c>
      <c r="AX223">
        <v>343.17099999999999</v>
      </c>
      <c r="AY223">
        <v>28.0183</v>
      </c>
      <c r="AZ223">
        <v>300.19299999999998</v>
      </c>
      <c r="BA223">
        <v>99.348699999999994</v>
      </c>
      <c r="BB223">
        <v>0.100019</v>
      </c>
      <c r="BC223">
        <v>26.740300000000001</v>
      </c>
      <c r="BD223">
        <v>27.0198</v>
      </c>
      <c r="BE223">
        <v>28.254000000000001</v>
      </c>
      <c r="BF223">
        <v>0</v>
      </c>
      <c r="BG223">
        <v>0</v>
      </c>
      <c r="BH223">
        <v>9974.3799999999992</v>
      </c>
      <c r="BI223">
        <v>1086.53</v>
      </c>
      <c r="BJ223">
        <v>1.2334499999999999</v>
      </c>
      <c r="BK223">
        <v>-457.774</v>
      </c>
      <c r="BL223">
        <v>352.19099999999997</v>
      </c>
      <c r="BM223">
        <v>800.14599999999996</v>
      </c>
      <c r="BN223">
        <v>28.065000000000001</v>
      </c>
      <c r="BO223">
        <v>800.03</v>
      </c>
      <c r="BP223">
        <v>0.144429</v>
      </c>
      <c r="BQ223">
        <v>2.8025699999999998</v>
      </c>
      <c r="BR223">
        <v>1.43488E-2</v>
      </c>
      <c r="BS223">
        <v>22.8992</v>
      </c>
      <c r="BT223">
        <v>-42.573900000000002</v>
      </c>
      <c r="BU223">
        <v>1800</v>
      </c>
      <c r="BV223">
        <v>0.91000800000000004</v>
      </c>
      <c r="BW223">
        <v>3.3999799999999997E-2</v>
      </c>
      <c r="BX223">
        <v>2.1997200000000001E-2</v>
      </c>
      <c r="BY223">
        <v>3.3994700000000003E-2</v>
      </c>
      <c r="BZ223">
        <v>25</v>
      </c>
      <c r="CA223">
        <v>33528.400000000001</v>
      </c>
      <c r="CB223">
        <v>1690286268.5999999</v>
      </c>
      <c r="CC223" t="s">
        <v>332</v>
      </c>
      <c r="CD223">
        <v>1690286261.0999999</v>
      </c>
      <c r="CE223">
        <v>1690286268.5999999</v>
      </c>
      <c r="CF223">
        <v>1</v>
      </c>
      <c r="CG223">
        <v>-0.89900000000000002</v>
      </c>
      <c r="CH223">
        <v>3.4000000000000002E-2</v>
      </c>
      <c r="CI223">
        <v>-1.2370000000000001</v>
      </c>
      <c r="CJ223">
        <v>8.5999999999999993E-2</v>
      </c>
      <c r="CK223">
        <v>799</v>
      </c>
      <c r="CL223">
        <v>16</v>
      </c>
      <c r="CM223">
        <v>0.28999999999999998</v>
      </c>
      <c r="CN223">
        <v>0.09</v>
      </c>
      <c r="CO223">
        <v>-457.59137500000008</v>
      </c>
      <c r="CP223">
        <v>-0.71253658536539632</v>
      </c>
      <c r="CQ223">
        <v>7.8422792445816805E-2</v>
      </c>
      <c r="CR223">
        <v>-1</v>
      </c>
      <c r="CS223">
        <v>28.0598375</v>
      </c>
      <c r="CT223">
        <v>3.7491557223163663E-2</v>
      </c>
      <c r="CU223">
        <v>3.899531221826358E-3</v>
      </c>
      <c r="CV223">
        <v>-1</v>
      </c>
      <c r="CW223">
        <v>0</v>
      </c>
      <c r="CX223">
        <v>0</v>
      </c>
      <c r="CY223" t="s">
        <v>333</v>
      </c>
      <c r="CZ223">
        <v>2.36531</v>
      </c>
      <c r="DA223">
        <v>2.7137899999999999</v>
      </c>
      <c r="DB223">
        <v>7.9773300000000005E-2</v>
      </c>
      <c r="DC223">
        <v>0.146566</v>
      </c>
      <c r="DD223">
        <v>0.12804599999999999</v>
      </c>
      <c r="DE223">
        <v>1.2226100000000001E-3</v>
      </c>
      <c r="DF223">
        <v>33604.5</v>
      </c>
      <c r="DG223">
        <v>27487.9</v>
      </c>
      <c r="DH223">
        <v>31172.9</v>
      </c>
      <c r="DI223">
        <v>28064</v>
      </c>
      <c r="DJ223">
        <v>36883.599999999999</v>
      </c>
      <c r="DK223">
        <v>39847.599999999999</v>
      </c>
      <c r="DL223">
        <v>44358.1</v>
      </c>
      <c r="DM223">
        <v>42515.7</v>
      </c>
      <c r="DN223">
        <v>1.4938499999999999</v>
      </c>
      <c r="DO223">
        <v>2.0574300000000001</v>
      </c>
      <c r="DP223">
        <v>7.6979400000000003E-2</v>
      </c>
      <c r="DQ223">
        <v>0.17536399999999999</v>
      </c>
      <c r="DR223">
        <v>25.759599999999999</v>
      </c>
      <c r="DS223">
        <v>25.385200000000001</v>
      </c>
      <c r="DT223">
        <v>28</v>
      </c>
      <c r="DU223">
        <v>26.4</v>
      </c>
      <c r="DV223">
        <v>9.7378</v>
      </c>
      <c r="DW223">
        <v>62.0715</v>
      </c>
      <c r="DX223">
        <v>37.211500000000001</v>
      </c>
      <c r="DY223">
        <v>1</v>
      </c>
      <c r="DZ223">
        <v>-0.140158</v>
      </c>
      <c r="EA223">
        <v>-0.55821100000000001</v>
      </c>
      <c r="EB223">
        <v>20.1892</v>
      </c>
      <c r="EC223">
        <v>5.2416999999999998</v>
      </c>
      <c r="ED223">
        <v>12.039899999999999</v>
      </c>
      <c r="EE223">
        <v>5.0172499999999998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1.86877</v>
      </c>
      <c r="EL223">
        <v>1.8644700000000001</v>
      </c>
      <c r="EM223">
        <v>1.8691</v>
      </c>
      <c r="EN223">
        <v>1.8670800000000001</v>
      </c>
      <c r="EO223">
        <v>1.8632599999999999</v>
      </c>
      <c r="EP223">
        <v>1.86432</v>
      </c>
      <c r="EQ223">
        <v>1.8701099999999999</v>
      </c>
      <c r="ER223">
        <v>1.8693200000000001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-0.91500000000000004</v>
      </c>
      <c r="FG223">
        <v>0.19109999999999999</v>
      </c>
      <c r="FH223">
        <v>-0.68620417327404271</v>
      </c>
      <c r="FI223">
        <v>-6.1462078757559423E-4</v>
      </c>
      <c r="FJ223">
        <v>-1.8861989874597051E-7</v>
      </c>
      <c r="FK223">
        <v>1.1980462299894961E-10</v>
      </c>
      <c r="FL223">
        <v>0.1911242781723908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40.700000000000003</v>
      </c>
      <c r="FU223">
        <v>40.5</v>
      </c>
      <c r="FV223">
        <v>1.7639199999999999</v>
      </c>
      <c r="FW223">
        <v>2.5708000000000002</v>
      </c>
      <c r="FX223">
        <v>1.5490699999999999</v>
      </c>
      <c r="FY223">
        <v>2.33887</v>
      </c>
      <c r="FZ223">
        <v>1.50146</v>
      </c>
      <c r="GA223">
        <v>2.3645</v>
      </c>
      <c r="GB223">
        <v>31.433299999999999</v>
      </c>
      <c r="GC223">
        <v>23.991199999999999</v>
      </c>
      <c r="GD223">
        <v>19</v>
      </c>
      <c r="GE223">
        <v>287.73200000000003</v>
      </c>
      <c r="GF223">
        <v>593.51800000000003</v>
      </c>
      <c r="GG223">
        <v>25.789400000000001</v>
      </c>
      <c r="GH223">
        <v>25.645199999999999</v>
      </c>
      <c r="GI223">
        <v>30.0001</v>
      </c>
      <c r="GJ223">
        <v>25.749500000000001</v>
      </c>
      <c r="GK223">
        <v>25.717600000000001</v>
      </c>
      <c r="GL223">
        <v>35.271000000000001</v>
      </c>
      <c r="GM223">
        <v>100</v>
      </c>
      <c r="GN223">
        <v>0</v>
      </c>
      <c r="GO223">
        <v>25.770499999999998</v>
      </c>
      <c r="GP223">
        <v>800</v>
      </c>
      <c r="GQ223">
        <v>0</v>
      </c>
      <c r="GR223">
        <v>99.734899999999996</v>
      </c>
      <c r="GS223">
        <v>99.477099999999993</v>
      </c>
    </row>
    <row r="224" spans="1:201" x14ac:dyDescent="0.25">
      <c r="A224">
        <v>208</v>
      </c>
      <c r="B224">
        <v>1690288710.5</v>
      </c>
      <c r="C224">
        <v>2171.900000095367</v>
      </c>
      <c r="D224" t="s">
        <v>749</v>
      </c>
      <c r="E224" t="s">
        <v>750</v>
      </c>
      <c r="F224" t="s">
        <v>330</v>
      </c>
      <c r="H224">
        <v>1690288710.5</v>
      </c>
      <c r="I224">
        <f t="shared" si="90"/>
        <v>2.9789430797094521E-3</v>
      </c>
      <c r="J224">
        <f t="shared" si="91"/>
        <v>2.978943079709452</v>
      </c>
      <c r="K224">
        <f t="shared" si="92"/>
        <v>46.192180463932822</v>
      </c>
      <c r="L224">
        <f t="shared" si="93"/>
        <v>342.13</v>
      </c>
      <c r="M224">
        <f t="shared" si="94"/>
        <v>97.131388918852807</v>
      </c>
      <c r="N224">
        <f t="shared" si="95"/>
        <v>9.659618894376381</v>
      </c>
      <c r="O224">
        <f t="shared" si="96"/>
        <v>34.024484248793996</v>
      </c>
      <c r="P224">
        <f t="shared" si="97"/>
        <v>0.32652974209372371</v>
      </c>
      <c r="Q224">
        <f t="shared" si="98"/>
        <v>2.2958801729477707</v>
      </c>
      <c r="R224">
        <f t="shared" si="99"/>
        <v>0.30275059244075614</v>
      </c>
      <c r="S224">
        <f t="shared" si="100"/>
        <v>0.19121107501204682</v>
      </c>
      <c r="T224">
        <f t="shared" si="101"/>
        <v>276.11479672199999</v>
      </c>
      <c r="U224">
        <f t="shared" si="102"/>
        <v>27.807864229537351</v>
      </c>
      <c r="V224">
        <f t="shared" si="103"/>
        <v>27.807864229537351</v>
      </c>
      <c r="W224">
        <f t="shared" si="104"/>
        <v>3.7525413443111644</v>
      </c>
      <c r="X224">
        <f t="shared" si="105"/>
        <v>79.619630715679421</v>
      </c>
      <c r="Y224">
        <f t="shared" si="106"/>
        <v>2.8062715968471599</v>
      </c>
      <c r="Z224">
        <f t="shared" si="107"/>
        <v>3.5245976044128065</v>
      </c>
      <c r="AA224">
        <f t="shared" si="108"/>
        <v>0.9462697474640045</v>
      </c>
      <c r="AB224">
        <f t="shared" si="109"/>
        <v>-131.37138981518683</v>
      </c>
      <c r="AC224">
        <f t="shared" si="110"/>
        <v>-132.33632841572083</v>
      </c>
      <c r="AD224">
        <f t="shared" si="111"/>
        <v>-12.473620335000016</v>
      </c>
      <c r="AE224">
        <f t="shared" si="112"/>
        <v>-6.6541843907685916E-2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52408.452977025561</v>
      </c>
      <c r="AK224">
        <f t="shared" si="116"/>
        <v>1800</v>
      </c>
      <c r="AL224">
        <f t="shared" si="117"/>
        <v>1499.1123041999999</v>
      </c>
      <c r="AM224">
        <f t="shared" si="118"/>
        <v>0.83284016900000002</v>
      </c>
      <c r="AN224">
        <f t="shared" si="119"/>
        <v>0.15339710929</v>
      </c>
      <c r="AO224">
        <v>29.1</v>
      </c>
      <c r="AP224">
        <v>0.5</v>
      </c>
      <c r="AQ224" t="s">
        <v>331</v>
      </c>
      <c r="AR224">
        <v>2</v>
      </c>
      <c r="AS224">
        <v>1690288710.5</v>
      </c>
      <c r="AT224">
        <v>342.13</v>
      </c>
      <c r="AU224">
        <v>799.97799999999995</v>
      </c>
      <c r="AV224">
        <v>28.2182</v>
      </c>
      <c r="AW224">
        <v>0.14410800000000001</v>
      </c>
      <c r="AX224">
        <v>343.04500000000002</v>
      </c>
      <c r="AY224">
        <v>28.027100000000001</v>
      </c>
      <c r="AZ224">
        <v>300.06700000000001</v>
      </c>
      <c r="BA224">
        <v>99.349000000000004</v>
      </c>
      <c r="BB224">
        <v>9.9993799999999994E-2</v>
      </c>
      <c r="BC224">
        <v>26.738700000000001</v>
      </c>
      <c r="BD224">
        <v>26.9924</v>
      </c>
      <c r="BE224">
        <v>28.252400000000002</v>
      </c>
      <c r="BF224">
        <v>0</v>
      </c>
      <c r="BG224">
        <v>0</v>
      </c>
      <c r="BH224">
        <v>9966.25</v>
      </c>
      <c r="BI224">
        <v>1086.47</v>
      </c>
      <c r="BJ224">
        <v>1.19981</v>
      </c>
      <c r="BK224">
        <v>-457.84800000000001</v>
      </c>
      <c r="BL224">
        <v>352.065</v>
      </c>
      <c r="BM224">
        <v>800.09400000000005</v>
      </c>
      <c r="BN224">
        <v>28.074100000000001</v>
      </c>
      <c r="BO224">
        <v>799.97799999999995</v>
      </c>
      <c r="BP224">
        <v>0.14410800000000001</v>
      </c>
      <c r="BQ224">
        <v>2.8034500000000002</v>
      </c>
      <c r="BR224">
        <v>1.4317E-2</v>
      </c>
      <c r="BS224">
        <v>22.904399999999999</v>
      </c>
      <c r="BT224">
        <v>-42.5946</v>
      </c>
      <c r="BU224">
        <v>1800</v>
      </c>
      <c r="BV224">
        <v>0.91000800000000004</v>
      </c>
      <c r="BW224">
        <v>3.3999799999999997E-2</v>
      </c>
      <c r="BX224">
        <v>2.1997200000000001E-2</v>
      </c>
      <c r="BY224">
        <v>3.3994700000000003E-2</v>
      </c>
      <c r="BZ224">
        <v>25</v>
      </c>
      <c r="CA224">
        <v>33528.5</v>
      </c>
      <c r="CB224">
        <v>1690286268.5999999</v>
      </c>
      <c r="CC224" t="s">
        <v>332</v>
      </c>
      <c r="CD224">
        <v>1690286261.0999999</v>
      </c>
      <c r="CE224">
        <v>1690286268.5999999</v>
      </c>
      <c r="CF224">
        <v>1</v>
      </c>
      <c r="CG224">
        <v>-0.89900000000000002</v>
      </c>
      <c r="CH224">
        <v>3.4000000000000002E-2</v>
      </c>
      <c r="CI224">
        <v>-1.2370000000000001</v>
      </c>
      <c r="CJ224">
        <v>8.5999999999999993E-2</v>
      </c>
      <c r="CK224">
        <v>799</v>
      </c>
      <c r="CL224">
        <v>16</v>
      </c>
      <c r="CM224">
        <v>0.28999999999999998</v>
      </c>
      <c r="CN224">
        <v>0.09</v>
      </c>
      <c r="CO224">
        <v>-457.73337500000002</v>
      </c>
      <c r="CP224">
        <v>-0.80576735459542559</v>
      </c>
      <c r="CQ224">
        <v>8.9719754653033362E-2</v>
      </c>
      <c r="CR224">
        <v>-1</v>
      </c>
      <c r="CS224">
        <v>28.066075000000001</v>
      </c>
      <c r="CT224">
        <v>3.3568480300082533E-2</v>
      </c>
      <c r="CU224">
        <v>3.4776967952941502E-3</v>
      </c>
      <c r="CV224">
        <v>-1</v>
      </c>
      <c r="CW224">
        <v>0</v>
      </c>
      <c r="CX224">
        <v>0</v>
      </c>
      <c r="CY224" t="s">
        <v>333</v>
      </c>
      <c r="CZ224">
        <v>2.3649300000000002</v>
      </c>
      <c r="DA224">
        <v>2.7137500000000001</v>
      </c>
      <c r="DB224">
        <v>7.9750299999999996E-2</v>
      </c>
      <c r="DC224">
        <v>0.14655899999999999</v>
      </c>
      <c r="DD224">
        <v>0.12807399999999999</v>
      </c>
      <c r="DE224">
        <v>1.21991E-3</v>
      </c>
      <c r="DF224">
        <v>33605</v>
      </c>
      <c r="DG224">
        <v>27488.5</v>
      </c>
      <c r="DH224">
        <v>31172.6</v>
      </c>
      <c r="DI224">
        <v>28064.3</v>
      </c>
      <c r="DJ224">
        <v>36881.800000000003</v>
      </c>
      <c r="DK224">
        <v>39848</v>
      </c>
      <c r="DL224">
        <v>44357.4</v>
      </c>
      <c r="DM224">
        <v>42515.9</v>
      </c>
      <c r="DN224">
        <v>1.4934000000000001</v>
      </c>
      <c r="DO224">
        <v>2.0575999999999999</v>
      </c>
      <c r="DP224">
        <v>7.5168899999999997E-2</v>
      </c>
      <c r="DQ224">
        <v>0.17505100000000001</v>
      </c>
      <c r="DR224">
        <v>25.761800000000001</v>
      </c>
      <c r="DS224">
        <v>25.3888</v>
      </c>
      <c r="DT224">
        <v>27.9</v>
      </c>
      <c r="DU224">
        <v>26.4</v>
      </c>
      <c r="DV224">
        <v>9.7018299999999993</v>
      </c>
      <c r="DW224">
        <v>62.1815</v>
      </c>
      <c r="DX224">
        <v>37.4679</v>
      </c>
      <c r="DY224">
        <v>1</v>
      </c>
      <c r="DZ224">
        <v>-0.140038</v>
      </c>
      <c r="EA224">
        <v>-0.51675099999999996</v>
      </c>
      <c r="EB224">
        <v>20.189599999999999</v>
      </c>
      <c r="EC224">
        <v>5.242</v>
      </c>
      <c r="ED224">
        <v>12.039899999999999</v>
      </c>
      <c r="EE224">
        <v>5.0170000000000003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1.8687800000000001</v>
      </c>
      <c r="EL224">
        <v>1.8644700000000001</v>
      </c>
      <c r="EM224">
        <v>1.8690899999999999</v>
      </c>
      <c r="EN224">
        <v>1.8671199999999999</v>
      </c>
      <c r="EO224">
        <v>1.8632599999999999</v>
      </c>
      <c r="EP224">
        <v>1.86432</v>
      </c>
      <c r="EQ224">
        <v>1.87012</v>
      </c>
      <c r="ER224">
        <v>1.8693299999999999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-0.91500000000000004</v>
      </c>
      <c r="FG224">
        <v>0.19109999999999999</v>
      </c>
      <c r="FH224">
        <v>-0.68620417327404271</v>
      </c>
      <c r="FI224">
        <v>-6.1462078757559423E-4</v>
      </c>
      <c r="FJ224">
        <v>-1.8861989874597051E-7</v>
      </c>
      <c r="FK224">
        <v>1.1980462299894961E-10</v>
      </c>
      <c r="FL224">
        <v>0.1911242781723908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40.799999999999997</v>
      </c>
      <c r="FU224">
        <v>40.700000000000003</v>
      </c>
      <c r="FV224">
        <v>1.7639199999999999</v>
      </c>
      <c r="FW224">
        <v>2.5671400000000002</v>
      </c>
      <c r="FX224">
        <v>1.5490699999999999</v>
      </c>
      <c r="FY224">
        <v>2.33887</v>
      </c>
      <c r="FZ224">
        <v>1.50024</v>
      </c>
      <c r="GA224">
        <v>2.36816</v>
      </c>
      <c r="GB224">
        <v>31.455200000000001</v>
      </c>
      <c r="GC224">
        <v>23.991199999999999</v>
      </c>
      <c r="GD224">
        <v>19</v>
      </c>
      <c r="GE224">
        <v>287.54000000000002</v>
      </c>
      <c r="GF224">
        <v>593.68399999999997</v>
      </c>
      <c r="GG224">
        <v>25.758299999999998</v>
      </c>
      <c r="GH224">
        <v>25.645499999999998</v>
      </c>
      <c r="GI224">
        <v>30.0002</v>
      </c>
      <c r="GJ224">
        <v>25.7498</v>
      </c>
      <c r="GK224">
        <v>25.7194</v>
      </c>
      <c r="GL224">
        <v>35.274700000000003</v>
      </c>
      <c r="GM224">
        <v>100</v>
      </c>
      <c r="GN224">
        <v>0</v>
      </c>
      <c r="GO224">
        <v>25.7758</v>
      </c>
      <c r="GP224">
        <v>800</v>
      </c>
      <c r="GQ224">
        <v>0</v>
      </c>
      <c r="GR224">
        <v>99.733400000000003</v>
      </c>
      <c r="GS224">
        <v>99.477999999999994</v>
      </c>
    </row>
    <row r="225" spans="1:201" x14ac:dyDescent="0.25">
      <c r="A225">
        <v>209</v>
      </c>
      <c r="B225">
        <v>1690288720.5</v>
      </c>
      <c r="C225">
        <v>2181.900000095367</v>
      </c>
      <c r="D225" t="s">
        <v>751</v>
      </c>
      <c r="E225" t="s">
        <v>752</v>
      </c>
      <c r="F225" t="s">
        <v>330</v>
      </c>
      <c r="H225">
        <v>1690288720.5</v>
      </c>
      <c r="I225">
        <f t="shared" si="90"/>
        <v>2.9798047500844737E-3</v>
      </c>
      <c r="J225">
        <f t="shared" si="91"/>
        <v>2.9798047500844738</v>
      </c>
      <c r="K225">
        <f t="shared" si="92"/>
        <v>46.209362399804185</v>
      </c>
      <c r="L225">
        <f t="shared" si="93"/>
        <v>341.96199999999999</v>
      </c>
      <c r="M225">
        <f t="shared" si="94"/>
        <v>97.268612209429307</v>
      </c>
      <c r="N225">
        <f t="shared" si="95"/>
        <v>9.6734066909452867</v>
      </c>
      <c r="O225">
        <f t="shared" si="96"/>
        <v>34.008272799520398</v>
      </c>
      <c r="P225">
        <f t="shared" si="97"/>
        <v>0.32702344605768263</v>
      </c>
      <c r="Q225">
        <f t="shared" si="98"/>
        <v>2.3032242954149753</v>
      </c>
      <c r="R225">
        <f t="shared" si="99"/>
        <v>0.30324526727129486</v>
      </c>
      <c r="S225">
        <f t="shared" si="100"/>
        <v>0.19152039029447032</v>
      </c>
      <c r="T225">
        <f t="shared" si="101"/>
        <v>276.11336079636243</v>
      </c>
      <c r="U225">
        <f t="shared" si="102"/>
        <v>27.80535517107943</v>
      </c>
      <c r="V225">
        <f t="shared" si="103"/>
        <v>27.80535517107943</v>
      </c>
      <c r="W225">
        <f t="shared" si="104"/>
        <v>3.7519917121050863</v>
      </c>
      <c r="X225">
        <f t="shared" si="105"/>
        <v>79.635478923950288</v>
      </c>
      <c r="Y225">
        <f t="shared" si="106"/>
        <v>2.8069788425005799</v>
      </c>
      <c r="Z225">
        <f t="shared" si="107"/>
        <v>3.5247842801085785</v>
      </c>
      <c r="AA225">
        <f t="shared" si="108"/>
        <v>0.94501286960450637</v>
      </c>
      <c r="AB225">
        <f t="shared" si="109"/>
        <v>-131.4093894787253</v>
      </c>
      <c r="AC225">
        <f t="shared" si="110"/>
        <v>-132.33634171982808</v>
      </c>
      <c r="AD225">
        <f t="shared" si="111"/>
        <v>-12.433747672919649</v>
      </c>
      <c r="AE225">
        <f t="shared" si="112"/>
        <v>-6.6118075110608743E-2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52686.252262502378</v>
      </c>
      <c r="AK225">
        <f t="shared" si="116"/>
        <v>1799.99</v>
      </c>
      <c r="AL225">
        <f t="shared" si="117"/>
        <v>1499.10439339599</v>
      </c>
      <c r="AM225">
        <f t="shared" si="118"/>
        <v>0.83284040100000001</v>
      </c>
      <c r="AN225">
        <f t="shared" si="119"/>
        <v>0.15339716376000001</v>
      </c>
      <c r="AO225">
        <v>29.1</v>
      </c>
      <c r="AP225">
        <v>0.5</v>
      </c>
      <c r="AQ225" t="s">
        <v>331</v>
      </c>
      <c r="AR225">
        <v>2</v>
      </c>
      <c r="AS225">
        <v>1690288720.5</v>
      </c>
      <c r="AT225">
        <v>341.96199999999999</v>
      </c>
      <c r="AU225">
        <v>799.96699999999998</v>
      </c>
      <c r="AV225">
        <v>28.224900000000002</v>
      </c>
      <c r="AW225">
        <v>0.143349</v>
      </c>
      <c r="AX225">
        <v>342.87599999999998</v>
      </c>
      <c r="AY225">
        <v>28.033799999999999</v>
      </c>
      <c r="AZ225">
        <v>300.072</v>
      </c>
      <c r="BA225">
        <v>99.350499999999997</v>
      </c>
      <c r="BB225">
        <v>9.9944199999999997E-2</v>
      </c>
      <c r="BC225">
        <v>26.739599999999999</v>
      </c>
      <c r="BD225">
        <v>26.979700000000001</v>
      </c>
      <c r="BE225">
        <v>28.238600000000002</v>
      </c>
      <c r="BF225">
        <v>0</v>
      </c>
      <c r="BG225">
        <v>0</v>
      </c>
      <c r="BH225">
        <v>10021.200000000001</v>
      </c>
      <c r="BI225">
        <v>1086.49</v>
      </c>
      <c r="BJ225">
        <v>1.2166300000000001</v>
      </c>
      <c r="BK225">
        <v>-458.005</v>
      </c>
      <c r="BL225">
        <v>351.89400000000001</v>
      </c>
      <c r="BM225">
        <v>800.08199999999999</v>
      </c>
      <c r="BN225">
        <v>28.081499999999998</v>
      </c>
      <c r="BO225">
        <v>799.96699999999998</v>
      </c>
      <c r="BP225">
        <v>0.143349</v>
      </c>
      <c r="BQ225">
        <v>2.80416</v>
      </c>
      <c r="BR225">
        <v>1.4241800000000001E-2</v>
      </c>
      <c r="BS225">
        <v>22.9086</v>
      </c>
      <c r="BT225">
        <v>-42.643700000000003</v>
      </c>
      <c r="BU225">
        <v>1799.99</v>
      </c>
      <c r="BV225">
        <v>0.91000800000000004</v>
      </c>
      <c r="BW225">
        <v>3.39999E-2</v>
      </c>
      <c r="BX225">
        <v>2.1997300000000001E-2</v>
      </c>
      <c r="BY225">
        <v>3.3994799999999999E-2</v>
      </c>
      <c r="BZ225">
        <v>25</v>
      </c>
      <c r="CA225">
        <v>33528.199999999997</v>
      </c>
      <c r="CB225">
        <v>1690286268.5999999</v>
      </c>
      <c r="CC225" t="s">
        <v>332</v>
      </c>
      <c r="CD225">
        <v>1690286261.0999999</v>
      </c>
      <c r="CE225">
        <v>1690286268.5999999</v>
      </c>
      <c r="CF225">
        <v>1</v>
      </c>
      <c r="CG225">
        <v>-0.89900000000000002</v>
      </c>
      <c r="CH225">
        <v>3.4000000000000002E-2</v>
      </c>
      <c r="CI225">
        <v>-1.2370000000000001</v>
      </c>
      <c r="CJ225">
        <v>8.5999999999999993E-2</v>
      </c>
      <c r="CK225">
        <v>799</v>
      </c>
      <c r="CL225">
        <v>16</v>
      </c>
      <c r="CM225">
        <v>0.28999999999999998</v>
      </c>
      <c r="CN225">
        <v>0.09</v>
      </c>
      <c r="CO225">
        <v>-457.88504878048781</v>
      </c>
      <c r="CP225">
        <v>-0.92845296167320746</v>
      </c>
      <c r="CQ225">
        <v>0.1023694769723167</v>
      </c>
      <c r="CR225">
        <v>-1</v>
      </c>
      <c r="CS225">
        <v>28.072907317073181</v>
      </c>
      <c r="CT225">
        <v>5.322229965161069E-2</v>
      </c>
      <c r="CU225">
        <v>5.3179580825494762E-3</v>
      </c>
      <c r="CV225">
        <v>-1</v>
      </c>
      <c r="CW225">
        <v>0</v>
      </c>
      <c r="CX225">
        <v>0</v>
      </c>
      <c r="CY225" t="s">
        <v>333</v>
      </c>
      <c r="CZ225">
        <v>2.3649300000000002</v>
      </c>
      <c r="DA225">
        <v>2.7137500000000001</v>
      </c>
      <c r="DB225">
        <v>7.9720200000000005E-2</v>
      </c>
      <c r="DC225">
        <v>0.14656</v>
      </c>
      <c r="DD225">
        <v>0.12809599999999999</v>
      </c>
      <c r="DE225">
        <v>1.21356E-3</v>
      </c>
      <c r="DF225">
        <v>33606.300000000003</v>
      </c>
      <c r="DG225">
        <v>27488.5</v>
      </c>
      <c r="DH225">
        <v>31172.799999999999</v>
      </c>
      <c r="DI225">
        <v>28064.3</v>
      </c>
      <c r="DJ225">
        <v>36881.199999999997</v>
      </c>
      <c r="DK225">
        <v>39848.300000000003</v>
      </c>
      <c r="DL225">
        <v>44357.7</v>
      </c>
      <c r="DM225">
        <v>42516</v>
      </c>
      <c r="DN225">
        <v>1.4936</v>
      </c>
      <c r="DO225">
        <v>2.0573199999999998</v>
      </c>
      <c r="DP225">
        <v>7.4259900000000004E-2</v>
      </c>
      <c r="DQ225">
        <v>0.17407500000000001</v>
      </c>
      <c r="DR225">
        <v>25.763999999999999</v>
      </c>
      <c r="DS225">
        <v>25.390899999999998</v>
      </c>
      <c r="DT225">
        <v>27.9</v>
      </c>
      <c r="DU225">
        <v>26.4</v>
      </c>
      <c r="DV225">
        <v>9.7015600000000006</v>
      </c>
      <c r="DW225">
        <v>62.021500000000003</v>
      </c>
      <c r="DX225">
        <v>37.415900000000001</v>
      </c>
      <c r="DY225">
        <v>1</v>
      </c>
      <c r="DZ225">
        <v>-0.14011399999999999</v>
      </c>
      <c r="EA225">
        <v>-0.60753000000000001</v>
      </c>
      <c r="EB225">
        <v>20.189299999999999</v>
      </c>
      <c r="EC225">
        <v>5.24125</v>
      </c>
      <c r="ED225">
        <v>12.039899999999999</v>
      </c>
      <c r="EE225">
        <v>5.0167999999999999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1.86876</v>
      </c>
      <c r="EL225">
        <v>1.8644700000000001</v>
      </c>
      <c r="EM225">
        <v>1.8691199999999999</v>
      </c>
      <c r="EN225">
        <v>1.8671500000000001</v>
      </c>
      <c r="EO225">
        <v>1.8632599999999999</v>
      </c>
      <c r="EP225">
        <v>1.86432</v>
      </c>
      <c r="EQ225">
        <v>1.8701000000000001</v>
      </c>
      <c r="ER225">
        <v>1.86934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-0.91400000000000003</v>
      </c>
      <c r="FG225">
        <v>0.19109999999999999</v>
      </c>
      <c r="FH225">
        <v>-0.68620417327404271</v>
      </c>
      <c r="FI225">
        <v>-6.1462078757559423E-4</v>
      </c>
      <c r="FJ225">
        <v>-1.8861989874597051E-7</v>
      </c>
      <c r="FK225">
        <v>1.1980462299894961E-10</v>
      </c>
      <c r="FL225">
        <v>0.1911242781723908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41</v>
      </c>
      <c r="FU225">
        <v>40.9</v>
      </c>
      <c r="FV225">
        <v>1.7639199999999999</v>
      </c>
      <c r="FW225">
        <v>2.5683600000000002</v>
      </c>
      <c r="FX225">
        <v>1.5490699999999999</v>
      </c>
      <c r="FY225">
        <v>2.33887</v>
      </c>
      <c r="FZ225">
        <v>1.50146</v>
      </c>
      <c r="GA225">
        <v>2.2997999999999998</v>
      </c>
      <c r="GB225">
        <v>31.455200000000001</v>
      </c>
      <c r="GC225">
        <v>23.991199999999999</v>
      </c>
      <c r="GD225">
        <v>19</v>
      </c>
      <c r="GE225">
        <v>287.63400000000001</v>
      </c>
      <c r="GF225">
        <v>593.45899999999995</v>
      </c>
      <c r="GG225">
        <v>25.778400000000001</v>
      </c>
      <c r="GH225">
        <v>25.647400000000001</v>
      </c>
      <c r="GI225">
        <v>30.0001</v>
      </c>
      <c r="GJ225">
        <v>25.7517</v>
      </c>
      <c r="GK225">
        <v>25.719799999999999</v>
      </c>
      <c r="GL225">
        <v>35.273600000000002</v>
      </c>
      <c r="GM225">
        <v>100</v>
      </c>
      <c r="GN225">
        <v>0</v>
      </c>
      <c r="GO225">
        <v>25.792000000000002</v>
      </c>
      <c r="GP225">
        <v>800</v>
      </c>
      <c r="GQ225">
        <v>0</v>
      </c>
      <c r="GR225">
        <v>99.734200000000001</v>
      </c>
      <c r="GS225">
        <v>99.478200000000001</v>
      </c>
    </row>
    <row r="226" spans="1:201" x14ac:dyDescent="0.25">
      <c r="A226">
        <v>210</v>
      </c>
      <c r="B226">
        <v>1690288730.5</v>
      </c>
      <c r="C226">
        <v>2191.900000095367</v>
      </c>
      <c r="D226" t="s">
        <v>753</v>
      </c>
      <c r="E226" t="s">
        <v>754</v>
      </c>
      <c r="F226" t="s">
        <v>330</v>
      </c>
      <c r="H226">
        <v>1690288730.5</v>
      </c>
      <c r="I226">
        <f t="shared" si="90"/>
        <v>2.9812333301686778E-3</v>
      </c>
      <c r="J226">
        <f t="shared" si="91"/>
        <v>2.9812333301686778</v>
      </c>
      <c r="K226">
        <f t="shared" si="92"/>
        <v>46.234290041390643</v>
      </c>
      <c r="L226">
        <f t="shared" si="93"/>
        <v>341.80900000000003</v>
      </c>
      <c r="M226">
        <f t="shared" si="94"/>
        <v>96.971898071157199</v>
      </c>
      <c r="N226">
        <f t="shared" si="95"/>
        <v>9.6436927382754174</v>
      </c>
      <c r="O226">
        <f t="shared" si="96"/>
        <v>33.992332178116001</v>
      </c>
      <c r="P226">
        <f t="shared" si="97"/>
        <v>0.32703095080853961</v>
      </c>
      <c r="Q226">
        <f t="shared" si="98"/>
        <v>2.3001225330626669</v>
      </c>
      <c r="R226">
        <f t="shared" si="99"/>
        <v>0.3032221581703845</v>
      </c>
      <c r="S226">
        <f t="shared" si="100"/>
        <v>0.1915083285620795</v>
      </c>
      <c r="T226">
        <f t="shared" si="101"/>
        <v>276.11469755999997</v>
      </c>
      <c r="U226">
        <f t="shared" si="102"/>
        <v>27.81330817436082</v>
      </c>
      <c r="V226">
        <f t="shared" si="103"/>
        <v>27.81330817436082</v>
      </c>
      <c r="W226">
        <f t="shared" si="104"/>
        <v>3.7537341318074406</v>
      </c>
      <c r="X226">
        <f t="shared" si="105"/>
        <v>79.637743974847481</v>
      </c>
      <c r="Y226">
        <f t="shared" si="106"/>
        <v>2.8082317179444001</v>
      </c>
      <c r="Z226">
        <f t="shared" si="107"/>
        <v>3.5262572466032469</v>
      </c>
      <c r="AA226">
        <f t="shared" si="108"/>
        <v>0.94550241386304057</v>
      </c>
      <c r="AB226">
        <f t="shared" si="109"/>
        <v>-131.47238986043868</v>
      </c>
      <c r="AC226">
        <f t="shared" si="110"/>
        <v>-132.2638997773623</v>
      </c>
      <c r="AD226">
        <f t="shared" si="111"/>
        <v>-12.444635137324061</v>
      </c>
      <c r="AE226">
        <f t="shared" si="112"/>
        <v>-6.6227215125053362E-2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52567.48263914985</v>
      </c>
      <c r="AK226">
        <f t="shared" si="116"/>
        <v>1800</v>
      </c>
      <c r="AL226">
        <f t="shared" si="117"/>
        <v>1499.112873</v>
      </c>
      <c r="AM226">
        <f t="shared" si="118"/>
        <v>0.83284048500000007</v>
      </c>
      <c r="AN226">
        <f t="shared" si="119"/>
        <v>0.15339705419999999</v>
      </c>
      <c r="AO226">
        <v>29.1</v>
      </c>
      <c r="AP226">
        <v>0.5</v>
      </c>
      <c r="AQ226" t="s">
        <v>331</v>
      </c>
      <c r="AR226">
        <v>2</v>
      </c>
      <c r="AS226">
        <v>1690288730.5</v>
      </c>
      <c r="AT226">
        <v>341.80900000000003</v>
      </c>
      <c r="AU226">
        <v>800.053</v>
      </c>
      <c r="AV226">
        <v>28.238099999999999</v>
      </c>
      <c r="AW226">
        <v>0.143655</v>
      </c>
      <c r="AX226">
        <v>342.72300000000001</v>
      </c>
      <c r="AY226">
        <v>28.046900000000001</v>
      </c>
      <c r="AZ226">
        <v>300.07400000000001</v>
      </c>
      <c r="BA226">
        <v>99.348299999999995</v>
      </c>
      <c r="BB226">
        <v>0.100024</v>
      </c>
      <c r="BC226">
        <v>26.746700000000001</v>
      </c>
      <c r="BD226">
        <v>26.9864</v>
      </c>
      <c r="BE226">
        <v>28.2348</v>
      </c>
      <c r="BF226">
        <v>0</v>
      </c>
      <c r="BG226">
        <v>0</v>
      </c>
      <c r="BH226">
        <v>9998.1200000000008</v>
      </c>
      <c r="BI226">
        <v>1086.47</v>
      </c>
      <c r="BJ226">
        <v>1.07927</v>
      </c>
      <c r="BK226">
        <v>-458.24400000000003</v>
      </c>
      <c r="BL226">
        <v>351.74200000000002</v>
      </c>
      <c r="BM226">
        <v>800.16800000000001</v>
      </c>
      <c r="BN226">
        <v>28.0944</v>
      </c>
      <c r="BO226">
        <v>800.053</v>
      </c>
      <c r="BP226">
        <v>0.143655</v>
      </c>
      <c r="BQ226">
        <v>2.8054000000000001</v>
      </c>
      <c r="BR226">
        <v>1.4271900000000001E-2</v>
      </c>
      <c r="BS226">
        <v>22.915900000000001</v>
      </c>
      <c r="BT226">
        <v>-42.624000000000002</v>
      </c>
      <c r="BU226">
        <v>1800</v>
      </c>
      <c r="BV226">
        <v>0.91001100000000001</v>
      </c>
      <c r="BW226">
        <v>3.39987E-2</v>
      </c>
      <c r="BX226">
        <v>2.1996499999999999E-2</v>
      </c>
      <c r="BY226">
        <v>3.3993599999999999E-2</v>
      </c>
      <c r="BZ226">
        <v>25</v>
      </c>
      <c r="CA226">
        <v>33528.400000000001</v>
      </c>
      <c r="CB226">
        <v>1690286268.5999999</v>
      </c>
      <c r="CC226" t="s">
        <v>332</v>
      </c>
      <c r="CD226">
        <v>1690286261.0999999</v>
      </c>
      <c r="CE226">
        <v>1690286268.5999999</v>
      </c>
      <c r="CF226">
        <v>1</v>
      </c>
      <c r="CG226">
        <v>-0.89900000000000002</v>
      </c>
      <c r="CH226">
        <v>3.4000000000000002E-2</v>
      </c>
      <c r="CI226">
        <v>-1.2370000000000001</v>
      </c>
      <c r="CJ226">
        <v>8.5999999999999993E-2</v>
      </c>
      <c r="CK226">
        <v>799</v>
      </c>
      <c r="CL226">
        <v>16</v>
      </c>
      <c r="CM226">
        <v>0.28999999999999998</v>
      </c>
      <c r="CN226">
        <v>0.09</v>
      </c>
      <c r="CO226">
        <v>-458.04199999999997</v>
      </c>
      <c r="CP226">
        <v>-0.74375234521407496</v>
      </c>
      <c r="CQ226">
        <v>8.5980230285805231E-2</v>
      </c>
      <c r="CR226">
        <v>-1</v>
      </c>
      <c r="CS226">
        <v>28.082305000000002</v>
      </c>
      <c r="CT226">
        <v>5.5195497185663467E-2</v>
      </c>
      <c r="CU226">
        <v>5.4748493129948084E-3</v>
      </c>
      <c r="CV226">
        <v>-1</v>
      </c>
      <c r="CW226">
        <v>0</v>
      </c>
      <c r="CX226">
        <v>0</v>
      </c>
      <c r="CY226" t="s">
        <v>333</v>
      </c>
      <c r="CZ226">
        <v>2.3649300000000002</v>
      </c>
      <c r="DA226">
        <v>2.7138100000000001</v>
      </c>
      <c r="DB226">
        <v>7.9690499999999997E-2</v>
      </c>
      <c r="DC226">
        <v>0.146567</v>
      </c>
      <c r="DD226">
        <v>0.128135</v>
      </c>
      <c r="DE226">
        <v>1.2160999999999999E-3</v>
      </c>
      <c r="DF226">
        <v>33607.9</v>
      </c>
      <c r="DG226">
        <v>27488.5</v>
      </c>
      <c r="DH226">
        <v>31173.200000000001</v>
      </c>
      <c r="DI226">
        <v>28064.6</v>
      </c>
      <c r="DJ226">
        <v>36880</v>
      </c>
      <c r="DK226">
        <v>39848.699999999997</v>
      </c>
      <c r="DL226">
        <v>44358.3</v>
      </c>
      <c r="DM226">
        <v>42516.5</v>
      </c>
      <c r="DN226">
        <v>1.4936499999999999</v>
      </c>
      <c r="DO226">
        <v>2.0574499999999998</v>
      </c>
      <c r="DP226">
        <v>7.4557999999999999E-2</v>
      </c>
      <c r="DQ226">
        <v>0.17363600000000001</v>
      </c>
      <c r="DR226">
        <v>25.765899999999998</v>
      </c>
      <c r="DS226">
        <v>25.394300000000001</v>
      </c>
      <c r="DT226">
        <v>27.8</v>
      </c>
      <c r="DU226">
        <v>26.4</v>
      </c>
      <c r="DV226">
        <v>9.6677900000000001</v>
      </c>
      <c r="DW226">
        <v>62.011499999999998</v>
      </c>
      <c r="DX226">
        <v>37.0032</v>
      </c>
      <c r="DY226">
        <v>1</v>
      </c>
      <c r="DZ226">
        <v>-0.14024900000000001</v>
      </c>
      <c r="EA226">
        <v>-0.66964900000000005</v>
      </c>
      <c r="EB226">
        <v>20.1889</v>
      </c>
      <c r="EC226">
        <v>5.24125</v>
      </c>
      <c r="ED226">
        <v>12.039899999999999</v>
      </c>
      <c r="EE226">
        <v>5.0171999999999999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1.86877</v>
      </c>
      <c r="EL226">
        <v>1.8644700000000001</v>
      </c>
      <c r="EM226">
        <v>1.86913</v>
      </c>
      <c r="EN226">
        <v>1.86713</v>
      </c>
      <c r="EO226">
        <v>1.86327</v>
      </c>
      <c r="EP226">
        <v>1.86432</v>
      </c>
      <c r="EQ226">
        <v>1.8701099999999999</v>
      </c>
      <c r="ER226">
        <v>1.8693299999999999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-0.91400000000000003</v>
      </c>
      <c r="FG226">
        <v>0.19120000000000001</v>
      </c>
      <c r="FH226">
        <v>-0.68620417327404271</v>
      </c>
      <c r="FI226">
        <v>-6.1462078757559423E-4</v>
      </c>
      <c r="FJ226">
        <v>-1.8861989874597051E-7</v>
      </c>
      <c r="FK226">
        <v>1.1980462299894961E-10</v>
      </c>
      <c r="FL226">
        <v>0.1911242781723908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41.2</v>
      </c>
      <c r="FU226">
        <v>41</v>
      </c>
      <c r="FV226">
        <v>1.7639199999999999</v>
      </c>
      <c r="FW226">
        <v>2.5769000000000002</v>
      </c>
      <c r="FX226">
        <v>1.5490699999999999</v>
      </c>
      <c r="FY226">
        <v>2.33887</v>
      </c>
      <c r="FZ226">
        <v>1.50146</v>
      </c>
      <c r="GA226">
        <v>2.2778299999999998</v>
      </c>
      <c r="GB226">
        <v>31.455200000000001</v>
      </c>
      <c r="GC226">
        <v>23.982399999999998</v>
      </c>
      <c r="GD226">
        <v>19</v>
      </c>
      <c r="GE226">
        <v>287.65600000000001</v>
      </c>
      <c r="GF226">
        <v>593.56500000000005</v>
      </c>
      <c r="GG226">
        <v>25.808399999999999</v>
      </c>
      <c r="GH226">
        <v>25.647400000000001</v>
      </c>
      <c r="GI226">
        <v>30</v>
      </c>
      <c r="GJ226">
        <v>25.7517</v>
      </c>
      <c r="GK226">
        <v>25.719899999999999</v>
      </c>
      <c r="GL226">
        <v>35.270899999999997</v>
      </c>
      <c r="GM226">
        <v>100</v>
      </c>
      <c r="GN226">
        <v>0</v>
      </c>
      <c r="GO226">
        <v>25.8249</v>
      </c>
      <c r="GP226">
        <v>800</v>
      </c>
      <c r="GQ226">
        <v>0</v>
      </c>
      <c r="GR226">
        <v>99.735600000000005</v>
      </c>
      <c r="GS226">
        <v>99.479200000000006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2023-07-25T12:40:03Z</dcterms:created>
  <dcterms:modified xsi:type="dcterms:W3CDTF">2023-07-25T18:40:09Z</dcterms:modified>
</cp:coreProperties>
</file>