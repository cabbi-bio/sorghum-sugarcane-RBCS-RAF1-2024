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L226" i="1" s="1"/>
  <c r="AJ226" i="1"/>
  <c r="AH226" i="1"/>
  <c r="Z226" i="1"/>
  <c r="Y226" i="1"/>
  <c r="X226" i="1"/>
  <c r="Q226" i="1"/>
  <c r="AN225" i="1"/>
  <c r="T225" i="1" s="1"/>
  <c r="AM225" i="1"/>
  <c r="AL225" i="1" s="1"/>
  <c r="AK225" i="1"/>
  <c r="AJ225" i="1"/>
  <c r="AH225" i="1"/>
  <c r="L225" i="1" s="1"/>
  <c r="Z225" i="1"/>
  <c r="Y225" i="1"/>
  <c r="X225" i="1"/>
  <c r="Q225" i="1"/>
  <c r="O225" i="1"/>
  <c r="AN224" i="1"/>
  <c r="AM224" i="1"/>
  <c r="AL224" i="1"/>
  <c r="AK224" i="1"/>
  <c r="AJ224" i="1"/>
  <c r="AH224" i="1" s="1"/>
  <c r="Z224" i="1"/>
  <c r="X224" i="1" s="1"/>
  <c r="Y224" i="1"/>
  <c r="T224" i="1"/>
  <c r="Q224" i="1"/>
  <c r="AN223" i="1"/>
  <c r="AM223" i="1"/>
  <c r="AK223" i="1"/>
  <c r="AL223" i="1" s="1"/>
  <c r="AJ223" i="1"/>
  <c r="AH223" i="1" s="1"/>
  <c r="Z223" i="1"/>
  <c r="Y223" i="1"/>
  <c r="Q223" i="1"/>
  <c r="AN222" i="1"/>
  <c r="AM222" i="1"/>
  <c r="AK222" i="1"/>
  <c r="AL222" i="1" s="1"/>
  <c r="AJ222" i="1"/>
  <c r="AH222" i="1"/>
  <c r="Z222" i="1"/>
  <c r="Y222" i="1"/>
  <c r="X222" i="1"/>
  <c r="Q222" i="1"/>
  <c r="AN221" i="1"/>
  <c r="AM221" i="1"/>
  <c r="AK221" i="1"/>
  <c r="AL221" i="1" s="1"/>
  <c r="AJ221" i="1"/>
  <c r="AI221" i="1"/>
  <c r="AH221" i="1"/>
  <c r="L221" i="1" s="1"/>
  <c r="Z221" i="1"/>
  <c r="Y221" i="1"/>
  <c r="X221" i="1" s="1"/>
  <c r="Q221" i="1"/>
  <c r="O221" i="1"/>
  <c r="K221" i="1"/>
  <c r="AN220" i="1"/>
  <c r="AM220" i="1"/>
  <c r="AL220" i="1"/>
  <c r="AK220" i="1"/>
  <c r="AJ220" i="1"/>
  <c r="AH220" i="1" s="1"/>
  <c r="Z220" i="1"/>
  <c r="Y220" i="1"/>
  <c r="X220" i="1" s="1"/>
  <c r="T220" i="1"/>
  <c r="Q220" i="1"/>
  <c r="L220" i="1"/>
  <c r="AN219" i="1"/>
  <c r="AM219" i="1"/>
  <c r="AK219" i="1"/>
  <c r="AL219" i="1" s="1"/>
  <c r="AJ219" i="1"/>
  <c r="AH219" i="1" s="1"/>
  <c r="Z219" i="1"/>
  <c r="Y219" i="1"/>
  <c r="Q219" i="1"/>
  <c r="J219" i="1"/>
  <c r="I219" i="1" s="1"/>
  <c r="AN218" i="1"/>
  <c r="AM218" i="1"/>
  <c r="AK218" i="1"/>
  <c r="AL218" i="1" s="1"/>
  <c r="AJ218" i="1"/>
  <c r="AH218" i="1"/>
  <c r="Z218" i="1"/>
  <c r="Y218" i="1"/>
  <c r="X218" i="1"/>
  <c r="Q218" i="1"/>
  <c r="AN217" i="1"/>
  <c r="AM217" i="1"/>
  <c r="AK217" i="1"/>
  <c r="AL217" i="1" s="1"/>
  <c r="AJ217" i="1"/>
  <c r="AI217" i="1"/>
  <c r="AH217" i="1"/>
  <c r="L217" i="1" s="1"/>
  <c r="Z217" i="1"/>
  <c r="Y217" i="1"/>
  <c r="X217" i="1" s="1"/>
  <c r="Q217" i="1"/>
  <c r="O217" i="1"/>
  <c r="K217" i="1"/>
  <c r="AN216" i="1"/>
  <c r="AM216" i="1"/>
  <c r="AL216" i="1"/>
  <c r="AK216" i="1"/>
  <c r="AJ216" i="1"/>
  <c r="AH216" i="1" s="1"/>
  <c r="Z216" i="1"/>
  <c r="Y216" i="1"/>
  <c r="X216" i="1" s="1"/>
  <c r="T216" i="1"/>
  <c r="Q216" i="1"/>
  <c r="L216" i="1"/>
  <c r="AN215" i="1"/>
  <c r="AM215" i="1"/>
  <c r="AK215" i="1"/>
  <c r="AL215" i="1" s="1"/>
  <c r="AJ215" i="1"/>
  <c r="AH215" i="1" s="1"/>
  <c r="Z215" i="1"/>
  <c r="Y215" i="1"/>
  <c r="Q215" i="1"/>
  <c r="AN214" i="1"/>
  <c r="AM214" i="1"/>
  <c r="AK214" i="1"/>
  <c r="AL214" i="1" s="1"/>
  <c r="AJ214" i="1"/>
  <c r="AH214" i="1"/>
  <c r="Z214" i="1"/>
  <c r="Y214" i="1"/>
  <c r="X214" i="1"/>
  <c r="Q214" i="1"/>
  <c r="AN213" i="1"/>
  <c r="AM213" i="1"/>
  <c r="AK213" i="1"/>
  <c r="AL213" i="1" s="1"/>
  <c r="AJ213" i="1"/>
  <c r="AI213" i="1"/>
  <c r="AH213" i="1"/>
  <c r="L213" i="1" s="1"/>
  <c r="Z213" i="1"/>
  <c r="Y213" i="1"/>
  <c r="X213" i="1" s="1"/>
  <c r="Q213" i="1"/>
  <c r="O213" i="1"/>
  <c r="K213" i="1"/>
  <c r="AN212" i="1"/>
  <c r="AM212" i="1"/>
  <c r="AL212" i="1"/>
  <c r="AK212" i="1"/>
  <c r="AJ212" i="1"/>
  <c r="AH212" i="1" s="1"/>
  <c r="Z212" i="1"/>
  <c r="Y212" i="1"/>
  <c r="X212" i="1" s="1"/>
  <c r="T212" i="1"/>
  <c r="Q212" i="1"/>
  <c r="L212" i="1"/>
  <c r="AN211" i="1"/>
  <c r="AM211" i="1"/>
  <c r="AK211" i="1"/>
  <c r="AL211" i="1" s="1"/>
  <c r="AJ211" i="1"/>
  <c r="AH211" i="1" s="1"/>
  <c r="Z211" i="1"/>
  <c r="Y211" i="1"/>
  <c r="Q211" i="1"/>
  <c r="J211" i="1"/>
  <c r="I211" i="1" s="1"/>
  <c r="AN210" i="1"/>
  <c r="AM210" i="1"/>
  <c r="AK210" i="1"/>
  <c r="AL210" i="1" s="1"/>
  <c r="AJ210" i="1"/>
  <c r="AH210" i="1"/>
  <c r="Z210" i="1"/>
  <c r="Y210" i="1"/>
  <c r="X210" i="1"/>
  <c r="Q210" i="1"/>
  <c r="AN209" i="1"/>
  <c r="AM209" i="1"/>
  <c r="AK209" i="1"/>
  <c r="AL209" i="1" s="1"/>
  <c r="AJ209" i="1"/>
  <c r="AI209" i="1"/>
  <c r="AH209" i="1"/>
  <c r="L209" i="1" s="1"/>
  <c r="Z209" i="1"/>
  <c r="Y209" i="1"/>
  <c r="X209" i="1" s="1"/>
  <c r="Q209" i="1"/>
  <c r="O209" i="1"/>
  <c r="K209" i="1"/>
  <c r="AN208" i="1"/>
  <c r="AM208" i="1"/>
  <c r="AL208" i="1"/>
  <c r="AK208" i="1"/>
  <c r="AJ208" i="1"/>
  <c r="AH208" i="1" s="1"/>
  <c r="L208" i="1" s="1"/>
  <c r="Z208" i="1"/>
  <c r="Y208" i="1"/>
  <c r="X208" i="1" s="1"/>
  <c r="T208" i="1"/>
  <c r="Q208" i="1"/>
  <c r="AN207" i="1"/>
  <c r="AM207" i="1"/>
  <c r="AK207" i="1"/>
  <c r="AJ207" i="1"/>
  <c r="AH207" i="1" s="1"/>
  <c r="Z207" i="1"/>
  <c r="Y207" i="1"/>
  <c r="Q207" i="1"/>
  <c r="K207" i="1"/>
  <c r="J207" i="1"/>
  <c r="I207" i="1" s="1"/>
  <c r="AN206" i="1"/>
  <c r="AM206" i="1"/>
  <c r="AK206" i="1"/>
  <c r="AJ206" i="1"/>
  <c r="AH206" i="1"/>
  <c r="O206" i="1" s="1"/>
  <c r="Z206" i="1"/>
  <c r="Y206" i="1"/>
  <c r="X206" i="1" s="1"/>
  <c r="Q206" i="1"/>
  <c r="K206" i="1"/>
  <c r="AN205" i="1"/>
  <c r="AM205" i="1"/>
  <c r="AK205" i="1"/>
  <c r="AL205" i="1" s="1"/>
  <c r="AJ205" i="1"/>
  <c r="AI205" i="1"/>
  <c r="AH205" i="1"/>
  <c r="L205" i="1" s="1"/>
  <c r="Z205" i="1"/>
  <c r="Y205" i="1"/>
  <c r="X205" i="1" s="1"/>
  <c r="Q205" i="1"/>
  <c r="O205" i="1"/>
  <c r="K205" i="1"/>
  <c r="AN204" i="1"/>
  <c r="AM204" i="1"/>
  <c r="AK204" i="1"/>
  <c r="AJ204" i="1"/>
  <c r="AH204" i="1" s="1"/>
  <c r="J204" i="1" s="1"/>
  <c r="I204" i="1" s="1"/>
  <c r="Z204" i="1"/>
  <c r="Y204" i="1"/>
  <c r="X204" i="1" s="1"/>
  <c r="Q204" i="1"/>
  <c r="L204" i="1"/>
  <c r="K204" i="1"/>
  <c r="AN203" i="1"/>
  <c r="AM203" i="1"/>
  <c r="AK203" i="1"/>
  <c r="AJ203" i="1"/>
  <c r="AH203" i="1" s="1"/>
  <c r="L203" i="1" s="1"/>
  <c r="AI203" i="1"/>
  <c r="Z203" i="1"/>
  <c r="Y203" i="1"/>
  <c r="X203" i="1" s="1"/>
  <c r="Q203" i="1"/>
  <c r="K203" i="1"/>
  <c r="J203" i="1"/>
  <c r="I203" i="1" s="1"/>
  <c r="AB203" i="1" s="1"/>
  <c r="AN202" i="1"/>
  <c r="AM202" i="1"/>
  <c r="AK202" i="1"/>
  <c r="AJ202" i="1"/>
  <c r="AH202" i="1"/>
  <c r="Z202" i="1"/>
  <c r="Y202" i="1"/>
  <c r="X202" i="1" s="1"/>
  <c r="Q202" i="1"/>
  <c r="O202" i="1"/>
  <c r="AN201" i="1"/>
  <c r="AM201" i="1"/>
  <c r="AK201" i="1"/>
  <c r="AJ201" i="1"/>
  <c r="AI201" i="1"/>
  <c r="AH201" i="1"/>
  <c r="L201" i="1" s="1"/>
  <c r="Z201" i="1"/>
  <c r="Y201" i="1"/>
  <c r="X201" i="1" s="1"/>
  <c r="Q201" i="1"/>
  <c r="O201" i="1"/>
  <c r="K201" i="1"/>
  <c r="AN200" i="1"/>
  <c r="AM200" i="1"/>
  <c r="AL200" i="1"/>
  <c r="AK200" i="1"/>
  <c r="T200" i="1" s="1"/>
  <c r="AJ200" i="1"/>
  <c r="AH200" i="1" s="1"/>
  <c r="J200" i="1" s="1"/>
  <c r="I200" i="1" s="1"/>
  <c r="AI200" i="1"/>
  <c r="Z200" i="1"/>
  <c r="Y200" i="1"/>
  <c r="X200" i="1" s="1"/>
  <c r="Q200" i="1"/>
  <c r="O200" i="1"/>
  <c r="L200" i="1"/>
  <c r="K200" i="1"/>
  <c r="AN199" i="1"/>
  <c r="AM199" i="1"/>
  <c r="AL199" i="1" s="1"/>
  <c r="AK199" i="1"/>
  <c r="AJ199" i="1"/>
  <c r="AH199" i="1" s="1"/>
  <c r="J199" i="1" s="1"/>
  <c r="I199" i="1" s="1"/>
  <c r="AI199" i="1"/>
  <c r="Z199" i="1"/>
  <c r="Y199" i="1"/>
  <c r="T199" i="1"/>
  <c r="Q199" i="1"/>
  <c r="L199" i="1"/>
  <c r="K199" i="1"/>
  <c r="AN198" i="1"/>
  <c r="T198" i="1" s="1"/>
  <c r="AM198" i="1"/>
  <c r="AK198" i="1"/>
  <c r="AJ198" i="1"/>
  <c r="AI198" i="1"/>
  <c r="AH198" i="1"/>
  <c r="O198" i="1" s="1"/>
  <c r="Z198" i="1"/>
  <c r="Y198" i="1"/>
  <c r="X198" i="1" s="1"/>
  <c r="Q198" i="1"/>
  <c r="AN197" i="1"/>
  <c r="AM197" i="1"/>
  <c r="AK197" i="1"/>
  <c r="AL197" i="1" s="1"/>
  <c r="AJ197" i="1"/>
  <c r="AH197" i="1"/>
  <c r="L197" i="1" s="1"/>
  <c r="Z197" i="1"/>
  <c r="Y197" i="1"/>
  <c r="X197" i="1"/>
  <c r="Q197" i="1"/>
  <c r="O197" i="1"/>
  <c r="AN196" i="1"/>
  <c r="AM196" i="1"/>
  <c r="AL196" i="1" s="1"/>
  <c r="AK196" i="1"/>
  <c r="AJ196" i="1"/>
  <c r="AI196" i="1"/>
  <c r="AH196" i="1"/>
  <c r="K196" i="1" s="1"/>
  <c r="Z196" i="1"/>
  <c r="Y196" i="1"/>
  <c r="X196" i="1" s="1"/>
  <c r="T196" i="1"/>
  <c r="Q196" i="1"/>
  <c r="L196" i="1"/>
  <c r="AN195" i="1"/>
  <c r="AM195" i="1"/>
  <c r="AK195" i="1"/>
  <c r="AJ195" i="1"/>
  <c r="AH195" i="1" s="1"/>
  <c r="Z195" i="1"/>
  <c r="X195" i="1" s="1"/>
  <c r="Y195" i="1"/>
  <c r="Q195" i="1"/>
  <c r="AN194" i="1"/>
  <c r="AM194" i="1"/>
  <c r="AL194" i="1" s="1"/>
  <c r="AK194" i="1"/>
  <c r="AJ194" i="1"/>
  <c r="AI194" i="1"/>
  <c r="AH194" i="1"/>
  <c r="O194" i="1" s="1"/>
  <c r="Z194" i="1"/>
  <c r="Y194" i="1"/>
  <c r="X194" i="1"/>
  <c r="T194" i="1"/>
  <c r="Q194" i="1"/>
  <c r="AN193" i="1"/>
  <c r="AM193" i="1"/>
  <c r="AK193" i="1"/>
  <c r="AL193" i="1" s="1"/>
  <c r="AJ193" i="1"/>
  <c r="AH193" i="1"/>
  <c r="L193" i="1" s="1"/>
  <c r="Z193" i="1"/>
  <c r="Y193" i="1"/>
  <c r="X193" i="1"/>
  <c r="Q193" i="1"/>
  <c r="O193" i="1"/>
  <c r="K193" i="1"/>
  <c r="AN192" i="1"/>
  <c r="AM192" i="1"/>
  <c r="AL192" i="1"/>
  <c r="AK192" i="1"/>
  <c r="AJ192" i="1"/>
  <c r="AI192" i="1"/>
  <c r="AH192" i="1"/>
  <c r="K192" i="1" s="1"/>
  <c r="Z192" i="1"/>
  <c r="Y192" i="1"/>
  <c r="X192" i="1" s="1"/>
  <c r="T192" i="1"/>
  <c r="Q192" i="1"/>
  <c r="O192" i="1"/>
  <c r="L192" i="1"/>
  <c r="AN191" i="1"/>
  <c r="AM191" i="1"/>
  <c r="AK191" i="1"/>
  <c r="AJ191" i="1"/>
  <c r="AH191" i="1" s="1"/>
  <c r="O191" i="1" s="1"/>
  <c r="Z191" i="1"/>
  <c r="X191" i="1" s="1"/>
  <c r="Y191" i="1"/>
  <c r="Q191" i="1"/>
  <c r="AN190" i="1"/>
  <c r="AM190" i="1"/>
  <c r="AK190" i="1"/>
  <c r="AL190" i="1" s="1"/>
  <c r="AJ190" i="1"/>
  <c r="AI190" i="1"/>
  <c r="AH190" i="1"/>
  <c r="Z190" i="1"/>
  <c r="Y190" i="1"/>
  <c r="X190" i="1"/>
  <c r="Q190" i="1"/>
  <c r="J190" i="1"/>
  <c r="I190" i="1" s="1"/>
  <c r="AN189" i="1"/>
  <c r="AM189" i="1"/>
  <c r="AK189" i="1"/>
  <c r="AJ189" i="1"/>
  <c r="AH189" i="1"/>
  <c r="Z189" i="1"/>
  <c r="Y189" i="1"/>
  <c r="X189" i="1"/>
  <c r="Q189" i="1"/>
  <c r="O189" i="1"/>
  <c r="K189" i="1"/>
  <c r="AN188" i="1"/>
  <c r="T188" i="1" s="1"/>
  <c r="AM188" i="1"/>
  <c r="AL188" i="1" s="1"/>
  <c r="AK188" i="1"/>
  <c r="AJ188" i="1"/>
  <c r="AI188" i="1"/>
  <c r="AH188" i="1"/>
  <c r="K188" i="1" s="1"/>
  <c r="Z188" i="1"/>
  <c r="Y188" i="1"/>
  <c r="X188" i="1" s="1"/>
  <c r="Q188" i="1"/>
  <c r="O188" i="1"/>
  <c r="L188" i="1"/>
  <c r="AN187" i="1"/>
  <c r="AM187" i="1"/>
  <c r="AL187" i="1"/>
  <c r="AK187" i="1"/>
  <c r="T187" i="1" s="1"/>
  <c r="AJ187" i="1"/>
  <c r="AH187" i="1" s="1"/>
  <c r="AI187" i="1" s="1"/>
  <c r="Z187" i="1"/>
  <c r="X187" i="1" s="1"/>
  <c r="Y187" i="1"/>
  <c r="Q187" i="1"/>
  <c r="O187" i="1"/>
  <c r="L187" i="1"/>
  <c r="K187" i="1"/>
  <c r="AN186" i="1"/>
  <c r="AM186" i="1"/>
  <c r="AK186" i="1"/>
  <c r="AJ186" i="1"/>
  <c r="AH186" i="1"/>
  <c r="K186" i="1" s="1"/>
  <c r="Z186" i="1"/>
  <c r="Y186" i="1"/>
  <c r="X186" i="1"/>
  <c r="Q186" i="1"/>
  <c r="AN185" i="1"/>
  <c r="AM185" i="1"/>
  <c r="AK185" i="1"/>
  <c r="AJ185" i="1"/>
  <c r="AI185" i="1"/>
  <c r="AH185" i="1"/>
  <c r="L185" i="1" s="1"/>
  <c r="Z185" i="1"/>
  <c r="Y185" i="1"/>
  <c r="X185" i="1" s="1"/>
  <c r="Q185" i="1"/>
  <c r="O185" i="1"/>
  <c r="K185" i="1"/>
  <c r="J185" i="1"/>
  <c r="I185" i="1"/>
  <c r="AB185" i="1" s="1"/>
  <c r="AN184" i="1"/>
  <c r="AM184" i="1"/>
  <c r="AL184" i="1" s="1"/>
  <c r="AK184" i="1"/>
  <c r="AJ184" i="1"/>
  <c r="AI184" i="1"/>
  <c r="AH184" i="1"/>
  <c r="Z184" i="1"/>
  <c r="Y184" i="1"/>
  <c r="X184" i="1"/>
  <c r="T184" i="1"/>
  <c r="Q184" i="1"/>
  <c r="L184" i="1"/>
  <c r="AN183" i="1"/>
  <c r="T183" i="1" s="1"/>
  <c r="AM183" i="1"/>
  <c r="AL183" i="1" s="1"/>
  <c r="AK183" i="1"/>
  <c r="AJ183" i="1"/>
  <c r="AH183" i="1" s="1"/>
  <c r="AI183" i="1" s="1"/>
  <c r="Z183" i="1"/>
  <c r="Y183" i="1"/>
  <c r="Q183" i="1"/>
  <c r="L183" i="1"/>
  <c r="K183" i="1"/>
  <c r="J183" i="1"/>
  <c r="I183" i="1" s="1"/>
  <c r="AN182" i="1"/>
  <c r="AM182" i="1"/>
  <c r="AK182" i="1"/>
  <c r="AL182" i="1" s="1"/>
  <c r="AJ182" i="1"/>
  <c r="AH182" i="1"/>
  <c r="O182" i="1" s="1"/>
  <c r="Z182" i="1"/>
  <c r="Y182" i="1"/>
  <c r="X182" i="1" s="1"/>
  <c r="T182" i="1"/>
  <c r="Q182" i="1"/>
  <c r="J182" i="1"/>
  <c r="I182" i="1"/>
  <c r="AB182" i="1" s="1"/>
  <c r="AN181" i="1"/>
  <c r="AM181" i="1"/>
  <c r="AK181" i="1"/>
  <c r="AJ181" i="1"/>
  <c r="AH181" i="1" s="1"/>
  <c r="Z181" i="1"/>
  <c r="X181" i="1" s="1"/>
  <c r="Y181" i="1"/>
  <c r="Q181" i="1"/>
  <c r="AN180" i="1"/>
  <c r="AM180" i="1"/>
  <c r="AL180" i="1" s="1"/>
  <c r="AK180" i="1"/>
  <c r="AJ180" i="1"/>
  <c r="AH180" i="1"/>
  <c r="Z180" i="1"/>
  <c r="Y180" i="1"/>
  <c r="X180" i="1" s="1"/>
  <c r="T180" i="1"/>
  <c r="Q180" i="1"/>
  <c r="O180" i="1"/>
  <c r="L180" i="1"/>
  <c r="AN179" i="1"/>
  <c r="T179" i="1" s="1"/>
  <c r="AM179" i="1"/>
  <c r="AK179" i="1"/>
  <c r="AL179" i="1" s="1"/>
  <c r="AJ179" i="1"/>
  <c r="AH179" i="1" s="1"/>
  <c r="AI179" i="1" s="1"/>
  <c r="Z179" i="1"/>
  <c r="Y179" i="1"/>
  <c r="X179" i="1" s="1"/>
  <c r="Q179" i="1"/>
  <c r="O179" i="1"/>
  <c r="L179" i="1"/>
  <c r="K179" i="1"/>
  <c r="J179" i="1"/>
  <c r="I179" i="1" s="1"/>
  <c r="AN178" i="1"/>
  <c r="AM178" i="1"/>
  <c r="AK178" i="1"/>
  <c r="AL178" i="1" s="1"/>
  <c r="AJ178" i="1"/>
  <c r="AH178" i="1"/>
  <c r="O178" i="1" s="1"/>
  <c r="Z178" i="1"/>
  <c r="Y178" i="1"/>
  <c r="X178" i="1"/>
  <c r="Q178" i="1"/>
  <c r="AN177" i="1"/>
  <c r="AM177" i="1"/>
  <c r="AK177" i="1"/>
  <c r="AL177" i="1" s="1"/>
  <c r="AJ177" i="1"/>
  <c r="AH177" i="1"/>
  <c r="L177" i="1" s="1"/>
  <c r="Z177" i="1"/>
  <c r="Y177" i="1"/>
  <c r="X177" i="1"/>
  <c r="Q177" i="1"/>
  <c r="O177" i="1"/>
  <c r="AN176" i="1"/>
  <c r="AM176" i="1"/>
  <c r="AL176" i="1"/>
  <c r="AK176" i="1"/>
  <c r="AJ176" i="1"/>
  <c r="AH176" i="1" s="1"/>
  <c r="Z176" i="1"/>
  <c r="Y176" i="1"/>
  <c r="X176" i="1" s="1"/>
  <c r="T176" i="1"/>
  <c r="Q176" i="1"/>
  <c r="AN175" i="1"/>
  <c r="AM175" i="1"/>
  <c r="AK175" i="1"/>
  <c r="AL175" i="1" s="1"/>
  <c r="AJ175" i="1"/>
  <c r="AH175" i="1" s="1"/>
  <c r="Z175" i="1"/>
  <c r="Y175" i="1"/>
  <c r="X175" i="1" s="1"/>
  <c r="Q175" i="1"/>
  <c r="AN174" i="1"/>
  <c r="AM174" i="1"/>
  <c r="AK174" i="1"/>
  <c r="AL174" i="1" s="1"/>
  <c r="AJ174" i="1"/>
  <c r="AH174" i="1"/>
  <c r="O174" i="1" s="1"/>
  <c r="Z174" i="1"/>
  <c r="Y174" i="1"/>
  <c r="X174" i="1"/>
  <c r="Q174" i="1"/>
  <c r="AN173" i="1"/>
  <c r="AM173" i="1"/>
  <c r="AK173" i="1"/>
  <c r="AL173" i="1" s="1"/>
  <c r="AJ173" i="1"/>
  <c r="AH173" i="1"/>
  <c r="L173" i="1" s="1"/>
  <c r="Z173" i="1"/>
  <c r="Y173" i="1"/>
  <c r="X173" i="1"/>
  <c r="Q173" i="1"/>
  <c r="O173" i="1"/>
  <c r="K173" i="1"/>
  <c r="AN172" i="1"/>
  <c r="AM172" i="1"/>
  <c r="AL172" i="1"/>
  <c r="AK172" i="1"/>
  <c r="AJ172" i="1"/>
  <c r="AH172" i="1" s="1"/>
  <c r="Z172" i="1"/>
  <c r="Y172" i="1"/>
  <c r="X172" i="1" s="1"/>
  <c r="T172" i="1"/>
  <c r="Q172" i="1"/>
  <c r="AN171" i="1"/>
  <c r="AM171" i="1"/>
  <c r="AK171" i="1"/>
  <c r="AL171" i="1" s="1"/>
  <c r="AJ171" i="1"/>
  <c r="AH171" i="1" s="1"/>
  <c r="Z171" i="1"/>
  <c r="Y171" i="1"/>
  <c r="X171" i="1" s="1"/>
  <c r="Q171" i="1"/>
  <c r="AN170" i="1"/>
  <c r="AM170" i="1"/>
  <c r="AK170" i="1"/>
  <c r="AL170" i="1" s="1"/>
  <c r="AJ170" i="1"/>
  <c r="AH170" i="1"/>
  <c r="Z170" i="1"/>
  <c r="Y170" i="1"/>
  <c r="X170" i="1"/>
  <c r="Q170" i="1"/>
  <c r="AN169" i="1"/>
  <c r="AM169" i="1"/>
  <c r="AK169" i="1"/>
  <c r="AL169" i="1" s="1"/>
  <c r="AJ169" i="1"/>
  <c r="AH169" i="1"/>
  <c r="L169" i="1" s="1"/>
  <c r="Z169" i="1"/>
  <c r="Y169" i="1"/>
  <c r="X169" i="1"/>
  <c r="Q169" i="1"/>
  <c r="O169" i="1"/>
  <c r="K169" i="1"/>
  <c r="AN168" i="1"/>
  <c r="AM168" i="1"/>
  <c r="AL168" i="1" s="1"/>
  <c r="AK168" i="1"/>
  <c r="AJ168" i="1"/>
  <c r="AH168" i="1" s="1"/>
  <c r="Z168" i="1"/>
  <c r="Y168" i="1"/>
  <c r="X168" i="1" s="1"/>
  <c r="T168" i="1"/>
  <c r="Q168" i="1"/>
  <c r="L168" i="1"/>
  <c r="AN167" i="1"/>
  <c r="AM167" i="1"/>
  <c r="AK167" i="1"/>
  <c r="AJ167" i="1"/>
  <c r="AH167" i="1" s="1"/>
  <c r="K167" i="1" s="1"/>
  <c r="Z167" i="1"/>
  <c r="Y167" i="1"/>
  <c r="X167" i="1" s="1"/>
  <c r="Q167" i="1"/>
  <c r="J167" i="1"/>
  <c r="I167" i="1" s="1"/>
  <c r="AB167" i="1" s="1"/>
  <c r="AN166" i="1"/>
  <c r="AM166" i="1"/>
  <c r="AK166" i="1"/>
  <c r="AL166" i="1" s="1"/>
  <c r="AJ166" i="1"/>
  <c r="AH166" i="1"/>
  <c r="Z166" i="1"/>
  <c r="Y166" i="1"/>
  <c r="X166" i="1" s="1"/>
  <c r="Q166" i="1"/>
  <c r="AN165" i="1"/>
  <c r="AM165" i="1"/>
  <c r="AK165" i="1"/>
  <c r="AL165" i="1" s="1"/>
  <c r="AJ165" i="1"/>
  <c r="AI165" i="1"/>
  <c r="AH165" i="1"/>
  <c r="L165" i="1" s="1"/>
  <c r="Z165" i="1"/>
  <c r="Y165" i="1"/>
  <c r="X165" i="1" s="1"/>
  <c r="Q165" i="1"/>
  <c r="O165" i="1"/>
  <c r="K165" i="1"/>
  <c r="AN164" i="1"/>
  <c r="AM164" i="1"/>
  <c r="AK164" i="1"/>
  <c r="AL164" i="1" s="1"/>
  <c r="AJ164" i="1"/>
  <c r="AH164" i="1" s="1"/>
  <c r="J164" i="1" s="1"/>
  <c r="AI164" i="1"/>
  <c r="Z164" i="1"/>
  <c r="Y164" i="1"/>
  <c r="X164" i="1" s="1"/>
  <c r="Q164" i="1"/>
  <c r="O164" i="1"/>
  <c r="L164" i="1"/>
  <c r="K164" i="1"/>
  <c r="I164" i="1"/>
  <c r="AN163" i="1"/>
  <c r="AM163" i="1"/>
  <c r="AK163" i="1"/>
  <c r="AJ163" i="1"/>
  <c r="AH163" i="1" s="1"/>
  <c r="L163" i="1" s="1"/>
  <c r="Z163" i="1"/>
  <c r="Y163" i="1"/>
  <c r="X163" i="1" s="1"/>
  <c r="Q163" i="1"/>
  <c r="O163" i="1"/>
  <c r="K163" i="1"/>
  <c r="J163" i="1"/>
  <c r="I163" i="1" s="1"/>
  <c r="AN162" i="1"/>
  <c r="AM162" i="1"/>
  <c r="AK162" i="1"/>
  <c r="AJ162" i="1"/>
  <c r="AH162" i="1"/>
  <c r="L162" i="1" s="1"/>
  <c r="Z162" i="1"/>
  <c r="Y162" i="1"/>
  <c r="X162" i="1"/>
  <c r="Q162" i="1"/>
  <c r="J162" i="1"/>
  <c r="I162" i="1" s="1"/>
  <c r="AN161" i="1"/>
  <c r="AM161" i="1"/>
  <c r="AK161" i="1"/>
  <c r="AJ161" i="1"/>
  <c r="AI161" i="1"/>
  <c r="AH161" i="1"/>
  <c r="Z161" i="1"/>
  <c r="Y161" i="1"/>
  <c r="X161" i="1"/>
  <c r="Q161" i="1"/>
  <c r="K161" i="1"/>
  <c r="AN160" i="1"/>
  <c r="AM160" i="1"/>
  <c r="AL160" i="1" s="1"/>
  <c r="AK160" i="1"/>
  <c r="AJ160" i="1"/>
  <c r="AH160" i="1" s="1"/>
  <c r="Z160" i="1"/>
  <c r="Y160" i="1"/>
  <c r="X160" i="1" s="1"/>
  <c r="T160" i="1"/>
  <c r="Q160" i="1"/>
  <c r="AN159" i="1"/>
  <c r="T159" i="1" s="1"/>
  <c r="AM159" i="1"/>
  <c r="AL159" i="1"/>
  <c r="AK159" i="1"/>
  <c r="AJ159" i="1"/>
  <c r="AI159" i="1"/>
  <c r="AH159" i="1"/>
  <c r="J159" i="1" s="1"/>
  <c r="I159" i="1" s="1"/>
  <c r="Z159" i="1"/>
  <c r="Y159" i="1"/>
  <c r="X159" i="1" s="1"/>
  <c r="Q159" i="1"/>
  <c r="L159" i="1"/>
  <c r="K159" i="1"/>
  <c r="AN158" i="1"/>
  <c r="AM158" i="1"/>
  <c r="AL158" i="1"/>
  <c r="AK158" i="1"/>
  <c r="AJ158" i="1"/>
  <c r="AH158" i="1" s="1"/>
  <c r="Z158" i="1"/>
  <c r="Y158" i="1"/>
  <c r="X158" i="1" s="1"/>
  <c r="T158" i="1"/>
  <c r="Q158" i="1"/>
  <c r="AN157" i="1"/>
  <c r="AM157" i="1"/>
  <c r="AL157" i="1" s="1"/>
  <c r="AK157" i="1"/>
  <c r="AJ157" i="1"/>
  <c r="AH157" i="1" s="1"/>
  <c r="Z157" i="1"/>
  <c r="X157" i="1" s="1"/>
  <c r="Y157" i="1"/>
  <c r="T157" i="1"/>
  <c r="Q157" i="1"/>
  <c r="J157" i="1"/>
  <c r="I157" i="1" s="1"/>
  <c r="AN156" i="1"/>
  <c r="AM156" i="1"/>
  <c r="AK156" i="1"/>
  <c r="AL156" i="1" s="1"/>
  <c r="AJ156" i="1"/>
  <c r="AH156" i="1"/>
  <c r="Z156" i="1"/>
  <c r="Y156" i="1"/>
  <c r="X156" i="1"/>
  <c r="Q156" i="1"/>
  <c r="AN155" i="1"/>
  <c r="T155" i="1" s="1"/>
  <c r="AM155" i="1"/>
  <c r="AL155" i="1"/>
  <c r="AK155" i="1"/>
  <c r="AJ155" i="1"/>
  <c r="AI155" i="1"/>
  <c r="AH155" i="1"/>
  <c r="J155" i="1" s="1"/>
  <c r="I155" i="1" s="1"/>
  <c r="Z155" i="1"/>
  <c r="Y155" i="1"/>
  <c r="X155" i="1" s="1"/>
  <c r="Q155" i="1"/>
  <c r="L155" i="1"/>
  <c r="K155" i="1"/>
  <c r="AN154" i="1"/>
  <c r="AM154" i="1"/>
  <c r="AL154" i="1"/>
  <c r="AK154" i="1"/>
  <c r="AJ154" i="1"/>
  <c r="AH154" i="1" s="1"/>
  <c r="Z154" i="1"/>
  <c r="Y154" i="1"/>
  <c r="X154" i="1" s="1"/>
  <c r="T154" i="1"/>
  <c r="Q154" i="1"/>
  <c r="L154" i="1"/>
  <c r="AN153" i="1"/>
  <c r="AM153" i="1"/>
  <c r="AL153" i="1" s="1"/>
  <c r="AK153" i="1"/>
  <c r="AJ153" i="1"/>
  <c r="AH153" i="1" s="1"/>
  <c r="Z153" i="1"/>
  <c r="X153" i="1" s="1"/>
  <c r="Y153" i="1"/>
  <c r="T153" i="1"/>
  <c r="Q153" i="1"/>
  <c r="AN152" i="1"/>
  <c r="AM152" i="1"/>
  <c r="AK152" i="1"/>
  <c r="AL152" i="1" s="1"/>
  <c r="AJ152" i="1"/>
  <c r="AH152" i="1"/>
  <c r="Z152" i="1"/>
  <c r="Y152" i="1"/>
  <c r="X152" i="1"/>
  <c r="Q152" i="1"/>
  <c r="AN151" i="1"/>
  <c r="AM151" i="1"/>
  <c r="AK151" i="1"/>
  <c r="AL151" i="1" s="1"/>
  <c r="AJ151" i="1"/>
  <c r="AI151" i="1"/>
  <c r="AH151" i="1"/>
  <c r="J151" i="1" s="1"/>
  <c r="I151" i="1" s="1"/>
  <c r="Z151" i="1"/>
  <c r="Y151" i="1"/>
  <c r="X151" i="1" s="1"/>
  <c r="Q151" i="1"/>
  <c r="L151" i="1"/>
  <c r="K151" i="1"/>
  <c r="AN150" i="1"/>
  <c r="AM150" i="1"/>
  <c r="AL150" i="1"/>
  <c r="AK150" i="1"/>
  <c r="AJ150" i="1"/>
  <c r="AH150" i="1" s="1"/>
  <c r="Z150" i="1"/>
  <c r="Y150" i="1"/>
  <c r="X150" i="1" s="1"/>
  <c r="T150" i="1"/>
  <c r="Q150" i="1"/>
  <c r="J150" i="1"/>
  <c r="I150" i="1" s="1"/>
  <c r="AN149" i="1"/>
  <c r="AM149" i="1"/>
  <c r="AL149" i="1" s="1"/>
  <c r="AK149" i="1"/>
  <c r="AJ149" i="1"/>
  <c r="AH149" i="1"/>
  <c r="O149" i="1" s="1"/>
  <c r="Z149" i="1"/>
  <c r="Y149" i="1"/>
  <c r="X149" i="1"/>
  <c r="T149" i="1"/>
  <c r="Q149" i="1"/>
  <c r="AN148" i="1"/>
  <c r="AM148" i="1"/>
  <c r="AK148" i="1"/>
  <c r="AJ148" i="1"/>
  <c r="AH148" i="1"/>
  <c r="Z148" i="1"/>
  <c r="Y148" i="1"/>
  <c r="X148" i="1"/>
  <c r="Q148" i="1"/>
  <c r="AN147" i="1"/>
  <c r="AM147" i="1"/>
  <c r="AK147" i="1"/>
  <c r="AL147" i="1" s="1"/>
  <c r="AJ147" i="1"/>
  <c r="AI147" i="1"/>
  <c r="AH147" i="1"/>
  <c r="J147" i="1" s="1"/>
  <c r="I147" i="1" s="1"/>
  <c r="Z147" i="1"/>
  <c r="Y147" i="1"/>
  <c r="X147" i="1" s="1"/>
  <c r="T147" i="1"/>
  <c r="Q147" i="1"/>
  <c r="L147" i="1"/>
  <c r="K147" i="1"/>
  <c r="AN146" i="1"/>
  <c r="AM146" i="1"/>
  <c r="AL146" i="1"/>
  <c r="AK146" i="1"/>
  <c r="AJ146" i="1"/>
  <c r="AH146" i="1" s="1"/>
  <c r="K146" i="1" s="1"/>
  <c r="Z146" i="1"/>
  <c r="Y146" i="1"/>
  <c r="X146" i="1" s="1"/>
  <c r="T146" i="1"/>
  <c r="Q146" i="1"/>
  <c r="AN145" i="1"/>
  <c r="AM145" i="1"/>
  <c r="AL145" i="1" s="1"/>
  <c r="AK145" i="1"/>
  <c r="AJ145" i="1"/>
  <c r="AH145" i="1" s="1"/>
  <c r="Z145" i="1"/>
  <c r="X145" i="1" s="1"/>
  <c r="Y145" i="1"/>
  <c r="T145" i="1"/>
  <c r="Q145" i="1"/>
  <c r="AN144" i="1"/>
  <c r="AM144" i="1"/>
  <c r="AK144" i="1"/>
  <c r="AJ144" i="1"/>
  <c r="AH144" i="1"/>
  <c r="Z144" i="1"/>
  <c r="Y144" i="1"/>
  <c r="X144" i="1"/>
  <c r="Q144" i="1"/>
  <c r="AN143" i="1"/>
  <c r="AM143" i="1"/>
  <c r="AL143" i="1"/>
  <c r="AK143" i="1"/>
  <c r="AJ143" i="1"/>
  <c r="AI143" i="1"/>
  <c r="AH143" i="1"/>
  <c r="J143" i="1" s="1"/>
  <c r="Z143" i="1"/>
  <c r="Y143" i="1"/>
  <c r="X143" i="1" s="1"/>
  <c r="T143" i="1"/>
  <c r="Q143" i="1"/>
  <c r="L143" i="1"/>
  <c r="K143" i="1"/>
  <c r="I143" i="1"/>
  <c r="AB143" i="1" s="1"/>
  <c r="AN142" i="1"/>
  <c r="AM142" i="1"/>
  <c r="AL142" i="1"/>
  <c r="AK142" i="1"/>
  <c r="AJ142" i="1"/>
  <c r="AH142" i="1" s="1"/>
  <c r="K142" i="1" s="1"/>
  <c r="AI142" i="1"/>
  <c r="Z142" i="1"/>
  <c r="Y142" i="1"/>
  <c r="X142" i="1" s="1"/>
  <c r="T142" i="1"/>
  <c r="Q142" i="1"/>
  <c r="O142" i="1"/>
  <c r="L142" i="1"/>
  <c r="J142" i="1"/>
  <c r="I142" i="1"/>
  <c r="AB142" i="1" s="1"/>
  <c r="AN141" i="1"/>
  <c r="AM141" i="1"/>
  <c r="AL141" i="1" s="1"/>
  <c r="AK141" i="1"/>
  <c r="AJ141" i="1"/>
  <c r="AH141" i="1"/>
  <c r="O141" i="1" s="1"/>
  <c r="Z141" i="1"/>
  <c r="Y141" i="1"/>
  <c r="X141" i="1"/>
  <c r="T141" i="1"/>
  <c r="Q141" i="1"/>
  <c r="AN140" i="1"/>
  <c r="AM140" i="1"/>
  <c r="AK140" i="1"/>
  <c r="AJ140" i="1"/>
  <c r="AH140" i="1"/>
  <c r="Z140" i="1"/>
  <c r="Y140" i="1"/>
  <c r="X140" i="1"/>
  <c r="Q140" i="1"/>
  <c r="O140" i="1"/>
  <c r="K140" i="1"/>
  <c r="AN139" i="1"/>
  <c r="AM139" i="1"/>
  <c r="AL139" i="1"/>
  <c r="AK139" i="1"/>
  <c r="AJ139" i="1"/>
  <c r="AI139" i="1"/>
  <c r="AH139" i="1"/>
  <c r="J139" i="1" s="1"/>
  <c r="AB139" i="1"/>
  <c r="Z139" i="1"/>
  <c r="Y139" i="1"/>
  <c r="X139" i="1" s="1"/>
  <c r="T139" i="1"/>
  <c r="Q139" i="1"/>
  <c r="L139" i="1"/>
  <c r="K139" i="1"/>
  <c r="I139" i="1"/>
  <c r="AN138" i="1"/>
  <c r="AM138" i="1"/>
  <c r="AL138" i="1"/>
  <c r="AK138" i="1"/>
  <c r="T138" i="1" s="1"/>
  <c r="AJ138" i="1"/>
  <c r="AH138" i="1" s="1"/>
  <c r="AI138" i="1" s="1"/>
  <c r="Z138" i="1"/>
  <c r="Y138" i="1"/>
  <c r="Q138" i="1"/>
  <c r="O138" i="1"/>
  <c r="L138" i="1"/>
  <c r="J138" i="1"/>
  <c r="I138" i="1" s="1"/>
  <c r="AN137" i="1"/>
  <c r="AM137" i="1"/>
  <c r="AL137" i="1"/>
  <c r="AK137" i="1"/>
  <c r="AJ137" i="1"/>
  <c r="AH137" i="1"/>
  <c r="K137" i="1" s="1"/>
  <c r="Z137" i="1"/>
  <c r="Y137" i="1"/>
  <c r="X137" i="1" s="1"/>
  <c r="T137" i="1"/>
  <c r="Q137" i="1"/>
  <c r="O137" i="1"/>
  <c r="J137" i="1"/>
  <c r="I137" i="1" s="1"/>
  <c r="AN136" i="1"/>
  <c r="AM136" i="1"/>
  <c r="AK136" i="1"/>
  <c r="AJ136" i="1"/>
  <c r="AH136" i="1" s="1"/>
  <c r="Z136" i="1"/>
  <c r="Y136" i="1"/>
  <c r="X136" i="1"/>
  <c r="Q136" i="1"/>
  <c r="AN135" i="1"/>
  <c r="AM135" i="1"/>
  <c r="AL135" i="1"/>
  <c r="AK135" i="1"/>
  <c r="T135" i="1" s="1"/>
  <c r="AJ135" i="1"/>
  <c r="AH135" i="1"/>
  <c r="K135" i="1" s="1"/>
  <c r="Z135" i="1"/>
  <c r="Y135" i="1"/>
  <c r="X135" i="1" s="1"/>
  <c r="Q135" i="1"/>
  <c r="L135" i="1"/>
  <c r="AN134" i="1"/>
  <c r="T134" i="1" s="1"/>
  <c r="AM134" i="1"/>
  <c r="AL134" i="1"/>
  <c r="AK134" i="1"/>
  <c r="AJ134" i="1"/>
  <c r="AH134" i="1" s="1"/>
  <c r="L134" i="1" s="1"/>
  <c r="AI134" i="1"/>
  <c r="Z134" i="1"/>
  <c r="Y134" i="1"/>
  <c r="Q134" i="1"/>
  <c r="O134" i="1"/>
  <c r="K134" i="1"/>
  <c r="J134" i="1"/>
  <c r="I134" i="1"/>
  <c r="AB134" i="1" s="1"/>
  <c r="AN133" i="1"/>
  <c r="AM133" i="1"/>
  <c r="AK133" i="1"/>
  <c r="AL133" i="1" s="1"/>
  <c r="AJ133" i="1"/>
  <c r="AH133" i="1"/>
  <c r="L133" i="1" s="1"/>
  <c r="Z133" i="1"/>
  <c r="Y133" i="1"/>
  <c r="X133" i="1"/>
  <c r="Q133" i="1"/>
  <c r="O133" i="1"/>
  <c r="AN132" i="1"/>
  <c r="AM132" i="1"/>
  <c r="AL132" i="1"/>
  <c r="AK132" i="1"/>
  <c r="AJ132" i="1"/>
  <c r="AH132" i="1" s="1"/>
  <c r="Z132" i="1"/>
  <c r="Y132" i="1"/>
  <c r="X132" i="1" s="1"/>
  <c r="T132" i="1"/>
  <c r="Q132" i="1"/>
  <c r="AN131" i="1"/>
  <c r="AM131" i="1"/>
  <c r="AK131" i="1"/>
  <c r="AL131" i="1" s="1"/>
  <c r="AJ131" i="1"/>
  <c r="AH131" i="1" s="1"/>
  <c r="Z131" i="1"/>
  <c r="Y131" i="1"/>
  <c r="X131" i="1" s="1"/>
  <c r="Q131" i="1"/>
  <c r="AN130" i="1"/>
  <c r="AM130" i="1"/>
  <c r="AK130" i="1"/>
  <c r="AL130" i="1" s="1"/>
  <c r="AJ130" i="1"/>
  <c r="AH130" i="1"/>
  <c r="O130" i="1" s="1"/>
  <c r="Z130" i="1"/>
  <c r="Y130" i="1"/>
  <c r="X130" i="1"/>
  <c r="Q130" i="1"/>
  <c r="K130" i="1"/>
  <c r="AN129" i="1"/>
  <c r="AM129" i="1"/>
  <c r="AK129" i="1"/>
  <c r="AL129" i="1" s="1"/>
  <c r="AJ129" i="1"/>
  <c r="AI129" i="1"/>
  <c r="AH129" i="1"/>
  <c r="L129" i="1" s="1"/>
  <c r="Z129" i="1"/>
  <c r="Y129" i="1"/>
  <c r="X129" i="1" s="1"/>
  <c r="Q129" i="1"/>
  <c r="O129" i="1"/>
  <c r="K129" i="1"/>
  <c r="AN128" i="1"/>
  <c r="AM128" i="1"/>
  <c r="AL128" i="1"/>
  <c r="AK128" i="1"/>
  <c r="AJ128" i="1"/>
  <c r="AH128" i="1" s="1"/>
  <c r="Z128" i="1"/>
  <c r="Y128" i="1"/>
  <c r="X128" i="1" s="1"/>
  <c r="T128" i="1"/>
  <c r="Q128" i="1"/>
  <c r="AN127" i="1"/>
  <c r="AM127" i="1"/>
  <c r="AK127" i="1"/>
  <c r="AL127" i="1" s="1"/>
  <c r="AJ127" i="1"/>
  <c r="AH127" i="1" s="1"/>
  <c r="Z127" i="1"/>
  <c r="Y127" i="1"/>
  <c r="X127" i="1" s="1"/>
  <c r="Q127" i="1"/>
  <c r="AN126" i="1"/>
  <c r="AM126" i="1"/>
  <c r="AK126" i="1"/>
  <c r="AL126" i="1" s="1"/>
  <c r="AJ126" i="1"/>
  <c r="AH126" i="1"/>
  <c r="O126" i="1" s="1"/>
  <c r="Z126" i="1"/>
  <c r="Y126" i="1"/>
  <c r="X126" i="1"/>
  <c r="Q126" i="1"/>
  <c r="K126" i="1"/>
  <c r="AN125" i="1"/>
  <c r="AM125" i="1"/>
  <c r="AK125" i="1"/>
  <c r="AL125" i="1" s="1"/>
  <c r="AJ125" i="1"/>
  <c r="AI125" i="1"/>
  <c r="AH125" i="1"/>
  <c r="L125" i="1" s="1"/>
  <c r="Z125" i="1"/>
  <c r="Y125" i="1"/>
  <c r="X125" i="1" s="1"/>
  <c r="Q125" i="1"/>
  <c r="O125" i="1"/>
  <c r="K125" i="1"/>
  <c r="AN124" i="1"/>
  <c r="AM124" i="1"/>
  <c r="AL124" i="1"/>
  <c r="AK124" i="1"/>
  <c r="AJ124" i="1"/>
  <c r="AH124" i="1" s="1"/>
  <c r="Z124" i="1"/>
  <c r="Y124" i="1"/>
  <c r="X124" i="1" s="1"/>
  <c r="T124" i="1"/>
  <c r="Q124" i="1"/>
  <c r="AN123" i="1"/>
  <c r="AM123" i="1"/>
  <c r="AK123" i="1"/>
  <c r="AL123" i="1" s="1"/>
  <c r="AJ123" i="1"/>
  <c r="AH123" i="1" s="1"/>
  <c r="Z123" i="1"/>
  <c r="Y123" i="1"/>
  <c r="X123" i="1" s="1"/>
  <c r="Q123" i="1"/>
  <c r="AN122" i="1"/>
  <c r="AM122" i="1"/>
  <c r="AK122" i="1"/>
  <c r="AJ122" i="1"/>
  <c r="AH122" i="1"/>
  <c r="O122" i="1" s="1"/>
  <c r="Z122" i="1"/>
  <c r="Y122" i="1"/>
  <c r="X122" i="1"/>
  <c r="Q122" i="1"/>
  <c r="K122" i="1"/>
  <c r="AN121" i="1"/>
  <c r="AM121" i="1"/>
  <c r="AK121" i="1"/>
  <c r="AL121" i="1" s="1"/>
  <c r="AJ121" i="1"/>
  <c r="AI121" i="1"/>
  <c r="AH121" i="1"/>
  <c r="L121" i="1" s="1"/>
  <c r="Z121" i="1"/>
  <c r="Y121" i="1"/>
  <c r="X121" i="1" s="1"/>
  <c r="Q121" i="1"/>
  <c r="O121" i="1"/>
  <c r="K121" i="1"/>
  <c r="AN120" i="1"/>
  <c r="AM120" i="1"/>
  <c r="AL120" i="1"/>
  <c r="AK120" i="1"/>
  <c r="AJ120" i="1"/>
  <c r="AH120" i="1" s="1"/>
  <c r="Z120" i="1"/>
  <c r="Y120" i="1"/>
  <c r="X120" i="1" s="1"/>
  <c r="T120" i="1"/>
  <c r="Q120" i="1"/>
  <c r="AN119" i="1"/>
  <c r="AM119" i="1"/>
  <c r="AK119" i="1"/>
  <c r="AJ119" i="1"/>
  <c r="AH119" i="1" s="1"/>
  <c r="Z119" i="1"/>
  <c r="Y119" i="1"/>
  <c r="Q119" i="1"/>
  <c r="O119" i="1"/>
  <c r="AN118" i="1"/>
  <c r="AM118" i="1"/>
  <c r="AK118" i="1"/>
  <c r="AJ118" i="1"/>
  <c r="AH118" i="1"/>
  <c r="Z118" i="1"/>
  <c r="Y118" i="1"/>
  <c r="X118" i="1"/>
  <c r="Q118" i="1"/>
  <c r="AN117" i="1"/>
  <c r="AM117" i="1"/>
  <c r="AK117" i="1"/>
  <c r="AJ117" i="1"/>
  <c r="AI117" i="1"/>
  <c r="AH117" i="1"/>
  <c r="L117" i="1" s="1"/>
  <c r="Z117" i="1"/>
  <c r="Y117" i="1"/>
  <c r="X117" i="1" s="1"/>
  <c r="Q117" i="1"/>
  <c r="O117" i="1"/>
  <c r="K117" i="1"/>
  <c r="AN116" i="1"/>
  <c r="AM116" i="1"/>
  <c r="AL116" i="1"/>
  <c r="AK116" i="1"/>
  <c r="AJ116" i="1"/>
  <c r="AH116" i="1" s="1"/>
  <c r="AI116" i="1"/>
  <c r="Z116" i="1"/>
  <c r="Y116" i="1"/>
  <c r="X116" i="1" s="1"/>
  <c r="T116" i="1"/>
  <c r="Q116" i="1"/>
  <c r="O116" i="1"/>
  <c r="L116" i="1"/>
  <c r="AN115" i="1"/>
  <c r="AM115" i="1"/>
  <c r="AK115" i="1"/>
  <c r="AJ115" i="1"/>
  <c r="AH115" i="1" s="1"/>
  <c r="Z115" i="1"/>
  <c r="Y115" i="1"/>
  <c r="Q115" i="1"/>
  <c r="O115" i="1"/>
  <c r="AN114" i="1"/>
  <c r="AM114" i="1"/>
  <c r="AK114" i="1"/>
  <c r="AJ114" i="1"/>
  <c r="AH114" i="1"/>
  <c r="Z114" i="1"/>
  <c r="X114" i="1" s="1"/>
  <c r="Y114" i="1"/>
  <c r="Q114" i="1"/>
  <c r="AN113" i="1"/>
  <c r="AM113" i="1"/>
  <c r="AK113" i="1"/>
  <c r="AJ113" i="1"/>
  <c r="AH113" i="1"/>
  <c r="Z113" i="1"/>
  <c r="Y113" i="1"/>
  <c r="X113" i="1"/>
  <c r="Q113" i="1"/>
  <c r="K113" i="1"/>
  <c r="AN112" i="1"/>
  <c r="AM112" i="1"/>
  <c r="AL112" i="1" s="1"/>
  <c r="AK112" i="1"/>
  <c r="AJ112" i="1"/>
  <c r="AI112" i="1"/>
  <c r="AH112" i="1"/>
  <c r="J112" i="1" s="1"/>
  <c r="I112" i="1" s="1"/>
  <c r="Z112" i="1"/>
  <c r="Y112" i="1"/>
  <c r="X112" i="1" s="1"/>
  <c r="T112" i="1"/>
  <c r="Q112" i="1"/>
  <c r="O112" i="1"/>
  <c r="L112" i="1"/>
  <c r="K112" i="1"/>
  <c r="AN111" i="1"/>
  <c r="AM111" i="1"/>
  <c r="AK111" i="1"/>
  <c r="T111" i="1" s="1"/>
  <c r="AJ111" i="1"/>
  <c r="AH111" i="1" s="1"/>
  <c r="Z111" i="1"/>
  <c r="Y111" i="1"/>
  <c r="X111" i="1" s="1"/>
  <c r="Q111" i="1"/>
  <c r="O111" i="1"/>
  <c r="AN110" i="1"/>
  <c r="AM110" i="1"/>
  <c r="AK110" i="1"/>
  <c r="AJ110" i="1"/>
  <c r="AH110" i="1" s="1"/>
  <c r="Z110" i="1"/>
  <c r="Y110" i="1"/>
  <c r="X110" i="1" s="1"/>
  <c r="Q110" i="1"/>
  <c r="AN109" i="1"/>
  <c r="AM109" i="1"/>
  <c r="AK109" i="1"/>
  <c r="AJ109" i="1"/>
  <c r="AH109" i="1"/>
  <c r="J109" i="1" s="1"/>
  <c r="I109" i="1" s="1"/>
  <c r="Z109" i="1"/>
  <c r="Y109" i="1"/>
  <c r="X109" i="1"/>
  <c r="Q109" i="1"/>
  <c r="K109" i="1"/>
  <c r="AN108" i="1"/>
  <c r="AM108" i="1"/>
  <c r="AK108" i="1"/>
  <c r="AL108" i="1" s="1"/>
  <c r="AJ108" i="1"/>
  <c r="AH108" i="1" s="1"/>
  <c r="Z108" i="1"/>
  <c r="Y108" i="1"/>
  <c r="X108" i="1" s="1"/>
  <c r="Q108" i="1"/>
  <c r="AN107" i="1"/>
  <c r="AM107" i="1"/>
  <c r="AL107" i="1"/>
  <c r="AK107" i="1"/>
  <c r="AJ107" i="1"/>
  <c r="AH107" i="1"/>
  <c r="K107" i="1" s="1"/>
  <c r="Z107" i="1"/>
  <c r="Y107" i="1"/>
  <c r="X107" i="1"/>
  <c r="T107" i="1"/>
  <c r="Q107" i="1"/>
  <c r="O107" i="1"/>
  <c r="L107" i="1"/>
  <c r="AN106" i="1"/>
  <c r="AM106" i="1"/>
  <c r="AK106" i="1"/>
  <c r="AJ106" i="1"/>
  <c r="AH106" i="1" s="1"/>
  <c r="Z106" i="1"/>
  <c r="Y106" i="1"/>
  <c r="X106" i="1" s="1"/>
  <c r="Q106" i="1"/>
  <c r="AN105" i="1"/>
  <c r="AM105" i="1"/>
  <c r="AK105" i="1"/>
  <c r="AJ105" i="1"/>
  <c r="AH105" i="1"/>
  <c r="J105" i="1" s="1"/>
  <c r="I105" i="1" s="1"/>
  <c r="Z105" i="1"/>
  <c r="Y105" i="1"/>
  <c r="X105" i="1"/>
  <c r="Q105" i="1"/>
  <c r="K105" i="1"/>
  <c r="AN104" i="1"/>
  <c r="AM104" i="1"/>
  <c r="AK104" i="1"/>
  <c r="AL104" i="1" s="1"/>
  <c r="AJ104" i="1"/>
  <c r="AH104" i="1" s="1"/>
  <c r="AI104" i="1" s="1"/>
  <c r="Z104" i="1"/>
  <c r="Y104" i="1"/>
  <c r="X104" i="1" s="1"/>
  <c r="Q104" i="1"/>
  <c r="AN103" i="1"/>
  <c r="AM103" i="1"/>
  <c r="AL103" i="1"/>
  <c r="AK103" i="1"/>
  <c r="AJ103" i="1"/>
  <c r="AH103" i="1"/>
  <c r="K103" i="1" s="1"/>
  <c r="Z103" i="1"/>
  <c r="Y103" i="1"/>
  <c r="X103" i="1"/>
  <c r="T103" i="1"/>
  <c r="Q103" i="1"/>
  <c r="O103" i="1"/>
  <c r="L103" i="1"/>
  <c r="AN102" i="1"/>
  <c r="AM102" i="1"/>
  <c r="AK102" i="1"/>
  <c r="AJ102" i="1"/>
  <c r="AH102" i="1" s="1"/>
  <c r="Z102" i="1"/>
  <c r="Y102" i="1"/>
  <c r="X102" i="1" s="1"/>
  <c r="Q102" i="1"/>
  <c r="AN101" i="1"/>
  <c r="AM101" i="1"/>
  <c r="AK101" i="1"/>
  <c r="AJ101" i="1"/>
  <c r="AH101" i="1"/>
  <c r="J101" i="1" s="1"/>
  <c r="I101" i="1" s="1"/>
  <c r="Z101" i="1"/>
  <c r="Y101" i="1"/>
  <c r="X101" i="1"/>
  <c r="Q101" i="1"/>
  <c r="K101" i="1"/>
  <c r="AN100" i="1"/>
  <c r="AM100" i="1"/>
  <c r="AK100" i="1"/>
  <c r="AL100" i="1" s="1"/>
  <c r="AJ100" i="1"/>
  <c r="AH100" i="1" s="1"/>
  <c r="AI100" i="1"/>
  <c r="Z100" i="1"/>
  <c r="Y100" i="1"/>
  <c r="X100" i="1" s="1"/>
  <c r="Q100" i="1"/>
  <c r="AN99" i="1"/>
  <c r="AM99" i="1"/>
  <c r="AL99" i="1"/>
  <c r="AK99" i="1"/>
  <c r="AJ99" i="1"/>
  <c r="AH99" i="1"/>
  <c r="J99" i="1" s="1"/>
  <c r="I99" i="1" s="1"/>
  <c r="AB99" i="1" s="1"/>
  <c r="Z99" i="1"/>
  <c r="Y99" i="1"/>
  <c r="X99" i="1"/>
  <c r="T99" i="1"/>
  <c r="Q99" i="1"/>
  <c r="O99" i="1"/>
  <c r="L99" i="1"/>
  <c r="K99" i="1"/>
  <c r="AN98" i="1"/>
  <c r="AM98" i="1"/>
  <c r="AK98" i="1"/>
  <c r="AJ98" i="1"/>
  <c r="AH98" i="1" s="1"/>
  <c r="Z98" i="1"/>
  <c r="Y98" i="1"/>
  <c r="Q98" i="1"/>
  <c r="J98" i="1"/>
  <c r="I98" i="1"/>
  <c r="AB98" i="1" s="1"/>
  <c r="AN97" i="1"/>
  <c r="AM97" i="1"/>
  <c r="AK97" i="1"/>
  <c r="AJ97" i="1"/>
  <c r="AH97" i="1"/>
  <c r="Z97" i="1"/>
  <c r="Y97" i="1"/>
  <c r="X97" i="1"/>
  <c r="Q97" i="1"/>
  <c r="AN96" i="1"/>
  <c r="AM96" i="1"/>
  <c r="AK96" i="1"/>
  <c r="AL96" i="1" s="1"/>
  <c r="AJ96" i="1"/>
  <c r="AH96" i="1" s="1"/>
  <c r="AI96" i="1"/>
  <c r="Z96" i="1"/>
  <c r="Y96" i="1"/>
  <c r="X96" i="1" s="1"/>
  <c r="Q96" i="1"/>
  <c r="AN95" i="1"/>
  <c r="AM95" i="1"/>
  <c r="AK95" i="1"/>
  <c r="T95" i="1" s="1"/>
  <c r="AJ95" i="1"/>
  <c r="AH95" i="1"/>
  <c r="J95" i="1" s="1"/>
  <c r="I95" i="1" s="1"/>
  <c r="Z95" i="1"/>
  <c r="Y95" i="1"/>
  <c r="X95" i="1"/>
  <c r="Q95" i="1"/>
  <c r="O95" i="1"/>
  <c r="L95" i="1"/>
  <c r="K95" i="1"/>
  <c r="AN94" i="1"/>
  <c r="AM94" i="1"/>
  <c r="AK94" i="1"/>
  <c r="AJ94" i="1"/>
  <c r="AH94" i="1" s="1"/>
  <c r="L94" i="1" s="1"/>
  <c r="AI94" i="1"/>
  <c r="Z94" i="1"/>
  <c r="Y94" i="1"/>
  <c r="X94" i="1" s="1"/>
  <c r="Q94" i="1"/>
  <c r="O94" i="1"/>
  <c r="K94" i="1"/>
  <c r="J94" i="1"/>
  <c r="I94" i="1"/>
  <c r="AB94" i="1" s="1"/>
  <c r="AN93" i="1"/>
  <c r="AM93" i="1"/>
  <c r="AK93" i="1"/>
  <c r="AL93" i="1" s="1"/>
  <c r="AJ93" i="1"/>
  <c r="AH93" i="1"/>
  <c r="J93" i="1" s="1"/>
  <c r="Z93" i="1"/>
  <c r="Y93" i="1"/>
  <c r="X93" i="1"/>
  <c r="T93" i="1"/>
  <c r="Q93" i="1"/>
  <c r="L93" i="1"/>
  <c r="K93" i="1"/>
  <c r="I93" i="1"/>
  <c r="AN92" i="1"/>
  <c r="AM92" i="1"/>
  <c r="AK92" i="1"/>
  <c r="AJ92" i="1"/>
  <c r="AH92" i="1" s="1"/>
  <c r="L92" i="1" s="1"/>
  <c r="Z92" i="1"/>
  <c r="Y92" i="1"/>
  <c r="X92" i="1" s="1"/>
  <c r="Q92" i="1"/>
  <c r="O92" i="1"/>
  <c r="K92" i="1"/>
  <c r="J92" i="1"/>
  <c r="I92" i="1"/>
  <c r="AB92" i="1" s="1"/>
  <c r="AN91" i="1"/>
  <c r="AM91" i="1"/>
  <c r="AK91" i="1"/>
  <c r="AL91" i="1" s="1"/>
  <c r="AJ91" i="1"/>
  <c r="AH91" i="1"/>
  <c r="J91" i="1" s="1"/>
  <c r="Z91" i="1"/>
  <c r="Y91" i="1"/>
  <c r="X91" i="1"/>
  <c r="T91" i="1"/>
  <c r="Q91" i="1"/>
  <c r="L91" i="1"/>
  <c r="K91" i="1"/>
  <c r="I91" i="1"/>
  <c r="AN90" i="1"/>
  <c r="AM90" i="1"/>
  <c r="AK90" i="1"/>
  <c r="AL90" i="1" s="1"/>
  <c r="AJ90" i="1"/>
  <c r="AH90" i="1" s="1"/>
  <c r="AI90" i="1" s="1"/>
  <c r="Z90" i="1"/>
  <c r="Y90" i="1"/>
  <c r="X90" i="1" s="1"/>
  <c r="Q90" i="1"/>
  <c r="O90" i="1"/>
  <c r="L90" i="1"/>
  <c r="K90" i="1"/>
  <c r="J90" i="1"/>
  <c r="I90" i="1" s="1"/>
  <c r="AN89" i="1"/>
  <c r="AM89" i="1"/>
  <c r="AK89" i="1"/>
  <c r="AJ89" i="1"/>
  <c r="AH89" i="1"/>
  <c r="J89" i="1" s="1"/>
  <c r="I89" i="1" s="1"/>
  <c r="Z89" i="1"/>
  <c r="Y89" i="1"/>
  <c r="X89" i="1"/>
  <c r="Q89" i="1"/>
  <c r="K89" i="1"/>
  <c r="AN88" i="1"/>
  <c r="AM88" i="1"/>
  <c r="AK88" i="1"/>
  <c r="AL88" i="1" s="1"/>
  <c r="AJ88" i="1"/>
  <c r="AH88" i="1" s="1"/>
  <c r="AI88" i="1"/>
  <c r="Z88" i="1"/>
  <c r="Y88" i="1"/>
  <c r="X88" i="1" s="1"/>
  <c r="Q88" i="1"/>
  <c r="AN87" i="1"/>
  <c r="AM87" i="1"/>
  <c r="AL87" i="1"/>
  <c r="AK87" i="1"/>
  <c r="AJ87" i="1"/>
  <c r="AH87" i="1"/>
  <c r="K87" i="1" s="1"/>
  <c r="Z87" i="1"/>
  <c r="Y87" i="1"/>
  <c r="X87" i="1"/>
  <c r="T87" i="1"/>
  <c r="Q87" i="1"/>
  <c r="O87" i="1"/>
  <c r="L87" i="1"/>
  <c r="AN86" i="1"/>
  <c r="T86" i="1" s="1"/>
  <c r="AM86" i="1"/>
  <c r="AL86" i="1" s="1"/>
  <c r="AK86" i="1"/>
  <c r="AJ86" i="1"/>
  <c r="AH86" i="1" s="1"/>
  <c r="Z86" i="1"/>
  <c r="Y86" i="1"/>
  <c r="X86" i="1" s="1"/>
  <c r="Q86" i="1"/>
  <c r="AN85" i="1"/>
  <c r="AM85" i="1"/>
  <c r="AK85" i="1"/>
  <c r="AJ85" i="1"/>
  <c r="AH85" i="1"/>
  <c r="J85" i="1" s="1"/>
  <c r="I85" i="1" s="1"/>
  <c r="Z85" i="1"/>
  <c r="Y85" i="1"/>
  <c r="X85" i="1"/>
  <c r="Q85" i="1"/>
  <c r="K85" i="1"/>
  <c r="AN84" i="1"/>
  <c r="AM84" i="1"/>
  <c r="AK84" i="1"/>
  <c r="AL84" i="1" s="1"/>
  <c r="AJ84" i="1"/>
  <c r="AH84" i="1" s="1"/>
  <c r="AI84" i="1"/>
  <c r="Z84" i="1"/>
  <c r="Y84" i="1"/>
  <c r="X84" i="1" s="1"/>
  <c r="Q84" i="1"/>
  <c r="AN83" i="1"/>
  <c r="AM83" i="1"/>
  <c r="AL83" i="1"/>
  <c r="AK83" i="1"/>
  <c r="AJ83" i="1"/>
  <c r="AH83" i="1"/>
  <c r="K83" i="1" s="1"/>
  <c r="Z83" i="1"/>
  <c r="Y83" i="1"/>
  <c r="X83" i="1"/>
  <c r="T83" i="1"/>
  <c r="Q83" i="1"/>
  <c r="O83" i="1"/>
  <c r="L83" i="1"/>
  <c r="AN82" i="1"/>
  <c r="T82" i="1" s="1"/>
  <c r="AM82" i="1"/>
  <c r="AL82" i="1" s="1"/>
  <c r="AK82" i="1"/>
  <c r="AJ82" i="1"/>
  <c r="AH82" i="1" s="1"/>
  <c r="Z82" i="1"/>
  <c r="Y82" i="1"/>
  <c r="X82" i="1" s="1"/>
  <c r="Q82" i="1"/>
  <c r="AN81" i="1"/>
  <c r="AM81" i="1"/>
  <c r="AK81" i="1"/>
  <c r="AJ81" i="1"/>
  <c r="AH81" i="1"/>
  <c r="J81" i="1" s="1"/>
  <c r="I81" i="1" s="1"/>
  <c r="Z81" i="1"/>
  <c r="Y81" i="1"/>
  <c r="X81" i="1"/>
  <c r="Q81" i="1"/>
  <c r="K81" i="1"/>
  <c r="AN80" i="1"/>
  <c r="AM80" i="1"/>
  <c r="AK80" i="1"/>
  <c r="AL80" i="1" s="1"/>
  <c r="AJ80" i="1"/>
  <c r="AH80" i="1" s="1"/>
  <c r="AI80" i="1"/>
  <c r="Z80" i="1"/>
  <c r="Y80" i="1"/>
  <c r="X80" i="1" s="1"/>
  <c r="Q80" i="1"/>
  <c r="AN79" i="1"/>
  <c r="AM79" i="1"/>
  <c r="AL79" i="1"/>
  <c r="AK79" i="1"/>
  <c r="AJ79" i="1"/>
  <c r="AH79" i="1"/>
  <c r="K79" i="1" s="1"/>
  <c r="Z79" i="1"/>
  <c r="Y79" i="1"/>
  <c r="X79" i="1"/>
  <c r="T79" i="1"/>
  <c r="Q79" i="1"/>
  <c r="O79" i="1"/>
  <c r="L79" i="1"/>
  <c r="AN78" i="1"/>
  <c r="AM78" i="1"/>
  <c r="AK78" i="1"/>
  <c r="AL78" i="1" s="1"/>
  <c r="AJ78" i="1"/>
  <c r="AH78" i="1" s="1"/>
  <c r="Z78" i="1"/>
  <c r="Y78" i="1"/>
  <c r="X78" i="1" s="1"/>
  <c r="Q78" i="1"/>
  <c r="AN77" i="1"/>
  <c r="AM77" i="1"/>
  <c r="AK77" i="1"/>
  <c r="AJ77" i="1"/>
  <c r="AH77" i="1"/>
  <c r="J77" i="1" s="1"/>
  <c r="I77" i="1" s="1"/>
  <c r="Z77" i="1"/>
  <c r="Y77" i="1"/>
  <c r="X77" i="1"/>
  <c r="Q77" i="1"/>
  <c r="K77" i="1"/>
  <c r="AN76" i="1"/>
  <c r="AM76" i="1"/>
  <c r="AK76" i="1"/>
  <c r="AL76" i="1" s="1"/>
  <c r="AJ76" i="1"/>
  <c r="AH76" i="1" s="1"/>
  <c r="AI76" i="1"/>
  <c r="Z76" i="1"/>
  <c r="Y76" i="1"/>
  <c r="X76" i="1" s="1"/>
  <c r="Q76" i="1"/>
  <c r="AN75" i="1"/>
  <c r="AM75" i="1"/>
  <c r="AL75" i="1"/>
  <c r="AK75" i="1"/>
  <c r="AJ75" i="1"/>
  <c r="AH75" i="1"/>
  <c r="J75" i="1" s="1"/>
  <c r="I75" i="1" s="1"/>
  <c r="Z75" i="1"/>
  <c r="Y75" i="1"/>
  <c r="X75" i="1"/>
  <c r="T75" i="1"/>
  <c r="U75" i="1" s="1"/>
  <c r="V75" i="1" s="1"/>
  <c r="W75" i="1" s="1"/>
  <c r="AA75" i="1" s="1"/>
  <c r="Q75" i="1"/>
  <c r="O75" i="1"/>
  <c r="L75" i="1"/>
  <c r="K75" i="1"/>
  <c r="AN74" i="1"/>
  <c r="AM74" i="1"/>
  <c r="AK74" i="1"/>
  <c r="AL74" i="1" s="1"/>
  <c r="AJ74" i="1"/>
  <c r="AH74" i="1" s="1"/>
  <c r="Z74" i="1"/>
  <c r="Y74" i="1"/>
  <c r="X74" i="1" s="1"/>
  <c r="Q74" i="1"/>
  <c r="AN73" i="1"/>
  <c r="AM73" i="1"/>
  <c r="AK73" i="1"/>
  <c r="AJ73" i="1"/>
  <c r="AH73" i="1"/>
  <c r="J73" i="1" s="1"/>
  <c r="I73" i="1" s="1"/>
  <c r="Z73" i="1"/>
  <c r="Y73" i="1"/>
  <c r="X73" i="1"/>
  <c r="Q73" i="1"/>
  <c r="K73" i="1"/>
  <c r="AN72" i="1"/>
  <c r="AM72" i="1"/>
  <c r="AK72" i="1"/>
  <c r="AL72" i="1" s="1"/>
  <c r="AJ72" i="1"/>
  <c r="AH72" i="1" s="1"/>
  <c r="AI72" i="1"/>
  <c r="Z72" i="1"/>
  <c r="Y72" i="1"/>
  <c r="X72" i="1" s="1"/>
  <c r="Q72" i="1"/>
  <c r="AN71" i="1"/>
  <c r="AM71" i="1"/>
  <c r="AL71" i="1"/>
  <c r="AK71" i="1"/>
  <c r="AJ71" i="1"/>
  <c r="AH71" i="1"/>
  <c r="J71" i="1" s="1"/>
  <c r="I71" i="1" s="1"/>
  <c r="Z71" i="1"/>
  <c r="Y71" i="1"/>
  <c r="X71" i="1"/>
  <c r="T71" i="1"/>
  <c r="U71" i="1" s="1"/>
  <c r="V71" i="1" s="1"/>
  <c r="Q71" i="1"/>
  <c r="O71" i="1"/>
  <c r="L71" i="1"/>
  <c r="K71" i="1"/>
  <c r="AN70" i="1"/>
  <c r="AM70" i="1"/>
  <c r="AK70" i="1"/>
  <c r="AL70" i="1" s="1"/>
  <c r="AJ70" i="1"/>
  <c r="AH70" i="1" s="1"/>
  <c r="Z70" i="1"/>
  <c r="Y70" i="1"/>
  <c r="X70" i="1" s="1"/>
  <c r="Q70" i="1"/>
  <c r="AN69" i="1"/>
  <c r="AM69" i="1"/>
  <c r="AK69" i="1"/>
  <c r="AJ69" i="1"/>
  <c r="AH69" i="1"/>
  <c r="J69" i="1" s="1"/>
  <c r="I69" i="1" s="1"/>
  <c r="Z69" i="1"/>
  <c r="Y69" i="1"/>
  <c r="X69" i="1"/>
  <c r="Q69" i="1"/>
  <c r="K69" i="1"/>
  <c r="AN68" i="1"/>
  <c r="AM68" i="1"/>
  <c r="AK68" i="1"/>
  <c r="AL68" i="1" s="1"/>
  <c r="AJ68" i="1"/>
  <c r="AH68" i="1" s="1"/>
  <c r="AI68" i="1"/>
  <c r="Z68" i="1"/>
  <c r="Y68" i="1"/>
  <c r="X68" i="1" s="1"/>
  <c r="Q68" i="1"/>
  <c r="AN67" i="1"/>
  <c r="AM67" i="1"/>
  <c r="AL67" i="1"/>
  <c r="AK67" i="1"/>
  <c r="AJ67" i="1"/>
  <c r="AH67" i="1"/>
  <c r="J67" i="1" s="1"/>
  <c r="I67" i="1" s="1"/>
  <c r="Z67" i="1"/>
  <c r="Y67" i="1"/>
  <c r="X67" i="1"/>
  <c r="T67" i="1"/>
  <c r="Q67" i="1"/>
  <c r="O67" i="1"/>
  <c r="L67" i="1"/>
  <c r="K67" i="1"/>
  <c r="AN66" i="1"/>
  <c r="AM66" i="1"/>
  <c r="AK66" i="1"/>
  <c r="AJ66" i="1"/>
  <c r="AH66" i="1" s="1"/>
  <c r="Z66" i="1"/>
  <c r="Y66" i="1"/>
  <c r="X66" i="1" s="1"/>
  <c r="Q66" i="1"/>
  <c r="AN65" i="1"/>
  <c r="AM65" i="1"/>
  <c r="AK65" i="1"/>
  <c r="AJ65" i="1"/>
  <c r="AH65" i="1"/>
  <c r="J65" i="1" s="1"/>
  <c r="I65" i="1" s="1"/>
  <c r="Z65" i="1"/>
  <c r="Y65" i="1"/>
  <c r="X65" i="1"/>
  <c r="Q65" i="1"/>
  <c r="K65" i="1"/>
  <c r="AN64" i="1"/>
  <c r="AM64" i="1"/>
  <c r="AK64" i="1"/>
  <c r="AL64" i="1" s="1"/>
  <c r="AJ64" i="1"/>
  <c r="AH64" i="1" s="1"/>
  <c r="AI64" i="1" s="1"/>
  <c r="Z64" i="1"/>
  <c r="Y64" i="1"/>
  <c r="X64" i="1" s="1"/>
  <c r="Q64" i="1"/>
  <c r="AN63" i="1"/>
  <c r="AM63" i="1"/>
  <c r="AK63" i="1"/>
  <c r="AL63" i="1" s="1"/>
  <c r="AJ63" i="1"/>
  <c r="AH63" i="1"/>
  <c r="J63" i="1" s="1"/>
  <c r="I63" i="1" s="1"/>
  <c r="AB63" i="1" s="1"/>
  <c r="Z63" i="1"/>
  <c r="Y63" i="1"/>
  <c r="X63" i="1"/>
  <c r="Q63" i="1"/>
  <c r="O63" i="1"/>
  <c r="L63" i="1"/>
  <c r="K63" i="1"/>
  <c r="AN62" i="1"/>
  <c r="AM62" i="1"/>
  <c r="AK62" i="1"/>
  <c r="AL62" i="1" s="1"/>
  <c r="AJ62" i="1"/>
  <c r="AH62" i="1" s="1"/>
  <c r="AI62" i="1"/>
  <c r="Z62" i="1"/>
  <c r="Y62" i="1"/>
  <c r="X62" i="1" s="1"/>
  <c r="Q62" i="1"/>
  <c r="J62" i="1"/>
  <c r="I62" i="1"/>
  <c r="AB62" i="1" s="1"/>
  <c r="AN61" i="1"/>
  <c r="AM61" i="1"/>
  <c r="AK61" i="1"/>
  <c r="AL61" i="1" s="1"/>
  <c r="AJ61" i="1"/>
  <c r="AH61" i="1"/>
  <c r="O61" i="1" s="1"/>
  <c r="Z61" i="1"/>
  <c r="Y61" i="1"/>
  <c r="X61" i="1"/>
  <c r="T61" i="1"/>
  <c r="Q61" i="1"/>
  <c r="AN60" i="1"/>
  <c r="AM60" i="1"/>
  <c r="AK60" i="1"/>
  <c r="AL60" i="1" s="1"/>
  <c r="AJ60" i="1"/>
  <c r="AH60" i="1" s="1"/>
  <c r="AI60" i="1"/>
  <c r="Z60" i="1"/>
  <c r="Y60" i="1"/>
  <c r="Q60" i="1"/>
  <c r="O60" i="1"/>
  <c r="J60" i="1"/>
  <c r="I60" i="1" s="1"/>
  <c r="AN59" i="1"/>
  <c r="AM59" i="1"/>
  <c r="AK59" i="1"/>
  <c r="T59" i="1" s="1"/>
  <c r="AJ59" i="1"/>
  <c r="AH59" i="1"/>
  <c r="Z59" i="1"/>
  <c r="Y59" i="1"/>
  <c r="X59" i="1"/>
  <c r="Q59" i="1"/>
  <c r="O59" i="1"/>
  <c r="L59" i="1"/>
  <c r="K59" i="1"/>
  <c r="AN58" i="1"/>
  <c r="AM58" i="1"/>
  <c r="AK58" i="1"/>
  <c r="AJ58" i="1"/>
  <c r="AH58" i="1" s="1"/>
  <c r="L58" i="1" s="1"/>
  <c r="AI58" i="1"/>
  <c r="Z58" i="1"/>
  <c r="Y58" i="1"/>
  <c r="X58" i="1" s="1"/>
  <c r="Q58" i="1"/>
  <c r="K58" i="1"/>
  <c r="AN57" i="1"/>
  <c r="AM57" i="1"/>
  <c r="AK57" i="1"/>
  <c r="T57" i="1" s="1"/>
  <c r="AJ57" i="1"/>
  <c r="AI57" i="1"/>
  <c r="AH57" i="1"/>
  <c r="J57" i="1" s="1"/>
  <c r="I57" i="1" s="1"/>
  <c r="Z57" i="1"/>
  <c r="Y57" i="1"/>
  <c r="X57" i="1"/>
  <c r="Q57" i="1"/>
  <c r="O57" i="1"/>
  <c r="L57" i="1"/>
  <c r="K57" i="1"/>
  <c r="AN56" i="1"/>
  <c r="AM56" i="1"/>
  <c r="AK56" i="1"/>
  <c r="AJ56" i="1"/>
  <c r="AH56" i="1" s="1"/>
  <c r="L56" i="1" s="1"/>
  <c r="AI56" i="1"/>
  <c r="Z56" i="1"/>
  <c r="Y56" i="1"/>
  <c r="X56" i="1" s="1"/>
  <c r="Q56" i="1"/>
  <c r="K56" i="1"/>
  <c r="AN55" i="1"/>
  <c r="AM55" i="1"/>
  <c r="AK55" i="1"/>
  <c r="AL55" i="1" s="1"/>
  <c r="AJ55" i="1"/>
  <c r="AI55" i="1"/>
  <c r="AH55" i="1"/>
  <c r="L55" i="1" s="1"/>
  <c r="Z55" i="1"/>
  <c r="Y55" i="1"/>
  <c r="X55" i="1" s="1"/>
  <c r="Q55" i="1"/>
  <c r="O55" i="1"/>
  <c r="J55" i="1"/>
  <c r="I55" i="1"/>
  <c r="AB55" i="1" s="1"/>
  <c r="AN54" i="1"/>
  <c r="AM54" i="1"/>
  <c r="AK54" i="1"/>
  <c r="AL54" i="1" s="1"/>
  <c r="AJ54" i="1"/>
  <c r="AH54" i="1"/>
  <c r="L54" i="1" s="1"/>
  <c r="Z54" i="1"/>
  <c r="Y54" i="1"/>
  <c r="X54" i="1"/>
  <c r="Q54" i="1"/>
  <c r="O54" i="1"/>
  <c r="K54" i="1"/>
  <c r="AN53" i="1"/>
  <c r="AM53" i="1"/>
  <c r="AK53" i="1"/>
  <c r="AL53" i="1" s="1"/>
  <c r="AJ53" i="1"/>
  <c r="AI53" i="1"/>
  <c r="AH53" i="1"/>
  <c r="J53" i="1" s="1"/>
  <c r="I53" i="1" s="1"/>
  <c r="Z53" i="1"/>
  <c r="Y53" i="1"/>
  <c r="X53" i="1" s="1"/>
  <c r="Q53" i="1"/>
  <c r="O53" i="1"/>
  <c r="L53" i="1"/>
  <c r="K53" i="1"/>
  <c r="AN52" i="1"/>
  <c r="AM52" i="1"/>
  <c r="AK52" i="1"/>
  <c r="AL52" i="1" s="1"/>
  <c r="AJ52" i="1"/>
  <c r="AH52" i="1" s="1"/>
  <c r="Z52" i="1"/>
  <c r="Y52" i="1"/>
  <c r="X52" i="1" s="1"/>
  <c r="Q52" i="1"/>
  <c r="AN51" i="1"/>
  <c r="AM51" i="1"/>
  <c r="AK51" i="1"/>
  <c r="AL51" i="1" s="1"/>
  <c r="AJ51" i="1"/>
  <c r="AH51" i="1" s="1"/>
  <c r="Z51" i="1"/>
  <c r="Y51" i="1"/>
  <c r="X51" i="1" s="1"/>
  <c r="Q51" i="1"/>
  <c r="AN50" i="1"/>
  <c r="AM50" i="1"/>
  <c r="AK50" i="1"/>
  <c r="AL50" i="1" s="1"/>
  <c r="AJ50" i="1"/>
  <c r="AH50" i="1"/>
  <c r="L50" i="1" s="1"/>
  <c r="Z50" i="1"/>
  <c r="Y50" i="1"/>
  <c r="X50" i="1"/>
  <c r="Q50" i="1"/>
  <c r="O50" i="1"/>
  <c r="K50" i="1"/>
  <c r="AN49" i="1"/>
  <c r="AM49" i="1"/>
  <c r="AK49" i="1"/>
  <c r="AL49" i="1" s="1"/>
  <c r="AJ49" i="1"/>
  <c r="AI49" i="1"/>
  <c r="AH49" i="1"/>
  <c r="J49" i="1" s="1"/>
  <c r="I49" i="1" s="1"/>
  <c r="Z49" i="1"/>
  <c r="Y49" i="1"/>
  <c r="X49" i="1" s="1"/>
  <c r="Q49" i="1"/>
  <c r="O49" i="1"/>
  <c r="L49" i="1"/>
  <c r="K49" i="1"/>
  <c r="AN48" i="1"/>
  <c r="AM48" i="1"/>
  <c r="AK48" i="1"/>
  <c r="AL48" i="1" s="1"/>
  <c r="AJ48" i="1"/>
  <c r="AH48" i="1" s="1"/>
  <c r="Z48" i="1"/>
  <c r="Y48" i="1"/>
  <c r="X48" i="1" s="1"/>
  <c r="Q48" i="1"/>
  <c r="AN47" i="1"/>
  <c r="AM47" i="1"/>
  <c r="AK47" i="1"/>
  <c r="AL47" i="1" s="1"/>
  <c r="AJ47" i="1"/>
  <c r="AH47" i="1" s="1"/>
  <c r="Z47" i="1"/>
  <c r="Y47" i="1"/>
  <c r="X47" i="1" s="1"/>
  <c r="Q47" i="1"/>
  <c r="AN46" i="1"/>
  <c r="AM46" i="1"/>
  <c r="AK46" i="1"/>
  <c r="AL46" i="1" s="1"/>
  <c r="AJ46" i="1"/>
  <c r="AH46" i="1"/>
  <c r="L46" i="1" s="1"/>
  <c r="Z46" i="1"/>
  <c r="Y46" i="1"/>
  <c r="X46" i="1"/>
  <c r="Q46" i="1"/>
  <c r="O46" i="1"/>
  <c r="K46" i="1"/>
  <c r="AN45" i="1"/>
  <c r="AM45" i="1"/>
  <c r="AK45" i="1"/>
  <c r="AL45" i="1" s="1"/>
  <c r="AJ45" i="1"/>
  <c r="AI45" i="1"/>
  <c r="AH45" i="1"/>
  <c r="J45" i="1" s="1"/>
  <c r="I45" i="1" s="1"/>
  <c r="Z45" i="1"/>
  <c r="Y45" i="1"/>
  <c r="X45" i="1" s="1"/>
  <c r="Q45" i="1"/>
  <c r="O45" i="1"/>
  <c r="L45" i="1"/>
  <c r="K45" i="1"/>
  <c r="AN44" i="1"/>
  <c r="AM44" i="1"/>
  <c r="AK44" i="1"/>
  <c r="AL44" i="1" s="1"/>
  <c r="AJ44" i="1"/>
  <c r="AH44" i="1" s="1"/>
  <c r="Z44" i="1"/>
  <c r="Y44" i="1"/>
  <c r="X44" i="1" s="1"/>
  <c r="Q44" i="1"/>
  <c r="AN43" i="1"/>
  <c r="AM43" i="1"/>
  <c r="AK43" i="1"/>
  <c r="AL43" i="1" s="1"/>
  <c r="AJ43" i="1"/>
  <c r="AH43" i="1" s="1"/>
  <c r="Z43" i="1"/>
  <c r="Y43" i="1"/>
  <c r="X43" i="1" s="1"/>
  <c r="Q43" i="1"/>
  <c r="AN42" i="1"/>
  <c r="AM42" i="1"/>
  <c r="AK42" i="1"/>
  <c r="AL42" i="1" s="1"/>
  <c r="AJ42" i="1"/>
  <c r="AH42" i="1"/>
  <c r="L42" i="1" s="1"/>
  <c r="Z42" i="1"/>
  <c r="Y42" i="1"/>
  <c r="X42" i="1"/>
  <c r="Q42" i="1"/>
  <c r="O42" i="1"/>
  <c r="K42" i="1"/>
  <c r="AN41" i="1"/>
  <c r="AM41" i="1"/>
  <c r="AK41" i="1"/>
  <c r="AL41" i="1" s="1"/>
  <c r="AJ41" i="1"/>
  <c r="AI41" i="1"/>
  <c r="AH41" i="1"/>
  <c r="J41" i="1" s="1"/>
  <c r="I41" i="1" s="1"/>
  <c r="Z41" i="1"/>
  <c r="Y41" i="1"/>
  <c r="X41" i="1" s="1"/>
  <c r="Q41" i="1"/>
  <c r="O41" i="1"/>
  <c r="L41" i="1"/>
  <c r="K41" i="1"/>
  <c r="AN40" i="1"/>
  <c r="AM40" i="1"/>
  <c r="AK40" i="1"/>
  <c r="AL40" i="1" s="1"/>
  <c r="AJ40" i="1"/>
  <c r="AH40" i="1" s="1"/>
  <c r="Z40" i="1"/>
  <c r="Y40" i="1"/>
  <c r="X40" i="1" s="1"/>
  <c r="Q40" i="1"/>
  <c r="AN39" i="1"/>
  <c r="AM39" i="1"/>
  <c r="AK39" i="1"/>
  <c r="AL39" i="1" s="1"/>
  <c r="AJ39" i="1"/>
  <c r="AH39" i="1" s="1"/>
  <c r="Z39" i="1"/>
  <c r="Y39" i="1"/>
  <c r="X39" i="1" s="1"/>
  <c r="Q39" i="1"/>
  <c r="AN38" i="1"/>
  <c r="AM38" i="1"/>
  <c r="AK38" i="1"/>
  <c r="AL38" i="1" s="1"/>
  <c r="AJ38" i="1"/>
  <c r="AH38" i="1"/>
  <c r="L38" i="1" s="1"/>
  <c r="Z38" i="1"/>
  <c r="Y38" i="1"/>
  <c r="X38" i="1"/>
  <c r="Q38" i="1"/>
  <c r="O38" i="1"/>
  <c r="K38" i="1"/>
  <c r="AN37" i="1"/>
  <c r="AM37" i="1"/>
  <c r="AK37" i="1"/>
  <c r="AL37" i="1" s="1"/>
  <c r="AJ37" i="1"/>
  <c r="AI37" i="1"/>
  <c r="AH37" i="1"/>
  <c r="J37" i="1" s="1"/>
  <c r="I37" i="1" s="1"/>
  <c r="Z37" i="1"/>
  <c r="Y37" i="1"/>
  <c r="X37" i="1" s="1"/>
  <c r="Q37" i="1"/>
  <c r="O37" i="1"/>
  <c r="L37" i="1"/>
  <c r="K37" i="1"/>
  <c r="AN36" i="1"/>
  <c r="AM36" i="1"/>
  <c r="AK36" i="1"/>
  <c r="AL36" i="1" s="1"/>
  <c r="AJ36" i="1"/>
  <c r="AH36" i="1" s="1"/>
  <c r="Z36" i="1"/>
  <c r="Y36" i="1"/>
  <c r="X36" i="1" s="1"/>
  <c r="Q36" i="1"/>
  <c r="AN35" i="1"/>
  <c r="AM35" i="1"/>
  <c r="AK35" i="1"/>
  <c r="AL35" i="1" s="1"/>
  <c r="AJ35" i="1"/>
  <c r="AH35" i="1" s="1"/>
  <c r="Z35" i="1"/>
  <c r="Y35" i="1"/>
  <c r="X35" i="1" s="1"/>
  <c r="Q35" i="1"/>
  <c r="AN34" i="1"/>
  <c r="AM34" i="1"/>
  <c r="AK34" i="1"/>
  <c r="AL34" i="1" s="1"/>
  <c r="AJ34" i="1"/>
  <c r="AH34" i="1"/>
  <c r="L34" i="1" s="1"/>
  <c r="Z34" i="1"/>
  <c r="Y34" i="1"/>
  <c r="X34" i="1"/>
  <c r="Q34" i="1"/>
  <c r="O34" i="1"/>
  <c r="K34" i="1"/>
  <c r="AN33" i="1"/>
  <c r="AM33" i="1"/>
  <c r="AK33" i="1"/>
  <c r="AL33" i="1" s="1"/>
  <c r="AJ33" i="1"/>
  <c r="AI33" i="1"/>
  <c r="AH33" i="1"/>
  <c r="J33" i="1" s="1"/>
  <c r="I33" i="1" s="1"/>
  <c r="Z33" i="1"/>
  <c r="Y33" i="1"/>
  <c r="X33" i="1" s="1"/>
  <c r="Q33" i="1"/>
  <c r="O33" i="1"/>
  <c r="L33" i="1"/>
  <c r="K33" i="1"/>
  <c r="AN32" i="1"/>
  <c r="AM32" i="1"/>
  <c r="AK32" i="1"/>
  <c r="AL32" i="1" s="1"/>
  <c r="AJ32" i="1"/>
  <c r="AH32" i="1" s="1"/>
  <c r="Z32" i="1"/>
  <c r="Y32" i="1"/>
  <c r="X32" i="1" s="1"/>
  <c r="Q32" i="1"/>
  <c r="AN31" i="1"/>
  <c r="AM31" i="1"/>
  <c r="AK31" i="1"/>
  <c r="AL31" i="1" s="1"/>
  <c r="AJ31" i="1"/>
  <c r="AH31" i="1" s="1"/>
  <c r="Z31" i="1"/>
  <c r="Y31" i="1"/>
  <c r="X31" i="1" s="1"/>
  <c r="Q31" i="1"/>
  <c r="AN30" i="1"/>
  <c r="AM30" i="1"/>
  <c r="AK30" i="1"/>
  <c r="AL30" i="1" s="1"/>
  <c r="AJ30" i="1"/>
  <c r="AH30" i="1"/>
  <c r="L30" i="1" s="1"/>
  <c r="Z30" i="1"/>
  <c r="Y30" i="1"/>
  <c r="X30" i="1"/>
  <c r="Q30" i="1"/>
  <c r="O30" i="1"/>
  <c r="K30" i="1"/>
  <c r="AN29" i="1"/>
  <c r="AM29" i="1"/>
  <c r="AK29" i="1"/>
  <c r="AL29" i="1" s="1"/>
  <c r="AJ29" i="1"/>
  <c r="AI29" i="1"/>
  <c r="AH29" i="1"/>
  <c r="J29" i="1" s="1"/>
  <c r="I29" i="1" s="1"/>
  <c r="Z29" i="1"/>
  <c r="Y29" i="1"/>
  <c r="X29" i="1" s="1"/>
  <c r="Q29" i="1"/>
  <c r="O29" i="1"/>
  <c r="L29" i="1"/>
  <c r="K29" i="1"/>
  <c r="AN28" i="1"/>
  <c r="AM28" i="1"/>
  <c r="AK28" i="1"/>
  <c r="AL28" i="1" s="1"/>
  <c r="AJ28" i="1"/>
  <c r="AH28" i="1" s="1"/>
  <c r="Z28" i="1"/>
  <c r="Y28" i="1"/>
  <c r="X28" i="1" s="1"/>
  <c r="Q28" i="1"/>
  <c r="AN27" i="1"/>
  <c r="AM27" i="1"/>
  <c r="AK27" i="1"/>
  <c r="AL27" i="1" s="1"/>
  <c r="AJ27" i="1"/>
  <c r="AH27" i="1" s="1"/>
  <c r="Z27" i="1"/>
  <c r="Y27" i="1"/>
  <c r="X27" i="1" s="1"/>
  <c r="Q27" i="1"/>
  <c r="AN26" i="1"/>
  <c r="AM26" i="1"/>
  <c r="AK26" i="1"/>
  <c r="AL26" i="1" s="1"/>
  <c r="AJ26" i="1"/>
  <c r="AH26" i="1"/>
  <c r="L26" i="1" s="1"/>
  <c r="Z26" i="1"/>
  <c r="Y26" i="1"/>
  <c r="X26" i="1"/>
  <c r="Q26" i="1"/>
  <c r="O26" i="1"/>
  <c r="K26" i="1"/>
  <c r="AN25" i="1"/>
  <c r="AM25" i="1"/>
  <c r="AK25" i="1"/>
  <c r="AL25" i="1" s="1"/>
  <c r="AJ25" i="1"/>
  <c r="AI25" i="1"/>
  <c r="AH25" i="1"/>
  <c r="J25" i="1" s="1"/>
  <c r="I25" i="1" s="1"/>
  <c r="Z25" i="1"/>
  <c r="Y25" i="1"/>
  <c r="X25" i="1" s="1"/>
  <c r="Q25" i="1"/>
  <c r="O25" i="1"/>
  <c r="L25" i="1"/>
  <c r="K25" i="1"/>
  <c r="AN24" i="1"/>
  <c r="AM24" i="1"/>
  <c r="AK24" i="1"/>
  <c r="AL24" i="1" s="1"/>
  <c r="AJ24" i="1"/>
  <c r="AH24" i="1" s="1"/>
  <c r="Z24" i="1"/>
  <c r="Y24" i="1"/>
  <c r="X24" i="1" s="1"/>
  <c r="Q24" i="1"/>
  <c r="AN23" i="1"/>
  <c r="AM23" i="1"/>
  <c r="AK23" i="1"/>
  <c r="AL23" i="1" s="1"/>
  <c r="AJ23" i="1"/>
  <c r="AH23" i="1" s="1"/>
  <c r="Z23" i="1"/>
  <c r="Y23" i="1"/>
  <c r="X23" i="1" s="1"/>
  <c r="Q23" i="1"/>
  <c r="AN22" i="1"/>
  <c r="AM22" i="1"/>
  <c r="AK22" i="1"/>
  <c r="AL22" i="1" s="1"/>
  <c r="AJ22" i="1"/>
  <c r="AH22" i="1"/>
  <c r="L22" i="1" s="1"/>
  <c r="Z22" i="1"/>
  <c r="Y22" i="1"/>
  <c r="X22" i="1"/>
  <c r="Q22" i="1"/>
  <c r="O22" i="1"/>
  <c r="K22" i="1"/>
  <c r="AN21" i="1"/>
  <c r="AM21" i="1"/>
  <c r="AK21" i="1"/>
  <c r="AL21" i="1" s="1"/>
  <c r="AJ21" i="1"/>
  <c r="AH21" i="1" s="1"/>
  <c r="Z21" i="1"/>
  <c r="Y21" i="1"/>
  <c r="X21" i="1" s="1"/>
  <c r="Q21" i="1"/>
  <c r="AN20" i="1"/>
  <c r="AM20" i="1"/>
  <c r="AK20" i="1"/>
  <c r="AL20" i="1" s="1"/>
  <c r="AJ20" i="1"/>
  <c r="AI20" i="1"/>
  <c r="AH20" i="1"/>
  <c r="J20" i="1" s="1"/>
  <c r="I20" i="1" s="1"/>
  <c r="Z20" i="1"/>
  <c r="Y20" i="1"/>
  <c r="X20" i="1" s="1"/>
  <c r="Q20" i="1"/>
  <c r="O20" i="1"/>
  <c r="L20" i="1"/>
  <c r="K20" i="1"/>
  <c r="AN19" i="1"/>
  <c r="AM19" i="1"/>
  <c r="AK19" i="1"/>
  <c r="AL19" i="1" s="1"/>
  <c r="AJ19" i="1"/>
  <c r="AH19" i="1" s="1"/>
  <c r="Z19" i="1"/>
  <c r="Y19" i="1"/>
  <c r="X19" i="1" s="1"/>
  <c r="Q19" i="1"/>
  <c r="AN18" i="1"/>
  <c r="AM18" i="1"/>
  <c r="AK18" i="1"/>
  <c r="AL18" i="1" s="1"/>
  <c r="AJ18" i="1"/>
  <c r="AH18" i="1"/>
  <c r="L18" i="1" s="1"/>
  <c r="Z18" i="1"/>
  <c r="Y18" i="1"/>
  <c r="X18" i="1"/>
  <c r="Q18" i="1"/>
  <c r="O18" i="1"/>
  <c r="K18" i="1"/>
  <c r="AN17" i="1"/>
  <c r="AM17" i="1"/>
  <c r="AK17" i="1"/>
  <c r="AL17" i="1" s="1"/>
  <c r="AJ17" i="1"/>
  <c r="AH17" i="1" s="1"/>
  <c r="Z17" i="1"/>
  <c r="Y17" i="1"/>
  <c r="X17" i="1" s="1"/>
  <c r="Q17" i="1"/>
  <c r="L17" i="1" l="1"/>
  <c r="K17" i="1"/>
  <c r="J17" i="1"/>
  <c r="I17" i="1" s="1"/>
  <c r="AI17" i="1"/>
  <c r="O17" i="1"/>
  <c r="AB25" i="1"/>
  <c r="J32" i="1"/>
  <c r="I32" i="1" s="1"/>
  <c r="AI32" i="1"/>
  <c r="O32" i="1"/>
  <c r="L32" i="1"/>
  <c r="K32" i="1"/>
  <c r="O43" i="1"/>
  <c r="AI43" i="1"/>
  <c r="L43" i="1"/>
  <c r="K43" i="1"/>
  <c r="J43" i="1"/>
  <c r="I43" i="1" s="1"/>
  <c r="AB57" i="1"/>
  <c r="U59" i="1"/>
  <c r="V59" i="1" s="1"/>
  <c r="O31" i="1"/>
  <c r="AI31" i="1"/>
  <c r="L31" i="1"/>
  <c r="K31" i="1"/>
  <c r="J31" i="1"/>
  <c r="I31" i="1" s="1"/>
  <c r="AB45" i="1"/>
  <c r="J52" i="1"/>
  <c r="I52" i="1" s="1"/>
  <c r="AI52" i="1"/>
  <c r="O52" i="1"/>
  <c r="K52" i="1"/>
  <c r="L52" i="1"/>
  <c r="O19" i="1"/>
  <c r="L19" i="1"/>
  <c r="K19" i="1"/>
  <c r="AI19" i="1"/>
  <c r="J19" i="1"/>
  <c r="I19" i="1" s="1"/>
  <c r="AB33" i="1"/>
  <c r="J40" i="1"/>
  <c r="I40" i="1" s="1"/>
  <c r="AI40" i="1"/>
  <c r="O40" i="1"/>
  <c r="K40" i="1"/>
  <c r="L40" i="1"/>
  <c r="O51" i="1"/>
  <c r="L51" i="1"/>
  <c r="AI51" i="1"/>
  <c r="K51" i="1"/>
  <c r="J51" i="1"/>
  <c r="I51" i="1" s="1"/>
  <c r="J28" i="1"/>
  <c r="I28" i="1" s="1"/>
  <c r="AI28" i="1"/>
  <c r="O28" i="1"/>
  <c r="L28" i="1"/>
  <c r="K28" i="1"/>
  <c r="O39" i="1"/>
  <c r="AI39" i="1"/>
  <c r="L39" i="1"/>
  <c r="K39" i="1"/>
  <c r="J39" i="1"/>
  <c r="I39" i="1" s="1"/>
  <c r="AB53" i="1"/>
  <c r="U57" i="1"/>
  <c r="V57" i="1" s="1"/>
  <c r="R57" i="1" s="1"/>
  <c r="P57" i="1" s="1"/>
  <c r="S57" i="1" s="1"/>
  <c r="M57" i="1" s="1"/>
  <c r="N57" i="1" s="1"/>
  <c r="AB60" i="1"/>
  <c r="AB20" i="1"/>
  <c r="O27" i="1"/>
  <c r="L27" i="1"/>
  <c r="K27" i="1"/>
  <c r="AI27" i="1"/>
  <c r="J27" i="1"/>
  <c r="I27" i="1" s="1"/>
  <c r="AB41" i="1"/>
  <c r="J48" i="1"/>
  <c r="I48" i="1" s="1"/>
  <c r="AI48" i="1"/>
  <c r="K48" i="1"/>
  <c r="O48" i="1"/>
  <c r="L48" i="1"/>
  <c r="L21" i="1"/>
  <c r="K21" i="1"/>
  <c r="J21" i="1"/>
  <c r="I21" i="1" s="1"/>
  <c r="AI21" i="1"/>
  <c r="O21" i="1"/>
  <c r="AB29" i="1"/>
  <c r="J36" i="1"/>
  <c r="I36" i="1" s="1"/>
  <c r="AI36" i="1"/>
  <c r="O36" i="1"/>
  <c r="K36" i="1"/>
  <c r="L36" i="1"/>
  <c r="O47" i="1"/>
  <c r="AI47" i="1"/>
  <c r="L47" i="1"/>
  <c r="K47" i="1"/>
  <c r="J47" i="1"/>
  <c r="I47" i="1" s="1"/>
  <c r="J24" i="1"/>
  <c r="I24" i="1" s="1"/>
  <c r="AI24" i="1"/>
  <c r="O24" i="1"/>
  <c r="K24" i="1"/>
  <c r="L24" i="1"/>
  <c r="O35" i="1"/>
  <c r="L35" i="1"/>
  <c r="AI35" i="1"/>
  <c r="K35" i="1"/>
  <c r="J35" i="1"/>
  <c r="I35" i="1" s="1"/>
  <c r="AB49" i="1"/>
  <c r="O23" i="1"/>
  <c r="L23" i="1"/>
  <c r="K23" i="1"/>
  <c r="AI23" i="1"/>
  <c r="J23" i="1"/>
  <c r="I23" i="1" s="1"/>
  <c r="AB37" i="1"/>
  <c r="J44" i="1"/>
  <c r="I44" i="1" s="1"/>
  <c r="AI44" i="1"/>
  <c r="O44" i="1"/>
  <c r="K44" i="1"/>
  <c r="L44" i="1"/>
  <c r="T20" i="1"/>
  <c r="T24" i="1"/>
  <c r="T28" i="1"/>
  <c r="T32" i="1"/>
  <c r="T36" i="1"/>
  <c r="T40" i="1"/>
  <c r="T44" i="1"/>
  <c r="T48" i="1"/>
  <c r="T52" i="1"/>
  <c r="AL65" i="1"/>
  <c r="T65" i="1"/>
  <c r="L70" i="1"/>
  <c r="K70" i="1"/>
  <c r="J70" i="1"/>
  <c r="I70" i="1" s="1"/>
  <c r="AI70" i="1"/>
  <c r="O70" i="1"/>
  <c r="AD71" i="1"/>
  <c r="AC71" i="1"/>
  <c r="O76" i="1"/>
  <c r="L76" i="1"/>
  <c r="K76" i="1"/>
  <c r="J76" i="1"/>
  <c r="I76" i="1" s="1"/>
  <c r="AB91" i="1"/>
  <c r="AL69" i="1"/>
  <c r="T69" i="1"/>
  <c r="AL89" i="1"/>
  <c r="T89" i="1"/>
  <c r="L124" i="1"/>
  <c r="K124" i="1"/>
  <c r="J124" i="1"/>
  <c r="I124" i="1" s="1"/>
  <c r="AI124" i="1"/>
  <c r="O124" i="1"/>
  <c r="AI18" i="1"/>
  <c r="AI22" i="1"/>
  <c r="AI26" i="1"/>
  <c r="AI30" i="1"/>
  <c r="AI34" i="1"/>
  <c r="AI38" i="1"/>
  <c r="AI42" i="1"/>
  <c r="AI46" i="1"/>
  <c r="AI50" i="1"/>
  <c r="AI54" i="1"/>
  <c r="K55" i="1"/>
  <c r="AL56" i="1"/>
  <c r="T56" i="1"/>
  <c r="AL58" i="1"/>
  <c r="T58" i="1"/>
  <c r="AL59" i="1"/>
  <c r="K61" i="1"/>
  <c r="L66" i="1"/>
  <c r="K66" i="1"/>
  <c r="J66" i="1"/>
  <c r="I66" i="1" s="1"/>
  <c r="AI66" i="1"/>
  <c r="O66" i="1"/>
  <c r="U67" i="1"/>
  <c r="V67" i="1" s="1"/>
  <c r="W71" i="1"/>
  <c r="AA71" i="1" s="1"/>
  <c r="O72" i="1"/>
  <c r="L72" i="1"/>
  <c r="K72" i="1"/>
  <c r="J72" i="1"/>
  <c r="I72" i="1" s="1"/>
  <c r="AB81" i="1"/>
  <c r="AL85" i="1"/>
  <c r="T85" i="1"/>
  <c r="U95" i="1"/>
  <c r="V95" i="1" s="1"/>
  <c r="J97" i="1"/>
  <c r="I97" i="1" s="1"/>
  <c r="AI97" i="1"/>
  <c r="L97" i="1"/>
  <c r="O97" i="1"/>
  <c r="K97" i="1"/>
  <c r="L106" i="1"/>
  <c r="K106" i="1"/>
  <c r="J106" i="1"/>
  <c r="I106" i="1" s="1"/>
  <c r="AI106" i="1"/>
  <c r="O106" i="1"/>
  <c r="J123" i="1"/>
  <c r="I123" i="1" s="1"/>
  <c r="AI123" i="1"/>
  <c r="O123" i="1"/>
  <c r="L123" i="1"/>
  <c r="K123" i="1"/>
  <c r="J18" i="1"/>
  <c r="I18" i="1" s="1"/>
  <c r="T19" i="1"/>
  <c r="J22" i="1"/>
  <c r="I22" i="1" s="1"/>
  <c r="T23" i="1"/>
  <c r="J26" i="1"/>
  <c r="I26" i="1" s="1"/>
  <c r="T27" i="1"/>
  <c r="J30" i="1"/>
  <c r="I30" i="1" s="1"/>
  <c r="T31" i="1"/>
  <c r="J34" i="1"/>
  <c r="I34" i="1" s="1"/>
  <c r="T35" i="1"/>
  <c r="J38" i="1"/>
  <c r="I38" i="1" s="1"/>
  <c r="T39" i="1"/>
  <c r="J42" i="1"/>
  <c r="I42" i="1" s="1"/>
  <c r="T43" i="1"/>
  <c r="J46" i="1"/>
  <c r="I46" i="1" s="1"/>
  <c r="T47" i="1"/>
  <c r="J50" i="1"/>
  <c r="I50" i="1" s="1"/>
  <c r="T51" i="1"/>
  <c r="J54" i="1"/>
  <c r="I54" i="1" s="1"/>
  <c r="T55" i="1"/>
  <c r="O56" i="1"/>
  <c r="AL57" i="1"/>
  <c r="O58" i="1"/>
  <c r="L61" i="1"/>
  <c r="L62" i="1"/>
  <c r="K62" i="1"/>
  <c r="O62" i="1"/>
  <c r="AL66" i="1"/>
  <c r="O68" i="1"/>
  <c r="L68" i="1"/>
  <c r="K68" i="1"/>
  <c r="J68" i="1"/>
  <c r="I68" i="1" s="1"/>
  <c r="L86" i="1"/>
  <c r="K86" i="1"/>
  <c r="J86" i="1"/>
  <c r="I86" i="1" s="1"/>
  <c r="AI86" i="1"/>
  <c r="O86" i="1"/>
  <c r="O88" i="1"/>
  <c r="L88" i="1"/>
  <c r="K88" i="1"/>
  <c r="J88" i="1"/>
  <c r="I88" i="1" s="1"/>
  <c r="AB90" i="1"/>
  <c r="AD75" i="1"/>
  <c r="AC75" i="1"/>
  <c r="U137" i="1"/>
  <c r="V137" i="1" s="1"/>
  <c r="R137" i="1"/>
  <c r="P137" i="1" s="1"/>
  <c r="S137" i="1" s="1"/>
  <c r="AB137" i="1"/>
  <c r="T63" i="1"/>
  <c r="O64" i="1"/>
  <c r="L64" i="1"/>
  <c r="K64" i="1"/>
  <c r="J64" i="1"/>
  <c r="I64" i="1" s="1"/>
  <c r="AB77" i="1"/>
  <c r="AL81" i="1"/>
  <c r="T81" i="1"/>
  <c r="AB93" i="1"/>
  <c r="J61" i="1"/>
  <c r="I61" i="1" s="1"/>
  <c r="AI61" i="1"/>
  <c r="U93" i="1"/>
  <c r="V93" i="1" s="1"/>
  <c r="R93" i="1" s="1"/>
  <c r="P93" i="1" s="1"/>
  <c r="S93" i="1" s="1"/>
  <c r="M93" i="1" s="1"/>
  <c r="N93" i="1" s="1"/>
  <c r="T18" i="1"/>
  <c r="T22" i="1"/>
  <c r="T26" i="1"/>
  <c r="T30" i="1"/>
  <c r="T34" i="1"/>
  <c r="T38" i="1"/>
  <c r="T42" i="1"/>
  <c r="T46" i="1"/>
  <c r="T50" i="1"/>
  <c r="T54" i="1"/>
  <c r="L60" i="1"/>
  <c r="K60" i="1"/>
  <c r="AB73" i="1"/>
  <c r="L82" i="1"/>
  <c r="K82" i="1"/>
  <c r="J82" i="1"/>
  <c r="I82" i="1" s="1"/>
  <c r="U82" i="1" s="1"/>
  <c r="V82" i="1" s="1"/>
  <c r="AI82" i="1"/>
  <c r="O82" i="1"/>
  <c r="O84" i="1"/>
  <c r="L84" i="1"/>
  <c r="K84" i="1"/>
  <c r="J84" i="1"/>
  <c r="I84" i="1" s="1"/>
  <c r="U91" i="1"/>
  <c r="V91" i="1" s="1"/>
  <c r="R91" i="1" s="1"/>
  <c r="P91" i="1" s="1"/>
  <c r="S91" i="1" s="1"/>
  <c r="M91" i="1" s="1"/>
  <c r="N91" i="1" s="1"/>
  <c r="L74" i="1"/>
  <c r="K74" i="1"/>
  <c r="J74" i="1"/>
  <c r="I74" i="1" s="1"/>
  <c r="AI74" i="1"/>
  <c r="O74" i="1"/>
  <c r="AB85" i="1"/>
  <c r="R95" i="1"/>
  <c r="P95" i="1" s="1"/>
  <c r="S95" i="1" s="1"/>
  <c r="M95" i="1" s="1"/>
  <c r="N95" i="1" s="1"/>
  <c r="AB95" i="1"/>
  <c r="AB150" i="1"/>
  <c r="AB69" i="1"/>
  <c r="AB75" i="1"/>
  <c r="R75" i="1"/>
  <c r="P75" i="1" s="1"/>
  <c r="S75" i="1" s="1"/>
  <c r="M75" i="1" s="1"/>
  <c r="N75" i="1" s="1"/>
  <c r="AL77" i="1"/>
  <c r="T77" i="1"/>
  <c r="AB89" i="1"/>
  <c r="AB67" i="1"/>
  <c r="R67" i="1"/>
  <c r="P67" i="1" s="1"/>
  <c r="S67" i="1" s="1"/>
  <c r="M67" i="1" s="1"/>
  <c r="N67" i="1" s="1"/>
  <c r="T17" i="1"/>
  <c r="T21" i="1"/>
  <c r="T25" i="1"/>
  <c r="T29" i="1"/>
  <c r="T33" i="1"/>
  <c r="T37" i="1"/>
  <c r="T41" i="1"/>
  <c r="T45" i="1"/>
  <c r="T49" i="1"/>
  <c r="T53" i="1"/>
  <c r="J56" i="1"/>
  <c r="I56" i="1" s="1"/>
  <c r="J58" i="1"/>
  <c r="I58" i="1" s="1"/>
  <c r="J59" i="1"/>
  <c r="I59" i="1" s="1"/>
  <c r="AI59" i="1"/>
  <c r="X60" i="1"/>
  <c r="AB65" i="1"/>
  <c r="AB71" i="1"/>
  <c r="R71" i="1"/>
  <c r="P71" i="1" s="1"/>
  <c r="S71" i="1" s="1"/>
  <c r="M71" i="1" s="1"/>
  <c r="N71" i="1" s="1"/>
  <c r="AL73" i="1"/>
  <c r="T73" i="1"/>
  <c r="L78" i="1"/>
  <c r="K78" i="1"/>
  <c r="J78" i="1"/>
  <c r="I78" i="1" s="1"/>
  <c r="AI78" i="1"/>
  <c r="O78" i="1"/>
  <c r="O80" i="1"/>
  <c r="L80" i="1"/>
  <c r="K80" i="1"/>
  <c r="J80" i="1"/>
  <c r="I80" i="1" s="1"/>
  <c r="U86" i="1"/>
  <c r="V86" i="1" s="1"/>
  <c r="O108" i="1"/>
  <c r="L108" i="1"/>
  <c r="K108" i="1"/>
  <c r="J108" i="1"/>
  <c r="I108" i="1" s="1"/>
  <c r="AI108" i="1"/>
  <c r="L65" i="1"/>
  <c r="L69" i="1"/>
  <c r="L73" i="1"/>
  <c r="L77" i="1"/>
  <c r="L81" i="1"/>
  <c r="L85" i="1"/>
  <c r="L89" i="1"/>
  <c r="O96" i="1"/>
  <c r="L96" i="1"/>
  <c r="K96" i="1"/>
  <c r="J96" i="1"/>
  <c r="I96" i="1" s="1"/>
  <c r="AL101" i="1"/>
  <c r="T101" i="1"/>
  <c r="AL106" i="1"/>
  <c r="AI63" i="1"/>
  <c r="AI67" i="1"/>
  <c r="AI71" i="1"/>
  <c r="AI75" i="1"/>
  <c r="AI79" i="1"/>
  <c r="AI83" i="1"/>
  <c r="AI87" i="1"/>
  <c r="AL97" i="1"/>
  <c r="T97" i="1"/>
  <c r="L102" i="1"/>
  <c r="K102" i="1"/>
  <c r="J102" i="1"/>
  <c r="I102" i="1" s="1"/>
  <c r="AI102" i="1"/>
  <c r="O102" i="1"/>
  <c r="O104" i="1"/>
  <c r="L104" i="1"/>
  <c r="K104" i="1"/>
  <c r="J104" i="1"/>
  <c r="I104" i="1" s="1"/>
  <c r="L114" i="1"/>
  <c r="O114" i="1"/>
  <c r="AI114" i="1"/>
  <c r="K114" i="1"/>
  <c r="T60" i="1"/>
  <c r="T64" i="1"/>
  <c r="T68" i="1"/>
  <c r="T72" i="1"/>
  <c r="T76" i="1"/>
  <c r="J79" i="1"/>
  <c r="I79" i="1" s="1"/>
  <c r="U79" i="1" s="1"/>
  <c r="V79" i="1" s="1"/>
  <c r="T80" i="1"/>
  <c r="J83" i="1"/>
  <c r="I83" i="1" s="1"/>
  <c r="T84" i="1"/>
  <c r="J87" i="1"/>
  <c r="I87" i="1" s="1"/>
  <c r="T88" i="1"/>
  <c r="AI91" i="1"/>
  <c r="AI92" i="1"/>
  <c r="AI93" i="1"/>
  <c r="AL95" i="1"/>
  <c r="X98" i="1"/>
  <c r="O100" i="1"/>
  <c r="L100" i="1"/>
  <c r="K100" i="1"/>
  <c r="J100" i="1"/>
  <c r="I100" i="1" s="1"/>
  <c r="AL102" i="1"/>
  <c r="AB109" i="1"/>
  <c r="R112" i="1"/>
  <c r="P112" i="1" s="1"/>
  <c r="S112" i="1" s="1"/>
  <c r="M112" i="1" s="1"/>
  <c r="N112" i="1" s="1"/>
  <c r="AB112" i="1"/>
  <c r="K120" i="1"/>
  <c r="J120" i="1"/>
  <c r="I120" i="1" s="1"/>
  <c r="AI120" i="1"/>
  <c r="L120" i="1"/>
  <c r="O65" i="1"/>
  <c r="O69" i="1"/>
  <c r="O73" i="1"/>
  <c r="O77" i="1"/>
  <c r="O81" i="1"/>
  <c r="O85" i="1"/>
  <c r="O89" i="1"/>
  <c r="O91" i="1"/>
  <c r="O93" i="1"/>
  <c r="AL94" i="1"/>
  <c r="T94" i="1"/>
  <c r="AL92" i="1"/>
  <c r="T92" i="1"/>
  <c r="AB105" i="1"/>
  <c r="AL109" i="1"/>
  <c r="T109" i="1"/>
  <c r="J114" i="1"/>
  <c r="I114" i="1" s="1"/>
  <c r="AI65" i="1"/>
  <c r="AI69" i="1"/>
  <c r="AI73" i="1"/>
  <c r="AI77" i="1"/>
  <c r="AI81" i="1"/>
  <c r="AI85" i="1"/>
  <c r="AI89" i="1"/>
  <c r="L98" i="1"/>
  <c r="K98" i="1"/>
  <c r="AI98" i="1"/>
  <c r="O98" i="1"/>
  <c r="U99" i="1"/>
  <c r="V99" i="1" s="1"/>
  <c r="L110" i="1"/>
  <c r="K110" i="1"/>
  <c r="J110" i="1"/>
  <c r="I110" i="1" s="1"/>
  <c r="AI110" i="1"/>
  <c r="O110" i="1"/>
  <c r="AI111" i="1"/>
  <c r="L111" i="1"/>
  <c r="K111" i="1"/>
  <c r="J111" i="1"/>
  <c r="I111" i="1" s="1"/>
  <c r="U111" i="1" s="1"/>
  <c r="V111" i="1" s="1"/>
  <c r="O120" i="1"/>
  <c r="T62" i="1"/>
  <c r="T66" i="1"/>
  <c r="T70" i="1"/>
  <c r="T74" i="1"/>
  <c r="T78" i="1"/>
  <c r="T90" i="1"/>
  <c r="AL98" i="1"/>
  <c r="AB101" i="1"/>
  <c r="AL105" i="1"/>
  <c r="T105" i="1"/>
  <c r="U107" i="1"/>
  <c r="V107" i="1" s="1"/>
  <c r="AL110" i="1"/>
  <c r="L101" i="1"/>
  <c r="L105" i="1"/>
  <c r="L109" i="1"/>
  <c r="L113" i="1"/>
  <c r="J113" i="1"/>
  <c r="I113" i="1" s="1"/>
  <c r="AI95" i="1"/>
  <c r="AI99" i="1"/>
  <c r="AI103" i="1"/>
  <c r="AI107" i="1"/>
  <c r="AL111" i="1"/>
  <c r="AI113" i="1"/>
  <c r="O118" i="1"/>
  <c r="L118" i="1"/>
  <c r="J118" i="1"/>
  <c r="I118" i="1" s="1"/>
  <c r="AI118" i="1"/>
  <c r="AI119" i="1"/>
  <c r="L119" i="1"/>
  <c r="K119" i="1"/>
  <c r="U120" i="1"/>
  <c r="V120" i="1" s="1"/>
  <c r="AL122" i="1"/>
  <c r="T122" i="1"/>
  <c r="J131" i="1"/>
  <c r="I131" i="1" s="1"/>
  <c r="AI131" i="1"/>
  <c r="O131" i="1"/>
  <c r="L131" i="1"/>
  <c r="K131" i="1"/>
  <c r="L132" i="1"/>
  <c r="K132" i="1"/>
  <c r="J132" i="1"/>
  <c r="I132" i="1" s="1"/>
  <c r="AI132" i="1"/>
  <c r="O132" i="1"/>
  <c r="AC137" i="1"/>
  <c r="T96" i="1"/>
  <c r="T100" i="1"/>
  <c r="J103" i="1"/>
  <c r="I103" i="1" s="1"/>
  <c r="U103" i="1" s="1"/>
  <c r="V103" i="1" s="1"/>
  <c r="T104" i="1"/>
  <c r="J107" i="1"/>
  <c r="I107" i="1" s="1"/>
  <c r="T108" i="1"/>
  <c r="O113" i="1"/>
  <c r="AL114" i="1"/>
  <c r="T114" i="1"/>
  <c r="AL117" i="1"/>
  <c r="T117" i="1"/>
  <c r="AL119" i="1"/>
  <c r="U138" i="1"/>
  <c r="V138" i="1" s="1"/>
  <c r="AC138" i="1" s="1"/>
  <c r="O101" i="1"/>
  <c r="O105" i="1"/>
  <c r="O109" i="1"/>
  <c r="AL113" i="1"/>
  <c r="T113" i="1"/>
  <c r="AI115" i="1"/>
  <c r="L115" i="1"/>
  <c r="AL118" i="1"/>
  <c r="T118" i="1"/>
  <c r="AC124" i="1"/>
  <c r="L136" i="1"/>
  <c r="AI136" i="1"/>
  <c r="O136" i="1"/>
  <c r="K136" i="1"/>
  <c r="J136" i="1"/>
  <c r="I136" i="1" s="1"/>
  <c r="AB138" i="1"/>
  <c r="L145" i="1"/>
  <c r="K145" i="1"/>
  <c r="AI145" i="1"/>
  <c r="O145" i="1"/>
  <c r="J145" i="1"/>
  <c r="I145" i="1" s="1"/>
  <c r="AL115" i="1"/>
  <c r="T115" i="1"/>
  <c r="U124" i="1"/>
  <c r="V124" i="1" s="1"/>
  <c r="J127" i="1"/>
  <c r="I127" i="1" s="1"/>
  <c r="AI127" i="1"/>
  <c r="O127" i="1"/>
  <c r="L127" i="1"/>
  <c r="K127" i="1"/>
  <c r="L128" i="1"/>
  <c r="K128" i="1"/>
  <c r="J128" i="1"/>
  <c r="I128" i="1" s="1"/>
  <c r="AI128" i="1"/>
  <c r="O128" i="1"/>
  <c r="U134" i="1"/>
  <c r="V134" i="1" s="1"/>
  <c r="AI101" i="1"/>
  <c r="AI105" i="1"/>
  <c r="AI109" i="1"/>
  <c r="U112" i="1"/>
  <c r="V112" i="1" s="1"/>
  <c r="J115" i="1"/>
  <c r="I115" i="1" s="1"/>
  <c r="K116" i="1"/>
  <c r="J116" i="1"/>
  <c r="I116" i="1" s="1"/>
  <c r="X119" i="1"/>
  <c r="T98" i="1"/>
  <c r="T102" i="1"/>
  <c r="T106" i="1"/>
  <c r="T110" i="1"/>
  <c r="K115" i="1"/>
  <c r="X115" i="1"/>
  <c r="K118" i="1"/>
  <c r="J119" i="1"/>
  <c r="I119" i="1" s="1"/>
  <c r="R147" i="1"/>
  <c r="P147" i="1" s="1"/>
  <c r="S147" i="1" s="1"/>
  <c r="M147" i="1" s="1"/>
  <c r="N147" i="1" s="1"/>
  <c r="AB147" i="1"/>
  <c r="AI122" i="1"/>
  <c r="AI126" i="1"/>
  <c r="AI130" i="1"/>
  <c r="U132" i="1"/>
  <c r="V132" i="1" s="1"/>
  <c r="R134" i="1"/>
  <c r="P134" i="1" s="1"/>
  <c r="S134" i="1" s="1"/>
  <c r="M134" i="1" s="1"/>
  <c r="N134" i="1" s="1"/>
  <c r="AL136" i="1"/>
  <c r="T136" i="1"/>
  <c r="AC142" i="1"/>
  <c r="L144" i="1"/>
  <c r="J144" i="1"/>
  <c r="I144" i="1" s="1"/>
  <c r="AI144" i="1"/>
  <c r="O144" i="1"/>
  <c r="U147" i="1"/>
  <c r="V147" i="1" s="1"/>
  <c r="O153" i="1"/>
  <c r="L153" i="1"/>
  <c r="K153" i="1"/>
  <c r="AI153" i="1"/>
  <c r="U157" i="1"/>
  <c r="V157" i="1" s="1"/>
  <c r="AB157" i="1"/>
  <c r="J158" i="1"/>
  <c r="I158" i="1" s="1"/>
  <c r="AI158" i="1"/>
  <c r="O158" i="1"/>
  <c r="K158" i="1"/>
  <c r="T119" i="1"/>
  <c r="J122" i="1"/>
  <c r="I122" i="1" s="1"/>
  <c r="T123" i="1"/>
  <c r="J126" i="1"/>
  <c r="I126" i="1" s="1"/>
  <c r="T127" i="1"/>
  <c r="J130" i="1"/>
  <c r="I130" i="1" s="1"/>
  <c r="T131" i="1"/>
  <c r="J141" i="1"/>
  <c r="I141" i="1" s="1"/>
  <c r="R142" i="1"/>
  <c r="P142" i="1" s="1"/>
  <c r="S142" i="1" s="1"/>
  <c r="M142" i="1" s="1"/>
  <c r="N142" i="1" s="1"/>
  <c r="J146" i="1"/>
  <c r="I146" i="1" s="1"/>
  <c r="J149" i="1"/>
  <c r="I149" i="1" s="1"/>
  <c r="U150" i="1"/>
  <c r="V150" i="1" s="1"/>
  <c r="AC150" i="1" s="1"/>
  <c r="L160" i="1"/>
  <c r="K160" i="1"/>
  <c r="J160" i="1"/>
  <c r="I160" i="1" s="1"/>
  <c r="AI160" i="1"/>
  <c r="O160" i="1"/>
  <c r="AB162" i="1"/>
  <c r="AI171" i="1"/>
  <c r="O171" i="1"/>
  <c r="L171" i="1"/>
  <c r="K171" i="1"/>
  <c r="J171" i="1"/>
  <c r="I171" i="1" s="1"/>
  <c r="L172" i="1"/>
  <c r="K172" i="1"/>
  <c r="J172" i="1"/>
  <c r="I172" i="1" s="1"/>
  <c r="AI172" i="1"/>
  <c r="O172" i="1"/>
  <c r="AI133" i="1"/>
  <c r="U142" i="1"/>
  <c r="V142" i="1" s="1"/>
  <c r="AC143" i="1"/>
  <c r="K144" i="1"/>
  <c r="AL144" i="1"/>
  <c r="T144" i="1"/>
  <c r="L146" i="1"/>
  <c r="AB151" i="1"/>
  <c r="J153" i="1"/>
  <c r="I153" i="1" s="1"/>
  <c r="J154" i="1"/>
  <c r="I154" i="1" s="1"/>
  <c r="U154" i="1" s="1"/>
  <c r="V154" i="1" s="1"/>
  <c r="AI154" i="1"/>
  <c r="O154" i="1"/>
  <c r="K154" i="1"/>
  <c r="AC155" i="1"/>
  <c r="R157" i="1"/>
  <c r="P157" i="1" s="1"/>
  <c r="S157" i="1" s="1"/>
  <c r="M157" i="1" s="1"/>
  <c r="N157" i="1" s="1"/>
  <c r="L158" i="1"/>
  <c r="J117" i="1"/>
  <c r="I117" i="1" s="1"/>
  <c r="J121" i="1"/>
  <c r="I121" i="1" s="1"/>
  <c r="L122" i="1"/>
  <c r="J125" i="1"/>
  <c r="I125" i="1" s="1"/>
  <c r="L126" i="1"/>
  <c r="T126" i="1"/>
  <c r="J129" i="1"/>
  <c r="I129" i="1" s="1"/>
  <c r="L130" i="1"/>
  <c r="T130" i="1"/>
  <c r="J133" i="1"/>
  <c r="I133" i="1" s="1"/>
  <c r="R139" i="1"/>
  <c r="P139" i="1" s="1"/>
  <c r="S139" i="1" s="1"/>
  <c r="M139" i="1" s="1"/>
  <c r="N139" i="1" s="1"/>
  <c r="U139" i="1"/>
  <c r="V139" i="1" s="1"/>
  <c r="L140" i="1"/>
  <c r="J140" i="1"/>
  <c r="I140" i="1" s="1"/>
  <c r="AI140" i="1"/>
  <c r="O146" i="1"/>
  <c r="L156" i="1"/>
  <c r="K156" i="1"/>
  <c r="J156" i="1"/>
  <c r="I156" i="1" s="1"/>
  <c r="AI156" i="1"/>
  <c r="O156" i="1"/>
  <c r="AC158" i="1"/>
  <c r="U159" i="1"/>
  <c r="V159" i="1" s="1"/>
  <c r="O166" i="1"/>
  <c r="L166" i="1"/>
  <c r="K166" i="1"/>
  <c r="J166" i="1"/>
  <c r="I166" i="1" s="1"/>
  <c r="AI166" i="1"/>
  <c r="K133" i="1"/>
  <c r="J135" i="1"/>
  <c r="I135" i="1" s="1"/>
  <c r="O135" i="1"/>
  <c r="U143" i="1"/>
  <c r="V143" i="1" s="1"/>
  <c r="AI146" i="1"/>
  <c r="L148" i="1"/>
  <c r="J148" i="1"/>
  <c r="I148" i="1" s="1"/>
  <c r="AI148" i="1"/>
  <c r="O148" i="1"/>
  <c r="U158" i="1"/>
  <c r="V158" i="1" s="1"/>
  <c r="AB163" i="1"/>
  <c r="T121" i="1"/>
  <c r="T125" i="1"/>
  <c r="T129" i="1"/>
  <c r="T133" i="1"/>
  <c r="AI135" i="1"/>
  <c r="L137" i="1"/>
  <c r="AI137" i="1"/>
  <c r="K138" i="1"/>
  <c r="AL140" i="1"/>
  <c r="T140" i="1"/>
  <c r="AI150" i="1"/>
  <c r="O150" i="1"/>
  <c r="K150" i="1"/>
  <c r="L152" i="1"/>
  <c r="K152" i="1"/>
  <c r="J152" i="1"/>
  <c r="I152" i="1" s="1"/>
  <c r="AI152" i="1"/>
  <c r="O152" i="1"/>
  <c r="U155" i="1"/>
  <c r="V155" i="1" s="1"/>
  <c r="AB159" i="1"/>
  <c r="R159" i="1"/>
  <c r="P159" i="1" s="1"/>
  <c r="S159" i="1" s="1"/>
  <c r="M159" i="1" s="1"/>
  <c r="N159" i="1" s="1"/>
  <c r="X134" i="1"/>
  <c r="R143" i="1"/>
  <c r="P143" i="1" s="1"/>
  <c r="S143" i="1" s="1"/>
  <c r="M143" i="1" s="1"/>
  <c r="N143" i="1" s="1"/>
  <c r="AC147" i="1"/>
  <c r="K148" i="1"/>
  <c r="AL148" i="1"/>
  <c r="T148" i="1"/>
  <c r="L150" i="1"/>
  <c r="O157" i="1"/>
  <c r="L157" i="1"/>
  <c r="K157" i="1"/>
  <c r="AI157" i="1"/>
  <c r="AC134" i="1"/>
  <c r="X138" i="1"/>
  <c r="L141" i="1"/>
  <c r="K141" i="1"/>
  <c r="AI141" i="1"/>
  <c r="L149" i="1"/>
  <c r="K149" i="1"/>
  <c r="AI149" i="1"/>
  <c r="AB155" i="1"/>
  <c r="R155" i="1"/>
  <c r="P155" i="1" s="1"/>
  <c r="S155" i="1" s="1"/>
  <c r="M155" i="1" s="1"/>
  <c r="N155" i="1" s="1"/>
  <c r="AB164" i="1"/>
  <c r="L161" i="1"/>
  <c r="J161" i="1"/>
  <c r="I161" i="1" s="1"/>
  <c r="K162" i="1"/>
  <c r="AI162" i="1"/>
  <c r="T164" i="1"/>
  <c r="AL167" i="1"/>
  <c r="T167" i="1"/>
  <c r="O139" i="1"/>
  <c r="O143" i="1"/>
  <c r="O147" i="1"/>
  <c r="O151" i="1"/>
  <c r="O155" i="1"/>
  <c r="O159" i="1"/>
  <c r="O161" i="1"/>
  <c r="O162" i="1"/>
  <c r="AL162" i="1"/>
  <c r="T162" i="1"/>
  <c r="AB190" i="1"/>
  <c r="AL161" i="1"/>
  <c r="T161" i="1"/>
  <c r="AI163" i="1"/>
  <c r="K168" i="1"/>
  <c r="J168" i="1"/>
  <c r="I168" i="1" s="1"/>
  <c r="AI168" i="1"/>
  <c r="O168" i="1"/>
  <c r="T152" i="1"/>
  <c r="T156" i="1"/>
  <c r="J175" i="1"/>
  <c r="I175" i="1" s="1"/>
  <c r="AI175" i="1"/>
  <c r="O175" i="1"/>
  <c r="L175" i="1"/>
  <c r="K175" i="1"/>
  <c r="L176" i="1"/>
  <c r="K176" i="1"/>
  <c r="J176" i="1"/>
  <c r="I176" i="1" s="1"/>
  <c r="AI176" i="1"/>
  <c r="O176" i="1"/>
  <c r="AB179" i="1"/>
  <c r="R183" i="1"/>
  <c r="P183" i="1" s="1"/>
  <c r="S183" i="1" s="1"/>
  <c r="M183" i="1" s="1"/>
  <c r="N183" i="1" s="1"/>
  <c r="AL163" i="1"/>
  <c r="T163" i="1"/>
  <c r="L181" i="1"/>
  <c r="O181" i="1"/>
  <c r="AI181" i="1"/>
  <c r="K181" i="1"/>
  <c r="J181" i="1"/>
  <c r="I181" i="1" s="1"/>
  <c r="U183" i="1"/>
  <c r="V183" i="1" s="1"/>
  <c r="T151" i="1"/>
  <c r="AI167" i="1"/>
  <c r="O167" i="1"/>
  <c r="L167" i="1"/>
  <c r="O170" i="1"/>
  <c r="L170" i="1"/>
  <c r="K170" i="1"/>
  <c r="J170" i="1"/>
  <c r="I170" i="1" s="1"/>
  <c r="AI170" i="1"/>
  <c r="U179" i="1"/>
  <c r="V179" i="1" s="1"/>
  <c r="U172" i="1"/>
  <c r="V172" i="1" s="1"/>
  <c r="AI174" i="1"/>
  <c r="U176" i="1"/>
  <c r="V176" i="1" s="1"/>
  <c r="AI178" i="1"/>
  <c r="AB183" i="1"/>
  <c r="AI186" i="1"/>
  <c r="AL189" i="1"/>
  <c r="T189" i="1"/>
  <c r="AL191" i="1"/>
  <c r="T191" i="1"/>
  <c r="AI195" i="1"/>
  <c r="O195" i="1"/>
  <c r="L195" i="1"/>
  <c r="J195" i="1"/>
  <c r="I195" i="1" s="1"/>
  <c r="AB199" i="1"/>
  <c r="AB204" i="1"/>
  <c r="T171" i="1"/>
  <c r="J174" i="1"/>
  <c r="I174" i="1" s="1"/>
  <c r="T175" i="1"/>
  <c r="J178" i="1"/>
  <c r="I178" i="1" s="1"/>
  <c r="AL195" i="1"/>
  <c r="T195" i="1"/>
  <c r="T204" i="1"/>
  <c r="AL204" i="1"/>
  <c r="AB211" i="1"/>
  <c r="AI169" i="1"/>
  <c r="AI173" i="1"/>
  <c r="K174" i="1"/>
  <c r="AI177" i="1"/>
  <c r="K178" i="1"/>
  <c r="K180" i="1"/>
  <c r="J180" i="1"/>
  <c r="I180" i="1" s="1"/>
  <c r="K182" i="1"/>
  <c r="U182" i="1"/>
  <c r="V182" i="1" s="1"/>
  <c r="AI182" i="1"/>
  <c r="J186" i="1"/>
  <c r="I186" i="1" s="1"/>
  <c r="AL186" i="1"/>
  <c r="T186" i="1"/>
  <c r="K195" i="1"/>
  <c r="AB207" i="1"/>
  <c r="J165" i="1"/>
  <c r="I165" i="1" s="1"/>
  <c r="T166" i="1"/>
  <c r="J169" i="1"/>
  <c r="I169" i="1" s="1"/>
  <c r="T170" i="1"/>
  <c r="J173" i="1"/>
  <c r="I173" i="1" s="1"/>
  <c r="L174" i="1"/>
  <c r="T174" i="1"/>
  <c r="J177" i="1"/>
  <c r="I177" i="1" s="1"/>
  <c r="L178" i="1"/>
  <c r="T178" i="1"/>
  <c r="AI180" i="1"/>
  <c r="L182" i="1"/>
  <c r="K184" i="1"/>
  <c r="J184" i="1"/>
  <c r="I184" i="1" s="1"/>
  <c r="K177" i="1"/>
  <c r="J191" i="1"/>
  <c r="I191" i="1" s="1"/>
  <c r="U199" i="1"/>
  <c r="V199" i="1" s="1"/>
  <c r="AC199" i="1" s="1"/>
  <c r="T165" i="1"/>
  <c r="T169" i="1"/>
  <c r="T173" i="1"/>
  <c r="T177" i="1"/>
  <c r="AL181" i="1"/>
  <c r="T181" i="1"/>
  <c r="O183" i="1"/>
  <c r="X183" i="1"/>
  <c r="O184" i="1"/>
  <c r="J187" i="1"/>
  <c r="I187" i="1" s="1"/>
  <c r="U187" i="1" s="1"/>
  <c r="V187" i="1" s="1"/>
  <c r="K191" i="1"/>
  <c r="AB200" i="1"/>
  <c r="AB219" i="1"/>
  <c r="AL185" i="1"/>
  <c r="T185" i="1"/>
  <c r="L189" i="1"/>
  <c r="J189" i="1"/>
  <c r="I189" i="1" s="1"/>
  <c r="AI189" i="1"/>
  <c r="O190" i="1"/>
  <c r="L190" i="1"/>
  <c r="K190" i="1"/>
  <c r="U200" i="1"/>
  <c r="V200" i="1" s="1"/>
  <c r="R182" i="1"/>
  <c r="P182" i="1" s="1"/>
  <c r="S182" i="1" s="1"/>
  <c r="O186" i="1"/>
  <c r="L186" i="1"/>
  <c r="AI191" i="1"/>
  <c r="L191" i="1"/>
  <c r="U198" i="1"/>
  <c r="V198" i="1" s="1"/>
  <c r="AL202" i="1"/>
  <c r="T202" i="1"/>
  <c r="AL206" i="1"/>
  <c r="T206" i="1"/>
  <c r="AL207" i="1"/>
  <c r="T207" i="1"/>
  <c r="J212" i="1"/>
  <c r="I212" i="1" s="1"/>
  <c r="AI212" i="1"/>
  <c r="O212" i="1"/>
  <c r="K212" i="1"/>
  <c r="L214" i="1"/>
  <c r="K214" i="1"/>
  <c r="J214" i="1"/>
  <c r="I214" i="1" s="1"/>
  <c r="AI214" i="1"/>
  <c r="O214" i="1"/>
  <c r="X215" i="1"/>
  <c r="J220" i="1"/>
  <c r="I220" i="1" s="1"/>
  <c r="U220" i="1" s="1"/>
  <c r="V220" i="1" s="1"/>
  <c r="AI220" i="1"/>
  <c r="O220" i="1"/>
  <c r="K220" i="1"/>
  <c r="L222" i="1"/>
  <c r="K222" i="1"/>
  <c r="J222" i="1"/>
  <c r="I222" i="1" s="1"/>
  <c r="AI222" i="1"/>
  <c r="O222" i="1"/>
  <c r="X223" i="1"/>
  <c r="J194" i="1"/>
  <c r="I194" i="1" s="1"/>
  <c r="J198" i="1"/>
  <c r="I198" i="1" s="1"/>
  <c r="O215" i="1"/>
  <c r="L215" i="1"/>
  <c r="K215" i="1"/>
  <c r="AI215" i="1"/>
  <c r="O223" i="1"/>
  <c r="L223" i="1"/>
  <c r="K223" i="1"/>
  <c r="AI223" i="1"/>
  <c r="AI193" i="1"/>
  <c r="K194" i="1"/>
  <c r="O196" i="1"/>
  <c r="AI197" i="1"/>
  <c r="K198" i="1"/>
  <c r="AL198" i="1"/>
  <c r="O199" i="1"/>
  <c r="X199" i="1"/>
  <c r="AL201" i="1"/>
  <c r="T201" i="1"/>
  <c r="O204" i="1"/>
  <c r="X207" i="1"/>
  <c r="L226" i="1"/>
  <c r="K226" i="1"/>
  <c r="J226" i="1"/>
  <c r="I226" i="1" s="1"/>
  <c r="AI226" i="1"/>
  <c r="O226" i="1"/>
  <c r="T190" i="1"/>
  <c r="J193" i="1"/>
  <c r="I193" i="1" s="1"/>
  <c r="L194" i="1"/>
  <c r="J197" i="1"/>
  <c r="I197" i="1" s="1"/>
  <c r="L198" i="1"/>
  <c r="AL203" i="1"/>
  <c r="T203" i="1"/>
  <c r="J208" i="1"/>
  <c r="I208" i="1" s="1"/>
  <c r="AI208" i="1"/>
  <c r="O208" i="1"/>
  <c r="K208" i="1"/>
  <c r="L210" i="1"/>
  <c r="K210" i="1"/>
  <c r="J210" i="1"/>
  <c r="I210" i="1" s="1"/>
  <c r="AI210" i="1"/>
  <c r="O210" i="1"/>
  <c r="X211" i="1"/>
  <c r="U212" i="1"/>
  <c r="V212" i="1" s="1"/>
  <c r="J216" i="1"/>
  <c r="I216" i="1" s="1"/>
  <c r="AI216" i="1"/>
  <c r="O216" i="1"/>
  <c r="K216" i="1"/>
  <c r="L218" i="1"/>
  <c r="K218" i="1"/>
  <c r="J218" i="1"/>
  <c r="I218" i="1" s="1"/>
  <c r="AI218" i="1"/>
  <c r="O218" i="1"/>
  <c r="X219" i="1"/>
  <c r="J224" i="1"/>
  <c r="I224" i="1" s="1"/>
  <c r="AI224" i="1"/>
  <c r="O224" i="1"/>
  <c r="K224" i="1"/>
  <c r="K197" i="1"/>
  <c r="L202" i="1"/>
  <c r="J202" i="1"/>
  <c r="I202" i="1" s="1"/>
  <c r="L206" i="1"/>
  <c r="J206" i="1"/>
  <c r="I206" i="1" s="1"/>
  <c r="J215" i="1"/>
  <c r="I215" i="1" s="1"/>
  <c r="J223" i="1"/>
  <c r="I223" i="1" s="1"/>
  <c r="J188" i="1"/>
  <c r="I188" i="1" s="1"/>
  <c r="U188" i="1" s="1"/>
  <c r="V188" i="1" s="1"/>
  <c r="J192" i="1"/>
  <c r="I192" i="1" s="1"/>
  <c r="T193" i="1"/>
  <c r="J196" i="1"/>
  <c r="I196" i="1" s="1"/>
  <c r="T197" i="1"/>
  <c r="AI202" i="1"/>
  <c r="AI206" i="1"/>
  <c r="O211" i="1"/>
  <c r="L211" i="1"/>
  <c r="K211" i="1"/>
  <c r="AI211" i="1"/>
  <c r="O219" i="1"/>
  <c r="L219" i="1"/>
  <c r="K219" i="1"/>
  <c r="AI219" i="1"/>
  <c r="L224" i="1"/>
  <c r="K202" i="1"/>
  <c r="O203" i="1"/>
  <c r="AI204" i="1"/>
  <c r="O207" i="1"/>
  <c r="L207" i="1"/>
  <c r="AI207" i="1"/>
  <c r="U208" i="1"/>
  <c r="V208" i="1" s="1"/>
  <c r="T211" i="1"/>
  <c r="T215" i="1"/>
  <c r="T219" i="1"/>
  <c r="T223" i="1"/>
  <c r="AI225" i="1"/>
  <c r="J201" i="1"/>
  <c r="I201" i="1" s="1"/>
  <c r="J205" i="1"/>
  <c r="I205" i="1" s="1"/>
  <c r="J209" i="1"/>
  <c r="I209" i="1" s="1"/>
  <c r="T210" i="1"/>
  <c r="J213" i="1"/>
  <c r="I213" i="1" s="1"/>
  <c r="T214" i="1"/>
  <c r="J217" i="1"/>
  <c r="I217" i="1" s="1"/>
  <c r="T218" i="1"/>
  <c r="J221" i="1"/>
  <c r="I221" i="1" s="1"/>
  <c r="T222" i="1"/>
  <c r="J225" i="1"/>
  <c r="I225" i="1" s="1"/>
  <c r="U225" i="1" s="1"/>
  <c r="V225" i="1" s="1"/>
  <c r="T226" i="1"/>
  <c r="K225" i="1"/>
  <c r="T205" i="1"/>
  <c r="T209" i="1"/>
  <c r="T213" i="1"/>
  <c r="T217" i="1"/>
  <c r="T221" i="1"/>
  <c r="AD187" i="1" l="1"/>
  <c r="W187" i="1"/>
  <c r="AA187" i="1" s="1"/>
  <c r="AC187" i="1"/>
  <c r="AD103" i="1"/>
  <c r="W103" i="1"/>
  <c r="AA103" i="1" s="1"/>
  <c r="AC103" i="1"/>
  <c r="W111" i="1"/>
  <c r="AA111" i="1" s="1"/>
  <c r="AD111" i="1"/>
  <c r="AE111" i="1" s="1"/>
  <c r="AC111" i="1"/>
  <c r="W188" i="1"/>
  <c r="AA188" i="1" s="1"/>
  <c r="AD188" i="1"/>
  <c r="AC188" i="1"/>
  <c r="W82" i="1"/>
  <c r="AA82" i="1" s="1"/>
  <c r="AD82" i="1"/>
  <c r="AC82" i="1"/>
  <c r="W225" i="1"/>
  <c r="AA225" i="1" s="1"/>
  <c r="AD225" i="1"/>
  <c r="AC225" i="1"/>
  <c r="W154" i="1"/>
  <c r="AA154" i="1" s="1"/>
  <c r="AD154" i="1"/>
  <c r="AC154" i="1"/>
  <c r="AD79" i="1"/>
  <c r="W79" i="1"/>
  <c r="AA79" i="1" s="1"/>
  <c r="AC79" i="1"/>
  <c r="W220" i="1"/>
  <c r="AA220" i="1" s="1"/>
  <c r="AD220" i="1"/>
  <c r="AC220" i="1"/>
  <c r="AB224" i="1"/>
  <c r="U162" i="1"/>
  <c r="V162" i="1" s="1"/>
  <c r="AB152" i="1"/>
  <c r="AB146" i="1"/>
  <c r="U122" i="1"/>
  <c r="V122" i="1" s="1"/>
  <c r="AB87" i="1"/>
  <c r="R87" i="1"/>
  <c r="P87" i="1" s="1"/>
  <c r="S87" i="1" s="1"/>
  <c r="M87" i="1" s="1"/>
  <c r="N87" i="1" s="1"/>
  <c r="AB96" i="1"/>
  <c r="U25" i="1"/>
  <c r="V25" i="1" s="1"/>
  <c r="U87" i="1"/>
  <c r="V87" i="1" s="1"/>
  <c r="U226" i="1"/>
  <c r="V226" i="1" s="1"/>
  <c r="U210" i="1"/>
  <c r="V210" i="1" s="1"/>
  <c r="U211" i="1"/>
  <c r="V211" i="1" s="1"/>
  <c r="AB196" i="1"/>
  <c r="U196" i="1"/>
  <c r="V196" i="1" s="1"/>
  <c r="AB206" i="1"/>
  <c r="AB218" i="1"/>
  <c r="W212" i="1"/>
  <c r="AA212" i="1" s="1"/>
  <c r="AD212" i="1"/>
  <c r="AC212" i="1"/>
  <c r="AB197" i="1"/>
  <c r="AB198" i="1"/>
  <c r="R198" i="1"/>
  <c r="P198" i="1" s="1"/>
  <c r="S198" i="1" s="1"/>
  <c r="M198" i="1" s="1"/>
  <c r="N198" i="1" s="1"/>
  <c r="U185" i="1"/>
  <c r="V185" i="1" s="1"/>
  <c r="U165" i="1"/>
  <c r="V165" i="1" s="1"/>
  <c r="AB184" i="1"/>
  <c r="AB180" i="1"/>
  <c r="U191" i="1"/>
  <c r="V191" i="1" s="1"/>
  <c r="AB170" i="1"/>
  <c r="U164" i="1"/>
  <c r="V164" i="1" s="1"/>
  <c r="U140" i="1"/>
  <c r="V140" i="1" s="1"/>
  <c r="U125" i="1"/>
  <c r="V125" i="1" s="1"/>
  <c r="AB148" i="1"/>
  <c r="W159" i="1"/>
  <c r="AA159" i="1" s="1"/>
  <c r="AD159" i="1"/>
  <c r="AB149" i="1"/>
  <c r="R149" i="1"/>
  <c r="P149" i="1" s="1"/>
  <c r="S149" i="1" s="1"/>
  <c r="M149" i="1" s="1"/>
  <c r="N149" i="1" s="1"/>
  <c r="U149" i="1"/>
  <c r="V149" i="1" s="1"/>
  <c r="AB126" i="1"/>
  <c r="R158" i="1"/>
  <c r="P158" i="1" s="1"/>
  <c r="S158" i="1" s="1"/>
  <c r="M158" i="1" s="1"/>
  <c r="N158" i="1" s="1"/>
  <c r="AB158" i="1"/>
  <c r="U106" i="1"/>
  <c r="V106" i="1" s="1"/>
  <c r="AD112" i="1"/>
  <c r="AE112" i="1" s="1"/>
  <c r="AC112" i="1"/>
  <c r="W112" i="1"/>
  <c r="AA112" i="1" s="1"/>
  <c r="AB128" i="1"/>
  <c r="R128" i="1"/>
  <c r="P128" i="1" s="1"/>
  <c r="S128" i="1" s="1"/>
  <c r="M128" i="1" s="1"/>
  <c r="N128" i="1" s="1"/>
  <c r="W124" i="1"/>
  <c r="AA124" i="1" s="1"/>
  <c r="AD124" i="1"/>
  <c r="R138" i="1"/>
  <c r="P138" i="1" s="1"/>
  <c r="S138" i="1" s="1"/>
  <c r="M138" i="1" s="1"/>
  <c r="N138" i="1" s="1"/>
  <c r="U113" i="1"/>
  <c r="V113" i="1" s="1"/>
  <c r="U104" i="1"/>
  <c r="V104" i="1" s="1"/>
  <c r="AB132" i="1"/>
  <c r="R132" i="1"/>
  <c r="P132" i="1" s="1"/>
  <c r="S132" i="1" s="1"/>
  <c r="M132" i="1" s="1"/>
  <c r="N132" i="1" s="1"/>
  <c r="U128" i="1"/>
  <c r="V128" i="1" s="1"/>
  <c r="AB118" i="1"/>
  <c r="R118" i="1"/>
  <c r="P118" i="1" s="1"/>
  <c r="S118" i="1" s="1"/>
  <c r="M118" i="1" s="1"/>
  <c r="N118" i="1" s="1"/>
  <c r="U70" i="1"/>
  <c r="V70" i="1" s="1"/>
  <c r="AD99" i="1"/>
  <c r="W99" i="1"/>
  <c r="AA99" i="1" s="1"/>
  <c r="U88" i="1"/>
  <c r="V88" i="1" s="1"/>
  <c r="U68" i="1"/>
  <c r="V68" i="1" s="1"/>
  <c r="AB58" i="1"/>
  <c r="U29" i="1"/>
  <c r="V29" i="1" s="1"/>
  <c r="U34" i="1"/>
  <c r="V34" i="1" s="1"/>
  <c r="U63" i="1"/>
  <c r="V63" i="1" s="1"/>
  <c r="AB42" i="1"/>
  <c r="AB26" i="1"/>
  <c r="U89" i="1"/>
  <c r="V89" i="1" s="1"/>
  <c r="AB76" i="1"/>
  <c r="R76" i="1"/>
  <c r="P76" i="1" s="1"/>
  <c r="S76" i="1" s="1"/>
  <c r="M76" i="1" s="1"/>
  <c r="N76" i="1" s="1"/>
  <c r="AB70" i="1"/>
  <c r="R70" i="1"/>
  <c r="P70" i="1" s="1"/>
  <c r="S70" i="1" s="1"/>
  <c r="M70" i="1" s="1"/>
  <c r="N70" i="1" s="1"/>
  <c r="U48" i="1"/>
  <c r="V48" i="1" s="1"/>
  <c r="AB44" i="1"/>
  <c r="AB47" i="1"/>
  <c r="R47" i="1"/>
  <c r="P47" i="1" s="1"/>
  <c r="S47" i="1" s="1"/>
  <c r="M47" i="1" s="1"/>
  <c r="N47" i="1" s="1"/>
  <c r="AB21" i="1"/>
  <c r="AB48" i="1"/>
  <c r="AB40" i="1"/>
  <c r="U221" i="1"/>
  <c r="V221" i="1" s="1"/>
  <c r="R221" i="1" s="1"/>
  <c r="P221" i="1" s="1"/>
  <c r="S221" i="1" s="1"/>
  <c r="M221" i="1" s="1"/>
  <c r="N221" i="1" s="1"/>
  <c r="U222" i="1"/>
  <c r="V222" i="1" s="1"/>
  <c r="AB205" i="1"/>
  <c r="W208" i="1"/>
  <c r="AA208" i="1" s="1"/>
  <c r="AD208" i="1"/>
  <c r="AC208" i="1"/>
  <c r="R192" i="1"/>
  <c r="P192" i="1" s="1"/>
  <c r="S192" i="1" s="1"/>
  <c r="M192" i="1" s="1"/>
  <c r="N192" i="1" s="1"/>
  <c r="AB192" i="1"/>
  <c r="AB193" i="1"/>
  <c r="U224" i="1"/>
  <c r="V224" i="1" s="1"/>
  <c r="AD199" i="1"/>
  <c r="AE199" i="1" s="1"/>
  <c r="W199" i="1"/>
  <c r="AA199" i="1" s="1"/>
  <c r="U170" i="1"/>
  <c r="V170" i="1" s="1"/>
  <c r="R170" i="1" s="1"/>
  <c r="P170" i="1" s="1"/>
  <c r="S170" i="1" s="1"/>
  <c r="M170" i="1" s="1"/>
  <c r="N170" i="1" s="1"/>
  <c r="U186" i="1"/>
  <c r="V186" i="1" s="1"/>
  <c r="U204" i="1"/>
  <c r="V204" i="1" s="1"/>
  <c r="U175" i="1"/>
  <c r="V175" i="1" s="1"/>
  <c r="U189" i="1"/>
  <c r="V189" i="1" s="1"/>
  <c r="R175" i="1"/>
  <c r="P175" i="1" s="1"/>
  <c r="S175" i="1" s="1"/>
  <c r="M175" i="1" s="1"/>
  <c r="N175" i="1" s="1"/>
  <c r="AB175" i="1"/>
  <c r="U161" i="1"/>
  <c r="V161" i="1" s="1"/>
  <c r="AB166" i="1"/>
  <c r="AB140" i="1"/>
  <c r="R140" i="1"/>
  <c r="P140" i="1" s="1"/>
  <c r="S140" i="1" s="1"/>
  <c r="M140" i="1" s="1"/>
  <c r="N140" i="1" s="1"/>
  <c r="U126" i="1"/>
  <c r="V126" i="1" s="1"/>
  <c r="R126" i="1" s="1"/>
  <c r="P126" i="1" s="1"/>
  <c r="S126" i="1" s="1"/>
  <c r="M126" i="1" s="1"/>
  <c r="N126" i="1" s="1"/>
  <c r="AB122" i="1"/>
  <c r="R122" i="1"/>
  <c r="P122" i="1" s="1"/>
  <c r="S122" i="1" s="1"/>
  <c r="M122" i="1" s="1"/>
  <c r="N122" i="1" s="1"/>
  <c r="W157" i="1"/>
  <c r="AA157" i="1" s="1"/>
  <c r="AD157" i="1"/>
  <c r="AC157" i="1"/>
  <c r="AB119" i="1"/>
  <c r="U98" i="1"/>
  <c r="V98" i="1" s="1"/>
  <c r="AB136" i="1"/>
  <c r="U100" i="1"/>
  <c r="V100" i="1" s="1"/>
  <c r="U62" i="1"/>
  <c r="V62" i="1" s="1"/>
  <c r="U84" i="1"/>
  <c r="V84" i="1" s="1"/>
  <c r="U60" i="1"/>
  <c r="V60" i="1" s="1"/>
  <c r="U97" i="1"/>
  <c r="V97" i="1" s="1"/>
  <c r="W86" i="1"/>
  <c r="AA86" i="1" s="1"/>
  <c r="AD86" i="1"/>
  <c r="AC86" i="1"/>
  <c r="U53" i="1"/>
  <c r="V53" i="1" s="1"/>
  <c r="U21" i="1"/>
  <c r="V21" i="1" s="1"/>
  <c r="U26" i="1"/>
  <c r="V26" i="1" s="1"/>
  <c r="M137" i="1"/>
  <c r="N137" i="1" s="1"/>
  <c r="AB54" i="1"/>
  <c r="AB38" i="1"/>
  <c r="AB22" i="1"/>
  <c r="U85" i="1"/>
  <c r="V85" i="1" s="1"/>
  <c r="U69" i="1"/>
  <c r="V69" i="1" s="1"/>
  <c r="U40" i="1"/>
  <c r="V40" i="1" s="1"/>
  <c r="AB36" i="1"/>
  <c r="AB39" i="1"/>
  <c r="AB31" i="1"/>
  <c r="W200" i="1"/>
  <c r="AA200" i="1" s="1"/>
  <c r="AD200" i="1"/>
  <c r="U123" i="1"/>
  <c r="V123" i="1" s="1"/>
  <c r="U66" i="1"/>
  <c r="V66" i="1" s="1"/>
  <c r="AB104" i="1"/>
  <c r="R104" i="1"/>
  <c r="P104" i="1" s="1"/>
  <c r="S104" i="1" s="1"/>
  <c r="M104" i="1" s="1"/>
  <c r="N104" i="1" s="1"/>
  <c r="AB61" i="1"/>
  <c r="U23" i="1"/>
  <c r="V23" i="1" s="1"/>
  <c r="U217" i="1"/>
  <c r="V217" i="1" s="1"/>
  <c r="AB221" i="1"/>
  <c r="AB201" i="1"/>
  <c r="R188" i="1"/>
  <c r="P188" i="1" s="1"/>
  <c r="S188" i="1" s="1"/>
  <c r="M188" i="1" s="1"/>
  <c r="N188" i="1" s="1"/>
  <c r="AB188" i="1"/>
  <c r="AB202" i="1"/>
  <c r="U190" i="1"/>
  <c r="V190" i="1" s="1"/>
  <c r="R212" i="1"/>
  <c r="P212" i="1" s="1"/>
  <c r="S212" i="1" s="1"/>
  <c r="M212" i="1" s="1"/>
  <c r="N212" i="1" s="1"/>
  <c r="AB212" i="1"/>
  <c r="U181" i="1"/>
  <c r="V181" i="1" s="1"/>
  <c r="AB191" i="1"/>
  <c r="R191" i="1"/>
  <c r="P191" i="1" s="1"/>
  <c r="S191" i="1" s="1"/>
  <c r="M191" i="1" s="1"/>
  <c r="N191" i="1" s="1"/>
  <c r="AB169" i="1"/>
  <c r="AB174" i="1"/>
  <c r="W172" i="1"/>
  <c r="AA172" i="1" s="1"/>
  <c r="AD172" i="1"/>
  <c r="AC172" i="1"/>
  <c r="W183" i="1"/>
  <c r="AA183" i="1" s="1"/>
  <c r="AD183" i="1"/>
  <c r="AC183" i="1"/>
  <c r="AB176" i="1"/>
  <c r="R176" i="1"/>
  <c r="P176" i="1" s="1"/>
  <c r="S176" i="1" s="1"/>
  <c r="M176" i="1" s="1"/>
  <c r="N176" i="1" s="1"/>
  <c r="U168" i="1"/>
  <c r="V168" i="1" s="1"/>
  <c r="AB168" i="1"/>
  <c r="AB161" i="1"/>
  <c r="U148" i="1"/>
  <c r="V148" i="1" s="1"/>
  <c r="U144" i="1"/>
  <c r="V144" i="1" s="1"/>
  <c r="U160" i="1"/>
  <c r="V160" i="1" s="1"/>
  <c r="AB160" i="1"/>
  <c r="AB141" i="1"/>
  <c r="U141" i="1"/>
  <c r="V141" i="1" s="1"/>
  <c r="U119" i="1"/>
  <c r="V119" i="1" s="1"/>
  <c r="AB144" i="1"/>
  <c r="R144" i="1"/>
  <c r="P144" i="1" s="1"/>
  <c r="S144" i="1" s="1"/>
  <c r="M144" i="1" s="1"/>
  <c r="N144" i="1" s="1"/>
  <c r="AB145" i="1"/>
  <c r="U145" i="1"/>
  <c r="V145" i="1" s="1"/>
  <c r="R145" i="1"/>
  <c r="P145" i="1" s="1"/>
  <c r="S145" i="1" s="1"/>
  <c r="M145" i="1" s="1"/>
  <c r="N145" i="1" s="1"/>
  <c r="U118" i="1"/>
  <c r="V118" i="1" s="1"/>
  <c r="U114" i="1"/>
  <c r="V114" i="1" s="1"/>
  <c r="U96" i="1"/>
  <c r="V96" i="1" s="1"/>
  <c r="AD120" i="1"/>
  <c r="W120" i="1"/>
  <c r="AA120" i="1" s="1"/>
  <c r="AB110" i="1"/>
  <c r="R99" i="1"/>
  <c r="P99" i="1" s="1"/>
  <c r="S99" i="1" s="1"/>
  <c r="M99" i="1" s="1"/>
  <c r="N99" i="1" s="1"/>
  <c r="AB83" i="1"/>
  <c r="R83" i="1"/>
  <c r="P83" i="1" s="1"/>
  <c r="S83" i="1" s="1"/>
  <c r="M83" i="1" s="1"/>
  <c r="N83" i="1" s="1"/>
  <c r="AB80" i="1"/>
  <c r="U49" i="1"/>
  <c r="V49" i="1" s="1"/>
  <c r="U17" i="1"/>
  <c r="V17" i="1" s="1"/>
  <c r="AB84" i="1"/>
  <c r="R84" i="1"/>
  <c r="P84" i="1" s="1"/>
  <c r="S84" i="1" s="1"/>
  <c r="M84" i="1" s="1"/>
  <c r="N84" i="1" s="1"/>
  <c r="U54" i="1"/>
  <c r="V54" i="1" s="1"/>
  <c r="R54" i="1" s="1"/>
  <c r="P54" i="1" s="1"/>
  <c r="S54" i="1" s="1"/>
  <c r="M54" i="1" s="1"/>
  <c r="N54" i="1" s="1"/>
  <c r="U22" i="1"/>
  <c r="V22" i="1" s="1"/>
  <c r="R22" i="1" s="1"/>
  <c r="P22" i="1" s="1"/>
  <c r="S22" i="1" s="1"/>
  <c r="M22" i="1" s="1"/>
  <c r="N22" i="1" s="1"/>
  <c r="AB64" i="1"/>
  <c r="AD137" i="1"/>
  <c r="AE137" i="1" s="1"/>
  <c r="W137" i="1"/>
  <c r="AA137" i="1" s="1"/>
  <c r="U51" i="1"/>
  <c r="V51" i="1" s="1"/>
  <c r="U35" i="1"/>
  <c r="V35" i="1" s="1"/>
  <c r="R35" i="1" s="1"/>
  <c r="P35" i="1" s="1"/>
  <c r="S35" i="1" s="1"/>
  <c r="M35" i="1" s="1"/>
  <c r="N35" i="1" s="1"/>
  <c r="U19" i="1"/>
  <c r="V19" i="1" s="1"/>
  <c r="U61" i="1"/>
  <c r="V61" i="1" s="1"/>
  <c r="U65" i="1"/>
  <c r="V65" i="1" s="1"/>
  <c r="U36" i="1"/>
  <c r="V36" i="1" s="1"/>
  <c r="R36" i="1" s="1"/>
  <c r="P36" i="1" s="1"/>
  <c r="S36" i="1" s="1"/>
  <c r="M36" i="1" s="1"/>
  <c r="N36" i="1" s="1"/>
  <c r="AC57" i="1"/>
  <c r="AB195" i="1"/>
  <c r="U30" i="1"/>
  <c r="V30" i="1" s="1"/>
  <c r="U213" i="1"/>
  <c r="V213" i="1" s="1"/>
  <c r="U218" i="1"/>
  <c r="V218" i="1" s="1"/>
  <c r="R208" i="1"/>
  <c r="P208" i="1" s="1"/>
  <c r="S208" i="1" s="1"/>
  <c r="M208" i="1" s="1"/>
  <c r="N208" i="1" s="1"/>
  <c r="AB208" i="1"/>
  <c r="U201" i="1"/>
  <c r="V201" i="1" s="1"/>
  <c r="R201" i="1" s="1"/>
  <c r="P201" i="1" s="1"/>
  <c r="S201" i="1" s="1"/>
  <c r="M201" i="1" s="1"/>
  <c r="N201" i="1" s="1"/>
  <c r="AB214" i="1"/>
  <c r="AC200" i="1"/>
  <c r="U178" i="1"/>
  <c r="V178" i="1" s="1"/>
  <c r="U166" i="1"/>
  <c r="V166" i="1" s="1"/>
  <c r="AB186" i="1"/>
  <c r="R186" i="1"/>
  <c r="P186" i="1" s="1"/>
  <c r="S186" i="1" s="1"/>
  <c r="M186" i="1" s="1"/>
  <c r="N186" i="1" s="1"/>
  <c r="U195" i="1"/>
  <c r="V195" i="1" s="1"/>
  <c r="R195" i="1" s="1"/>
  <c r="P195" i="1" s="1"/>
  <c r="S195" i="1" s="1"/>
  <c r="M195" i="1" s="1"/>
  <c r="N195" i="1" s="1"/>
  <c r="U171" i="1"/>
  <c r="V171" i="1" s="1"/>
  <c r="R171" i="1" s="1"/>
  <c r="P171" i="1" s="1"/>
  <c r="S171" i="1" s="1"/>
  <c r="M171" i="1" s="1"/>
  <c r="N171" i="1" s="1"/>
  <c r="U163" i="1"/>
  <c r="V163" i="1" s="1"/>
  <c r="W155" i="1"/>
  <c r="AA155" i="1" s="1"/>
  <c r="AD155" i="1"/>
  <c r="AE155" i="1" s="1"/>
  <c r="W158" i="1"/>
  <c r="AA158" i="1" s="1"/>
  <c r="AD158" i="1"/>
  <c r="AE158" i="1" s="1"/>
  <c r="W143" i="1"/>
  <c r="AA143" i="1" s="1"/>
  <c r="AD143" i="1"/>
  <c r="AE143" i="1" s="1"/>
  <c r="W139" i="1"/>
  <c r="AA139" i="1" s="1"/>
  <c r="AD139" i="1"/>
  <c r="AB125" i="1"/>
  <c r="R125" i="1"/>
  <c r="P125" i="1" s="1"/>
  <c r="S125" i="1" s="1"/>
  <c r="M125" i="1" s="1"/>
  <c r="N125" i="1" s="1"/>
  <c r="AC159" i="1"/>
  <c r="W134" i="1"/>
  <c r="AA134" i="1" s="1"/>
  <c r="AD134" i="1"/>
  <c r="AE134" i="1" s="1"/>
  <c r="AC139" i="1"/>
  <c r="AC120" i="1"/>
  <c r="AB114" i="1"/>
  <c r="R114" i="1"/>
  <c r="P114" i="1" s="1"/>
  <c r="S114" i="1" s="1"/>
  <c r="M114" i="1" s="1"/>
  <c r="N114" i="1" s="1"/>
  <c r="AC99" i="1"/>
  <c r="U80" i="1"/>
  <c r="V80" i="1" s="1"/>
  <c r="U73" i="1"/>
  <c r="V73" i="1" s="1"/>
  <c r="U45" i="1"/>
  <c r="V45" i="1" s="1"/>
  <c r="U50" i="1"/>
  <c r="V50" i="1" s="1"/>
  <c r="R50" i="1" s="1"/>
  <c r="P50" i="1" s="1"/>
  <c r="S50" i="1" s="1"/>
  <c r="M50" i="1" s="1"/>
  <c r="N50" i="1" s="1"/>
  <c r="U18" i="1"/>
  <c r="V18" i="1" s="1"/>
  <c r="AB68" i="1"/>
  <c r="AB50" i="1"/>
  <c r="AB34" i="1"/>
  <c r="R34" i="1"/>
  <c r="P34" i="1" s="1"/>
  <c r="S34" i="1" s="1"/>
  <c r="M34" i="1" s="1"/>
  <c r="N34" i="1" s="1"/>
  <c r="AB18" i="1"/>
  <c r="R18" i="1"/>
  <c r="P18" i="1" s="1"/>
  <c r="S18" i="1" s="1"/>
  <c r="M18" i="1" s="1"/>
  <c r="N18" i="1" s="1"/>
  <c r="AD67" i="1"/>
  <c r="AE67" i="1" s="1"/>
  <c r="AC67" i="1"/>
  <c r="W67" i="1"/>
  <c r="AA67" i="1" s="1"/>
  <c r="U58" i="1"/>
  <c r="V58" i="1" s="1"/>
  <c r="U32" i="1"/>
  <c r="V32" i="1" s="1"/>
  <c r="AB23" i="1"/>
  <c r="R23" i="1"/>
  <c r="P23" i="1" s="1"/>
  <c r="S23" i="1" s="1"/>
  <c r="M23" i="1" s="1"/>
  <c r="N23" i="1" s="1"/>
  <c r="AB27" i="1"/>
  <c r="AB28" i="1"/>
  <c r="AB19" i="1"/>
  <c r="R19" i="1"/>
  <c r="P19" i="1" s="1"/>
  <c r="S19" i="1" s="1"/>
  <c r="M19" i="1" s="1"/>
  <c r="N19" i="1" s="1"/>
  <c r="U121" i="1"/>
  <c r="V121" i="1" s="1"/>
  <c r="AB171" i="1"/>
  <c r="U102" i="1"/>
  <c r="V102" i="1" s="1"/>
  <c r="AB56" i="1"/>
  <c r="R123" i="1"/>
  <c r="P123" i="1" s="1"/>
  <c r="S123" i="1" s="1"/>
  <c r="M123" i="1" s="1"/>
  <c r="N123" i="1" s="1"/>
  <c r="AB123" i="1"/>
  <c r="AD59" i="1"/>
  <c r="W59" i="1"/>
  <c r="AA59" i="1" s="1"/>
  <c r="AC59" i="1"/>
  <c r="U209" i="1"/>
  <c r="V209" i="1" s="1"/>
  <c r="AB217" i="1"/>
  <c r="R217" i="1"/>
  <c r="P217" i="1" s="1"/>
  <c r="S217" i="1" s="1"/>
  <c r="M217" i="1" s="1"/>
  <c r="N217" i="1" s="1"/>
  <c r="U223" i="1"/>
  <c r="V223" i="1" s="1"/>
  <c r="AB210" i="1"/>
  <c r="R210" i="1"/>
  <c r="P210" i="1" s="1"/>
  <c r="S210" i="1" s="1"/>
  <c r="M210" i="1" s="1"/>
  <c r="N210" i="1" s="1"/>
  <c r="U203" i="1"/>
  <c r="V203" i="1" s="1"/>
  <c r="R220" i="1"/>
  <c r="P220" i="1" s="1"/>
  <c r="S220" i="1" s="1"/>
  <c r="M220" i="1" s="1"/>
  <c r="N220" i="1" s="1"/>
  <c r="AB220" i="1"/>
  <c r="U207" i="1"/>
  <c r="V207" i="1" s="1"/>
  <c r="W198" i="1"/>
  <c r="AA198" i="1" s="1"/>
  <c r="AD198" i="1"/>
  <c r="R200" i="1"/>
  <c r="P200" i="1" s="1"/>
  <c r="S200" i="1" s="1"/>
  <c r="M200" i="1" s="1"/>
  <c r="N200" i="1" s="1"/>
  <c r="U177" i="1"/>
  <c r="V177" i="1" s="1"/>
  <c r="R177" i="1" s="1"/>
  <c r="P177" i="1" s="1"/>
  <c r="S177" i="1" s="1"/>
  <c r="M177" i="1" s="1"/>
  <c r="N177" i="1" s="1"/>
  <c r="AB165" i="1"/>
  <c r="R165" i="1"/>
  <c r="P165" i="1" s="1"/>
  <c r="S165" i="1" s="1"/>
  <c r="M165" i="1" s="1"/>
  <c r="N165" i="1" s="1"/>
  <c r="W179" i="1"/>
  <c r="AA179" i="1" s="1"/>
  <c r="AD179" i="1"/>
  <c r="AC179" i="1"/>
  <c r="AB181" i="1"/>
  <c r="R181" i="1"/>
  <c r="P181" i="1" s="1"/>
  <c r="S181" i="1" s="1"/>
  <c r="M181" i="1" s="1"/>
  <c r="N181" i="1" s="1"/>
  <c r="U156" i="1"/>
  <c r="V156" i="1" s="1"/>
  <c r="AB156" i="1"/>
  <c r="R156" i="1"/>
  <c r="P156" i="1" s="1"/>
  <c r="S156" i="1" s="1"/>
  <c r="M156" i="1" s="1"/>
  <c r="N156" i="1" s="1"/>
  <c r="U131" i="1"/>
  <c r="V131" i="1" s="1"/>
  <c r="R116" i="1"/>
  <c r="P116" i="1" s="1"/>
  <c r="S116" i="1" s="1"/>
  <c r="M116" i="1" s="1"/>
  <c r="N116" i="1" s="1"/>
  <c r="AB116" i="1"/>
  <c r="AB113" i="1"/>
  <c r="U90" i="1"/>
  <c r="V90" i="1" s="1"/>
  <c r="AB111" i="1"/>
  <c r="R111" i="1"/>
  <c r="P111" i="1" s="1"/>
  <c r="S111" i="1" s="1"/>
  <c r="M111" i="1" s="1"/>
  <c r="N111" i="1" s="1"/>
  <c r="U109" i="1"/>
  <c r="V109" i="1" s="1"/>
  <c r="U92" i="1"/>
  <c r="V92" i="1" s="1"/>
  <c r="AB79" i="1"/>
  <c r="R79" i="1"/>
  <c r="P79" i="1" s="1"/>
  <c r="S79" i="1" s="1"/>
  <c r="M79" i="1" s="1"/>
  <c r="N79" i="1" s="1"/>
  <c r="U101" i="1"/>
  <c r="V101" i="1" s="1"/>
  <c r="AB108" i="1"/>
  <c r="R108" i="1"/>
  <c r="P108" i="1" s="1"/>
  <c r="S108" i="1" s="1"/>
  <c r="M108" i="1" s="1"/>
  <c r="N108" i="1" s="1"/>
  <c r="U41" i="1"/>
  <c r="V41" i="1" s="1"/>
  <c r="U77" i="1"/>
  <c r="V77" i="1" s="1"/>
  <c r="U46" i="1"/>
  <c r="V46" i="1" s="1"/>
  <c r="AD93" i="1"/>
  <c r="AE93" i="1" s="1"/>
  <c r="W93" i="1"/>
  <c r="AA93" i="1" s="1"/>
  <c r="AC93" i="1"/>
  <c r="U83" i="1"/>
  <c r="V83" i="1" s="1"/>
  <c r="U47" i="1"/>
  <c r="V47" i="1" s="1"/>
  <c r="U31" i="1"/>
  <c r="V31" i="1" s="1"/>
  <c r="AB124" i="1"/>
  <c r="R124" i="1"/>
  <c r="P124" i="1" s="1"/>
  <c r="S124" i="1" s="1"/>
  <c r="M124" i="1" s="1"/>
  <c r="N124" i="1" s="1"/>
  <c r="AE71" i="1"/>
  <c r="U28" i="1"/>
  <c r="V28" i="1" s="1"/>
  <c r="R28" i="1" s="1"/>
  <c r="P28" i="1" s="1"/>
  <c r="S28" i="1" s="1"/>
  <c r="M28" i="1" s="1"/>
  <c r="N28" i="1" s="1"/>
  <c r="AB35" i="1"/>
  <c r="AB43" i="1"/>
  <c r="R43" i="1"/>
  <c r="P43" i="1" s="1"/>
  <c r="S43" i="1" s="1"/>
  <c r="M43" i="1" s="1"/>
  <c r="N43" i="1" s="1"/>
  <c r="AB17" i="1"/>
  <c r="R17" i="1"/>
  <c r="P17" i="1" s="1"/>
  <c r="S17" i="1" s="1"/>
  <c r="M17" i="1" s="1"/>
  <c r="N17" i="1" s="1"/>
  <c r="AB209" i="1"/>
  <c r="R209" i="1"/>
  <c r="P209" i="1" s="1"/>
  <c r="S209" i="1" s="1"/>
  <c r="M209" i="1" s="1"/>
  <c r="N209" i="1" s="1"/>
  <c r="U193" i="1"/>
  <c r="V193" i="1" s="1"/>
  <c r="U194" i="1"/>
  <c r="V194" i="1" s="1"/>
  <c r="AB194" i="1"/>
  <c r="R194" i="1"/>
  <c r="P194" i="1" s="1"/>
  <c r="S194" i="1" s="1"/>
  <c r="M194" i="1" s="1"/>
  <c r="N194" i="1" s="1"/>
  <c r="W176" i="1"/>
  <c r="AA176" i="1" s="1"/>
  <c r="AD176" i="1"/>
  <c r="AC176" i="1"/>
  <c r="AB129" i="1"/>
  <c r="AB103" i="1"/>
  <c r="R103" i="1"/>
  <c r="P103" i="1" s="1"/>
  <c r="S103" i="1" s="1"/>
  <c r="M103" i="1" s="1"/>
  <c r="N103" i="1" s="1"/>
  <c r="U94" i="1"/>
  <c r="V94" i="1" s="1"/>
  <c r="U64" i="1"/>
  <c r="V64" i="1" s="1"/>
  <c r="R64" i="1" s="1"/>
  <c r="P64" i="1" s="1"/>
  <c r="S64" i="1" s="1"/>
  <c r="M64" i="1" s="1"/>
  <c r="N64" i="1" s="1"/>
  <c r="AB78" i="1"/>
  <c r="AB82" i="1"/>
  <c r="R82" i="1"/>
  <c r="P82" i="1" s="1"/>
  <c r="S82" i="1" s="1"/>
  <c r="M82" i="1" s="1"/>
  <c r="N82" i="1" s="1"/>
  <c r="U55" i="1"/>
  <c r="V55" i="1" s="1"/>
  <c r="U44" i="1"/>
  <c r="V44" i="1" s="1"/>
  <c r="R44" i="1" s="1"/>
  <c r="P44" i="1" s="1"/>
  <c r="S44" i="1" s="1"/>
  <c r="M44" i="1" s="1"/>
  <c r="N44" i="1" s="1"/>
  <c r="U205" i="1"/>
  <c r="V205" i="1" s="1"/>
  <c r="U214" i="1"/>
  <c r="V214" i="1" s="1"/>
  <c r="U219" i="1"/>
  <c r="V219" i="1" s="1"/>
  <c r="AB223" i="1"/>
  <c r="R223" i="1"/>
  <c r="P223" i="1" s="1"/>
  <c r="S223" i="1" s="1"/>
  <c r="M223" i="1" s="1"/>
  <c r="N223" i="1" s="1"/>
  <c r="AB216" i="1"/>
  <c r="AB226" i="1"/>
  <c r="R226" i="1"/>
  <c r="P226" i="1" s="1"/>
  <c r="S226" i="1" s="1"/>
  <c r="M226" i="1" s="1"/>
  <c r="N226" i="1" s="1"/>
  <c r="M182" i="1"/>
  <c r="N182" i="1" s="1"/>
  <c r="AB189" i="1"/>
  <c r="R189" i="1"/>
  <c r="P189" i="1" s="1"/>
  <c r="S189" i="1" s="1"/>
  <c r="M189" i="1" s="1"/>
  <c r="N189" i="1" s="1"/>
  <c r="U173" i="1"/>
  <c r="V173" i="1" s="1"/>
  <c r="R173" i="1" s="1"/>
  <c r="P173" i="1" s="1"/>
  <c r="S173" i="1" s="1"/>
  <c r="M173" i="1" s="1"/>
  <c r="N173" i="1" s="1"/>
  <c r="AB177" i="1"/>
  <c r="W182" i="1"/>
  <c r="AA182" i="1" s="1"/>
  <c r="AD182" i="1"/>
  <c r="AE182" i="1" s="1"/>
  <c r="AC182" i="1"/>
  <c r="U192" i="1"/>
  <c r="V192" i="1" s="1"/>
  <c r="U152" i="1"/>
  <c r="V152" i="1" s="1"/>
  <c r="U167" i="1"/>
  <c r="V167" i="1" s="1"/>
  <c r="U133" i="1"/>
  <c r="V133" i="1" s="1"/>
  <c r="R133" i="1" s="1"/>
  <c r="P133" i="1" s="1"/>
  <c r="S133" i="1" s="1"/>
  <c r="M133" i="1" s="1"/>
  <c r="N133" i="1" s="1"/>
  <c r="AB133" i="1"/>
  <c r="AB121" i="1"/>
  <c r="R121" i="1"/>
  <c r="P121" i="1" s="1"/>
  <c r="S121" i="1" s="1"/>
  <c r="M121" i="1" s="1"/>
  <c r="N121" i="1" s="1"/>
  <c r="R154" i="1"/>
  <c r="P154" i="1" s="1"/>
  <c r="S154" i="1" s="1"/>
  <c r="M154" i="1" s="1"/>
  <c r="N154" i="1" s="1"/>
  <c r="AB154" i="1"/>
  <c r="AB172" i="1"/>
  <c r="R172" i="1"/>
  <c r="P172" i="1" s="1"/>
  <c r="S172" i="1" s="1"/>
  <c r="M172" i="1" s="1"/>
  <c r="N172" i="1" s="1"/>
  <c r="W150" i="1"/>
  <c r="AA150" i="1" s="1"/>
  <c r="AD150" i="1"/>
  <c r="AE150" i="1" s="1"/>
  <c r="AB130" i="1"/>
  <c r="R130" i="1"/>
  <c r="P130" i="1" s="1"/>
  <c r="S130" i="1" s="1"/>
  <c r="M130" i="1" s="1"/>
  <c r="N130" i="1" s="1"/>
  <c r="U136" i="1"/>
  <c r="V136" i="1" s="1"/>
  <c r="W138" i="1"/>
  <c r="AA138" i="1" s="1"/>
  <c r="AD138" i="1"/>
  <c r="AE138" i="1" s="1"/>
  <c r="U108" i="1"/>
  <c r="V108" i="1" s="1"/>
  <c r="AD107" i="1"/>
  <c r="W107" i="1"/>
  <c r="AA107" i="1" s="1"/>
  <c r="U78" i="1"/>
  <c r="V78" i="1" s="1"/>
  <c r="AC107" i="1"/>
  <c r="AB120" i="1"/>
  <c r="R120" i="1"/>
  <c r="P120" i="1" s="1"/>
  <c r="S120" i="1" s="1"/>
  <c r="M120" i="1" s="1"/>
  <c r="N120" i="1" s="1"/>
  <c r="U76" i="1"/>
  <c r="V76" i="1" s="1"/>
  <c r="U37" i="1"/>
  <c r="V37" i="1" s="1"/>
  <c r="R150" i="1"/>
  <c r="P150" i="1" s="1"/>
  <c r="S150" i="1" s="1"/>
  <c r="M150" i="1" s="1"/>
  <c r="N150" i="1" s="1"/>
  <c r="AB74" i="1"/>
  <c r="U42" i="1"/>
  <c r="V42" i="1" s="1"/>
  <c r="U81" i="1"/>
  <c r="V81" i="1" s="1"/>
  <c r="AE75" i="1"/>
  <c r="AB46" i="1"/>
  <c r="R46" i="1"/>
  <c r="P46" i="1" s="1"/>
  <c r="S46" i="1" s="1"/>
  <c r="M46" i="1" s="1"/>
  <c r="N46" i="1" s="1"/>
  <c r="AB30" i="1"/>
  <c r="R30" i="1"/>
  <c r="P30" i="1" s="1"/>
  <c r="S30" i="1" s="1"/>
  <c r="M30" i="1" s="1"/>
  <c r="N30" i="1" s="1"/>
  <c r="AB106" i="1"/>
  <c r="R106" i="1"/>
  <c r="P106" i="1" s="1"/>
  <c r="S106" i="1" s="1"/>
  <c r="M106" i="1" s="1"/>
  <c r="N106" i="1" s="1"/>
  <c r="R97" i="1"/>
  <c r="P97" i="1" s="1"/>
  <c r="S97" i="1" s="1"/>
  <c r="M97" i="1" s="1"/>
  <c r="N97" i="1" s="1"/>
  <c r="AB97" i="1"/>
  <c r="U56" i="1"/>
  <c r="V56" i="1" s="1"/>
  <c r="U24" i="1"/>
  <c r="V24" i="1" s="1"/>
  <c r="AD57" i="1"/>
  <c r="AE57" i="1" s="1"/>
  <c r="W57" i="1"/>
  <c r="AA57" i="1" s="1"/>
  <c r="AB51" i="1"/>
  <c r="R51" i="1"/>
  <c r="P51" i="1" s="1"/>
  <c r="S51" i="1" s="1"/>
  <c r="M51" i="1" s="1"/>
  <c r="N51" i="1" s="1"/>
  <c r="AB52" i="1"/>
  <c r="AB225" i="1"/>
  <c r="R225" i="1"/>
  <c r="P225" i="1" s="1"/>
  <c r="S225" i="1" s="1"/>
  <c r="M225" i="1" s="1"/>
  <c r="N225" i="1" s="1"/>
  <c r="U202" i="1"/>
  <c r="V202" i="1" s="1"/>
  <c r="AB173" i="1"/>
  <c r="AB178" i="1"/>
  <c r="R178" i="1"/>
  <c r="P178" i="1" s="1"/>
  <c r="S178" i="1" s="1"/>
  <c r="M178" i="1" s="1"/>
  <c r="N178" i="1" s="1"/>
  <c r="W132" i="1"/>
  <c r="AA132" i="1" s="1"/>
  <c r="AD132" i="1"/>
  <c r="AE132" i="1" s="1"/>
  <c r="AC132" i="1"/>
  <c r="U115" i="1"/>
  <c r="V115" i="1" s="1"/>
  <c r="R115" i="1" s="1"/>
  <c r="P115" i="1" s="1"/>
  <c r="S115" i="1" s="1"/>
  <c r="M115" i="1" s="1"/>
  <c r="N115" i="1" s="1"/>
  <c r="U117" i="1"/>
  <c r="V117" i="1" s="1"/>
  <c r="AD91" i="1"/>
  <c r="AE91" i="1" s="1"/>
  <c r="W91" i="1"/>
  <c r="AA91" i="1" s="1"/>
  <c r="AC91" i="1"/>
  <c r="AB88" i="1"/>
  <c r="R88" i="1"/>
  <c r="P88" i="1" s="1"/>
  <c r="S88" i="1" s="1"/>
  <c r="M88" i="1" s="1"/>
  <c r="N88" i="1" s="1"/>
  <c r="U39" i="1"/>
  <c r="V39" i="1" s="1"/>
  <c r="AB213" i="1"/>
  <c r="R213" i="1"/>
  <c r="P213" i="1" s="1"/>
  <c r="S213" i="1" s="1"/>
  <c r="M213" i="1" s="1"/>
  <c r="N213" i="1" s="1"/>
  <c r="U215" i="1"/>
  <c r="V215" i="1" s="1"/>
  <c r="R215" i="1" s="1"/>
  <c r="P215" i="1" s="1"/>
  <c r="S215" i="1" s="1"/>
  <c r="M215" i="1" s="1"/>
  <c r="N215" i="1" s="1"/>
  <c r="U197" i="1"/>
  <c r="V197" i="1" s="1"/>
  <c r="R197" i="1" s="1"/>
  <c r="P197" i="1" s="1"/>
  <c r="S197" i="1" s="1"/>
  <c r="M197" i="1" s="1"/>
  <c r="N197" i="1" s="1"/>
  <c r="AB215" i="1"/>
  <c r="AB222" i="1"/>
  <c r="R222" i="1"/>
  <c r="P222" i="1" s="1"/>
  <c r="S222" i="1" s="1"/>
  <c r="M222" i="1" s="1"/>
  <c r="N222" i="1" s="1"/>
  <c r="U216" i="1"/>
  <c r="V216" i="1" s="1"/>
  <c r="R216" i="1" s="1"/>
  <c r="P216" i="1" s="1"/>
  <c r="S216" i="1" s="1"/>
  <c r="M216" i="1" s="1"/>
  <c r="N216" i="1" s="1"/>
  <c r="U206" i="1"/>
  <c r="V206" i="1" s="1"/>
  <c r="R206" i="1" s="1"/>
  <c r="P206" i="1" s="1"/>
  <c r="S206" i="1" s="1"/>
  <c r="M206" i="1" s="1"/>
  <c r="N206" i="1" s="1"/>
  <c r="AC198" i="1"/>
  <c r="AB187" i="1"/>
  <c r="R187" i="1"/>
  <c r="P187" i="1" s="1"/>
  <c r="S187" i="1" s="1"/>
  <c r="M187" i="1" s="1"/>
  <c r="N187" i="1" s="1"/>
  <c r="U169" i="1"/>
  <c r="V169" i="1" s="1"/>
  <c r="U174" i="1"/>
  <c r="V174" i="1" s="1"/>
  <c r="R174" i="1" s="1"/>
  <c r="P174" i="1" s="1"/>
  <c r="S174" i="1" s="1"/>
  <c r="M174" i="1" s="1"/>
  <c r="N174" i="1" s="1"/>
  <c r="U184" i="1"/>
  <c r="V184" i="1" s="1"/>
  <c r="R184" i="1" s="1"/>
  <c r="P184" i="1" s="1"/>
  <c r="S184" i="1" s="1"/>
  <c r="M184" i="1" s="1"/>
  <c r="N184" i="1" s="1"/>
  <c r="R199" i="1"/>
  <c r="P199" i="1" s="1"/>
  <c r="S199" i="1" s="1"/>
  <c r="M199" i="1" s="1"/>
  <c r="N199" i="1" s="1"/>
  <c r="U180" i="1"/>
  <c r="V180" i="1" s="1"/>
  <c r="R180" i="1" s="1"/>
  <c r="P180" i="1" s="1"/>
  <c r="S180" i="1" s="1"/>
  <c r="M180" i="1" s="1"/>
  <c r="N180" i="1" s="1"/>
  <c r="U151" i="1"/>
  <c r="V151" i="1" s="1"/>
  <c r="R179" i="1"/>
  <c r="P179" i="1" s="1"/>
  <c r="S179" i="1" s="1"/>
  <c r="M179" i="1" s="1"/>
  <c r="N179" i="1" s="1"/>
  <c r="U146" i="1"/>
  <c r="V146" i="1" s="1"/>
  <c r="R146" i="1" s="1"/>
  <c r="P146" i="1" s="1"/>
  <c r="S146" i="1" s="1"/>
  <c r="M146" i="1" s="1"/>
  <c r="N146" i="1" s="1"/>
  <c r="U129" i="1"/>
  <c r="V129" i="1" s="1"/>
  <c r="R129" i="1" s="1"/>
  <c r="P129" i="1" s="1"/>
  <c r="S129" i="1" s="1"/>
  <c r="M129" i="1" s="1"/>
  <c r="N129" i="1" s="1"/>
  <c r="R135" i="1"/>
  <c r="P135" i="1" s="1"/>
  <c r="S135" i="1" s="1"/>
  <c r="M135" i="1" s="1"/>
  <c r="N135" i="1" s="1"/>
  <c r="AB135" i="1"/>
  <c r="U130" i="1"/>
  <c r="V130" i="1" s="1"/>
  <c r="AB117" i="1"/>
  <c r="R117" i="1"/>
  <c r="P117" i="1" s="1"/>
  <c r="S117" i="1" s="1"/>
  <c r="M117" i="1" s="1"/>
  <c r="N117" i="1" s="1"/>
  <c r="U153" i="1"/>
  <c r="V153" i="1" s="1"/>
  <c r="AB153" i="1"/>
  <c r="R153" i="1"/>
  <c r="P153" i="1" s="1"/>
  <c r="S153" i="1" s="1"/>
  <c r="M153" i="1" s="1"/>
  <c r="N153" i="1" s="1"/>
  <c r="AD142" i="1"/>
  <c r="AE142" i="1" s="1"/>
  <c r="W142" i="1"/>
  <c r="AA142" i="1" s="1"/>
  <c r="U127" i="1"/>
  <c r="V127" i="1" s="1"/>
  <c r="R127" i="1" s="1"/>
  <c r="P127" i="1" s="1"/>
  <c r="S127" i="1" s="1"/>
  <c r="M127" i="1" s="1"/>
  <c r="N127" i="1" s="1"/>
  <c r="W147" i="1"/>
  <c r="AA147" i="1" s="1"/>
  <c r="AD147" i="1"/>
  <c r="AE147" i="1" s="1"/>
  <c r="U110" i="1"/>
  <c r="V110" i="1" s="1"/>
  <c r="R110" i="1" s="1"/>
  <c r="P110" i="1" s="1"/>
  <c r="S110" i="1" s="1"/>
  <c r="M110" i="1" s="1"/>
  <c r="N110" i="1" s="1"/>
  <c r="AB115" i="1"/>
  <c r="AB127" i="1"/>
  <c r="U135" i="1"/>
  <c r="V135" i="1" s="1"/>
  <c r="AB107" i="1"/>
  <c r="R107" i="1"/>
  <c r="P107" i="1" s="1"/>
  <c r="S107" i="1" s="1"/>
  <c r="M107" i="1" s="1"/>
  <c r="N107" i="1" s="1"/>
  <c r="R131" i="1"/>
  <c r="P131" i="1" s="1"/>
  <c r="S131" i="1" s="1"/>
  <c r="M131" i="1" s="1"/>
  <c r="N131" i="1" s="1"/>
  <c r="AB131" i="1"/>
  <c r="U105" i="1"/>
  <c r="V105" i="1" s="1"/>
  <c r="U74" i="1"/>
  <c r="V74" i="1" s="1"/>
  <c r="U116" i="1"/>
  <c r="V116" i="1" s="1"/>
  <c r="AB100" i="1"/>
  <c r="R100" i="1"/>
  <c r="P100" i="1" s="1"/>
  <c r="S100" i="1" s="1"/>
  <c r="M100" i="1" s="1"/>
  <c r="N100" i="1" s="1"/>
  <c r="U72" i="1"/>
  <c r="V72" i="1" s="1"/>
  <c r="AB102" i="1"/>
  <c r="R102" i="1"/>
  <c r="P102" i="1" s="1"/>
  <c r="S102" i="1" s="1"/>
  <c r="M102" i="1" s="1"/>
  <c r="N102" i="1" s="1"/>
  <c r="R59" i="1"/>
  <c r="P59" i="1" s="1"/>
  <c r="S59" i="1" s="1"/>
  <c r="M59" i="1" s="1"/>
  <c r="N59" i="1" s="1"/>
  <c r="AB59" i="1"/>
  <c r="U33" i="1"/>
  <c r="V33" i="1" s="1"/>
  <c r="U38" i="1"/>
  <c r="V38" i="1" s="1"/>
  <c r="AB86" i="1"/>
  <c r="R86" i="1"/>
  <c r="P86" i="1" s="1"/>
  <c r="S86" i="1" s="1"/>
  <c r="M86" i="1" s="1"/>
  <c r="N86" i="1" s="1"/>
  <c r="U43" i="1"/>
  <c r="V43" i="1" s="1"/>
  <c r="U27" i="1"/>
  <c r="V27" i="1" s="1"/>
  <c r="R27" i="1" s="1"/>
  <c r="P27" i="1" s="1"/>
  <c r="S27" i="1" s="1"/>
  <c r="M27" i="1" s="1"/>
  <c r="N27" i="1" s="1"/>
  <c r="AD95" i="1"/>
  <c r="AE95" i="1" s="1"/>
  <c r="AC95" i="1"/>
  <c r="W95" i="1"/>
  <c r="AA95" i="1" s="1"/>
  <c r="AB72" i="1"/>
  <c r="R72" i="1"/>
  <c r="P72" i="1" s="1"/>
  <c r="S72" i="1" s="1"/>
  <c r="M72" i="1" s="1"/>
  <c r="N72" i="1" s="1"/>
  <c r="AB66" i="1"/>
  <c r="R66" i="1"/>
  <c r="P66" i="1" s="1"/>
  <c r="S66" i="1" s="1"/>
  <c r="M66" i="1" s="1"/>
  <c r="N66" i="1" s="1"/>
  <c r="U52" i="1"/>
  <c r="V52" i="1" s="1"/>
  <c r="R52" i="1" s="1"/>
  <c r="P52" i="1" s="1"/>
  <c r="S52" i="1" s="1"/>
  <c r="M52" i="1" s="1"/>
  <c r="N52" i="1" s="1"/>
  <c r="U20" i="1"/>
  <c r="V20" i="1" s="1"/>
  <c r="R24" i="1"/>
  <c r="P24" i="1" s="1"/>
  <c r="S24" i="1" s="1"/>
  <c r="M24" i="1" s="1"/>
  <c r="N24" i="1" s="1"/>
  <c r="AB24" i="1"/>
  <c r="R32" i="1"/>
  <c r="P32" i="1" s="1"/>
  <c r="S32" i="1" s="1"/>
  <c r="M32" i="1" s="1"/>
  <c r="N32" i="1" s="1"/>
  <c r="AB32" i="1"/>
  <c r="AD203" i="1" l="1"/>
  <c r="W203" i="1"/>
  <c r="AA203" i="1" s="1"/>
  <c r="R203" i="1"/>
  <c r="P203" i="1" s="1"/>
  <c r="S203" i="1" s="1"/>
  <c r="M203" i="1" s="1"/>
  <c r="N203" i="1" s="1"/>
  <c r="AC203" i="1"/>
  <c r="W20" i="1"/>
  <c r="AA20" i="1" s="1"/>
  <c r="AD20" i="1"/>
  <c r="R20" i="1"/>
  <c r="P20" i="1" s="1"/>
  <c r="S20" i="1" s="1"/>
  <c r="M20" i="1" s="1"/>
  <c r="N20" i="1" s="1"/>
  <c r="AC20" i="1"/>
  <c r="W105" i="1"/>
  <c r="AA105" i="1" s="1"/>
  <c r="AD105" i="1"/>
  <c r="AE105" i="1" s="1"/>
  <c r="R105" i="1"/>
  <c r="P105" i="1" s="1"/>
  <c r="S105" i="1" s="1"/>
  <c r="M105" i="1" s="1"/>
  <c r="N105" i="1" s="1"/>
  <c r="AC105" i="1"/>
  <c r="W130" i="1"/>
  <c r="AA130" i="1" s="1"/>
  <c r="AD130" i="1"/>
  <c r="AC130" i="1"/>
  <c r="W151" i="1"/>
  <c r="AA151" i="1" s="1"/>
  <c r="AD151" i="1"/>
  <c r="AC151" i="1"/>
  <c r="R151" i="1"/>
  <c r="P151" i="1" s="1"/>
  <c r="S151" i="1" s="1"/>
  <c r="M151" i="1" s="1"/>
  <c r="N151" i="1" s="1"/>
  <c r="W169" i="1"/>
  <c r="AA169" i="1" s="1"/>
  <c r="AD169" i="1"/>
  <c r="AC169" i="1"/>
  <c r="W78" i="1"/>
  <c r="AA78" i="1" s="1"/>
  <c r="AD78" i="1"/>
  <c r="AE78" i="1" s="1"/>
  <c r="AC78" i="1"/>
  <c r="W136" i="1"/>
  <c r="AA136" i="1" s="1"/>
  <c r="AD136" i="1"/>
  <c r="AE136" i="1" s="1"/>
  <c r="AC136" i="1"/>
  <c r="W167" i="1"/>
  <c r="AA167" i="1" s="1"/>
  <c r="AD167" i="1"/>
  <c r="AC167" i="1"/>
  <c r="R167" i="1"/>
  <c r="P167" i="1" s="1"/>
  <c r="S167" i="1" s="1"/>
  <c r="M167" i="1" s="1"/>
  <c r="N167" i="1" s="1"/>
  <c r="AD214" i="1"/>
  <c r="W214" i="1"/>
  <c r="AA214" i="1" s="1"/>
  <c r="AC214" i="1"/>
  <c r="W194" i="1"/>
  <c r="AA194" i="1" s="1"/>
  <c r="AD194" i="1"/>
  <c r="AC194" i="1"/>
  <c r="W31" i="1"/>
  <c r="AA31" i="1" s="1"/>
  <c r="AD31" i="1"/>
  <c r="AE31" i="1" s="1"/>
  <c r="AC31" i="1"/>
  <c r="W101" i="1"/>
  <c r="AA101" i="1" s="1"/>
  <c r="AD101" i="1"/>
  <c r="AE101" i="1" s="1"/>
  <c r="AC101" i="1"/>
  <c r="R101" i="1"/>
  <c r="P101" i="1" s="1"/>
  <c r="S101" i="1" s="1"/>
  <c r="M101" i="1" s="1"/>
  <c r="N101" i="1" s="1"/>
  <c r="W131" i="1"/>
  <c r="AA131" i="1" s="1"/>
  <c r="AD131" i="1"/>
  <c r="AC131" i="1"/>
  <c r="AE198" i="1"/>
  <c r="AE139" i="1"/>
  <c r="W166" i="1"/>
  <c r="AA166" i="1" s="1"/>
  <c r="AD166" i="1"/>
  <c r="AC166" i="1"/>
  <c r="AD30" i="1"/>
  <c r="AC30" i="1"/>
  <c r="W30" i="1"/>
  <c r="AA30" i="1" s="1"/>
  <c r="AD61" i="1"/>
  <c r="W61" i="1"/>
  <c r="AA61" i="1" s="1"/>
  <c r="AC61" i="1"/>
  <c r="AD114" i="1"/>
  <c r="W114" i="1"/>
  <c r="AA114" i="1" s="1"/>
  <c r="AC114" i="1"/>
  <c r="AD160" i="1"/>
  <c r="AC160" i="1"/>
  <c r="W160" i="1"/>
  <c r="AA160" i="1" s="1"/>
  <c r="W168" i="1"/>
  <c r="AA168" i="1" s="1"/>
  <c r="AD168" i="1"/>
  <c r="AE168" i="1" s="1"/>
  <c r="AC168" i="1"/>
  <c r="AE172" i="1"/>
  <c r="W23" i="1"/>
  <c r="AA23" i="1" s="1"/>
  <c r="AD23" i="1"/>
  <c r="AC23" i="1"/>
  <c r="W123" i="1"/>
  <c r="AA123" i="1" s="1"/>
  <c r="AD123" i="1"/>
  <c r="AC123" i="1"/>
  <c r="AD26" i="1"/>
  <c r="AC26" i="1"/>
  <c r="W26" i="1"/>
  <c r="AA26" i="1" s="1"/>
  <c r="W100" i="1"/>
  <c r="AA100" i="1" s="1"/>
  <c r="AD100" i="1"/>
  <c r="AE100" i="1" s="1"/>
  <c r="AC100" i="1"/>
  <c r="W189" i="1"/>
  <c r="AA189" i="1" s="1"/>
  <c r="AD189" i="1"/>
  <c r="AE189" i="1" s="1"/>
  <c r="AC189" i="1"/>
  <c r="AD63" i="1"/>
  <c r="AE63" i="1" s="1"/>
  <c r="AC63" i="1"/>
  <c r="W63" i="1"/>
  <c r="AA63" i="1" s="1"/>
  <c r="R63" i="1"/>
  <c r="P63" i="1" s="1"/>
  <c r="S63" i="1" s="1"/>
  <c r="M63" i="1" s="1"/>
  <c r="N63" i="1" s="1"/>
  <c r="W106" i="1"/>
  <c r="AA106" i="1" s="1"/>
  <c r="AD106" i="1"/>
  <c r="AC106" i="1"/>
  <c r="AD210" i="1"/>
  <c r="W210" i="1"/>
  <c r="AA210" i="1" s="1"/>
  <c r="AC210" i="1"/>
  <c r="AD50" i="1"/>
  <c r="AC50" i="1"/>
  <c r="W50" i="1"/>
  <c r="AA50" i="1" s="1"/>
  <c r="AD113" i="1"/>
  <c r="W113" i="1"/>
  <c r="AA113" i="1" s="1"/>
  <c r="AC113" i="1"/>
  <c r="W72" i="1"/>
  <c r="AA72" i="1" s="1"/>
  <c r="AD72" i="1"/>
  <c r="AC72" i="1"/>
  <c r="W39" i="1"/>
  <c r="AA39" i="1" s="1"/>
  <c r="AD39" i="1"/>
  <c r="AE39" i="1" s="1"/>
  <c r="AC39" i="1"/>
  <c r="AD117" i="1"/>
  <c r="W117" i="1"/>
  <c r="AA117" i="1" s="1"/>
  <c r="AC117" i="1"/>
  <c r="R78" i="1"/>
  <c r="P78" i="1" s="1"/>
  <c r="S78" i="1" s="1"/>
  <c r="M78" i="1" s="1"/>
  <c r="N78" i="1" s="1"/>
  <c r="AD46" i="1"/>
  <c r="AC46" i="1"/>
  <c r="W46" i="1"/>
  <c r="AA46" i="1" s="1"/>
  <c r="AE179" i="1"/>
  <c r="AC45" i="1"/>
  <c r="W45" i="1"/>
  <c r="AA45" i="1" s="1"/>
  <c r="AD45" i="1"/>
  <c r="AE45" i="1" s="1"/>
  <c r="R45" i="1"/>
  <c r="P45" i="1" s="1"/>
  <c r="S45" i="1" s="1"/>
  <c r="M45" i="1" s="1"/>
  <c r="N45" i="1" s="1"/>
  <c r="AD163" i="1"/>
  <c r="AE163" i="1" s="1"/>
  <c r="W163" i="1"/>
  <c r="AA163" i="1" s="1"/>
  <c r="AC163" i="1"/>
  <c r="R163" i="1"/>
  <c r="P163" i="1" s="1"/>
  <c r="S163" i="1" s="1"/>
  <c r="M163" i="1" s="1"/>
  <c r="N163" i="1" s="1"/>
  <c r="W19" i="1"/>
  <c r="AA19" i="1" s="1"/>
  <c r="AD19" i="1"/>
  <c r="AC19" i="1"/>
  <c r="W144" i="1"/>
  <c r="AA144" i="1" s="1"/>
  <c r="AD144" i="1"/>
  <c r="AC144" i="1"/>
  <c r="R168" i="1"/>
  <c r="P168" i="1" s="1"/>
  <c r="S168" i="1" s="1"/>
  <c r="M168" i="1" s="1"/>
  <c r="N168" i="1" s="1"/>
  <c r="W181" i="1"/>
  <c r="AA181" i="1" s="1"/>
  <c r="AD181" i="1"/>
  <c r="AE181" i="1" s="1"/>
  <c r="AC181" i="1"/>
  <c r="AD97" i="1"/>
  <c r="W97" i="1"/>
  <c r="AA97" i="1" s="1"/>
  <c r="AC97" i="1"/>
  <c r="AE157" i="1"/>
  <c r="R166" i="1"/>
  <c r="P166" i="1" s="1"/>
  <c r="S166" i="1" s="1"/>
  <c r="M166" i="1" s="1"/>
  <c r="N166" i="1" s="1"/>
  <c r="W175" i="1"/>
  <c r="AA175" i="1" s="1"/>
  <c r="AD175" i="1"/>
  <c r="AE175" i="1" s="1"/>
  <c r="AC175" i="1"/>
  <c r="AE208" i="1"/>
  <c r="W89" i="1"/>
  <c r="AA89" i="1" s="1"/>
  <c r="AD89" i="1"/>
  <c r="AC89" i="1"/>
  <c r="R89" i="1"/>
  <c r="P89" i="1" s="1"/>
  <c r="S89" i="1" s="1"/>
  <c r="M89" i="1" s="1"/>
  <c r="N89" i="1" s="1"/>
  <c r="W88" i="1"/>
  <c r="AA88" i="1" s="1"/>
  <c r="AD88" i="1"/>
  <c r="AE88" i="1" s="1"/>
  <c r="AC88" i="1"/>
  <c r="W128" i="1"/>
  <c r="AA128" i="1" s="1"/>
  <c r="AD128" i="1"/>
  <c r="AE128" i="1" s="1"/>
  <c r="AC128" i="1"/>
  <c r="AE124" i="1"/>
  <c r="AE159" i="1"/>
  <c r="AD164" i="1"/>
  <c r="AE164" i="1" s="1"/>
  <c r="W164" i="1"/>
  <c r="AA164" i="1" s="1"/>
  <c r="AC164" i="1"/>
  <c r="R164" i="1"/>
  <c r="P164" i="1" s="1"/>
  <c r="S164" i="1" s="1"/>
  <c r="M164" i="1" s="1"/>
  <c r="N164" i="1" s="1"/>
  <c r="AD162" i="1"/>
  <c r="AE162" i="1" s="1"/>
  <c r="W162" i="1"/>
  <c r="AA162" i="1" s="1"/>
  <c r="R162" i="1"/>
  <c r="P162" i="1" s="1"/>
  <c r="S162" i="1" s="1"/>
  <c r="M162" i="1" s="1"/>
  <c r="N162" i="1" s="1"/>
  <c r="AC162" i="1"/>
  <c r="AE79" i="1"/>
  <c r="AE82" i="1"/>
  <c r="W68" i="1"/>
  <c r="AA68" i="1" s="1"/>
  <c r="AD68" i="1"/>
  <c r="AC68" i="1"/>
  <c r="W52" i="1"/>
  <c r="AA52" i="1" s="1"/>
  <c r="AD52" i="1"/>
  <c r="AE52" i="1" s="1"/>
  <c r="AC52" i="1"/>
  <c r="AD38" i="1"/>
  <c r="AC38" i="1"/>
  <c r="W38" i="1"/>
  <c r="AA38" i="1" s="1"/>
  <c r="AC180" i="1"/>
  <c r="W180" i="1"/>
  <c r="AA180" i="1" s="1"/>
  <c r="AD180" i="1"/>
  <c r="AE180" i="1" s="1"/>
  <c r="W81" i="1"/>
  <c r="AA81" i="1" s="1"/>
  <c r="AD81" i="1"/>
  <c r="AE81" i="1" s="1"/>
  <c r="R81" i="1"/>
  <c r="P81" i="1" s="1"/>
  <c r="S81" i="1" s="1"/>
  <c r="M81" i="1" s="1"/>
  <c r="N81" i="1" s="1"/>
  <c r="AC81" i="1"/>
  <c r="W37" i="1"/>
  <c r="AA37" i="1" s="1"/>
  <c r="AC37" i="1"/>
  <c r="AD37" i="1"/>
  <c r="AE37" i="1" s="1"/>
  <c r="R37" i="1"/>
  <c r="P37" i="1" s="1"/>
  <c r="S37" i="1" s="1"/>
  <c r="M37" i="1" s="1"/>
  <c r="N37" i="1" s="1"/>
  <c r="W205" i="1"/>
  <c r="AA205" i="1" s="1"/>
  <c r="AD205" i="1"/>
  <c r="AE205" i="1" s="1"/>
  <c r="AC205" i="1"/>
  <c r="AD193" i="1"/>
  <c r="W193" i="1"/>
  <c r="AA193" i="1" s="1"/>
  <c r="AC193" i="1"/>
  <c r="W47" i="1"/>
  <c r="AA47" i="1" s="1"/>
  <c r="AD47" i="1"/>
  <c r="AC47" i="1"/>
  <c r="W77" i="1"/>
  <c r="AA77" i="1" s="1"/>
  <c r="AD77" i="1"/>
  <c r="AC77" i="1"/>
  <c r="R77" i="1"/>
  <c r="P77" i="1" s="1"/>
  <c r="S77" i="1" s="1"/>
  <c r="M77" i="1" s="1"/>
  <c r="N77" i="1" s="1"/>
  <c r="W90" i="1"/>
  <c r="AA90" i="1" s="1"/>
  <c r="AD90" i="1"/>
  <c r="AE90" i="1" s="1"/>
  <c r="AC90" i="1"/>
  <c r="R90" i="1"/>
  <c r="P90" i="1" s="1"/>
  <c r="S90" i="1" s="1"/>
  <c r="M90" i="1" s="1"/>
  <c r="N90" i="1" s="1"/>
  <c r="W207" i="1"/>
  <c r="AA207" i="1" s="1"/>
  <c r="AD207" i="1"/>
  <c r="AE207" i="1" s="1"/>
  <c r="AC207" i="1"/>
  <c r="R207" i="1"/>
  <c r="P207" i="1" s="1"/>
  <c r="S207" i="1" s="1"/>
  <c r="M207" i="1" s="1"/>
  <c r="N207" i="1" s="1"/>
  <c r="W223" i="1"/>
  <c r="AA223" i="1" s="1"/>
  <c r="AD223" i="1"/>
  <c r="AE223" i="1" s="1"/>
  <c r="AC223" i="1"/>
  <c r="AE59" i="1"/>
  <c r="R68" i="1"/>
  <c r="P68" i="1" s="1"/>
  <c r="S68" i="1" s="1"/>
  <c r="M68" i="1" s="1"/>
  <c r="N68" i="1" s="1"/>
  <c r="W73" i="1"/>
  <c r="AA73" i="1" s="1"/>
  <c r="AD73" i="1"/>
  <c r="R73" i="1"/>
  <c r="P73" i="1" s="1"/>
  <c r="S73" i="1" s="1"/>
  <c r="M73" i="1" s="1"/>
  <c r="N73" i="1" s="1"/>
  <c r="AC73" i="1"/>
  <c r="W171" i="1"/>
  <c r="AA171" i="1" s="1"/>
  <c r="AD171" i="1"/>
  <c r="AC171" i="1"/>
  <c r="W178" i="1"/>
  <c r="AA178" i="1" s="1"/>
  <c r="AD178" i="1"/>
  <c r="AE178" i="1" s="1"/>
  <c r="AC178" i="1"/>
  <c r="W17" i="1"/>
  <c r="AA17" i="1" s="1"/>
  <c r="AC17" i="1"/>
  <c r="AD17" i="1"/>
  <c r="AE17" i="1" s="1"/>
  <c r="W118" i="1"/>
  <c r="AA118" i="1" s="1"/>
  <c r="AD118" i="1"/>
  <c r="AE118" i="1" s="1"/>
  <c r="AC118" i="1"/>
  <c r="AD119" i="1"/>
  <c r="W119" i="1"/>
  <c r="AA119" i="1" s="1"/>
  <c r="AC119" i="1"/>
  <c r="AE200" i="1"/>
  <c r="W40" i="1"/>
  <c r="AA40" i="1" s="1"/>
  <c r="AD40" i="1"/>
  <c r="AC40" i="1"/>
  <c r="R38" i="1"/>
  <c r="P38" i="1" s="1"/>
  <c r="S38" i="1" s="1"/>
  <c r="M38" i="1" s="1"/>
  <c r="N38" i="1" s="1"/>
  <c r="W21" i="1"/>
  <c r="AA21" i="1" s="1"/>
  <c r="AD21" i="1"/>
  <c r="AC21" i="1"/>
  <c r="R136" i="1"/>
  <c r="P136" i="1" s="1"/>
  <c r="S136" i="1" s="1"/>
  <c r="M136" i="1" s="1"/>
  <c r="N136" i="1" s="1"/>
  <c r="R40" i="1"/>
  <c r="P40" i="1" s="1"/>
  <c r="S40" i="1" s="1"/>
  <c r="M40" i="1" s="1"/>
  <c r="N40" i="1" s="1"/>
  <c r="AD34" i="1"/>
  <c r="AC34" i="1"/>
  <c r="W34" i="1"/>
  <c r="AA34" i="1" s="1"/>
  <c r="W196" i="1"/>
  <c r="AA196" i="1" s="1"/>
  <c r="AD196" i="1"/>
  <c r="AC196" i="1"/>
  <c r="AD226" i="1"/>
  <c r="W226" i="1"/>
  <c r="AA226" i="1" s="1"/>
  <c r="AC226" i="1"/>
  <c r="W122" i="1"/>
  <c r="AA122" i="1" s="1"/>
  <c r="AD122" i="1"/>
  <c r="AE122" i="1" s="1"/>
  <c r="AC122" i="1"/>
  <c r="W102" i="1"/>
  <c r="AA102" i="1" s="1"/>
  <c r="AD102" i="1"/>
  <c r="AC102" i="1"/>
  <c r="W27" i="1"/>
  <c r="AA27" i="1" s="1"/>
  <c r="AD27" i="1"/>
  <c r="AC27" i="1"/>
  <c r="W110" i="1"/>
  <c r="AA110" i="1" s="1"/>
  <c r="AD110" i="1"/>
  <c r="AC110" i="1"/>
  <c r="AD115" i="1"/>
  <c r="W115" i="1"/>
  <c r="AA115" i="1" s="1"/>
  <c r="AC115" i="1"/>
  <c r="W76" i="1"/>
  <c r="AA76" i="1" s="1"/>
  <c r="AD76" i="1"/>
  <c r="AE76" i="1" s="1"/>
  <c r="AC76" i="1"/>
  <c r="AE107" i="1"/>
  <c r="AD152" i="1"/>
  <c r="AC152" i="1"/>
  <c r="W152" i="1"/>
  <c r="AA152" i="1" s="1"/>
  <c r="AD173" i="1"/>
  <c r="AE173" i="1" s="1"/>
  <c r="AC173" i="1"/>
  <c r="W173" i="1"/>
  <c r="AA173" i="1" s="1"/>
  <c r="W44" i="1"/>
  <c r="AA44" i="1" s="1"/>
  <c r="AD44" i="1"/>
  <c r="AC44" i="1"/>
  <c r="W64" i="1"/>
  <c r="AA64" i="1" s="1"/>
  <c r="AD64" i="1"/>
  <c r="AC64" i="1"/>
  <c r="W28" i="1"/>
  <c r="AA28" i="1" s="1"/>
  <c r="AD28" i="1"/>
  <c r="AE28" i="1" s="1"/>
  <c r="AC28" i="1"/>
  <c r="W35" i="1"/>
  <c r="AA35" i="1" s="1"/>
  <c r="AD35" i="1"/>
  <c r="AC35" i="1"/>
  <c r="AD22" i="1"/>
  <c r="AC22" i="1"/>
  <c r="W22" i="1"/>
  <c r="AA22" i="1" s="1"/>
  <c r="W49" i="1"/>
  <c r="AA49" i="1" s="1"/>
  <c r="AC49" i="1"/>
  <c r="AD49" i="1"/>
  <c r="R49" i="1"/>
  <c r="P49" i="1" s="1"/>
  <c r="S49" i="1" s="1"/>
  <c r="M49" i="1" s="1"/>
  <c r="N49" i="1" s="1"/>
  <c r="AD141" i="1"/>
  <c r="AC141" i="1"/>
  <c r="W141" i="1"/>
  <c r="AA141" i="1" s="1"/>
  <c r="W148" i="1"/>
  <c r="AA148" i="1" s="1"/>
  <c r="AD148" i="1"/>
  <c r="AE148" i="1" s="1"/>
  <c r="AC148" i="1"/>
  <c r="R61" i="1"/>
  <c r="P61" i="1" s="1"/>
  <c r="S61" i="1" s="1"/>
  <c r="M61" i="1" s="1"/>
  <c r="N61" i="1" s="1"/>
  <c r="W60" i="1"/>
  <c r="AA60" i="1" s="1"/>
  <c r="AD60" i="1"/>
  <c r="AC60" i="1"/>
  <c r="R60" i="1"/>
  <c r="P60" i="1" s="1"/>
  <c r="S60" i="1" s="1"/>
  <c r="M60" i="1" s="1"/>
  <c r="N60" i="1" s="1"/>
  <c r="AD161" i="1"/>
  <c r="AE161" i="1" s="1"/>
  <c r="W161" i="1"/>
  <c r="AA161" i="1" s="1"/>
  <c r="AC161" i="1"/>
  <c r="W224" i="1"/>
  <c r="AA224" i="1" s="1"/>
  <c r="AD224" i="1"/>
  <c r="AC224" i="1"/>
  <c r="R205" i="1"/>
  <c r="P205" i="1" s="1"/>
  <c r="S205" i="1" s="1"/>
  <c r="M205" i="1" s="1"/>
  <c r="N205" i="1" s="1"/>
  <c r="W48" i="1"/>
  <c r="AA48" i="1" s="1"/>
  <c r="AD48" i="1"/>
  <c r="AC48" i="1"/>
  <c r="R26" i="1"/>
  <c r="P26" i="1" s="1"/>
  <c r="S26" i="1" s="1"/>
  <c r="M26" i="1" s="1"/>
  <c r="N26" i="1" s="1"/>
  <c r="AC29" i="1"/>
  <c r="W29" i="1"/>
  <c r="AA29" i="1" s="1"/>
  <c r="AD29" i="1"/>
  <c r="AE29" i="1" s="1"/>
  <c r="R29" i="1"/>
  <c r="P29" i="1" s="1"/>
  <c r="S29" i="1" s="1"/>
  <c r="M29" i="1" s="1"/>
  <c r="N29" i="1" s="1"/>
  <c r="R148" i="1"/>
  <c r="P148" i="1" s="1"/>
  <c r="S148" i="1" s="1"/>
  <c r="M148" i="1" s="1"/>
  <c r="N148" i="1" s="1"/>
  <c r="AD87" i="1"/>
  <c r="AE87" i="1" s="1"/>
  <c r="W87" i="1"/>
  <c r="AA87" i="1" s="1"/>
  <c r="AC87" i="1"/>
  <c r="R224" i="1"/>
  <c r="P224" i="1" s="1"/>
  <c r="S224" i="1" s="1"/>
  <c r="M224" i="1" s="1"/>
  <c r="N224" i="1" s="1"/>
  <c r="AE154" i="1"/>
  <c r="AE103" i="1"/>
  <c r="W127" i="1"/>
  <c r="AA127" i="1" s="1"/>
  <c r="AD127" i="1"/>
  <c r="AE127" i="1" s="1"/>
  <c r="AC127" i="1"/>
  <c r="AD56" i="1"/>
  <c r="AE56" i="1" s="1"/>
  <c r="W56" i="1"/>
  <c r="AA56" i="1" s="1"/>
  <c r="AC56" i="1"/>
  <c r="AD58" i="1"/>
  <c r="W58" i="1"/>
  <c r="AA58" i="1" s="1"/>
  <c r="AC58" i="1"/>
  <c r="AD201" i="1"/>
  <c r="W201" i="1"/>
  <c r="AA201" i="1" s="1"/>
  <c r="AC201" i="1"/>
  <c r="AC33" i="1"/>
  <c r="W33" i="1"/>
  <c r="AA33" i="1" s="1"/>
  <c r="AD33" i="1"/>
  <c r="R33" i="1"/>
  <c r="P33" i="1" s="1"/>
  <c r="S33" i="1" s="1"/>
  <c r="M33" i="1" s="1"/>
  <c r="N33" i="1" s="1"/>
  <c r="W184" i="1"/>
  <c r="AA184" i="1" s="1"/>
  <c r="AD184" i="1"/>
  <c r="AE184" i="1" s="1"/>
  <c r="AC184" i="1"/>
  <c r="AD197" i="1"/>
  <c r="AE197" i="1" s="1"/>
  <c r="W197" i="1"/>
  <c r="AA197" i="1" s="1"/>
  <c r="AC197" i="1"/>
  <c r="AD202" i="1"/>
  <c r="W202" i="1"/>
  <c r="AA202" i="1" s="1"/>
  <c r="AC202" i="1"/>
  <c r="W108" i="1"/>
  <c r="AA108" i="1" s="1"/>
  <c r="AD108" i="1"/>
  <c r="AC108" i="1"/>
  <c r="W192" i="1"/>
  <c r="AA192" i="1" s="1"/>
  <c r="AD192" i="1"/>
  <c r="AE192" i="1" s="1"/>
  <c r="AC192" i="1"/>
  <c r="AE176" i="1"/>
  <c r="AD83" i="1"/>
  <c r="AE83" i="1" s="1"/>
  <c r="W83" i="1"/>
  <c r="AA83" i="1" s="1"/>
  <c r="AC83" i="1"/>
  <c r="W92" i="1"/>
  <c r="AA92" i="1" s="1"/>
  <c r="AD92" i="1"/>
  <c r="AE92" i="1" s="1"/>
  <c r="AC92" i="1"/>
  <c r="R92" i="1"/>
  <c r="P92" i="1" s="1"/>
  <c r="S92" i="1" s="1"/>
  <c r="M92" i="1" s="1"/>
  <c r="N92" i="1" s="1"/>
  <c r="R113" i="1"/>
  <c r="P113" i="1" s="1"/>
  <c r="S113" i="1" s="1"/>
  <c r="M113" i="1" s="1"/>
  <c r="N113" i="1" s="1"/>
  <c r="AD121" i="1"/>
  <c r="AE121" i="1" s="1"/>
  <c r="W121" i="1"/>
  <c r="AA121" i="1" s="1"/>
  <c r="AC121" i="1"/>
  <c r="W80" i="1"/>
  <c r="AA80" i="1" s="1"/>
  <c r="AD80" i="1"/>
  <c r="AE80" i="1" s="1"/>
  <c r="AC80" i="1"/>
  <c r="W195" i="1"/>
  <c r="AA195" i="1" s="1"/>
  <c r="AD195" i="1"/>
  <c r="AC195" i="1"/>
  <c r="AD218" i="1"/>
  <c r="W218" i="1"/>
  <c r="AA218" i="1" s="1"/>
  <c r="AC218" i="1"/>
  <c r="W36" i="1"/>
  <c r="AA36" i="1" s="1"/>
  <c r="AD36" i="1"/>
  <c r="AC36" i="1"/>
  <c r="R141" i="1"/>
  <c r="P141" i="1" s="1"/>
  <c r="S141" i="1" s="1"/>
  <c r="M141" i="1" s="1"/>
  <c r="N141" i="1" s="1"/>
  <c r="R169" i="1"/>
  <c r="P169" i="1" s="1"/>
  <c r="S169" i="1" s="1"/>
  <c r="M169" i="1" s="1"/>
  <c r="N169" i="1" s="1"/>
  <c r="W190" i="1"/>
  <c r="AA190" i="1" s="1"/>
  <c r="AD190" i="1"/>
  <c r="AC190" i="1"/>
  <c r="R190" i="1"/>
  <c r="P190" i="1" s="1"/>
  <c r="S190" i="1" s="1"/>
  <c r="M190" i="1" s="1"/>
  <c r="N190" i="1" s="1"/>
  <c r="R31" i="1"/>
  <c r="P31" i="1" s="1"/>
  <c r="S31" i="1" s="1"/>
  <c r="M31" i="1" s="1"/>
  <c r="N31" i="1" s="1"/>
  <c r="W69" i="1"/>
  <c r="AA69" i="1" s="1"/>
  <c r="AD69" i="1"/>
  <c r="R69" i="1"/>
  <c r="P69" i="1" s="1"/>
  <c r="S69" i="1" s="1"/>
  <c r="M69" i="1" s="1"/>
  <c r="N69" i="1" s="1"/>
  <c r="AC69" i="1"/>
  <c r="AC53" i="1"/>
  <c r="W53" i="1"/>
  <c r="AA53" i="1" s="1"/>
  <c r="AD53" i="1"/>
  <c r="R53" i="1"/>
  <c r="P53" i="1" s="1"/>
  <c r="S53" i="1" s="1"/>
  <c r="M53" i="1" s="1"/>
  <c r="N53" i="1" s="1"/>
  <c r="W84" i="1"/>
  <c r="AA84" i="1" s="1"/>
  <c r="AD84" i="1"/>
  <c r="AC84" i="1"/>
  <c r="W98" i="1"/>
  <c r="AA98" i="1" s="1"/>
  <c r="AD98" i="1"/>
  <c r="AC98" i="1"/>
  <c r="R98" i="1"/>
  <c r="P98" i="1" s="1"/>
  <c r="S98" i="1" s="1"/>
  <c r="M98" i="1" s="1"/>
  <c r="N98" i="1" s="1"/>
  <c r="AD204" i="1"/>
  <c r="AE204" i="1" s="1"/>
  <c r="AC204" i="1"/>
  <c r="W204" i="1"/>
  <c r="AA204" i="1" s="1"/>
  <c r="R204" i="1"/>
  <c r="P204" i="1" s="1"/>
  <c r="S204" i="1" s="1"/>
  <c r="M204" i="1" s="1"/>
  <c r="N204" i="1" s="1"/>
  <c r="R193" i="1"/>
  <c r="P193" i="1" s="1"/>
  <c r="S193" i="1" s="1"/>
  <c r="M193" i="1" s="1"/>
  <c r="N193" i="1" s="1"/>
  <c r="R48" i="1"/>
  <c r="P48" i="1" s="1"/>
  <c r="S48" i="1" s="1"/>
  <c r="M48" i="1" s="1"/>
  <c r="N48" i="1" s="1"/>
  <c r="AE99" i="1"/>
  <c r="W104" i="1"/>
  <c r="AA104" i="1" s="1"/>
  <c r="AD104" i="1"/>
  <c r="AE104" i="1" s="1"/>
  <c r="AC104" i="1"/>
  <c r="AD165" i="1"/>
  <c r="W165" i="1"/>
  <c r="AA165" i="1" s="1"/>
  <c r="AC165" i="1"/>
  <c r="AE212" i="1"/>
  <c r="R196" i="1"/>
  <c r="P196" i="1" s="1"/>
  <c r="S196" i="1" s="1"/>
  <c r="M196" i="1" s="1"/>
  <c r="N196" i="1" s="1"/>
  <c r="AE188" i="1"/>
  <c r="W170" i="1"/>
  <c r="AA170" i="1" s="1"/>
  <c r="AD170" i="1"/>
  <c r="AC170" i="1"/>
  <c r="W43" i="1"/>
  <c r="AA43" i="1" s="1"/>
  <c r="AD43" i="1"/>
  <c r="AE43" i="1" s="1"/>
  <c r="AC43" i="1"/>
  <c r="AD116" i="1"/>
  <c r="AE116" i="1" s="1"/>
  <c r="W116" i="1"/>
  <c r="AA116" i="1" s="1"/>
  <c r="AC116" i="1"/>
  <c r="W153" i="1"/>
  <c r="AA153" i="1" s="1"/>
  <c r="AD153" i="1"/>
  <c r="AC153" i="1"/>
  <c r="AD129" i="1"/>
  <c r="W129" i="1"/>
  <c r="AA129" i="1" s="1"/>
  <c r="AC129" i="1"/>
  <c r="W174" i="1"/>
  <c r="AA174" i="1" s="1"/>
  <c r="AD174" i="1"/>
  <c r="AE174" i="1" s="1"/>
  <c r="AC174" i="1"/>
  <c r="AD206" i="1"/>
  <c r="W206" i="1"/>
  <c r="AA206" i="1" s="1"/>
  <c r="AC206" i="1"/>
  <c r="W215" i="1"/>
  <c r="AA215" i="1" s="1"/>
  <c r="AD215" i="1"/>
  <c r="AE215" i="1" s="1"/>
  <c r="AC215" i="1"/>
  <c r="W24" i="1"/>
  <c r="AA24" i="1" s="1"/>
  <c r="AD24" i="1"/>
  <c r="AC24" i="1"/>
  <c r="AD42" i="1"/>
  <c r="AC42" i="1"/>
  <c r="W42" i="1"/>
  <c r="AA42" i="1" s="1"/>
  <c r="W219" i="1"/>
  <c r="AA219" i="1" s="1"/>
  <c r="AD219" i="1"/>
  <c r="AE219" i="1" s="1"/>
  <c r="R219" i="1"/>
  <c r="P219" i="1" s="1"/>
  <c r="S219" i="1" s="1"/>
  <c r="M219" i="1" s="1"/>
  <c r="N219" i="1" s="1"/>
  <c r="AC219" i="1"/>
  <c r="W55" i="1"/>
  <c r="AA55" i="1" s="1"/>
  <c r="AD55" i="1"/>
  <c r="AE55" i="1" s="1"/>
  <c r="R55" i="1"/>
  <c r="P55" i="1" s="1"/>
  <c r="S55" i="1" s="1"/>
  <c r="M55" i="1" s="1"/>
  <c r="N55" i="1" s="1"/>
  <c r="AC55" i="1"/>
  <c r="W94" i="1"/>
  <c r="AA94" i="1" s="1"/>
  <c r="AD94" i="1"/>
  <c r="AE94" i="1" s="1"/>
  <c r="R94" i="1"/>
  <c r="P94" i="1" s="1"/>
  <c r="S94" i="1" s="1"/>
  <c r="M94" i="1" s="1"/>
  <c r="N94" i="1" s="1"/>
  <c r="AC94" i="1"/>
  <c r="AC41" i="1"/>
  <c r="W41" i="1"/>
  <c r="AA41" i="1" s="1"/>
  <c r="AD41" i="1"/>
  <c r="AE41" i="1" s="1"/>
  <c r="R41" i="1"/>
  <c r="P41" i="1" s="1"/>
  <c r="S41" i="1" s="1"/>
  <c r="M41" i="1" s="1"/>
  <c r="N41" i="1" s="1"/>
  <c r="AD156" i="1"/>
  <c r="AE156" i="1" s="1"/>
  <c r="AC156" i="1"/>
  <c r="W156" i="1"/>
  <c r="AA156" i="1" s="1"/>
  <c r="R56" i="1"/>
  <c r="P56" i="1" s="1"/>
  <c r="S56" i="1" s="1"/>
  <c r="M56" i="1" s="1"/>
  <c r="N56" i="1" s="1"/>
  <c r="W32" i="1"/>
  <c r="AA32" i="1" s="1"/>
  <c r="AD32" i="1"/>
  <c r="AC32" i="1"/>
  <c r="AD18" i="1"/>
  <c r="AC18" i="1"/>
  <c r="W18" i="1"/>
  <c r="AA18" i="1" s="1"/>
  <c r="R214" i="1"/>
  <c r="P214" i="1" s="1"/>
  <c r="S214" i="1" s="1"/>
  <c r="M214" i="1" s="1"/>
  <c r="N214" i="1" s="1"/>
  <c r="W213" i="1"/>
  <c r="AA213" i="1" s="1"/>
  <c r="AD213" i="1"/>
  <c r="AC213" i="1"/>
  <c r="W51" i="1"/>
  <c r="AA51" i="1" s="1"/>
  <c r="AD51" i="1"/>
  <c r="AC51" i="1"/>
  <c r="R80" i="1"/>
  <c r="P80" i="1" s="1"/>
  <c r="S80" i="1" s="1"/>
  <c r="M80" i="1" s="1"/>
  <c r="N80" i="1" s="1"/>
  <c r="AE120" i="1"/>
  <c r="AD145" i="1"/>
  <c r="W145" i="1"/>
  <c r="AA145" i="1" s="1"/>
  <c r="AC145" i="1"/>
  <c r="R161" i="1"/>
  <c r="P161" i="1" s="1"/>
  <c r="S161" i="1" s="1"/>
  <c r="M161" i="1" s="1"/>
  <c r="N161" i="1" s="1"/>
  <c r="AE183" i="1"/>
  <c r="W126" i="1"/>
  <c r="AA126" i="1" s="1"/>
  <c r="AD126" i="1"/>
  <c r="AE126" i="1" s="1"/>
  <c r="AC126" i="1"/>
  <c r="W186" i="1"/>
  <c r="AA186" i="1" s="1"/>
  <c r="AD186" i="1"/>
  <c r="AC186" i="1"/>
  <c r="R21" i="1"/>
  <c r="P21" i="1" s="1"/>
  <c r="S21" i="1" s="1"/>
  <c r="M21" i="1" s="1"/>
  <c r="N21" i="1" s="1"/>
  <c r="R42" i="1"/>
  <c r="P42" i="1" s="1"/>
  <c r="S42" i="1" s="1"/>
  <c r="M42" i="1" s="1"/>
  <c r="N42" i="1" s="1"/>
  <c r="R58" i="1"/>
  <c r="P58" i="1" s="1"/>
  <c r="S58" i="1" s="1"/>
  <c r="M58" i="1" s="1"/>
  <c r="N58" i="1" s="1"/>
  <c r="W70" i="1"/>
  <c r="AA70" i="1" s="1"/>
  <c r="AD70" i="1"/>
  <c r="AE70" i="1" s="1"/>
  <c r="AC70" i="1"/>
  <c r="W211" i="1"/>
  <c r="AA211" i="1" s="1"/>
  <c r="AD211" i="1"/>
  <c r="R211" i="1"/>
  <c r="P211" i="1" s="1"/>
  <c r="S211" i="1" s="1"/>
  <c r="M211" i="1" s="1"/>
  <c r="N211" i="1" s="1"/>
  <c r="AC211" i="1"/>
  <c r="W25" i="1"/>
  <c r="AA25" i="1" s="1"/>
  <c r="AC25" i="1"/>
  <c r="AD25" i="1"/>
  <c r="R25" i="1"/>
  <c r="P25" i="1" s="1"/>
  <c r="S25" i="1" s="1"/>
  <c r="M25" i="1" s="1"/>
  <c r="N25" i="1" s="1"/>
  <c r="AE220" i="1"/>
  <c r="AD133" i="1"/>
  <c r="W133" i="1"/>
  <c r="AA133" i="1" s="1"/>
  <c r="AC133" i="1"/>
  <c r="W221" i="1"/>
  <c r="AA221" i="1" s="1"/>
  <c r="AC221" i="1"/>
  <c r="AD221" i="1"/>
  <c r="W140" i="1"/>
  <c r="AA140" i="1" s="1"/>
  <c r="AD140" i="1"/>
  <c r="AC140" i="1"/>
  <c r="W74" i="1"/>
  <c r="AA74" i="1" s="1"/>
  <c r="AD74" i="1"/>
  <c r="AC74" i="1"/>
  <c r="W135" i="1"/>
  <c r="AA135" i="1" s="1"/>
  <c r="AD135" i="1"/>
  <c r="AE135" i="1" s="1"/>
  <c r="AC135" i="1"/>
  <c r="AD146" i="1"/>
  <c r="W146" i="1"/>
  <c r="AA146" i="1" s="1"/>
  <c r="AC146" i="1"/>
  <c r="W216" i="1"/>
  <c r="AA216" i="1" s="1"/>
  <c r="AD216" i="1"/>
  <c r="AE216" i="1" s="1"/>
  <c r="AC216" i="1"/>
  <c r="R74" i="1"/>
  <c r="P74" i="1" s="1"/>
  <c r="S74" i="1" s="1"/>
  <c r="M74" i="1" s="1"/>
  <c r="N74" i="1" s="1"/>
  <c r="W109" i="1"/>
  <c r="AA109" i="1" s="1"/>
  <c r="AD109" i="1"/>
  <c r="AC109" i="1"/>
  <c r="R109" i="1"/>
  <c r="P109" i="1" s="1"/>
  <c r="S109" i="1" s="1"/>
  <c r="M109" i="1" s="1"/>
  <c r="N109" i="1" s="1"/>
  <c r="AD177" i="1"/>
  <c r="AC177" i="1"/>
  <c r="W177" i="1"/>
  <c r="AA177" i="1" s="1"/>
  <c r="W209" i="1"/>
  <c r="AA209" i="1" s="1"/>
  <c r="AD209" i="1"/>
  <c r="AC209" i="1"/>
  <c r="W65" i="1"/>
  <c r="AA65" i="1" s="1"/>
  <c r="AD65" i="1"/>
  <c r="AE65" i="1" s="1"/>
  <c r="AC65" i="1"/>
  <c r="R65" i="1"/>
  <c r="P65" i="1" s="1"/>
  <c r="S65" i="1" s="1"/>
  <c r="M65" i="1" s="1"/>
  <c r="N65" i="1" s="1"/>
  <c r="AD54" i="1"/>
  <c r="AE54" i="1" s="1"/>
  <c r="AC54" i="1"/>
  <c r="W54" i="1"/>
  <c r="AA54" i="1" s="1"/>
  <c r="W96" i="1"/>
  <c r="AA96" i="1" s="1"/>
  <c r="AD96" i="1"/>
  <c r="AC96" i="1"/>
  <c r="R160" i="1"/>
  <c r="P160" i="1" s="1"/>
  <c r="S160" i="1" s="1"/>
  <c r="M160" i="1" s="1"/>
  <c r="N160" i="1" s="1"/>
  <c r="R202" i="1"/>
  <c r="P202" i="1" s="1"/>
  <c r="S202" i="1" s="1"/>
  <c r="M202" i="1" s="1"/>
  <c r="N202" i="1" s="1"/>
  <c r="W217" i="1"/>
  <c r="AA217" i="1" s="1"/>
  <c r="AC217" i="1"/>
  <c r="AD217" i="1"/>
  <c r="W66" i="1"/>
  <c r="AA66" i="1" s="1"/>
  <c r="AD66" i="1"/>
  <c r="AC66" i="1"/>
  <c r="R39" i="1"/>
  <c r="P39" i="1" s="1"/>
  <c r="S39" i="1" s="1"/>
  <c r="M39" i="1" s="1"/>
  <c r="N39" i="1" s="1"/>
  <c r="W85" i="1"/>
  <c r="AA85" i="1" s="1"/>
  <c r="AD85" i="1"/>
  <c r="AE85" i="1" s="1"/>
  <c r="AC85" i="1"/>
  <c r="R85" i="1"/>
  <c r="P85" i="1" s="1"/>
  <c r="S85" i="1" s="1"/>
  <c r="M85" i="1" s="1"/>
  <c r="N85" i="1" s="1"/>
  <c r="AE86" i="1"/>
  <c r="W62" i="1"/>
  <c r="AA62" i="1" s="1"/>
  <c r="AC62" i="1"/>
  <c r="AD62" i="1"/>
  <c r="R62" i="1"/>
  <c r="P62" i="1" s="1"/>
  <c r="S62" i="1" s="1"/>
  <c r="M62" i="1" s="1"/>
  <c r="N62" i="1" s="1"/>
  <c r="R119" i="1"/>
  <c r="P119" i="1" s="1"/>
  <c r="S119" i="1" s="1"/>
  <c r="M119" i="1" s="1"/>
  <c r="N119" i="1" s="1"/>
  <c r="AD222" i="1"/>
  <c r="AE222" i="1" s="1"/>
  <c r="W222" i="1"/>
  <c r="AA222" i="1" s="1"/>
  <c r="AC222" i="1"/>
  <c r="AD149" i="1"/>
  <c r="AC149" i="1"/>
  <c r="W149" i="1"/>
  <c r="AA149" i="1" s="1"/>
  <c r="AD125" i="1"/>
  <c r="AE125" i="1" s="1"/>
  <c r="W125" i="1"/>
  <c r="AA125" i="1" s="1"/>
  <c r="AC125" i="1"/>
  <c r="AD191" i="1"/>
  <c r="AC191" i="1"/>
  <c r="W191" i="1"/>
  <c r="AA191" i="1" s="1"/>
  <c r="W185" i="1"/>
  <c r="AA185" i="1" s="1"/>
  <c r="AD185" i="1"/>
  <c r="AE185" i="1" s="1"/>
  <c r="R185" i="1"/>
  <c r="P185" i="1" s="1"/>
  <c r="S185" i="1" s="1"/>
  <c r="M185" i="1" s="1"/>
  <c r="N185" i="1" s="1"/>
  <c r="AC185" i="1"/>
  <c r="R218" i="1"/>
  <c r="P218" i="1" s="1"/>
  <c r="S218" i="1" s="1"/>
  <c r="M218" i="1" s="1"/>
  <c r="N218" i="1" s="1"/>
  <c r="R96" i="1"/>
  <c r="P96" i="1" s="1"/>
  <c r="S96" i="1" s="1"/>
  <c r="M96" i="1" s="1"/>
  <c r="N96" i="1" s="1"/>
  <c r="R152" i="1"/>
  <c r="P152" i="1" s="1"/>
  <c r="S152" i="1" s="1"/>
  <c r="M152" i="1" s="1"/>
  <c r="N152" i="1" s="1"/>
  <c r="AE225" i="1"/>
  <c r="AE187" i="1"/>
  <c r="AE62" i="1" l="1"/>
  <c r="AE177" i="1"/>
  <c r="AE74" i="1"/>
  <c r="AE51" i="1"/>
  <c r="AE18" i="1"/>
  <c r="AE98" i="1"/>
  <c r="AE190" i="1"/>
  <c r="AE108" i="1"/>
  <c r="AE48" i="1"/>
  <c r="AE27" i="1"/>
  <c r="AE34" i="1"/>
  <c r="AE40" i="1"/>
  <c r="AE171" i="1"/>
  <c r="AE47" i="1"/>
  <c r="AE89" i="1"/>
  <c r="AE144" i="1"/>
  <c r="AE46" i="1"/>
  <c r="AE50" i="1"/>
  <c r="AE23" i="1"/>
  <c r="AE160" i="1"/>
  <c r="AE131" i="1"/>
  <c r="AE129" i="1"/>
  <c r="AE218" i="1"/>
  <c r="AE201" i="1"/>
  <c r="AE72" i="1"/>
  <c r="AE30" i="1"/>
  <c r="AE167" i="1"/>
  <c r="AE130" i="1"/>
  <c r="AE20" i="1"/>
  <c r="AE149" i="1"/>
  <c r="AE66" i="1"/>
  <c r="AE96" i="1"/>
  <c r="AE133" i="1"/>
  <c r="AE211" i="1"/>
  <c r="AE32" i="1"/>
  <c r="AE42" i="1"/>
  <c r="AE22" i="1"/>
  <c r="AE64" i="1"/>
  <c r="AE226" i="1"/>
  <c r="AE68" i="1"/>
  <c r="AE97" i="1"/>
  <c r="AE194" i="1"/>
  <c r="AE169" i="1"/>
  <c r="AE109" i="1"/>
  <c r="AE146" i="1"/>
  <c r="AE140" i="1"/>
  <c r="AE186" i="1"/>
  <c r="AE213" i="1"/>
  <c r="AE206" i="1"/>
  <c r="AE153" i="1"/>
  <c r="AE165" i="1"/>
  <c r="AE84" i="1"/>
  <c r="AE69" i="1"/>
  <c r="AE195" i="1"/>
  <c r="AE60" i="1"/>
  <c r="AE141" i="1"/>
  <c r="AE115" i="1"/>
  <c r="AE102" i="1"/>
  <c r="AE19" i="1"/>
  <c r="AE210" i="1"/>
  <c r="AE26" i="1"/>
  <c r="AE114" i="1"/>
  <c r="AE166" i="1"/>
  <c r="AE191" i="1"/>
  <c r="AE217" i="1"/>
  <c r="AE209" i="1"/>
  <c r="AE145" i="1"/>
  <c r="AE24" i="1"/>
  <c r="AE170" i="1"/>
  <c r="AE202" i="1"/>
  <c r="AE33" i="1"/>
  <c r="AE58" i="1"/>
  <c r="AE224" i="1"/>
  <c r="AE35" i="1"/>
  <c r="AE152" i="1"/>
  <c r="AE196" i="1"/>
  <c r="AE21" i="1"/>
  <c r="AE73" i="1"/>
  <c r="AE193" i="1"/>
  <c r="AE117" i="1"/>
  <c r="AE221" i="1"/>
  <c r="AE25" i="1"/>
  <c r="AE36" i="1"/>
  <c r="AE49" i="1"/>
  <c r="AE44" i="1"/>
  <c r="AE110" i="1"/>
  <c r="AE119" i="1"/>
  <c r="AE77" i="1"/>
  <c r="AE38" i="1"/>
  <c r="AE113" i="1"/>
  <c r="AE106" i="1"/>
  <c r="AE123" i="1"/>
  <c r="AE53" i="1"/>
  <c r="AE61" i="1"/>
  <c r="AE214" i="1"/>
  <c r="AE151" i="1"/>
  <c r="AE203" i="1"/>
</calcChain>
</file>

<file path=xl/sharedStrings.xml><?xml version="1.0" encoding="utf-8"?>
<sst xmlns="http://schemas.openxmlformats.org/spreadsheetml/2006/main" count="3165" uniqueCount="753">
  <si>
    <t>File opened</t>
  </si>
  <si>
    <t>2023-07-24 14:16:19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</si>
  <si>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</si>
  <si>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</si>
  <si>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</si>
  <si>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</si>
  <si>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</si>
  <si>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</si>
  <si>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</si>
  <si>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</si>
  <si>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</si>
  <si>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</si>
  <si>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</si>
  <si>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</si>
  <si>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</si>
  <si>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</si>
  <si>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</si>
  <si>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</si>
  <si>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</si>
  <si>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</si>
  <si>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</si>
  <si>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</si>
  <si>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</si>
  <si>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</si>
  <si>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</si>
  <si>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</si>
  <si>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</si>
  <si>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</si>
  <si>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</si>
  <si>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</si>
  <si>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</si>
  <si>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</si>
  <si>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</si>
  <si>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</si>
  <si>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14:16:19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</si>
  <si>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</si>
  <si>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</si>
  <si>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</si>
  <si>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</si>
  <si>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</si>
  <si>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</si>
  <si>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</si>
  <si>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</si>
  <si>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</si>
  <si>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</si>
  <si>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</si>
  <si>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</si>
  <si>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</si>
  <si>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</si>
  <si>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</si>
  <si>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</si>
  <si>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</si>
  <si>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</si>
  <si>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</si>
  <si>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</si>
  <si>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</si>
  <si>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</si>
  <si>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</si>
  <si>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</si>
  <si>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</si>
  <si>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</si>
  <si>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</si>
  <si>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</si>
  <si>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</si>
  <si>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</si>
  <si>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</si>
  <si>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</si>
  <si>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</si>
  <si>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</si>
  <si>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</si>
  <si>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</si>
  <si>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</si>
  <si>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</si>
  <si>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</si>
  <si>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</si>
  <si>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</si>
  <si>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</si>
  <si>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</si>
  <si>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</si>
  <si>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</si>
  <si>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</si>
  <si>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</si>
  <si>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</si>
  <si>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</si>
  <si>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</si>
  <si>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</si>
  <si>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</si>
  <si>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</si>
  <si>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</si>
  <si>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</si>
  <si>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</si>
  <si>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</si>
  <si>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</si>
  <si>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</si>
  <si>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</si>
  <si>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</si>
  <si>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</si>
  <si>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</si>
  <si>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</si>
  <si>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</si>
  <si>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</si>
  <si>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</si>
  <si>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</si>
  <si>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</si>
  <si>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</si>
  <si>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</si>
  <si>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</si>
  <si>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</si>
  <si>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</si>
  <si>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</si>
  <si>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</si>
  <si>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</si>
  <si>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</si>
  <si>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</si>
  <si>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</si>
  <si>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</si>
  <si>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</si>
  <si>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</si>
  <si>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</si>
  <si>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</si>
  <si>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</si>
  <si>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</si>
  <si>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</si>
  <si>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</si>
  <si>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</si>
  <si>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</si>
  <si>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</si>
  <si>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</si>
  <si>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</si>
  <si>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</si>
  <si>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</si>
  <si>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</si>
  <si>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</si>
  <si>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</si>
  <si>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</si>
  <si>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</si>
  <si>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</si>
  <si>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</si>
  <si>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</si>
  <si>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</si>
  <si>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</si>
  <si>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</si>
  <si>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</si>
  <si>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</si>
  <si>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</si>
  <si>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</si>
  <si>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</si>
  <si>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</si>
  <si>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</si>
  <si>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</si>
  <si>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</si>
  <si>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</si>
  <si>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</si>
  <si>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</si>
  <si>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</si>
  <si>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</si>
  <si>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</si>
  <si>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</si>
  <si>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</si>
  <si>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</si>
  <si>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</si>
  <si>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</si>
  <si>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</si>
  <si>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</si>
  <si>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</si>
  <si>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</si>
  <si>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</si>
  <si>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</si>
  <si>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</si>
  <si>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</si>
  <si>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</si>
  <si>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</si>
  <si>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</si>
  <si>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</si>
  <si>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</si>
  <si>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</si>
  <si>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</si>
  <si>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</si>
  <si>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</si>
  <si>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</si>
  <si>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</si>
  <si>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</si>
  <si>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</si>
  <si>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</si>
  <si>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</si>
  <si>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</si>
  <si>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</si>
  <si>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</si>
  <si>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</si>
  <si>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</si>
  <si>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</si>
  <si>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</si>
  <si>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</si>
  <si>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</si>
  <si>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</si>
  <si>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</si>
  <si>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</si>
  <si>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</si>
  <si>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</si>
  <si>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</si>
  <si>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</si>
  <si>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</si>
  <si>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</si>
  <si>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</si>
  <si>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</si>
  <si>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</si>
  <si>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</si>
  <si>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</si>
  <si>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</si>
  <si>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</si>
  <si>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</si>
  <si>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</si>
  <si>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</si>
  <si>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</si>
  <si>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</si>
  <si>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</si>
  <si>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</si>
  <si>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</si>
  <si>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</si>
  <si>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</si>
  <si>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</si>
  <si>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</si>
  <si>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</si>
  <si>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</si>
  <si>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</si>
  <si>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</si>
  <si>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</si>
  <si>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</si>
  <si>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</si>
  <si>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</si>
  <si>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</si>
  <si>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</si>
  <si>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</si>
  <si>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</si>
  <si>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</si>
  <si>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</si>
  <si>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</si>
  <si>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</si>
  <si>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</si>
  <si>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</si>
  <si>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</si>
  <si>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</si>
  <si>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</si>
  <si>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</si>
  <si>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</si>
  <si>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</si>
  <si>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</si>
  <si>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</si>
  <si>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</si>
  <si>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</si>
  <si>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</si>
  <si>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</si>
  <si>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</si>
  <si>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</si>
  <si>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</si>
  <si>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</si>
  <si>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</si>
  <si>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</si>
  <si>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</si>
  <si>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</si>
  <si>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</si>
  <si>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</si>
  <si>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</si>
  <si>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</si>
  <si>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</si>
  <si>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</si>
  <si>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</si>
  <si>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</si>
  <si>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</si>
  <si>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</si>
  <si>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</si>
  <si>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</si>
  <si>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</si>
  <si>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</si>
  <si>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</si>
  <si>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</si>
  <si>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</si>
  <si>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</si>
  <si>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</si>
  <si>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</si>
  <si>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</si>
  <si>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</si>
  <si>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</si>
  <si>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</si>
  <si>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</si>
  <si>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</si>
  <si>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</si>
  <si>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</si>
  <si>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</si>
  <si>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</si>
  <si>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</si>
  <si>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</si>
  <si>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</si>
  <si>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</si>
  <si>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</si>
  <si>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</si>
  <si>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</si>
  <si>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</si>
  <si>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</si>
  <si>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</si>
  <si>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</si>
  <si>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</si>
  <si>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</si>
  <si>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</si>
  <si>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</si>
  <si>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</si>
  <si>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</si>
  <si>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</si>
  <si>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</si>
  <si>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</si>
  <si>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</si>
  <si>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</si>
  <si>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</si>
  <si>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</si>
  <si>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</si>
  <si>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</si>
  <si>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</si>
  <si>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</si>
  <si>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</si>
  <si>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</si>
  <si>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</si>
  <si>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</si>
  <si>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</si>
  <si>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</si>
  <si>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</si>
  <si>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</si>
  <si>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</si>
  <si>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</si>
  <si>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14:22:49</t>
  </si>
  <si>
    <t>14:22:49</t>
  </si>
  <si>
    <t>none</t>
  </si>
  <si>
    <t>0: Broadleaf</t>
  </si>
  <si>
    <t>14:16:23</t>
  </si>
  <si>
    <t>0/0</t>
  </si>
  <si>
    <t>00000000</t>
  </si>
  <si>
    <t>iiiiiiii</t>
  </si>
  <si>
    <t>off</t>
  </si>
  <si>
    <t>20230724 14:22:50</t>
  </si>
  <si>
    <t>14:22:50</t>
  </si>
  <si>
    <t>20230724 14:22:51</t>
  </si>
  <si>
    <t>14:22:51</t>
  </si>
  <si>
    <t>20230724 14:22:52</t>
  </si>
  <si>
    <t>14:22:52</t>
  </si>
  <si>
    <t>20230724 14:27:45</t>
  </si>
  <si>
    <t>14:27:45</t>
  </si>
  <si>
    <t>20230724 14:27:55</t>
  </si>
  <si>
    <t>14:27:55</t>
  </si>
  <si>
    <t>20230724 14:28:05</t>
  </si>
  <si>
    <t>14:28:05</t>
  </si>
  <si>
    <t>20230724 14:28:15</t>
  </si>
  <si>
    <t>14:28:15</t>
  </si>
  <si>
    <t>20230724 14:28:25</t>
  </si>
  <si>
    <t>14:28:25</t>
  </si>
  <si>
    <t>20230724 14:28:35</t>
  </si>
  <si>
    <t>14:28:35</t>
  </si>
  <si>
    <t>20230724 14:28:45</t>
  </si>
  <si>
    <t>14:28:45</t>
  </si>
  <si>
    <t>20230724 14:28:55</t>
  </si>
  <si>
    <t>14:28:55</t>
  </si>
  <si>
    <t>20230724 14:29:05</t>
  </si>
  <si>
    <t>14:29:05</t>
  </si>
  <si>
    <t>20230724 14:29:15</t>
  </si>
  <si>
    <t>14:29:15</t>
  </si>
  <si>
    <t>20230724 14:29:25</t>
  </si>
  <si>
    <t>14:29:25</t>
  </si>
  <si>
    <t>20230724 14:29:35</t>
  </si>
  <si>
    <t>14:29:35</t>
  </si>
  <si>
    <t>20230724 14:29:45</t>
  </si>
  <si>
    <t>14:29:45</t>
  </si>
  <si>
    <t>20230724 14:29:55</t>
  </si>
  <si>
    <t>14:29:55</t>
  </si>
  <si>
    <t>20230724 14:30:05</t>
  </si>
  <si>
    <t>14:30:05</t>
  </si>
  <si>
    <t>20230724 14:30:15</t>
  </si>
  <si>
    <t>14:30:15</t>
  </si>
  <si>
    <t>20230724 14:30:25</t>
  </si>
  <si>
    <t>14:30:25</t>
  </si>
  <si>
    <t>20230724 14:30:35</t>
  </si>
  <si>
    <t>14:30:35</t>
  </si>
  <si>
    <t>20230724 14:30:45</t>
  </si>
  <si>
    <t>14:30:45</t>
  </si>
  <si>
    <t>20230724 14:30:55</t>
  </si>
  <si>
    <t>14:30:55</t>
  </si>
  <si>
    <t>20230724 14:31:05</t>
  </si>
  <si>
    <t>14:31:05</t>
  </si>
  <si>
    <t>20230724 14:31:15</t>
  </si>
  <si>
    <t>14:31:15</t>
  </si>
  <si>
    <t>20230724 14:31:25</t>
  </si>
  <si>
    <t>14:31:25</t>
  </si>
  <si>
    <t>20230724 14:31:35</t>
  </si>
  <si>
    <t>14:31:35</t>
  </si>
  <si>
    <t>20230724 14:31:45</t>
  </si>
  <si>
    <t>14:31:45</t>
  </si>
  <si>
    <t>20230724 14:31:55</t>
  </si>
  <si>
    <t>14:31:55</t>
  </si>
  <si>
    <t>20230724 14:32:05</t>
  </si>
  <si>
    <t>14:32:05</t>
  </si>
  <si>
    <t>20230724 14:32:15</t>
  </si>
  <si>
    <t>14:32:15</t>
  </si>
  <si>
    <t>20230724 14:32:25</t>
  </si>
  <si>
    <t>14:32:25</t>
  </si>
  <si>
    <t>20230724 14:32:35</t>
  </si>
  <si>
    <t>14:32:35</t>
  </si>
  <si>
    <t>20230724 14:32:45</t>
  </si>
  <si>
    <t>14:32:45</t>
  </si>
  <si>
    <t>20230724 14:32:55</t>
  </si>
  <si>
    <t>14:32:55</t>
  </si>
  <si>
    <t>20230724 14:33:05</t>
  </si>
  <si>
    <t>14:33:05</t>
  </si>
  <si>
    <t>20230724 14:33:15</t>
  </si>
  <si>
    <t>14:33:15</t>
  </si>
  <si>
    <t>20230724 14:33:25</t>
  </si>
  <si>
    <t>14:33:25</t>
  </si>
  <si>
    <t>20230724 14:33:35</t>
  </si>
  <si>
    <t>14:33:35</t>
  </si>
  <si>
    <t>20230724 14:33:45</t>
  </si>
  <si>
    <t>14:33:45</t>
  </si>
  <si>
    <t>20230724 14:33:55</t>
  </si>
  <si>
    <t>14:33:55</t>
  </si>
  <si>
    <t>20230724 14:34:05</t>
  </si>
  <si>
    <t>14:34:05</t>
  </si>
  <si>
    <t>20230724 14:34:15</t>
  </si>
  <si>
    <t>14:34:15</t>
  </si>
  <si>
    <t>20230724 14:34:25</t>
  </si>
  <si>
    <t>14:34:25</t>
  </si>
  <si>
    <t>20230724 14:34:35</t>
  </si>
  <si>
    <t>14:34:35</t>
  </si>
  <si>
    <t>20230724 14:34:45</t>
  </si>
  <si>
    <t>14:34:45</t>
  </si>
  <si>
    <t>20230724 14:34:55</t>
  </si>
  <si>
    <t>14:34:55</t>
  </si>
  <si>
    <t>20230724 14:35:05</t>
  </si>
  <si>
    <t>14:35:05</t>
  </si>
  <si>
    <t>20230724 14:35:15</t>
  </si>
  <si>
    <t>14:35:15</t>
  </si>
  <si>
    <t>20230724 14:35:25</t>
  </si>
  <si>
    <t>14:35:25</t>
  </si>
  <si>
    <t>20230724 14:35:35</t>
  </si>
  <si>
    <t>14:35:35</t>
  </si>
  <si>
    <t>20230724 14:35:45</t>
  </si>
  <si>
    <t>14:35:45</t>
  </si>
  <si>
    <t>20230724 14:35:55</t>
  </si>
  <si>
    <t>14:35:55</t>
  </si>
  <si>
    <t>20230724 14:36:05</t>
  </si>
  <si>
    <t>14:36:05</t>
  </si>
  <si>
    <t>20230724 14:36:15</t>
  </si>
  <si>
    <t>14:36:15</t>
  </si>
  <si>
    <t>20230724 14:36:25</t>
  </si>
  <si>
    <t>14:36:25</t>
  </si>
  <si>
    <t>20230724 14:36:35</t>
  </si>
  <si>
    <t>14:36:35</t>
  </si>
  <si>
    <t>20230724 14:36:45</t>
  </si>
  <si>
    <t>14:36:45</t>
  </si>
  <si>
    <t>20230724 14:36:55</t>
  </si>
  <si>
    <t>14:36:55</t>
  </si>
  <si>
    <t>20230724 14:37:05</t>
  </si>
  <si>
    <t>14:37:05</t>
  </si>
  <si>
    <t>20230724 14:37:15</t>
  </si>
  <si>
    <t>14:37:15</t>
  </si>
  <si>
    <t>20230724 14:37:25</t>
  </si>
  <si>
    <t>14:37:25</t>
  </si>
  <si>
    <t>20230724 14:37:35</t>
  </si>
  <si>
    <t>14:37:35</t>
  </si>
  <si>
    <t>20230724 14:37:45</t>
  </si>
  <si>
    <t>14:37:45</t>
  </si>
  <si>
    <t>20230724 14:37:55</t>
  </si>
  <si>
    <t>14:37:55</t>
  </si>
  <si>
    <t>20230724 14:38:05</t>
  </si>
  <si>
    <t>14:38:05</t>
  </si>
  <si>
    <t>20230724 14:38:15</t>
  </si>
  <si>
    <t>14:38:15</t>
  </si>
  <si>
    <t>20230724 14:38:25</t>
  </si>
  <si>
    <t>14:38:25</t>
  </si>
  <si>
    <t>20230724 14:38:35</t>
  </si>
  <si>
    <t>14:38:35</t>
  </si>
  <si>
    <t>20230724 14:38:45</t>
  </si>
  <si>
    <t>14:38:45</t>
  </si>
  <si>
    <t>20230724 14:38:55</t>
  </si>
  <si>
    <t>14:38:55</t>
  </si>
  <si>
    <t>20230724 14:39:05</t>
  </si>
  <si>
    <t>14:39:05</t>
  </si>
  <si>
    <t>20230724 14:39:15</t>
  </si>
  <si>
    <t>14:39:15</t>
  </si>
  <si>
    <t>20230724 14:39:25</t>
  </si>
  <si>
    <t>14:39:25</t>
  </si>
  <si>
    <t>20230724 14:39:35</t>
  </si>
  <si>
    <t>14:39:35</t>
  </si>
  <si>
    <t>20230724 14:39:45</t>
  </si>
  <si>
    <t>14:39:45</t>
  </si>
  <si>
    <t>20230724 14:39:55</t>
  </si>
  <si>
    <t>14:39:55</t>
  </si>
  <si>
    <t>20230724 14:40:05</t>
  </si>
  <si>
    <t>14:40:05</t>
  </si>
  <si>
    <t>20230724 14:40:15</t>
  </si>
  <si>
    <t>14:40:15</t>
  </si>
  <si>
    <t>20230724 14:40:25</t>
  </si>
  <si>
    <t>14:40:25</t>
  </si>
  <si>
    <t>20230724 14:40:35</t>
  </si>
  <si>
    <t>14:40:35</t>
  </si>
  <si>
    <t>20230724 14:40:45</t>
  </si>
  <si>
    <t>14:40:45</t>
  </si>
  <si>
    <t>20230724 14:40:55</t>
  </si>
  <si>
    <t>14:40:55</t>
  </si>
  <si>
    <t>20230724 14:41:05</t>
  </si>
  <si>
    <t>14:41:05</t>
  </si>
  <si>
    <t>20230724 14:41:15</t>
  </si>
  <si>
    <t>14:41:15</t>
  </si>
  <si>
    <t>20230724 14:41:25</t>
  </si>
  <si>
    <t>14:41:25</t>
  </si>
  <si>
    <t>20230724 14:41:35</t>
  </si>
  <si>
    <t>14:41:35</t>
  </si>
  <si>
    <t>20230724 14:41:45</t>
  </si>
  <si>
    <t>14:41:45</t>
  </si>
  <si>
    <t>20230724 14:41:55</t>
  </si>
  <si>
    <t>14:41:55</t>
  </si>
  <si>
    <t>20230724 14:42:05</t>
  </si>
  <si>
    <t>14:42:05</t>
  </si>
  <si>
    <t>20230724 14:42:15</t>
  </si>
  <si>
    <t>14:42:15</t>
  </si>
  <si>
    <t>20230724 14:42:25</t>
  </si>
  <si>
    <t>14:42:25</t>
  </si>
  <si>
    <t>20230724 14:42:35</t>
  </si>
  <si>
    <t>14:42:35</t>
  </si>
  <si>
    <t>20230724 14:42:45</t>
  </si>
  <si>
    <t>14:42:45</t>
  </si>
  <si>
    <t>20230724 14:42:55</t>
  </si>
  <si>
    <t>14:42:55</t>
  </si>
  <si>
    <t>20230724 14:43:05</t>
  </si>
  <si>
    <t>14:43:05</t>
  </si>
  <si>
    <t>20230724 14:43:15</t>
  </si>
  <si>
    <t>14:43:15</t>
  </si>
  <si>
    <t>20230724 14:43:25</t>
  </si>
  <si>
    <t>14:43:25</t>
  </si>
  <si>
    <t>20230724 14:43:35</t>
  </si>
  <si>
    <t>14:43:35</t>
  </si>
  <si>
    <t>20230724 14:43:45</t>
  </si>
  <si>
    <t>14:43:45</t>
  </si>
  <si>
    <t>20230724 14:43:55</t>
  </si>
  <si>
    <t>14:43:55</t>
  </si>
  <si>
    <t>20230724 14:44:05</t>
  </si>
  <si>
    <t>14:44:05</t>
  </si>
  <si>
    <t>20230724 14:44:15</t>
  </si>
  <si>
    <t>14:44:15</t>
  </si>
  <si>
    <t>20230724 14:44:25</t>
  </si>
  <si>
    <t>14:44:25</t>
  </si>
  <si>
    <t>20230724 14:44:35</t>
  </si>
  <si>
    <t>14:44:35</t>
  </si>
  <si>
    <t>20230724 14:44:45</t>
  </si>
  <si>
    <t>14:44:45</t>
  </si>
  <si>
    <t>20230724 14:44:55</t>
  </si>
  <si>
    <t>14:44:55</t>
  </si>
  <si>
    <t>20230724 14:45:05</t>
  </si>
  <si>
    <t>14:45:05</t>
  </si>
  <si>
    <t>20230724 14:45:15</t>
  </si>
  <si>
    <t>14:45:15</t>
  </si>
  <si>
    <t>20230724 14:45:25</t>
  </si>
  <si>
    <t>14:45:25</t>
  </si>
  <si>
    <t>20230724 14:45:35</t>
  </si>
  <si>
    <t>14:45:35</t>
  </si>
  <si>
    <t>20230724 14:45:45</t>
  </si>
  <si>
    <t>14:45:45</t>
  </si>
  <si>
    <t>20230724 14:45:55</t>
  </si>
  <si>
    <t>14:45:55</t>
  </si>
  <si>
    <t>20230724 14:46:05</t>
  </si>
  <si>
    <t>14:46:05</t>
  </si>
  <si>
    <t>20230724 14:46:15</t>
  </si>
  <si>
    <t>14:46:15</t>
  </si>
  <si>
    <t>20230724 14:46:25</t>
  </si>
  <si>
    <t>14:46:25</t>
  </si>
  <si>
    <t>20230724 14:46:35</t>
  </si>
  <si>
    <t>14:46:35</t>
  </si>
  <si>
    <t>20230724 14:46:45</t>
  </si>
  <si>
    <t>14:46:45</t>
  </si>
  <si>
    <t>20230724 14:46:55</t>
  </si>
  <si>
    <t>14:46:55</t>
  </si>
  <si>
    <t>20230724 14:47:05</t>
  </si>
  <si>
    <t>14:47:05</t>
  </si>
  <si>
    <t>20230724 14:47:15</t>
  </si>
  <si>
    <t>14:47:15</t>
  </si>
  <si>
    <t>20230724 14:47:25</t>
  </si>
  <si>
    <t>14:47:25</t>
  </si>
  <si>
    <t>20230724 14:47:35</t>
  </si>
  <si>
    <t>14:47:35</t>
  </si>
  <si>
    <t>20230724 14:47:45</t>
  </si>
  <si>
    <t>14:47:45</t>
  </si>
  <si>
    <t>20230724 14:47:55</t>
  </si>
  <si>
    <t>14:47:55</t>
  </si>
  <si>
    <t>20230724 14:48:05</t>
  </si>
  <si>
    <t>14:48:05</t>
  </si>
  <si>
    <t>20230724 14:48:15</t>
  </si>
  <si>
    <t>14:48:15</t>
  </si>
  <si>
    <t>20230724 14:48:25</t>
  </si>
  <si>
    <t>14:48:25</t>
  </si>
  <si>
    <t>20230724 14:48:35</t>
  </si>
  <si>
    <t>14:48:35</t>
  </si>
  <si>
    <t>20230724 14:48:45</t>
  </si>
  <si>
    <t>14:48:45</t>
  </si>
  <si>
    <t>20230724 14:48:55</t>
  </si>
  <si>
    <t>14:48:55</t>
  </si>
  <si>
    <t>20230724 14:49:05</t>
  </si>
  <si>
    <t>14:49:05</t>
  </si>
  <si>
    <t>20230724 14:49:15</t>
  </si>
  <si>
    <t>14:49:15</t>
  </si>
  <si>
    <t>20230724 14:49:25</t>
  </si>
  <si>
    <t>14:49:25</t>
  </si>
  <si>
    <t>20230724 14:49:35</t>
  </si>
  <si>
    <t>14:49:35</t>
  </si>
  <si>
    <t>20230724 14:49:45</t>
  </si>
  <si>
    <t>14:49:45</t>
  </si>
  <si>
    <t>20230724 14:49:55</t>
  </si>
  <si>
    <t>14:49:55</t>
  </si>
  <si>
    <t>20230724 14:50:05</t>
  </si>
  <si>
    <t>14:50:05</t>
  </si>
  <si>
    <t>20230724 14:50:15</t>
  </si>
  <si>
    <t>14:50:15</t>
  </si>
  <si>
    <t>20230724 14:50:25</t>
  </si>
  <si>
    <t>14:50:25</t>
  </si>
  <si>
    <t>20230724 14:50:35</t>
  </si>
  <si>
    <t>14:50:35</t>
  </si>
  <si>
    <t>20230724 14:50:45</t>
  </si>
  <si>
    <t>14:50:45</t>
  </si>
  <si>
    <t>20230724 14:50:55</t>
  </si>
  <si>
    <t>14:50:55</t>
  </si>
  <si>
    <t>20230724 14:51:05</t>
  </si>
  <si>
    <t>14:51:05</t>
  </si>
  <si>
    <t>20230724 14:51:15</t>
  </si>
  <si>
    <t>14:51:15</t>
  </si>
  <si>
    <t>20230724 14:51:25</t>
  </si>
  <si>
    <t>14:51:25</t>
  </si>
  <si>
    <t>20230724 14:51:35</t>
  </si>
  <si>
    <t>14:51:35</t>
  </si>
  <si>
    <t>20230724 14:51:45</t>
  </si>
  <si>
    <t>14:51:45</t>
  </si>
  <si>
    <t>20230724 14:51:55</t>
  </si>
  <si>
    <t>14:51:55</t>
  </si>
  <si>
    <t>20230724 14:52:05</t>
  </si>
  <si>
    <t>14:52:05</t>
  </si>
  <si>
    <t>20230724 14:52:15</t>
  </si>
  <si>
    <t>14:52:15</t>
  </si>
  <si>
    <t>20230724 14:52:25</t>
  </si>
  <si>
    <t>14:52:25</t>
  </si>
  <si>
    <t>20230724 14:52:35</t>
  </si>
  <si>
    <t>14:52:35</t>
  </si>
  <si>
    <t>20230724 14:52:45</t>
  </si>
  <si>
    <t>14:52:45</t>
  </si>
  <si>
    <t>20230724 14:52:55</t>
  </si>
  <si>
    <t>14:52:55</t>
  </si>
  <si>
    <t>20230724 14:53:05</t>
  </si>
  <si>
    <t>14:53:05</t>
  </si>
  <si>
    <t>20230724 14:53:15</t>
  </si>
  <si>
    <t>14:53:15</t>
  </si>
  <si>
    <t>20230724 14:53:25</t>
  </si>
  <si>
    <t>14:53:25</t>
  </si>
  <si>
    <t>20230724 14:53:35</t>
  </si>
  <si>
    <t>14:53:35</t>
  </si>
  <si>
    <t>20230724 14:53:45</t>
  </si>
  <si>
    <t>14:53:45</t>
  </si>
  <si>
    <t>20230724 14:53:55</t>
  </si>
  <si>
    <t>14:53:55</t>
  </si>
  <si>
    <t>20230724 14:54:05</t>
  </si>
  <si>
    <t>14:54:05</t>
  </si>
  <si>
    <t>20230724 14:54:15</t>
  </si>
  <si>
    <t>14:54:15</t>
  </si>
  <si>
    <t>20230724 14:54:25</t>
  </si>
  <si>
    <t>14:54:25</t>
  </si>
  <si>
    <t>20230724 14:54:35</t>
  </si>
  <si>
    <t>14:54:35</t>
  </si>
  <si>
    <t>20230724 14:54:45</t>
  </si>
  <si>
    <t>14:54:45</t>
  </si>
  <si>
    <t>20230724 14:54:55</t>
  </si>
  <si>
    <t>14:54:55</t>
  </si>
  <si>
    <t>20230724 14:55:05</t>
  </si>
  <si>
    <t>14:55:05</t>
  </si>
  <si>
    <t>20230724 14:55:15</t>
  </si>
  <si>
    <t>14:55:15</t>
  </si>
  <si>
    <t>20230724 14:55:25</t>
  </si>
  <si>
    <t>14:55:25</t>
  </si>
  <si>
    <t>20230724 14:55:35</t>
  </si>
  <si>
    <t>14:55:35</t>
  </si>
  <si>
    <t>20230724 14:55:45</t>
  </si>
  <si>
    <t>14:55:45</t>
  </si>
  <si>
    <t>20230724 14:55:55</t>
  </si>
  <si>
    <t>14:55:55</t>
  </si>
  <si>
    <t>20230724 14:56:05</t>
  </si>
  <si>
    <t>14:56:05</t>
  </si>
  <si>
    <t>20230724 14:56:15</t>
  </si>
  <si>
    <t>14:56:15</t>
  </si>
  <si>
    <t>20230724 14:56:25</t>
  </si>
  <si>
    <t>14:56:25</t>
  </si>
  <si>
    <t>20230724 14:56:35</t>
  </si>
  <si>
    <t>14:56:35</t>
  </si>
  <si>
    <t>20230724 14:56:45</t>
  </si>
  <si>
    <t>14:56:45</t>
  </si>
  <si>
    <t>20230724 14:56:55</t>
  </si>
  <si>
    <t>14:56:55</t>
  </si>
  <si>
    <t>20230724 14:57:05</t>
  </si>
  <si>
    <t>14:57:05</t>
  </si>
  <si>
    <t>20230724 14:57:15</t>
  </si>
  <si>
    <t>14:57:15</t>
  </si>
  <si>
    <t>20230724 14:57:25</t>
  </si>
  <si>
    <t>14:57:25</t>
  </si>
  <si>
    <t>20230724 14:57:35</t>
  </si>
  <si>
    <t>14:57:35</t>
  </si>
  <si>
    <t>20230724 14:57:45</t>
  </si>
  <si>
    <t>14:57:45</t>
  </si>
  <si>
    <t>20230724 14:57:55</t>
  </si>
  <si>
    <t>14:57:55</t>
  </si>
  <si>
    <t>20230724 14:58:05</t>
  </si>
  <si>
    <t>14:58:05</t>
  </si>
  <si>
    <t>20230724 14:58:15</t>
  </si>
  <si>
    <t>14:58:15</t>
  </si>
  <si>
    <t>20230724 14:58:25</t>
  </si>
  <si>
    <t>14:58:25</t>
  </si>
  <si>
    <t>20230724 14:58:35</t>
  </si>
  <si>
    <t>14:58:35</t>
  </si>
  <si>
    <t>20230724 14:58:45</t>
  </si>
  <si>
    <t>14:58:45</t>
  </si>
  <si>
    <t>20230724 14:58:55</t>
  </si>
  <si>
    <t>14:58:55</t>
  </si>
  <si>
    <t>20230724 14:59:05</t>
  </si>
  <si>
    <t>14:59:05</t>
  </si>
  <si>
    <t>20230724 14:59:15</t>
  </si>
  <si>
    <t>14:59:15</t>
  </si>
  <si>
    <t>20230724 14:59:25</t>
  </si>
  <si>
    <t>14:59:25</t>
  </si>
  <si>
    <t>20230724 14:59:35</t>
  </si>
  <si>
    <t>14:59:35</t>
  </si>
  <si>
    <t>20230724 14:59:45</t>
  </si>
  <si>
    <t>14:59:45</t>
  </si>
  <si>
    <t>20230724 14:59:55</t>
  </si>
  <si>
    <t>14:59:55</t>
  </si>
  <si>
    <t>20230724 15:00:05</t>
  </si>
  <si>
    <t>15:00:05</t>
  </si>
  <si>
    <t>20230724 15:00:15</t>
  </si>
  <si>
    <t>15:00:15</t>
  </si>
  <si>
    <t>20230724 15:00:25</t>
  </si>
  <si>
    <t>15:00:25</t>
  </si>
  <si>
    <t>20230724 15:00:35</t>
  </si>
  <si>
    <t>15:00:35</t>
  </si>
  <si>
    <t>20230724 15:00:45</t>
  </si>
  <si>
    <t>15:00:45</t>
  </si>
  <si>
    <t>20230724 15:00:55</t>
  </si>
  <si>
    <t>15:00:55</t>
  </si>
  <si>
    <t>20230724 15:01:05</t>
  </si>
  <si>
    <t>15:01:05</t>
  </si>
  <si>
    <t>20230724 15:01:15</t>
  </si>
  <si>
    <t>15:01:15</t>
  </si>
  <si>
    <t>20230724 15:01:25</t>
  </si>
  <si>
    <t>15:01:25</t>
  </si>
  <si>
    <t>20230724 15:01:35</t>
  </si>
  <si>
    <t>15:01:35</t>
  </si>
  <si>
    <t>20230724 15:01:45</t>
  </si>
  <si>
    <t>15:01:45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</si>
</sst>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1690226569.5999999</v>
      </c>
      <c r="C17">
        <v>0</v>
      </c>
      <c r="D17" t="s">
        <v>328</v>
      </c>
      <c r="E17" t="s">
        <v>329</v>
      </c>
      <c r="F17" t="s">
        <v>330</v>
      </c>
      <c r="H17">
        <v>1690226569.5999999</v>
      </c>
      <c r="I17">
        <f t="shared" ref="I17:I80" si="0">(J17)/1000</f>
        <v>1.9376839206058271E-4</v>
      </c>
      <c r="J17">
        <f t="shared" ref="J17:J80" si="1">1000*AZ17*AH17*(AV17-AW17)/(100*AO17*(1000-AH17*AV17))</f>
        <v>0.19376839206058272</v>
      </c>
      <c r="K17">
        <f t="shared" ref="K17:K80" si="2">AZ17*AH17*(AU17-AT17*(1000-AH17*AW17)/(1000-AH17*AV17))/(100*AO17)</f>
        <v>-0.73202772670890992</v>
      </c>
      <c r="L17">
        <f t="shared" ref="L17:L80" si="3">AT17 - IF(AH17&gt;1, K17*AO17*100/(AJ17*BH17), 0)</f>
        <v>806.18499999999995</v>
      </c>
      <c r="M17">
        <f t="shared" ref="M17:M80" si="4">((S17-I17/2)*L17-K17)/(S17+I17/2)</f>
        <v>865.54799415537809</v>
      </c>
      <c r="N17">
        <f t="shared" ref="N17:N80" si="5">M17*(BA17+BB17)/1000</f>
        <v>85.850197474251644</v>
      </c>
      <c r="O17">
        <f t="shared" ref="O17:O80" si="6">(AT17 - IF(AH17&gt;1, K17*AO17*100/(AJ17*BH17), 0))*(BA17+BB17)/1000</f>
        <v>79.962222682194991</v>
      </c>
      <c r="P17">
        <f t="shared" ref="P17:P80" si="7">2/((1/R17-1/Q17)+SIGN(R17)*SQRT((1/R17-1/Q17)*(1/R17-1/Q17) + 4*AP17/((AP17+1)*(AP17+1))*(2*1/R17*1/Q17-1/Q17*1/Q17)))</f>
        <v>1.5417627414906229E-2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2.1329467662398427</v>
      </c>
      <c r="R17">
        <f t="shared" ref="R17:R80" si="9">I17*(1000-(1000*0.61365*EXP(17.502*V17/(240.97+V17))/(BA17+BB17)+AV17)/2)/(1000*0.61365*EXP(17.502*V17/(240.97+V17))/(BA17+BB17)-AV17)</f>
        <v>1.5355981612259477E-2</v>
      </c>
      <c r="S17">
        <f t="shared" ref="S17:S80" si="10">1/((AP17+1)/(P17/1.6)+1/(Q17/1.37)) + AP17/((AP17+1)/(P17/1.6) + AP17/(Q17/1.37))</f>
        <v>9.6030065144753034E-3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26.838810671884289</v>
      </c>
      <c r="V17">
        <f t="shared" ref="V17:V80" si="13">($C$7*BD17+$D$7*BE17+$E$7*U17)</f>
        <v>26.838810671884289</v>
      </c>
      <c r="W17">
        <f t="shared" ref="W17:W80" si="14">0.61365*EXP(17.502*V17/(240.97+V17))</f>
        <v>3.545415299489433</v>
      </c>
      <c r="X17">
        <f t="shared" ref="X17:X80" si="15">(Y17/Z17*100)</f>
        <v>65.484276029463828</v>
      </c>
      <c r="Y17">
        <f t="shared" ref="Y17:Y80" si="16">AV17*(BA17+BB17)/1000</f>
        <v>2.3309193474734999</v>
      </c>
      <c r="Z17">
        <f t="shared" ref="Z17:Z80" si="17">0.61365*EXP(17.502*BC17/(240.97+BC17))</f>
        <v>3.559509990497157</v>
      </c>
      <c r="AA17">
        <f t="shared" ref="AA17:AA80" si="18">(W17-AV17*(BA17+BB17)/1000)</f>
        <v>1.2144959520159331</v>
      </c>
      <c r="AB17">
        <f t="shared" ref="AB17:AB80" si="19">(-I17*44100)</f>
        <v>-8.5451860898716969</v>
      </c>
      <c r="AC17">
        <f t="shared" ref="AC17:AC80" si="20">2*29.3*Q17*0.92*(BC17-V17)</f>
        <v>7.7606940839597804</v>
      </c>
      <c r="AD17">
        <f t="shared" ref="AD17:AD80" si="21">2*0.95*0.0000000567*(((BC17+$B$7)+273)^4-(V17+273)^4)</f>
        <v>0.78422723873661881</v>
      </c>
      <c r="AE17">
        <f t="shared" ref="AE17:AE80" si="22">T17+AD17+AB17+AC17</f>
        <v>-2.6476717529799743E-4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52495.175655684383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32.4</v>
      </c>
      <c r="AP17">
        <v>0.5</v>
      </c>
      <c r="AQ17" t="s">
        <v>331</v>
      </c>
      <c r="AR17">
        <v>2</v>
      </c>
      <c r="AS17">
        <v>1690226569.5999999</v>
      </c>
      <c r="AT17">
        <v>806.18499999999995</v>
      </c>
      <c r="AU17">
        <v>799.96900000000005</v>
      </c>
      <c r="AV17">
        <v>23.500499999999999</v>
      </c>
      <c r="AW17">
        <v>21.457899999999999</v>
      </c>
      <c r="AX17">
        <v>806.62800000000004</v>
      </c>
      <c r="AY17">
        <v>23.1905</v>
      </c>
      <c r="AZ17">
        <v>300.13499999999999</v>
      </c>
      <c r="BA17">
        <v>99.085999999999999</v>
      </c>
      <c r="BB17">
        <v>9.9946999999999994E-2</v>
      </c>
      <c r="BC17">
        <v>26.906300000000002</v>
      </c>
      <c r="BD17">
        <v>27.0063</v>
      </c>
      <c r="BE17">
        <v>26.877800000000001</v>
      </c>
      <c r="BF17">
        <v>0</v>
      </c>
      <c r="BG17">
        <v>0</v>
      </c>
      <c r="BH17">
        <v>10016.9</v>
      </c>
      <c r="BI17">
        <v>0.73937399999999998</v>
      </c>
      <c r="BJ17">
        <v>1.1213200000000001</v>
      </c>
      <c r="BK17">
        <v>6.2157600000000004</v>
      </c>
      <c r="BL17">
        <v>825.58600000000001</v>
      </c>
      <c r="BM17">
        <v>817.51099999999997</v>
      </c>
      <c r="BN17">
        <v>2.0425900000000001</v>
      </c>
      <c r="BO17">
        <v>799.96900000000005</v>
      </c>
      <c r="BP17">
        <v>21.457899999999999</v>
      </c>
      <c r="BQ17">
        <v>2.32857</v>
      </c>
      <c r="BR17">
        <v>2.1261800000000002</v>
      </c>
      <c r="BS17">
        <v>19.875399999999999</v>
      </c>
      <c r="BT17">
        <v>18.416599999999999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1690226183.5999999</v>
      </c>
      <c r="CC17" t="s">
        <v>332</v>
      </c>
      <c r="CD17">
        <v>1690226177.5999999</v>
      </c>
      <c r="CE17">
        <v>1690226183.5999999</v>
      </c>
      <c r="CF17">
        <v>12</v>
      </c>
      <c r="CG17">
        <v>-0.255</v>
      </c>
      <c r="CH17">
        <v>0.113</v>
      </c>
      <c r="CI17">
        <v>-0.439</v>
      </c>
      <c r="CJ17">
        <v>0.31</v>
      </c>
      <c r="CK17">
        <v>800</v>
      </c>
      <c r="CL17">
        <v>25</v>
      </c>
      <c r="CM17">
        <v>0.02</v>
      </c>
      <c r="CN17">
        <v>0.03</v>
      </c>
      <c r="CO17">
        <v>6.1132477499999993</v>
      </c>
      <c r="CP17">
        <v>0.64150998123824243</v>
      </c>
      <c r="CQ17">
        <v>7.9299399287998965E-2</v>
      </c>
      <c r="CR17">
        <v>-1</v>
      </c>
      <c r="CS17">
        <v>2.0581962499999999</v>
      </c>
      <c r="CT17">
        <v>-9.6467504690433914E-2</v>
      </c>
      <c r="CU17">
        <v>9.2977776074446763E-3</v>
      </c>
      <c r="CV17">
        <v>-1</v>
      </c>
      <c r="CW17">
        <v>0</v>
      </c>
      <c r="CX17">
        <v>0</v>
      </c>
      <c r="CY17" t="s">
        <v>333</v>
      </c>
      <c r="CZ17">
        <v>2.3642099999999999</v>
      </c>
      <c r="DA17">
        <v>2.7137500000000001</v>
      </c>
      <c r="DB17">
        <v>0.14755799999999999</v>
      </c>
      <c r="DC17">
        <v>0.146401</v>
      </c>
      <c r="DD17">
        <v>0.11181099999999999</v>
      </c>
      <c r="DE17">
        <v>0.103726</v>
      </c>
      <c r="DF17">
        <v>31128.799999999999</v>
      </c>
      <c r="DG17">
        <v>27516.2</v>
      </c>
      <c r="DH17">
        <v>31174.7</v>
      </c>
      <c r="DI17">
        <v>28088.400000000001</v>
      </c>
      <c r="DJ17">
        <v>37594.800000000003</v>
      </c>
      <c r="DK17">
        <v>35797.5</v>
      </c>
      <c r="DL17">
        <v>44366.5</v>
      </c>
      <c r="DM17">
        <v>42574.8</v>
      </c>
      <c r="DN17">
        <v>1.47298</v>
      </c>
      <c r="DO17">
        <v>2.0594999999999999</v>
      </c>
      <c r="DP17">
        <v>8.2507700000000003E-2</v>
      </c>
      <c r="DQ17">
        <v>7.1078500000000003E-2</v>
      </c>
      <c r="DR17">
        <v>25.6555</v>
      </c>
      <c r="DS17">
        <v>25.714099999999998</v>
      </c>
      <c r="DT17">
        <v>56.1</v>
      </c>
      <c r="DU17">
        <v>29.6</v>
      </c>
      <c r="DV17">
        <v>23.572500000000002</v>
      </c>
      <c r="DW17">
        <v>61.5824</v>
      </c>
      <c r="DX17">
        <v>36.666699999999999</v>
      </c>
      <c r="DY17">
        <v>1</v>
      </c>
      <c r="DZ17">
        <v>-8.6925799999999998E-2</v>
      </c>
      <c r="EA17">
        <v>-1.40456</v>
      </c>
      <c r="EB17">
        <v>20.297799999999999</v>
      </c>
      <c r="EC17">
        <v>5.2409499999999998</v>
      </c>
      <c r="ED17">
        <v>12.039899999999999</v>
      </c>
      <c r="EE17">
        <v>5.0167999999999999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1.8646400000000001</v>
      </c>
      <c r="EM17">
        <v>1.8692</v>
      </c>
      <c r="EN17">
        <v>1.8672200000000001</v>
      </c>
      <c r="EO17">
        <v>1.8633999999999999</v>
      </c>
      <c r="EP17">
        <v>1.86449</v>
      </c>
      <c r="EQ17">
        <v>1.8701399999999999</v>
      </c>
      <c r="ER17">
        <v>1.8694299999999999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-0.443</v>
      </c>
      <c r="FG17">
        <v>0.31</v>
      </c>
      <c r="FH17">
        <v>0.1121710645629533</v>
      </c>
      <c r="FI17">
        <v>-6.1462078757559423E-4</v>
      </c>
      <c r="FJ17">
        <v>-1.8861989874597051E-7</v>
      </c>
      <c r="FK17">
        <v>1.1980462299894961E-10</v>
      </c>
      <c r="FL17">
        <v>0.30996499999999833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6.5</v>
      </c>
      <c r="FU17">
        <v>6.4</v>
      </c>
      <c r="FV17">
        <v>1.79565</v>
      </c>
      <c r="FW17">
        <v>2.5830099999999998</v>
      </c>
      <c r="FX17">
        <v>1.5490699999999999</v>
      </c>
      <c r="FY17">
        <v>2.3290999999999999</v>
      </c>
      <c r="FZ17">
        <v>1.50146</v>
      </c>
      <c r="GA17">
        <v>2.3584000000000001</v>
      </c>
      <c r="GB17">
        <v>33.8735</v>
      </c>
      <c r="GC17">
        <v>24.026199999999999</v>
      </c>
      <c r="GD17">
        <v>19</v>
      </c>
      <c r="GE17">
        <v>281.62</v>
      </c>
      <c r="GF17">
        <v>602.66300000000001</v>
      </c>
      <c r="GG17">
        <v>28.5122</v>
      </c>
      <c r="GH17">
        <v>26.308599999999998</v>
      </c>
      <c r="GI17">
        <v>30.0001</v>
      </c>
      <c r="GJ17">
        <v>26.376999999999999</v>
      </c>
      <c r="GK17">
        <v>26.351900000000001</v>
      </c>
      <c r="GL17">
        <v>35.886499999999998</v>
      </c>
      <c r="GM17">
        <v>21.525400000000001</v>
      </c>
      <c r="GN17">
        <v>100</v>
      </c>
      <c r="GO17">
        <v>28.499500000000001</v>
      </c>
      <c r="GP17">
        <v>800</v>
      </c>
      <c r="GQ17">
        <v>21.438300000000002</v>
      </c>
      <c r="GR17">
        <v>99.748199999999997</v>
      </c>
      <c r="GS17">
        <v>99.594899999999996</v>
      </c>
    </row>
    <row r="18" spans="1:201" x14ac:dyDescent="0.25">
      <c r="A18">
        <v>2</v>
      </c>
      <c r="B18">
        <v>1690226570.5999999</v>
      </c>
      <c r="C18">
        <v>1</v>
      </c>
      <c r="D18" t="s">
        <v>337</v>
      </c>
      <c r="E18" t="s">
        <v>338</v>
      </c>
      <c r="F18" t="s">
        <v>330</v>
      </c>
      <c r="H18">
        <v>1690226570.5999999</v>
      </c>
      <c r="I18">
        <f t="shared" si="0"/>
        <v>1.9364438307504652E-4</v>
      </c>
      <c r="J18">
        <f t="shared" si="1"/>
        <v>0.19364438307504653</v>
      </c>
      <c r="K18">
        <f t="shared" si="2"/>
        <v>-0.73119289010700061</v>
      </c>
      <c r="L18">
        <f t="shared" si="3"/>
        <v>806.15499999999997</v>
      </c>
      <c r="M18">
        <f t="shared" si="4"/>
        <v>865.4908241862147</v>
      </c>
      <c r="N18">
        <f t="shared" si="5"/>
        <v>85.846746135193413</v>
      </c>
      <c r="O18">
        <f t="shared" si="6"/>
        <v>79.96131408520499</v>
      </c>
      <c r="P18">
        <f t="shared" si="7"/>
        <v>1.5405260166235694E-2</v>
      </c>
      <c r="Q18">
        <f t="shared" si="8"/>
        <v>2.1260442730517486</v>
      </c>
      <c r="R18">
        <f t="shared" si="9"/>
        <v>1.5343514052529799E-2</v>
      </c>
      <c r="S18">
        <f t="shared" si="10"/>
        <v>9.5952232187416914E-3</v>
      </c>
      <c r="T18">
        <f t="shared" si="11"/>
        <v>0</v>
      </c>
      <c r="U18">
        <f t="shared" si="12"/>
        <v>26.838555046871942</v>
      </c>
      <c r="V18">
        <f t="shared" si="13"/>
        <v>26.838555046871942</v>
      </c>
      <c r="W18">
        <f t="shared" si="14"/>
        <v>3.545362006688431</v>
      </c>
      <c r="X18">
        <f t="shared" si="15"/>
        <v>65.476321973644318</v>
      </c>
      <c r="Y18">
        <f t="shared" si="16"/>
        <v>2.3306225241159</v>
      </c>
      <c r="Z18">
        <f t="shared" si="17"/>
        <v>3.559489070039743</v>
      </c>
      <c r="AA18">
        <f t="shared" si="18"/>
        <v>1.2147394825725311</v>
      </c>
      <c r="AB18">
        <f t="shared" si="19"/>
        <v>-8.5397172936095505</v>
      </c>
      <c r="AC18">
        <f t="shared" si="20"/>
        <v>7.7534170981954196</v>
      </c>
      <c r="AD18">
        <f t="shared" si="21"/>
        <v>0.78603420603705254</v>
      </c>
      <c r="AE18">
        <f t="shared" si="22"/>
        <v>-2.659893770786681E-4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52197.805872606528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32.4</v>
      </c>
      <c r="AP18">
        <v>0.5</v>
      </c>
      <c r="AQ18" t="s">
        <v>331</v>
      </c>
      <c r="AR18">
        <v>2</v>
      </c>
      <c r="AS18">
        <v>1690226570.5999999</v>
      </c>
      <c r="AT18">
        <v>806.15499999999997</v>
      </c>
      <c r="AU18">
        <v>799.94899999999996</v>
      </c>
      <c r="AV18">
        <v>23.4969</v>
      </c>
      <c r="AW18">
        <v>21.456299999999999</v>
      </c>
      <c r="AX18">
        <v>806.59799999999996</v>
      </c>
      <c r="AY18">
        <v>23.186900000000001</v>
      </c>
      <c r="AZ18">
        <v>300.238</v>
      </c>
      <c r="BA18">
        <v>99.088499999999996</v>
      </c>
      <c r="BB18">
        <v>0.100011</v>
      </c>
      <c r="BC18">
        <v>26.906199999999998</v>
      </c>
      <c r="BD18">
        <v>27.0061</v>
      </c>
      <c r="BE18">
        <v>26.8749</v>
      </c>
      <c r="BF18">
        <v>0</v>
      </c>
      <c r="BG18">
        <v>0</v>
      </c>
      <c r="BH18">
        <v>9957.5</v>
      </c>
      <c r="BI18">
        <v>0.78059500000000004</v>
      </c>
      <c r="BJ18">
        <v>1.1213200000000001</v>
      </c>
      <c r="BK18">
        <v>6.2051400000000001</v>
      </c>
      <c r="BL18">
        <v>825.55200000000002</v>
      </c>
      <c r="BM18">
        <v>817.49</v>
      </c>
      <c r="BN18">
        <v>2.0405500000000001</v>
      </c>
      <c r="BO18">
        <v>799.94899999999996</v>
      </c>
      <c r="BP18">
        <v>21.456299999999999</v>
      </c>
      <c r="BQ18">
        <v>2.3282699999999998</v>
      </c>
      <c r="BR18">
        <v>2.12608</v>
      </c>
      <c r="BS18">
        <v>19.8733</v>
      </c>
      <c r="BT18">
        <v>18.415900000000001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1690226183.5999999</v>
      </c>
      <c r="CC18" t="s">
        <v>332</v>
      </c>
      <c r="CD18">
        <v>1690226177.5999999</v>
      </c>
      <c r="CE18">
        <v>1690226183.5999999</v>
      </c>
      <c r="CF18">
        <v>12</v>
      </c>
      <c r="CG18">
        <v>-0.255</v>
      </c>
      <c r="CH18">
        <v>0.113</v>
      </c>
      <c r="CI18">
        <v>-0.439</v>
      </c>
      <c r="CJ18">
        <v>0.31</v>
      </c>
      <c r="CK18">
        <v>800</v>
      </c>
      <c r="CL18">
        <v>25</v>
      </c>
      <c r="CM18">
        <v>0.02</v>
      </c>
      <c r="CN18">
        <v>0.03</v>
      </c>
      <c r="CO18">
        <v>6.1132477499999993</v>
      </c>
      <c r="CP18">
        <v>0.64150998123824243</v>
      </c>
      <c r="CQ18">
        <v>7.9299399287998965E-2</v>
      </c>
      <c r="CR18">
        <v>-1</v>
      </c>
      <c r="CS18">
        <v>2.0581962499999999</v>
      </c>
      <c r="CT18">
        <v>-9.6467504690433914E-2</v>
      </c>
      <c r="CU18">
        <v>9.2977776074446763E-3</v>
      </c>
      <c r="CV18">
        <v>-1</v>
      </c>
      <c r="CW18">
        <v>0</v>
      </c>
      <c r="CX18">
        <v>0</v>
      </c>
      <c r="CY18" t="s">
        <v>333</v>
      </c>
      <c r="CZ18">
        <v>2.3645499999999999</v>
      </c>
      <c r="DA18">
        <v>2.7137699999999998</v>
      </c>
      <c r="DB18">
        <v>0.14755799999999999</v>
      </c>
      <c r="DC18">
        <v>0.146402</v>
      </c>
      <c r="DD18">
        <v>0.111802</v>
      </c>
      <c r="DE18">
        <v>0.103723</v>
      </c>
      <c r="DF18">
        <v>31128.9</v>
      </c>
      <c r="DG18">
        <v>27516.2</v>
      </c>
      <c r="DH18">
        <v>31174.799999999999</v>
      </c>
      <c r="DI18">
        <v>28088.400000000001</v>
      </c>
      <c r="DJ18">
        <v>37595.199999999997</v>
      </c>
      <c r="DK18">
        <v>35797.699999999997</v>
      </c>
      <c r="DL18">
        <v>44366.5</v>
      </c>
      <c r="DM18">
        <v>42574.9</v>
      </c>
      <c r="DN18">
        <v>1.4730000000000001</v>
      </c>
      <c r="DO18">
        <v>2.05958</v>
      </c>
      <c r="DP18">
        <v>8.2492800000000005E-2</v>
      </c>
      <c r="DQ18">
        <v>7.0899699999999996E-2</v>
      </c>
      <c r="DR18">
        <v>25.6555</v>
      </c>
      <c r="DS18">
        <v>25.714099999999998</v>
      </c>
      <c r="DT18">
        <v>56.1</v>
      </c>
      <c r="DU18">
        <v>29.5</v>
      </c>
      <c r="DV18">
        <v>23.432400000000001</v>
      </c>
      <c r="DW18">
        <v>61.9024</v>
      </c>
      <c r="DX18">
        <v>35.244399999999999</v>
      </c>
      <c r="DY18">
        <v>1</v>
      </c>
      <c r="DZ18">
        <v>-8.6946099999999998E-2</v>
      </c>
      <c r="EA18">
        <v>-1.40587</v>
      </c>
      <c r="EB18">
        <v>20.297799999999999</v>
      </c>
      <c r="EC18">
        <v>5.2408000000000001</v>
      </c>
      <c r="ED18">
        <v>12.039899999999999</v>
      </c>
      <c r="EE18">
        <v>5.0168499999999998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1.8646400000000001</v>
      </c>
      <c r="EM18">
        <v>1.8692</v>
      </c>
      <c r="EN18">
        <v>1.8672200000000001</v>
      </c>
      <c r="EO18">
        <v>1.8633999999999999</v>
      </c>
      <c r="EP18">
        <v>1.8645</v>
      </c>
      <c r="EQ18">
        <v>1.8701399999999999</v>
      </c>
      <c r="ER18">
        <v>1.8694299999999999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-0.443</v>
      </c>
      <c r="FG18">
        <v>0.31</v>
      </c>
      <c r="FH18">
        <v>0.1121710645629533</v>
      </c>
      <c r="FI18">
        <v>-6.1462078757559423E-4</v>
      </c>
      <c r="FJ18">
        <v>-1.8861989874597051E-7</v>
      </c>
      <c r="FK18">
        <v>1.1980462299894961E-10</v>
      </c>
      <c r="FL18">
        <v>0.30996499999999833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6.5</v>
      </c>
      <c r="FU18">
        <v>6.5</v>
      </c>
      <c r="FV18">
        <v>1.79443</v>
      </c>
      <c r="FW18">
        <v>2.5793499999999998</v>
      </c>
      <c r="FX18">
        <v>1.5490699999999999</v>
      </c>
      <c r="FY18">
        <v>2.3290999999999999</v>
      </c>
      <c r="FZ18">
        <v>1.50146</v>
      </c>
      <c r="GA18">
        <v>2.4108900000000002</v>
      </c>
      <c r="GB18">
        <v>33.8735</v>
      </c>
      <c r="GC18">
        <v>24.026199999999999</v>
      </c>
      <c r="GD18">
        <v>19</v>
      </c>
      <c r="GE18">
        <v>281.63</v>
      </c>
      <c r="GF18">
        <v>602.73099999999999</v>
      </c>
      <c r="GG18">
        <v>28.507999999999999</v>
      </c>
      <c r="GH18">
        <v>26.308599999999998</v>
      </c>
      <c r="GI18">
        <v>30.0001</v>
      </c>
      <c r="GJ18">
        <v>26.376999999999999</v>
      </c>
      <c r="GK18">
        <v>26.3522</v>
      </c>
      <c r="GL18">
        <v>35.884700000000002</v>
      </c>
      <c r="GM18">
        <v>21.525400000000001</v>
      </c>
      <c r="GN18">
        <v>100</v>
      </c>
      <c r="GO18">
        <v>28.499500000000001</v>
      </c>
      <c r="GP18">
        <v>800</v>
      </c>
      <c r="GQ18">
        <v>21.4404</v>
      </c>
      <c r="GR18">
        <v>99.748400000000004</v>
      </c>
      <c r="GS18">
        <v>99.595100000000002</v>
      </c>
    </row>
    <row r="19" spans="1:201" x14ac:dyDescent="0.25">
      <c r="A19">
        <v>3</v>
      </c>
      <c r="B19">
        <v>1690226571.0999999</v>
      </c>
      <c r="C19">
        <v>1.5</v>
      </c>
      <c r="D19" t="s">
        <v>339</v>
      </c>
      <c r="E19" t="s">
        <v>340</v>
      </c>
      <c r="F19" t="s">
        <v>330</v>
      </c>
      <c r="H19">
        <v>1690226571.0999999</v>
      </c>
      <c r="I19">
        <f t="shared" si="0"/>
        <v>1.9346903427756431E-4</v>
      </c>
      <c r="J19">
        <f t="shared" si="1"/>
        <v>0.19346903427756432</v>
      </c>
      <c r="K19">
        <f t="shared" si="2"/>
        <v>-0.72910966137728983</v>
      </c>
      <c r="L19">
        <f t="shared" si="3"/>
        <v>806.15599999999995</v>
      </c>
      <c r="M19">
        <f t="shared" si="4"/>
        <v>865.34949221923523</v>
      </c>
      <c r="N19">
        <f t="shared" si="5"/>
        <v>85.83174891755634</v>
      </c>
      <c r="O19">
        <f t="shared" si="6"/>
        <v>79.96050151128</v>
      </c>
      <c r="P19">
        <f t="shared" si="7"/>
        <v>1.5390075852527515E-2</v>
      </c>
      <c r="Q19">
        <f t="shared" si="8"/>
        <v>2.1266151114241727</v>
      </c>
      <c r="R19">
        <f t="shared" si="9"/>
        <v>1.5328467607259946E-2</v>
      </c>
      <c r="S19">
        <f t="shared" si="10"/>
        <v>9.585806875375618E-3</v>
      </c>
      <c r="T19">
        <f t="shared" si="11"/>
        <v>0</v>
      </c>
      <c r="U19">
        <f t="shared" si="12"/>
        <v>26.838232747072553</v>
      </c>
      <c r="V19">
        <f t="shared" si="13"/>
        <v>26.838232747072553</v>
      </c>
      <c r="W19">
        <f t="shared" si="14"/>
        <v>3.5452948144988872</v>
      </c>
      <c r="X19">
        <f t="shared" si="15"/>
        <v>65.473770739419692</v>
      </c>
      <c r="Y19">
        <f t="shared" si="16"/>
        <v>2.3304769242660002</v>
      </c>
      <c r="Z19">
        <f t="shared" si="17"/>
        <v>3.5594053892834578</v>
      </c>
      <c r="AA19">
        <f t="shared" si="18"/>
        <v>1.214817890232887</v>
      </c>
      <c r="AB19">
        <f t="shared" si="19"/>
        <v>-8.5319844116405861</v>
      </c>
      <c r="AC19">
        <f t="shared" si="20"/>
        <v>7.7465905404801125</v>
      </c>
      <c r="AD19">
        <f t="shared" si="21"/>
        <v>0.7851284931500998</v>
      </c>
      <c r="AE19">
        <f t="shared" si="22"/>
        <v>-2.6537801037385123E-4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52222.407147897429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32.4</v>
      </c>
      <c r="AP19">
        <v>0.5</v>
      </c>
      <c r="AQ19" t="s">
        <v>331</v>
      </c>
      <c r="AR19">
        <v>2</v>
      </c>
      <c r="AS19">
        <v>1690226571.0999999</v>
      </c>
      <c r="AT19">
        <v>806.15599999999995</v>
      </c>
      <c r="AU19">
        <v>799.96900000000005</v>
      </c>
      <c r="AV19">
        <v>23.495699999999999</v>
      </c>
      <c r="AW19">
        <v>21.456299999999999</v>
      </c>
      <c r="AX19">
        <v>806.59900000000005</v>
      </c>
      <c r="AY19">
        <v>23.1858</v>
      </c>
      <c r="AZ19">
        <v>300.14299999999997</v>
      </c>
      <c r="BA19">
        <v>99.087299999999999</v>
      </c>
      <c r="BB19">
        <v>0.10008</v>
      </c>
      <c r="BC19">
        <v>26.905799999999999</v>
      </c>
      <c r="BD19">
        <v>27.006900000000002</v>
      </c>
      <c r="BE19">
        <v>26.873000000000001</v>
      </c>
      <c r="BF19">
        <v>0</v>
      </c>
      <c r="BG19">
        <v>0</v>
      </c>
      <c r="BH19">
        <v>9962.5</v>
      </c>
      <c r="BI19">
        <v>0.804844</v>
      </c>
      <c r="BJ19">
        <v>1.1213200000000001</v>
      </c>
      <c r="BK19">
        <v>6.1865199999999998</v>
      </c>
      <c r="BL19">
        <v>825.553</v>
      </c>
      <c r="BM19">
        <v>817.51</v>
      </c>
      <c r="BN19">
        <v>2.0394100000000002</v>
      </c>
      <c r="BO19">
        <v>799.96900000000005</v>
      </c>
      <c r="BP19">
        <v>21.456299999999999</v>
      </c>
      <c r="BQ19">
        <v>2.3281299999999998</v>
      </c>
      <c r="BR19">
        <v>2.1260500000000002</v>
      </c>
      <c r="BS19">
        <v>19.872399999999999</v>
      </c>
      <c r="BT19">
        <v>18.415700000000001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1690226183.5999999</v>
      </c>
      <c r="CC19" t="s">
        <v>332</v>
      </c>
      <c r="CD19">
        <v>1690226177.5999999</v>
      </c>
      <c r="CE19">
        <v>1690226183.5999999</v>
      </c>
      <c r="CF19">
        <v>12</v>
      </c>
      <c r="CG19">
        <v>-0.255</v>
      </c>
      <c r="CH19">
        <v>0.113</v>
      </c>
      <c r="CI19">
        <v>-0.439</v>
      </c>
      <c r="CJ19">
        <v>0.31</v>
      </c>
      <c r="CK19">
        <v>800</v>
      </c>
      <c r="CL19">
        <v>25</v>
      </c>
      <c r="CM19">
        <v>0.02</v>
      </c>
      <c r="CN19">
        <v>0.03</v>
      </c>
      <c r="CO19">
        <v>6.1206975609756098</v>
      </c>
      <c r="CP19">
        <v>0.71013407665503459</v>
      </c>
      <c r="CQ19">
        <v>8.2444365980071863E-2</v>
      </c>
      <c r="CR19">
        <v>-1</v>
      </c>
      <c r="CS19">
        <v>2.0561526829268288</v>
      </c>
      <c r="CT19">
        <v>-9.4065574912890318E-2</v>
      </c>
      <c r="CU19">
        <v>9.283613159201962E-3</v>
      </c>
      <c r="CV19">
        <v>-1</v>
      </c>
      <c r="CW19">
        <v>0</v>
      </c>
      <c r="CX19">
        <v>0</v>
      </c>
      <c r="CY19" t="s">
        <v>333</v>
      </c>
      <c r="CZ19">
        <v>2.3642500000000002</v>
      </c>
      <c r="DA19">
        <v>2.7138399999999998</v>
      </c>
      <c r="DB19">
        <v>0.14755699999999999</v>
      </c>
      <c r="DC19">
        <v>0.14640300000000001</v>
      </c>
      <c r="DD19">
        <v>0.11179600000000001</v>
      </c>
      <c r="DE19">
        <v>0.10372199999999999</v>
      </c>
      <c r="DF19">
        <v>31129</v>
      </c>
      <c r="DG19">
        <v>27516.2</v>
      </c>
      <c r="DH19">
        <v>31174.799999999999</v>
      </c>
      <c r="DI19">
        <v>28088.5</v>
      </c>
      <c r="DJ19">
        <v>37595.599999999999</v>
      </c>
      <c r="DK19">
        <v>35797.699999999997</v>
      </c>
      <c r="DL19">
        <v>44366.6</v>
      </c>
      <c r="DM19">
        <v>42574.8</v>
      </c>
      <c r="DN19">
        <v>1.47295</v>
      </c>
      <c r="DO19">
        <v>2.05958</v>
      </c>
      <c r="DP19">
        <v>8.2541299999999998E-2</v>
      </c>
      <c r="DQ19">
        <v>7.0788000000000004E-2</v>
      </c>
      <c r="DR19">
        <v>25.6555</v>
      </c>
      <c r="DS19">
        <v>25.714099999999998</v>
      </c>
      <c r="DT19">
        <v>56.1</v>
      </c>
      <c r="DU19">
        <v>29.5</v>
      </c>
      <c r="DV19">
        <v>23.439699999999998</v>
      </c>
      <c r="DW19">
        <v>62.132399999999997</v>
      </c>
      <c r="DX19">
        <v>36.105800000000002</v>
      </c>
      <c r="DY19">
        <v>1</v>
      </c>
      <c r="DZ19">
        <v>-8.6895299999999995E-2</v>
      </c>
      <c r="EA19">
        <v>-1.41221</v>
      </c>
      <c r="EB19">
        <v>20.297699999999999</v>
      </c>
      <c r="EC19">
        <v>5.2409499999999998</v>
      </c>
      <c r="ED19">
        <v>12.039899999999999</v>
      </c>
      <c r="EE19">
        <v>5.0168999999999997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1.8646400000000001</v>
      </c>
      <c r="EM19">
        <v>1.8691899999999999</v>
      </c>
      <c r="EN19">
        <v>1.8672200000000001</v>
      </c>
      <c r="EO19">
        <v>1.8633999999999999</v>
      </c>
      <c r="EP19">
        <v>1.86449</v>
      </c>
      <c r="EQ19">
        <v>1.8701399999999999</v>
      </c>
      <c r="ER19">
        <v>1.8694200000000001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-0.443</v>
      </c>
      <c r="FG19">
        <v>0.30990000000000001</v>
      </c>
      <c r="FH19">
        <v>0.1121710645629533</v>
      </c>
      <c r="FI19">
        <v>-6.1462078757559423E-4</v>
      </c>
      <c r="FJ19">
        <v>-1.8861989874597051E-7</v>
      </c>
      <c r="FK19">
        <v>1.1980462299894961E-10</v>
      </c>
      <c r="FL19">
        <v>0.30996499999999833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6.6</v>
      </c>
      <c r="FU19">
        <v>6.5</v>
      </c>
      <c r="FV19">
        <v>1.79443</v>
      </c>
      <c r="FW19">
        <v>2.5793499999999998</v>
      </c>
      <c r="FX19">
        <v>1.5490699999999999</v>
      </c>
      <c r="FY19">
        <v>2.3290999999999999</v>
      </c>
      <c r="FZ19">
        <v>1.50146</v>
      </c>
      <c r="GA19">
        <v>2.4108900000000002</v>
      </c>
      <c r="GB19">
        <v>33.8735</v>
      </c>
      <c r="GC19">
        <v>24.026199999999999</v>
      </c>
      <c r="GD19">
        <v>19</v>
      </c>
      <c r="GE19">
        <v>281.60899999999998</v>
      </c>
      <c r="GF19">
        <v>602.73099999999999</v>
      </c>
      <c r="GG19">
        <v>28.505800000000001</v>
      </c>
      <c r="GH19">
        <v>26.308599999999998</v>
      </c>
      <c r="GI19">
        <v>30.0001</v>
      </c>
      <c r="GJ19">
        <v>26.376999999999999</v>
      </c>
      <c r="GK19">
        <v>26.3522</v>
      </c>
      <c r="GL19">
        <v>35.884599999999999</v>
      </c>
      <c r="GM19">
        <v>21.525400000000001</v>
      </c>
      <c r="GN19">
        <v>100</v>
      </c>
      <c r="GO19">
        <v>28.489899999999999</v>
      </c>
      <c r="GP19">
        <v>800</v>
      </c>
      <c r="GQ19">
        <v>21.439699999999998</v>
      </c>
      <c r="GR19">
        <v>99.748599999999996</v>
      </c>
      <c r="GS19">
        <v>99.594999999999999</v>
      </c>
    </row>
    <row r="20" spans="1:201" x14ac:dyDescent="0.25">
      <c r="A20">
        <v>4</v>
      </c>
      <c r="B20">
        <v>1690226571.5999999</v>
      </c>
      <c r="C20">
        <v>2</v>
      </c>
      <c r="D20" t="s">
        <v>339</v>
      </c>
      <c r="E20" t="s">
        <v>340</v>
      </c>
      <c r="F20" t="s">
        <v>330</v>
      </c>
      <c r="H20">
        <v>1690226571.5999999</v>
      </c>
      <c r="I20">
        <f t="shared" si="0"/>
        <v>1.9343640562156865E-4</v>
      </c>
      <c r="J20">
        <f t="shared" si="1"/>
        <v>0.19343640562156866</v>
      </c>
      <c r="K20">
        <f t="shared" si="2"/>
        <v>-0.72908750794451627</v>
      </c>
      <c r="L20">
        <f t="shared" si="3"/>
        <v>806.178</v>
      </c>
      <c r="M20">
        <f t="shared" si="4"/>
        <v>865.38094552077814</v>
      </c>
      <c r="N20">
        <f t="shared" si="5"/>
        <v>85.834265517609694</v>
      </c>
      <c r="O20">
        <f t="shared" si="6"/>
        <v>79.962121727574001</v>
      </c>
      <c r="P20">
        <f t="shared" si="7"/>
        <v>1.5387603236904778E-2</v>
      </c>
      <c r="Q20">
        <f t="shared" si="8"/>
        <v>2.1268267511429588</v>
      </c>
      <c r="R20">
        <f t="shared" si="9"/>
        <v>1.532602084578477E-2</v>
      </c>
      <c r="S20">
        <f t="shared" si="10"/>
        <v>9.5842753405286744E-3</v>
      </c>
      <c r="T20">
        <f t="shared" si="11"/>
        <v>0</v>
      </c>
      <c r="U20">
        <f t="shared" si="12"/>
        <v>26.837450196261472</v>
      </c>
      <c r="V20">
        <f t="shared" si="13"/>
        <v>26.837450196261472</v>
      </c>
      <c r="W20">
        <f t="shared" si="14"/>
        <v>3.5451316750510959</v>
      </c>
      <c r="X20">
        <f t="shared" si="15"/>
        <v>65.472766460675714</v>
      </c>
      <c r="Y20">
        <f t="shared" si="16"/>
        <v>2.3303316050751999</v>
      </c>
      <c r="Z20">
        <f t="shared" si="17"/>
        <v>3.5592380329229631</v>
      </c>
      <c r="AA20">
        <f t="shared" si="18"/>
        <v>1.2148000699758961</v>
      </c>
      <c r="AB20">
        <f t="shared" si="19"/>
        <v>-8.5305454879111782</v>
      </c>
      <c r="AC20">
        <f t="shared" si="20"/>
        <v>7.7453607275732663</v>
      </c>
      <c r="AD20">
        <f t="shared" si="21"/>
        <v>0.78491952078213223</v>
      </c>
      <c r="AE20">
        <f t="shared" si="22"/>
        <v>-2.6523955577939518E-4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52231.638120642288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32.4</v>
      </c>
      <c r="AP20">
        <v>0.5</v>
      </c>
      <c r="AQ20" t="s">
        <v>331</v>
      </c>
      <c r="AR20">
        <v>2</v>
      </c>
      <c r="AS20">
        <v>1690226571.5999999</v>
      </c>
      <c r="AT20">
        <v>806.178</v>
      </c>
      <c r="AU20">
        <v>799.99300000000005</v>
      </c>
      <c r="AV20">
        <v>23.494399999999999</v>
      </c>
      <c r="AW20">
        <v>21.456</v>
      </c>
      <c r="AX20">
        <v>806.62099999999998</v>
      </c>
      <c r="AY20">
        <v>23.1844</v>
      </c>
      <c r="AZ20">
        <v>300.24</v>
      </c>
      <c r="BA20">
        <v>99.086600000000004</v>
      </c>
      <c r="BB20">
        <v>0.10008300000000001</v>
      </c>
      <c r="BC20">
        <v>26.905000000000001</v>
      </c>
      <c r="BD20">
        <v>27.006</v>
      </c>
      <c r="BE20">
        <v>26.873899999999999</v>
      </c>
      <c r="BF20">
        <v>0</v>
      </c>
      <c r="BG20">
        <v>0</v>
      </c>
      <c r="BH20">
        <v>9964.3799999999992</v>
      </c>
      <c r="BI20">
        <v>0.80484299999999998</v>
      </c>
      <c r="BJ20">
        <v>1.11572</v>
      </c>
      <c r="BK20">
        <v>6.1854899999999997</v>
      </c>
      <c r="BL20">
        <v>825.57399999999996</v>
      </c>
      <c r="BM20">
        <v>817.53399999999999</v>
      </c>
      <c r="BN20">
        <v>2.0383900000000001</v>
      </c>
      <c r="BO20">
        <v>799.99300000000005</v>
      </c>
      <c r="BP20">
        <v>21.456</v>
      </c>
      <c r="BQ20">
        <v>2.3279800000000002</v>
      </c>
      <c r="BR20">
        <v>2.1259999999999999</v>
      </c>
      <c r="BS20">
        <v>19.871300000000002</v>
      </c>
      <c r="BT20">
        <v>18.415299999999998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1690226183.5999999</v>
      </c>
      <c r="CC20" t="s">
        <v>332</v>
      </c>
      <c r="CD20">
        <v>1690226177.5999999</v>
      </c>
      <c r="CE20">
        <v>1690226183.5999999</v>
      </c>
      <c r="CF20">
        <v>12</v>
      </c>
      <c r="CG20">
        <v>-0.255</v>
      </c>
      <c r="CH20">
        <v>0.113</v>
      </c>
      <c r="CI20">
        <v>-0.439</v>
      </c>
      <c r="CJ20">
        <v>0.31</v>
      </c>
      <c r="CK20">
        <v>800</v>
      </c>
      <c r="CL20">
        <v>25</v>
      </c>
      <c r="CM20">
        <v>0.02</v>
      </c>
      <c r="CN20">
        <v>0.03</v>
      </c>
      <c r="CO20">
        <v>6.1206975609756098</v>
      </c>
      <c r="CP20">
        <v>0.71013407665503459</v>
      </c>
      <c r="CQ20">
        <v>8.2444365980071863E-2</v>
      </c>
      <c r="CR20">
        <v>-1</v>
      </c>
      <c r="CS20">
        <v>2.0561526829268288</v>
      </c>
      <c r="CT20">
        <v>-9.4065574912890318E-2</v>
      </c>
      <c r="CU20">
        <v>9.283613159201962E-3</v>
      </c>
      <c r="CV20">
        <v>-1</v>
      </c>
      <c r="CW20">
        <v>0</v>
      </c>
      <c r="CX20">
        <v>0</v>
      </c>
      <c r="CY20" t="s">
        <v>333</v>
      </c>
      <c r="CZ20">
        <v>2.3645800000000001</v>
      </c>
      <c r="DA20">
        <v>2.7138399999999998</v>
      </c>
      <c r="DB20">
        <v>0.14755799999999999</v>
      </c>
      <c r="DC20">
        <v>0.14640500000000001</v>
      </c>
      <c r="DD20">
        <v>0.111791</v>
      </c>
      <c r="DE20">
        <v>0.10372000000000001</v>
      </c>
      <c r="DF20">
        <v>31129</v>
      </c>
      <c r="DG20">
        <v>27516.2</v>
      </c>
      <c r="DH20">
        <v>31174.799999999999</v>
      </c>
      <c r="DI20">
        <v>28088.5</v>
      </c>
      <c r="DJ20">
        <v>37595.800000000003</v>
      </c>
      <c r="DK20">
        <v>35797.800000000003</v>
      </c>
      <c r="DL20">
        <v>44366.7</v>
      </c>
      <c r="DM20">
        <v>42574.8</v>
      </c>
      <c r="DN20">
        <v>1.4730000000000001</v>
      </c>
      <c r="DO20">
        <v>2.0595500000000002</v>
      </c>
      <c r="DP20">
        <v>8.24854E-2</v>
      </c>
      <c r="DQ20">
        <v>7.0825200000000005E-2</v>
      </c>
      <c r="DR20">
        <v>25.6555</v>
      </c>
      <c r="DS20">
        <v>25.714300000000001</v>
      </c>
      <c r="DT20">
        <v>56.1</v>
      </c>
      <c r="DU20">
        <v>29.6</v>
      </c>
      <c r="DV20">
        <v>23.5746</v>
      </c>
      <c r="DW20">
        <v>62.132399999999997</v>
      </c>
      <c r="DX20">
        <v>36.386200000000002</v>
      </c>
      <c r="DY20">
        <v>1</v>
      </c>
      <c r="DZ20">
        <v>-8.6892800000000006E-2</v>
      </c>
      <c r="EA20">
        <v>-1.41313</v>
      </c>
      <c r="EB20">
        <v>20.297699999999999</v>
      </c>
      <c r="EC20">
        <v>5.2411000000000003</v>
      </c>
      <c r="ED20">
        <v>12.039899999999999</v>
      </c>
      <c r="EE20">
        <v>5.0169499999999996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1.8646400000000001</v>
      </c>
      <c r="EM20">
        <v>1.8691899999999999</v>
      </c>
      <c r="EN20">
        <v>1.8672299999999999</v>
      </c>
      <c r="EO20">
        <v>1.8633999999999999</v>
      </c>
      <c r="EP20">
        <v>1.86449</v>
      </c>
      <c r="EQ20">
        <v>1.8701399999999999</v>
      </c>
      <c r="ER20">
        <v>1.8694200000000001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-0.443</v>
      </c>
      <c r="FG20">
        <v>0.31</v>
      </c>
      <c r="FH20">
        <v>0.1121710645629533</v>
      </c>
      <c r="FI20">
        <v>-6.1462078757559423E-4</v>
      </c>
      <c r="FJ20">
        <v>-1.8861989874597051E-7</v>
      </c>
      <c r="FK20">
        <v>1.1980462299894961E-10</v>
      </c>
      <c r="FL20">
        <v>0.30996499999999833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6.6</v>
      </c>
      <c r="FU20">
        <v>6.5</v>
      </c>
      <c r="FV20">
        <v>1.79443</v>
      </c>
      <c r="FW20">
        <v>2.5903299999999998</v>
      </c>
      <c r="FX20">
        <v>1.5490699999999999</v>
      </c>
      <c r="FY20">
        <v>2.3290999999999999</v>
      </c>
      <c r="FZ20">
        <v>1.50146</v>
      </c>
      <c r="GA20">
        <v>2.3278799999999999</v>
      </c>
      <c r="GB20">
        <v>33.8735</v>
      </c>
      <c r="GC20">
        <v>24.017499999999998</v>
      </c>
      <c r="GD20">
        <v>19</v>
      </c>
      <c r="GE20">
        <v>281.63</v>
      </c>
      <c r="GF20">
        <v>602.71</v>
      </c>
      <c r="GG20">
        <v>28.503900000000002</v>
      </c>
      <c r="GH20">
        <v>26.308599999999998</v>
      </c>
      <c r="GI20">
        <v>30.0001</v>
      </c>
      <c r="GJ20">
        <v>26.376999999999999</v>
      </c>
      <c r="GK20">
        <v>26.3522</v>
      </c>
      <c r="GL20">
        <v>35.8842</v>
      </c>
      <c r="GM20">
        <v>21.525400000000001</v>
      </c>
      <c r="GN20">
        <v>100</v>
      </c>
      <c r="GO20">
        <v>28.489899999999999</v>
      </c>
      <c r="GP20">
        <v>800</v>
      </c>
      <c r="GQ20">
        <v>21.44</v>
      </c>
      <c r="GR20">
        <v>99.748699999999999</v>
      </c>
      <c r="GS20">
        <v>99.595100000000002</v>
      </c>
    </row>
    <row r="21" spans="1:201" x14ac:dyDescent="0.25">
      <c r="A21">
        <v>5</v>
      </c>
      <c r="B21">
        <v>1690226572.0999999</v>
      </c>
      <c r="C21">
        <v>2.5</v>
      </c>
      <c r="D21" t="s">
        <v>341</v>
      </c>
      <c r="E21" t="s">
        <v>342</v>
      </c>
      <c r="F21" t="s">
        <v>330</v>
      </c>
      <c r="H21">
        <v>1690226572.0999999</v>
      </c>
      <c r="I21">
        <f t="shared" si="0"/>
        <v>1.933764021187354E-4</v>
      </c>
      <c r="J21">
        <f t="shared" si="1"/>
        <v>0.19337640211873541</v>
      </c>
      <c r="K21">
        <f t="shared" si="2"/>
        <v>-0.72930065711359515</v>
      </c>
      <c r="L21">
        <f t="shared" si="3"/>
        <v>806.17700000000002</v>
      </c>
      <c r="M21">
        <f t="shared" si="4"/>
        <v>865.42411807577162</v>
      </c>
      <c r="N21">
        <f t="shared" si="5"/>
        <v>85.839620786042531</v>
      </c>
      <c r="O21">
        <f t="shared" si="6"/>
        <v>79.963022200371</v>
      </c>
      <c r="P21">
        <f t="shared" si="7"/>
        <v>1.5383121494747774E-2</v>
      </c>
      <c r="Q21">
        <f t="shared" si="8"/>
        <v>2.1275703791934797</v>
      </c>
      <c r="R21">
        <f t="shared" si="9"/>
        <v>1.5321596312399665E-2</v>
      </c>
      <c r="S21">
        <f t="shared" si="10"/>
        <v>9.5815048993946675E-3</v>
      </c>
      <c r="T21">
        <f t="shared" si="11"/>
        <v>0</v>
      </c>
      <c r="U21">
        <f t="shared" si="12"/>
        <v>26.836692531217118</v>
      </c>
      <c r="V21">
        <f t="shared" si="13"/>
        <v>26.836692531217118</v>
      </c>
      <c r="W21">
        <f t="shared" si="14"/>
        <v>3.5449737298177855</v>
      </c>
      <c r="X21">
        <f t="shared" si="15"/>
        <v>65.471647155459436</v>
      </c>
      <c r="Y21">
        <f t="shared" si="16"/>
        <v>2.3301821998698</v>
      </c>
      <c r="Z21">
        <f t="shared" si="17"/>
        <v>3.5590706834316981</v>
      </c>
      <c r="AA21">
        <f t="shared" si="18"/>
        <v>1.2147915299479854</v>
      </c>
      <c r="AB21">
        <f t="shared" si="19"/>
        <v>-8.5278993334362312</v>
      </c>
      <c r="AC21">
        <f t="shared" si="20"/>
        <v>7.743212945262349</v>
      </c>
      <c r="AD21">
        <f t="shared" si="21"/>
        <v>0.78442148236498466</v>
      </c>
      <c r="AE21">
        <f t="shared" si="22"/>
        <v>-2.6490580889770854E-4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52263.80786960361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32.4</v>
      </c>
      <c r="AP21">
        <v>0.5</v>
      </c>
      <c r="AQ21" t="s">
        <v>331</v>
      </c>
      <c r="AR21">
        <v>2</v>
      </c>
      <c r="AS21">
        <v>1690226572.0999999</v>
      </c>
      <c r="AT21">
        <v>806.17700000000002</v>
      </c>
      <c r="AU21">
        <v>799.99</v>
      </c>
      <c r="AV21">
        <v>23.492599999999999</v>
      </c>
      <c r="AW21">
        <v>21.455100000000002</v>
      </c>
      <c r="AX21">
        <v>806.62</v>
      </c>
      <c r="AY21">
        <v>23.182600000000001</v>
      </c>
      <c r="AZ21">
        <v>300.27999999999997</v>
      </c>
      <c r="BA21">
        <v>99.087800000000001</v>
      </c>
      <c r="BB21">
        <v>0.100123</v>
      </c>
      <c r="BC21">
        <v>26.904199999999999</v>
      </c>
      <c r="BD21">
        <v>27.005199999999999</v>
      </c>
      <c r="BE21">
        <v>26.874400000000001</v>
      </c>
      <c r="BF21">
        <v>0</v>
      </c>
      <c r="BG21">
        <v>0</v>
      </c>
      <c r="BH21">
        <v>9970.6200000000008</v>
      </c>
      <c r="BI21">
        <v>0.79878000000000005</v>
      </c>
      <c r="BJ21">
        <v>1.1087100000000001</v>
      </c>
      <c r="BK21">
        <v>6.1870099999999999</v>
      </c>
      <c r="BL21">
        <v>825.572</v>
      </c>
      <c r="BM21">
        <v>817.53</v>
      </c>
      <c r="BN21">
        <v>2.0374599999999998</v>
      </c>
      <c r="BO21">
        <v>799.99</v>
      </c>
      <c r="BP21">
        <v>21.455100000000002</v>
      </c>
      <c r="BQ21">
        <v>2.3278300000000001</v>
      </c>
      <c r="BR21">
        <v>2.1259399999999999</v>
      </c>
      <c r="BS21">
        <v>19.8703</v>
      </c>
      <c r="BT21">
        <v>18.414899999999999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1690226183.5999999</v>
      </c>
      <c r="CC21" t="s">
        <v>332</v>
      </c>
      <c r="CD21">
        <v>1690226177.5999999</v>
      </c>
      <c r="CE21">
        <v>1690226183.5999999</v>
      </c>
      <c r="CF21">
        <v>12</v>
      </c>
      <c r="CG21">
        <v>-0.255</v>
      </c>
      <c r="CH21">
        <v>0.113</v>
      </c>
      <c r="CI21">
        <v>-0.439</v>
      </c>
      <c r="CJ21">
        <v>0.31</v>
      </c>
      <c r="CK21">
        <v>800</v>
      </c>
      <c r="CL21">
        <v>25</v>
      </c>
      <c r="CM21">
        <v>0.02</v>
      </c>
      <c r="CN21">
        <v>0.03</v>
      </c>
      <c r="CO21">
        <v>6.1206975609756098</v>
      </c>
      <c r="CP21">
        <v>0.71013407665503459</v>
      </c>
      <c r="CQ21">
        <v>8.2444365980071863E-2</v>
      </c>
      <c r="CR21">
        <v>-1</v>
      </c>
      <c r="CS21">
        <v>2.0561526829268288</v>
      </c>
      <c r="CT21">
        <v>-9.4065574912890318E-2</v>
      </c>
      <c r="CU21">
        <v>9.283613159201962E-3</v>
      </c>
      <c r="CV21">
        <v>-1</v>
      </c>
      <c r="CW21">
        <v>0</v>
      </c>
      <c r="CX21">
        <v>0</v>
      </c>
      <c r="CY21" t="s">
        <v>333</v>
      </c>
      <c r="CZ21">
        <v>2.3647</v>
      </c>
      <c r="DA21">
        <v>2.7138900000000001</v>
      </c>
      <c r="DB21">
        <v>0.147559</v>
      </c>
      <c r="DC21">
        <v>0.14640600000000001</v>
      </c>
      <c r="DD21">
        <v>0.111786</v>
      </c>
      <c r="DE21">
        <v>0.103718</v>
      </c>
      <c r="DF21">
        <v>31129</v>
      </c>
      <c r="DG21">
        <v>27516.2</v>
      </c>
      <c r="DH21">
        <v>31174.9</v>
      </c>
      <c r="DI21">
        <v>28088.6</v>
      </c>
      <c r="DJ21">
        <v>37596</v>
      </c>
      <c r="DK21">
        <v>35797.9</v>
      </c>
      <c r="DL21">
        <v>44366.6</v>
      </c>
      <c r="DM21">
        <v>42574.9</v>
      </c>
      <c r="DN21">
        <v>1.4730799999999999</v>
      </c>
      <c r="DO21">
        <v>2.0594700000000001</v>
      </c>
      <c r="DP21">
        <v>8.2436899999999994E-2</v>
      </c>
      <c r="DQ21">
        <v>7.0840100000000003E-2</v>
      </c>
      <c r="DR21">
        <v>25.6555</v>
      </c>
      <c r="DS21">
        <v>25.714500000000001</v>
      </c>
      <c r="DT21">
        <v>56.1</v>
      </c>
      <c r="DU21">
        <v>29.6</v>
      </c>
      <c r="DV21">
        <v>23.5718</v>
      </c>
      <c r="DW21">
        <v>62.062399999999997</v>
      </c>
      <c r="DX21">
        <v>35.3446</v>
      </c>
      <c r="DY21">
        <v>1</v>
      </c>
      <c r="DZ21">
        <v>-8.6892800000000006E-2</v>
      </c>
      <c r="EA21">
        <v>-1.41313</v>
      </c>
      <c r="EB21">
        <v>20.297699999999999</v>
      </c>
      <c r="EC21">
        <v>5.2413999999999996</v>
      </c>
      <c r="ED21">
        <v>12.039899999999999</v>
      </c>
      <c r="EE21">
        <v>5.0169499999999996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1.8689100000000001</v>
      </c>
      <c r="EL21">
        <v>1.8646400000000001</v>
      </c>
      <c r="EM21">
        <v>1.8691899999999999</v>
      </c>
      <c r="EN21">
        <v>1.8672299999999999</v>
      </c>
      <c r="EO21">
        <v>1.8633999999999999</v>
      </c>
      <c r="EP21">
        <v>1.86449</v>
      </c>
      <c r="EQ21">
        <v>1.8701399999999999</v>
      </c>
      <c r="ER21">
        <v>1.86941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-0.443</v>
      </c>
      <c r="FG21">
        <v>0.31</v>
      </c>
      <c r="FH21">
        <v>0.1121710645629533</v>
      </c>
      <c r="FI21">
        <v>-6.1462078757559423E-4</v>
      </c>
      <c r="FJ21">
        <v>-1.8861989874597051E-7</v>
      </c>
      <c r="FK21">
        <v>1.1980462299894961E-10</v>
      </c>
      <c r="FL21">
        <v>0.30996499999999833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6.6</v>
      </c>
      <c r="FU21">
        <v>6.5</v>
      </c>
      <c r="FV21">
        <v>1.79443</v>
      </c>
      <c r="FW21">
        <v>2.5842299999999998</v>
      </c>
      <c r="FX21">
        <v>1.5490699999999999</v>
      </c>
      <c r="FY21">
        <v>2.3290999999999999</v>
      </c>
      <c r="FZ21">
        <v>1.50146</v>
      </c>
      <c r="GA21">
        <v>2.34253</v>
      </c>
      <c r="GB21">
        <v>33.8735</v>
      </c>
      <c r="GC21">
        <v>24.017499999999998</v>
      </c>
      <c r="GD21">
        <v>19</v>
      </c>
      <c r="GE21">
        <v>281.66199999999998</v>
      </c>
      <c r="GF21">
        <v>602.64599999999996</v>
      </c>
      <c r="GG21">
        <v>28.502099999999999</v>
      </c>
      <c r="GH21">
        <v>26.308599999999998</v>
      </c>
      <c r="GI21">
        <v>30.0001</v>
      </c>
      <c r="GJ21">
        <v>26.376999999999999</v>
      </c>
      <c r="GK21">
        <v>26.3522</v>
      </c>
      <c r="GL21">
        <v>35.884599999999999</v>
      </c>
      <c r="GM21">
        <v>21.525400000000001</v>
      </c>
      <c r="GN21">
        <v>100</v>
      </c>
      <c r="GO21">
        <v>28.489899999999999</v>
      </c>
      <c r="GP21">
        <v>800</v>
      </c>
      <c r="GQ21">
        <v>21.4391</v>
      </c>
      <c r="GR21">
        <v>99.748699999999999</v>
      </c>
      <c r="GS21">
        <v>99.595299999999995</v>
      </c>
    </row>
    <row r="22" spans="1:201" x14ac:dyDescent="0.25">
      <c r="A22">
        <v>6</v>
      </c>
      <c r="B22">
        <v>1690226865.0999999</v>
      </c>
      <c r="C22">
        <v>295.5</v>
      </c>
      <c r="D22" t="s">
        <v>343</v>
      </c>
      <c r="E22" t="s">
        <v>344</v>
      </c>
      <c r="F22" t="s">
        <v>330</v>
      </c>
      <c r="H22">
        <v>1690226865.0999999</v>
      </c>
      <c r="I22">
        <f t="shared" si="0"/>
        <v>1.8145741791409165E-4</v>
      </c>
      <c r="J22">
        <f t="shared" si="1"/>
        <v>0.18145741791409165</v>
      </c>
      <c r="K22">
        <f t="shared" si="2"/>
        <v>-0.76167633615726771</v>
      </c>
      <c r="L22">
        <f t="shared" si="3"/>
        <v>806.64499999999998</v>
      </c>
      <c r="M22">
        <f t="shared" si="4"/>
        <v>907.66446898503489</v>
      </c>
      <c r="N22">
        <f t="shared" si="5"/>
        <v>90.02298074728678</v>
      </c>
      <c r="O22">
        <f t="shared" si="6"/>
        <v>80.003778693789997</v>
      </c>
      <c r="P22">
        <f t="shared" si="7"/>
        <v>9.6209736574930978E-3</v>
      </c>
      <c r="Q22">
        <f t="shared" si="8"/>
        <v>2.1306269747297319</v>
      </c>
      <c r="R22">
        <f t="shared" si="9"/>
        <v>9.5969032621678572E-3</v>
      </c>
      <c r="S22">
        <f t="shared" si="10"/>
        <v>6.0002221093956674E-3</v>
      </c>
      <c r="T22">
        <f t="shared" si="11"/>
        <v>276.06763143331824</v>
      </c>
      <c r="U22">
        <f t="shared" si="12"/>
        <v>29.472482892515941</v>
      </c>
      <c r="V22">
        <f t="shared" si="13"/>
        <v>29.472482892515941</v>
      </c>
      <c r="W22">
        <f t="shared" si="14"/>
        <v>4.133049375881078</v>
      </c>
      <c r="X22">
        <f t="shared" si="15"/>
        <v>63.452812191836671</v>
      </c>
      <c r="Y22">
        <f t="shared" si="16"/>
        <v>2.3187403897677998</v>
      </c>
      <c r="Z22">
        <f t="shared" si="17"/>
        <v>3.6542752159787022</v>
      </c>
      <c r="AA22">
        <f t="shared" si="18"/>
        <v>1.8143089861132782</v>
      </c>
      <c r="AB22">
        <f t="shared" si="19"/>
        <v>-8.0022721300114412</v>
      </c>
      <c r="AC22">
        <f t="shared" si="20"/>
        <v>-243.33093504586807</v>
      </c>
      <c r="AD22">
        <f t="shared" si="21"/>
        <v>-24.997332860254645</v>
      </c>
      <c r="AE22">
        <f t="shared" si="22"/>
        <v>-0.26290860281591222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52316.863076549751</v>
      </c>
      <c r="AK22">
        <f t="shared" si="26"/>
        <v>1799.69</v>
      </c>
      <c r="AL22">
        <f t="shared" si="27"/>
        <v>1498.8541129494699</v>
      </c>
      <c r="AM22">
        <f t="shared" si="28"/>
        <v>0.83284016299999997</v>
      </c>
      <c r="AN22">
        <f t="shared" si="29"/>
        <v>0.15339732478000001</v>
      </c>
      <c r="AO22">
        <v>32.4</v>
      </c>
      <c r="AP22">
        <v>0.5</v>
      </c>
      <c r="AQ22" t="s">
        <v>331</v>
      </c>
      <c r="AR22">
        <v>2</v>
      </c>
      <c r="AS22">
        <v>1690226865.0999999</v>
      </c>
      <c r="AT22">
        <v>806.64499999999998</v>
      </c>
      <c r="AU22">
        <v>800.005</v>
      </c>
      <c r="AV22">
        <v>23.378900000000002</v>
      </c>
      <c r="AW22">
        <v>21.4665</v>
      </c>
      <c r="AX22">
        <v>807.08900000000006</v>
      </c>
      <c r="AY22">
        <v>23.068999999999999</v>
      </c>
      <c r="AZ22">
        <v>300.23899999999998</v>
      </c>
      <c r="BA22">
        <v>99.0809</v>
      </c>
      <c r="BB22">
        <v>0.10000199999999999</v>
      </c>
      <c r="BC22">
        <v>27.354099999999999</v>
      </c>
      <c r="BD22">
        <v>27.7944</v>
      </c>
      <c r="BE22">
        <v>28.5441</v>
      </c>
      <c r="BF22">
        <v>0</v>
      </c>
      <c r="BG22">
        <v>0</v>
      </c>
      <c r="BH22">
        <v>9997.5</v>
      </c>
      <c r="BI22">
        <v>1074.33</v>
      </c>
      <c r="BJ22">
        <v>1.2278500000000001</v>
      </c>
      <c r="BK22">
        <v>6.6397700000000004</v>
      </c>
      <c r="BL22">
        <v>825.95500000000004</v>
      </c>
      <c r="BM22">
        <v>817.55499999999995</v>
      </c>
      <c r="BN22">
        <v>1.91239</v>
      </c>
      <c r="BO22">
        <v>800.005</v>
      </c>
      <c r="BP22">
        <v>21.4665</v>
      </c>
      <c r="BQ22">
        <v>2.3163999999999998</v>
      </c>
      <c r="BR22">
        <v>2.1269200000000001</v>
      </c>
      <c r="BS22">
        <v>19.790900000000001</v>
      </c>
      <c r="BT22">
        <v>18.4223</v>
      </c>
      <c r="BU22">
        <v>1799.69</v>
      </c>
      <c r="BV22">
        <v>0.91000199999999998</v>
      </c>
      <c r="BW22">
        <v>3.39992E-2</v>
      </c>
      <c r="BX22">
        <v>2.1998899999999998E-2</v>
      </c>
      <c r="BY22">
        <v>3.4000000000000002E-2</v>
      </c>
      <c r="BZ22">
        <v>26</v>
      </c>
      <c r="CA22">
        <v>33522.6</v>
      </c>
      <c r="CB22">
        <v>1690226183.5999999</v>
      </c>
      <c r="CC22" t="s">
        <v>332</v>
      </c>
      <c r="CD22">
        <v>1690226177.5999999</v>
      </c>
      <c r="CE22">
        <v>1690226183.5999999</v>
      </c>
      <c r="CF22">
        <v>12</v>
      </c>
      <c r="CG22">
        <v>-0.255</v>
      </c>
      <c r="CH22">
        <v>0.113</v>
      </c>
      <c r="CI22">
        <v>-0.439</v>
      </c>
      <c r="CJ22">
        <v>0.31</v>
      </c>
      <c r="CK22">
        <v>800</v>
      </c>
      <c r="CL22">
        <v>25</v>
      </c>
      <c r="CM22">
        <v>0.02</v>
      </c>
      <c r="CN22">
        <v>0.03</v>
      </c>
      <c r="CO22">
        <v>6.9608490243902423</v>
      </c>
      <c r="CP22">
        <v>-0.37053198606270898</v>
      </c>
      <c r="CQ22">
        <v>8.2312328294685599E-2</v>
      </c>
      <c r="CR22">
        <v>-1</v>
      </c>
      <c r="CS22">
        <v>1.869223414634146</v>
      </c>
      <c r="CT22">
        <v>9.8934982578394906E-2</v>
      </c>
      <c r="CU22">
        <v>1.222971383701987E-2</v>
      </c>
      <c r="CV22">
        <v>-1</v>
      </c>
      <c r="CW22">
        <v>0</v>
      </c>
      <c r="CX22">
        <v>0</v>
      </c>
      <c r="CY22" t="s">
        <v>333</v>
      </c>
      <c r="CZ22">
        <v>2.3645399999999999</v>
      </c>
      <c r="DA22">
        <v>2.7137899999999999</v>
      </c>
      <c r="DB22">
        <v>0.147587</v>
      </c>
      <c r="DC22">
        <v>0.14638100000000001</v>
      </c>
      <c r="DD22">
        <v>0.11137900000000001</v>
      </c>
      <c r="DE22">
        <v>0.103738</v>
      </c>
      <c r="DF22">
        <v>31127</v>
      </c>
      <c r="DG22">
        <v>27515.9</v>
      </c>
      <c r="DH22">
        <v>31174</v>
      </c>
      <c r="DI22">
        <v>28087.599999999999</v>
      </c>
      <c r="DJ22">
        <v>37612.300000000003</v>
      </c>
      <c r="DK22">
        <v>35796</v>
      </c>
      <c r="DL22">
        <v>44365.3</v>
      </c>
      <c r="DM22">
        <v>42573.599999999999</v>
      </c>
      <c r="DN22">
        <v>1.47505</v>
      </c>
      <c r="DO22">
        <v>2.0590700000000002</v>
      </c>
      <c r="DP22">
        <v>0.12584000000000001</v>
      </c>
      <c r="DQ22">
        <v>0.16733999999999999</v>
      </c>
      <c r="DR22">
        <v>25.735700000000001</v>
      </c>
      <c r="DS22">
        <v>25.808299999999999</v>
      </c>
      <c r="DT22">
        <v>56.9</v>
      </c>
      <c r="DU22">
        <v>29.4</v>
      </c>
      <c r="DV22">
        <v>23.6387</v>
      </c>
      <c r="DW22">
        <v>61.712400000000002</v>
      </c>
      <c r="DX22">
        <v>35.1843</v>
      </c>
      <c r="DY22">
        <v>1</v>
      </c>
      <c r="DZ22">
        <v>-8.4148899999999999E-2</v>
      </c>
      <c r="EA22">
        <v>-1.4955000000000001</v>
      </c>
      <c r="EB22">
        <v>20.181699999999999</v>
      </c>
      <c r="EC22">
        <v>5.2401999999999997</v>
      </c>
      <c r="ED22">
        <v>12.039899999999999</v>
      </c>
      <c r="EE22">
        <v>5.0168499999999998</v>
      </c>
      <c r="EF22">
        <v>3.2879499999999999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1.8691899999999999</v>
      </c>
      <c r="EN22">
        <v>1.8672299999999999</v>
      </c>
      <c r="EO22">
        <v>1.8633900000000001</v>
      </c>
      <c r="EP22">
        <v>1.86449</v>
      </c>
      <c r="EQ22">
        <v>1.87012</v>
      </c>
      <c r="ER22">
        <v>1.86937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-0.44400000000000001</v>
      </c>
      <c r="FG22">
        <v>0.30990000000000001</v>
      </c>
      <c r="FH22">
        <v>0.1121710645629533</v>
      </c>
      <c r="FI22">
        <v>-6.1462078757559423E-4</v>
      </c>
      <c r="FJ22">
        <v>-1.8861989874597051E-7</v>
      </c>
      <c r="FK22">
        <v>1.1980462299894961E-10</v>
      </c>
      <c r="FL22">
        <v>0.30996499999999833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11.5</v>
      </c>
      <c r="FU22">
        <v>11.4</v>
      </c>
      <c r="FV22">
        <v>1.79565</v>
      </c>
      <c r="FW22">
        <v>2.5805699999999998</v>
      </c>
      <c r="FX22">
        <v>1.5490699999999999</v>
      </c>
      <c r="FY22">
        <v>2.3290999999999999</v>
      </c>
      <c r="FZ22">
        <v>1.50024</v>
      </c>
      <c r="GA22">
        <v>2.4133300000000002</v>
      </c>
      <c r="GB22">
        <v>33.850900000000003</v>
      </c>
      <c r="GC22">
        <v>23.982399999999998</v>
      </c>
      <c r="GD22">
        <v>19</v>
      </c>
      <c r="GE22">
        <v>282.71800000000002</v>
      </c>
      <c r="GF22">
        <v>602.87400000000002</v>
      </c>
      <c r="GG22">
        <v>28.514099999999999</v>
      </c>
      <c r="GH22">
        <v>26.346900000000002</v>
      </c>
      <c r="GI22">
        <v>29.9999</v>
      </c>
      <c r="GJ22">
        <v>26.425799999999999</v>
      </c>
      <c r="GK22">
        <v>26.4008</v>
      </c>
      <c r="GL22">
        <v>35.897399999999998</v>
      </c>
      <c r="GM22">
        <v>20.075600000000001</v>
      </c>
      <c r="GN22">
        <v>100</v>
      </c>
      <c r="GO22">
        <v>28.512499999999999</v>
      </c>
      <c r="GP22">
        <v>800</v>
      </c>
      <c r="GQ22">
        <v>21.6648</v>
      </c>
      <c r="GR22">
        <v>99.745800000000003</v>
      </c>
      <c r="GS22">
        <v>99.592100000000002</v>
      </c>
    </row>
    <row r="23" spans="1:201" x14ac:dyDescent="0.25">
      <c r="A23">
        <v>7</v>
      </c>
      <c r="B23">
        <v>1690226875.0999999</v>
      </c>
      <c r="C23">
        <v>305.5</v>
      </c>
      <c r="D23" t="s">
        <v>345</v>
      </c>
      <c r="E23" t="s">
        <v>346</v>
      </c>
      <c r="F23" t="s">
        <v>330</v>
      </c>
      <c r="H23">
        <v>1690226875.0999999</v>
      </c>
      <c r="I23">
        <f t="shared" si="0"/>
        <v>1.6733431935934802E-4</v>
      </c>
      <c r="J23">
        <f t="shared" si="1"/>
        <v>0.167334319359348</v>
      </c>
      <c r="K23">
        <f t="shared" si="2"/>
        <v>-0.68356828608853382</v>
      </c>
      <c r="L23">
        <f t="shared" si="3"/>
        <v>805.71799999999996</v>
      </c>
      <c r="M23">
        <f t="shared" si="4"/>
        <v>906.52893773760911</v>
      </c>
      <c r="N23">
        <f t="shared" si="5"/>
        <v>89.909059675131971</v>
      </c>
      <c r="O23">
        <f t="shared" si="6"/>
        <v>79.910684290031796</v>
      </c>
      <c r="P23">
        <f t="shared" si="7"/>
        <v>8.5918658726293375E-3</v>
      </c>
      <c r="Q23">
        <f t="shared" si="8"/>
        <v>2.1295176187433587</v>
      </c>
      <c r="R23">
        <f t="shared" si="9"/>
        <v>8.57265392944658E-3</v>
      </c>
      <c r="S23">
        <f t="shared" si="10"/>
        <v>5.3596312093051454E-3</v>
      </c>
      <c r="T23">
        <f t="shared" si="11"/>
        <v>276.10695782594337</v>
      </c>
      <c r="U23">
        <f t="shared" si="12"/>
        <v>29.767452585686616</v>
      </c>
      <c r="V23">
        <f t="shared" si="13"/>
        <v>29.767452585686616</v>
      </c>
      <c r="W23">
        <f t="shared" si="14"/>
        <v>4.2038716791882793</v>
      </c>
      <c r="X23">
        <f t="shared" si="15"/>
        <v>62.736916224569541</v>
      </c>
      <c r="Y23">
        <f t="shared" si="16"/>
        <v>2.3317192599980103</v>
      </c>
      <c r="Z23">
        <f t="shared" si="17"/>
        <v>3.7166622147182355</v>
      </c>
      <c r="AA23">
        <f t="shared" si="18"/>
        <v>1.872152419190269</v>
      </c>
      <c r="AB23">
        <f t="shared" si="19"/>
        <v>-7.3794434837472478</v>
      </c>
      <c r="AC23">
        <f t="shared" si="20"/>
        <v>-243.85515758369658</v>
      </c>
      <c r="AD23">
        <f t="shared" si="21"/>
        <v>-25.137186108881551</v>
      </c>
      <c r="AE23">
        <f t="shared" si="22"/>
        <v>-0.26482935038202982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52218.791678240028</v>
      </c>
      <c r="AK23">
        <f t="shared" si="26"/>
        <v>1799.94</v>
      </c>
      <c r="AL23">
        <f t="shared" si="27"/>
        <v>1499.06600926734</v>
      </c>
      <c r="AM23">
        <f t="shared" si="28"/>
        <v>0.832842211</v>
      </c>
      <c r="AN23">
        <f t="shared" si="29"/>
        <v>0.15339786760999999</v>
      </c>
      <c r="AO23">
        <v>32.4</v>
      </c>
      <c r="AP23">
        <v>0.5</v>
      </c>
      <c r="AQ23" t="s">
        <v>331</v>
      </c>
      <c r="AR23">
        <v>2</v>
      </c>
      <c r="AS23">
        <v>1690226875.0999999</v>
      </c>
      <c r="AT23">
        <v>805.71799999999996</v>
      </c>
      <c r="AU23">
        <v>799.79499999999996</v>
      </c>
      <c r="AV23">
        <v>23.510100000000001</v>
      </c>
      <c r="AW23">
        <v>21.746400000000001</v>
      </c>
      <c r="AX23">
        <v>806.16099999999994</v>
      </c>
      <c r="AY23">
        <v>23.200099999999999</v>
      </c>
      <c r="AZ23">
        <v>300.17399999999998</v>
      </c>
      <c r="BA23">
        <v>99.079599999999999</v>
      </c>
      <c r="BB23">
        <v>9.9870100000000003E-2</v>
      </c>
      <c r="BC23">
        <v>27.6434</v>
      </c>
      <c r="BD23">
        <v>28.347999999999999</v>
      </c>
      <c r="BE23">
        <v>29.434999999999999</v>
      </c>
      <c r="BF23">
        <v>0</v>
      </c>
      <c r="BG23">
        <v>0</v>
      </c>
      <c r="BH23">
        <v>9988.1200000000008</v>
      </c>
      <c r="BI23">
        <v>1077.5</v>
      </c>
      <c r="BJ23">
        <v>1.2334499999999999</v>
      </c>
      <c r="BK23">
        <v>5.9232199999999997</v>
      </c>
      <c r="BL23">
        <v>825.11699999999996</v>
      </c>
      <c r="BM23">
        <v>817.57399999999996</v>
      </c>
      <c r="BN23">
        <v>1.7636099999999999</v>
      </c>
      <c r="BO23">
        <v>799.79499999999996</v>
      </c>
      <c r="BP23">
        <v>21.746400000000001</v>
      </c>
      <c r="BQ23">
        <v>2.3293699999999999</v>
      </c>
      <c r="BR23">
        <v>2.15463</v>
      </c>
      <c r="BS23">
        <v>19.8809</v>
      </c>
      <c r="BT23">
        <v>18.628900000000002</v>
      </c>
      <c r="BU23">
        <v>1799.94</v>
      </c>
      <c r="BV23">
        <v>0.91000999999999999</v>
      </c>
      <c r="BW23">
        <v>3.3994000000000003E-2</v>
      </c>
      <c r="BX23">
        <v>2.2007800000000001E-2</v>
      </c>
      <c r="BY23">
        <v>3.3988299999999999E-2</v>
      </c>
      <c r="BZ23">
        <v>26</v>
      </c>
      <c r="CA23">
        <v>33527.199999999997</v>
      </c>
      <c r="CB23">
        <v>1690226183.5999999</v>
      </c>
      <c r="CC23" t="s">
        <v>332</v>
      </c>
      <c r="CD23">
        <v>1690226177.5999999</v>
      </c>
      <c r="CE23">
        <v>1690226183.5999999</v>
      </c>
      <c r="CF23">
        <v>12</v>
      </c>
      <c r="CG23">
        <v>-0.255</v>
      </c>
      <c r="CH23">
        <v>0.113</v>
      </c>
      <c r="CI23">
        <v>-0.439</v>
      </c>
      <c r="CJ23">
        <v>0.31</v>
      </c>
      <c r="CK23">
        <v>800</v>
      </c>
      <c r="CL23">
        <v>25</v>
      </c>
      <c r="CM23">
        <v>0.02</v>
      </c>
      <c r="CN23">
        <v>0.03</v>
      </c>
      <c r="CO23">
        <v>6.6693109756097551</v>
      </c>
      <c r="CP23">
        <v>-3.4343690592334442</v>
      </c>
      <c r="CQ23">
        <v>0.34860986913394282</v>
      </c>
      <c r="CR23">
        <v>-1</v>
      </c>
      <c r="CS23">
        <v>1.881153414634146</v>
      </c>
      <c r="CT23">
        <v>3.7840975609760713E-2</v>
      </c>
      <c r="CU23">
        <v>2.5558184561826201E-2</v>
      </c>
      <c r="CV23">
        <v>-1</v>
      </c>
      <c r="CW23">
        <v>0</v>
      </c>
      <c r="CX23">
        <v>0</v>
      </c>
      <c r="CY23" t="s">
        <v>333</v>
      </c>
      <c r="CZ23">
        <v>2.3643100000000001</v>
      </c>
      <c r="DA23">
        <v>2.7136499999999999</v>
      </c>
      <c r="DB23">
        <v>0.14747499999999999</v>
      </c>
      <c r="DC23">
        <v>0.14635999999999999</v>
      </c>
      <c r="DD23">
        <v>0.11182300000000001</v>
      </c>
      <c r="DE23">
        <v>0.104686</v>
      </c>
      <c r="DF23">
        <v>31131</v>
      </c>
      <c r="DG23">
        <v>27516.3</v>
      </c>
      <c r="DH23">
        <v>31174</v>
      </c>
      <c r="DI23">
        <v>28087.3</v>
      </c>
      <c r="DJ23">
        <v>37593.4</v>
      </c>
      <c r="DK23">
        <v>35757.800000000003</v>
      </c>
      <c r="DL23">
        <v>44365.3</v>
      </c>
      <c r="DM23">
        <v>42573.3</v>
      </c>
      <c r="DN23">
        <v>1.4722200000000001</v>
      </c>
      <c r="DO23">
        <v>2.05965</v>
      </c>
      <c r="DP23">
        <v>0.15657399999999999</v>
      </c>
      <c r="DQ23">
        <v>0.22009000000000001</v>
      </c>
      <c r="DR23">
        <v>25.787700000000001</v>
      </c>
      <c r="DS23">
        <v>25.839300000000001</v>
      </c>
      <c r="DT23">
        <v>57</v>
      </c>
      <c r="DU23">
        <v>29.4</v>
      </c>
      <c r="DV23">
        <v>23.678999999999998</v>
      </c>
      <c r="DW23">
        <v>61.912399999999998</v>
      </c>
      <c r="DX23">
        <v>35.9816</v>
      </c>
      <c r="DY23">
        <v>1</v>
      </c>
      <c r="DZ23">
        <v>-7.7898899999999993E-2</v>
      </c>
      <c r="EA23">
        <v>4.6208099999999996</v>
      </c>
      <c r="EB23">
        <v>20.096699999999998</v>
      </c>
      <c r="EC23">
        <v>5.2400500000000001</v>
      </c>
      <c r="ED23">
        <v>12.039899999999999</v>
      </c>
      <c r="EE23">
        <v>5.0169499999999996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1.8646100000000001</v>
      </c>
      <c r="EM23">
        <v>1.8691899999999999</v>
      </c>
      <c r="EN23">
        <v>1.8672200000000001</v>
      </c>
      <c r="EO23">
        <v>1.8633999999999999</v>
      </c>
      <c r="EP23">
        <v>1.8644700000000001</v>
      </c>
      <c r="EQ23">
        <v>1.87012</v>
      </c>
      <c r="ER23">
        <v>1.86938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-0.443</v>
      </c>
      <c r="FG23">
        <v>0.31</v>
      </c>
      <c r="FH23">
        <v>0.1121710645629533</v>
      </c>
      <c r="FI23">
        <v>-6.1462078757559423E-4</v>
      </c>
      <c r="FJ23">
        <v>-1.8861989874597051E-7</v>
      </c>
      <c r="FK23">
        <v>1.1980462299894961E-10</v>
      </c>
      <c r="FL23">
        <v>0.30996499999999833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11.6</v>
      </c>
      <c r="FU23">
        <v>11.5</v>
      </c>
      <c r="FV23">
        <v>1.79565</v>
      </c>
      <c r="FW23">
        <v>2.5842299999999998</v>
      </c>
      <c r="FX23">
        <v>1.5490699999999999</v>
      </c>
      <c r="FY23">
        <v>2.3290999999999999</v>
      </c>
      <c r="FZ23">
        <v>1.50146</v>
      </c>
      <c r="GA23">
        <v>2.3852500000000001</v>
      </c>
      <c r="GB23">
        <v>33.850900000000003</v>
      </c>
      <c r="GC23">
        <v>23.9649</v>
      </c>
      <c r="GD23">
        <v>19</v>
      </c>
      <c r="GE23">
        <v>281.52499999999998</v>
      </c>
      <c r="GF23">
        <v>603.38800000000003</v>
      </c>
      <c r="GG23">
        <v>27.4132</v>
      </c>
      <c r="GH23">
        <v>26.348600000000001</v>
      </c>
      <c r="GI23">
        <v>30.004200000000001</v>
      </c>
      <c r="GJ23">
        <v>26.428000000000001</v>
      </c>
      <c r="GK23">
        <v>26.402999999999999</v>
      </c>
      <c r="GL23">
        <v>35.909199999999998</v>
      </c>
      <c r="GM23">
        <v>17.3629</v>
      </c>
      <c r="GN23">
        <v>100</v>
      </c>
      <c r="GO23">
        <v>26.758299999999998</v>
      </c>
      <c r="GP23">
        <v>800</v>
      </c>
      <c r="GQ23">
        <v>22.096800000000002</v>
      </c>
      <c r="GR23">
        <v>99.745800000000003</v>
      </c>
      <c r="GS23">
        <v>99.591200000000001</v>
      </c>
    </row>
    <row r="24" spans="1:201" x14ac:dyDescent="0.25">
      <c r="A24">
        <v>8</v>
      </c>
      <c r="B24">
        <v>1690226885.0999999</v>
      </c>
      <c r="C24">
        <v>315.5</v>
      </c>
      <c r="D24" t="s">
        <v>347</v>
      </c>
      <c r="E24" t="s">
        <v>348</v>
      </c>
      <c r="F24" t="s">
        <v>330</v>
      </c>
      <c r="H24">
        <v>1690226885.0999999</v>
      </c>
      <c r="I24">
        <f t="shared" si="0"/>
        <v>1.4715332495073135E-4</v>
      </c>
      <c r="J24">
        <f t="shared" si="1"/>
        <v>0.14715332495073136</v>
      </c>
      <c r="K24">
        <f t="shared" si="2"/>
        <v>-0.60098737913923372</v>
      </c>
      <c r="L24">
        <f t="shared" si="3"/>
        <v>805.16899999999998</v>
      </c>
      <c r="M24">
        <f t="shared" si="4"/>
        <v>904.56996190576604</v>
      </c>
      <c r="N24">
        <f t="shared" si="5"/>
        <v>89.715337921955125</v>
      </c>
      <c r="O24">
        <f t="shared" si="6"/>
        <v>79.856740729146495</v>
      </c>
      <c r="P24">
        <f t="shared" si="7"/>
        <v>7.6619686989784436E-3</v>
      </c>
      <c r="Q24">
        <f t="shared" si="8"/>
        <v>2.1276270741862024</v>
      </c>
      <c r="R24">
        <f t="shared" si="9"/>
        <v>7.6466727839572656E-3</v>
      </c>
      <c r="S24">
        <f t="shared" si="10"/>
        <v>4.780542195040322E-3</v>
      </c>
      <c r="T24">
        <f t="shared" si="11"/>
        <v>276.10531124083144</v>
      </c>
      <c r="U24">
        <f t="shared" si="12"/>
        <v>29.681479331627457</v>
      </c>
      <c r="V24">
        <f t="shared" si="13"/>
        <v>29.681479331627457</v>
      </c>
      <c r="W24">
        <f t="shared" si="14"/>
        <v>4.1831210788982052</v>
      </c>
      <c r="X24">
        <f t="shared" si="15"/>
        <v>63.235069927421293</v>
      </c>
      <c r="Y24">
        <f t="shared" si="16"/>
        <v>2.3372286112017502</v>
      </c>
      <c r="Z24">
        <f t="shared" si="17"/>
        <v>3.696095558816221</v>
      </c>
      <c r="AA24">
        <f t="shared" si="18"/>
        <v>1.845892467696455</v>
      </c>
      <c r="AB24">
        <f t="shared" si="19"/>
        <v>-6.489461630327253</v>
      </c>
      <c r="AC24">
        <f t="shared" si="20"/>
        <v>-244.66260678853985</v>
      </c>
      <c r="AD24">
        <f t="shared" si="21"/>
        <v>-25.22013994730434</v>
      </c>
      <c r="AE24">
        <f t="shared" si="22"/>
        <v>-0.26689712533999455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52154.040001409136</v>
      </c>
      <c r="AK24">
        <f t="shared" si="26"/>
        <v>1799.94</v>
      </c>
      <c r="AL24">
        <f t="shared" si="27"/>
        <v>1499.0626793783399</v>
      </c>
      <c r="AM24">
        <f t="shared" si="28"/>
        <v>0.83284036099999992</v>
      </c>
      <c r="AN24">
        <f t="shared" si="29"/>
        <v>0.15339695281000001</v>
      </c>
      <c r="AO24">
        <v>32.4</v>
      </c>
      <c r="AP24">
        <v>0.5</v>
      </c>
      <c r="AQ24" t="s">
        <v>331</v>
      </c>
      <c r="AR24">
        <v>2</v>
      </c>
      <c r="AS24">
        <v>1690226885.0999999</v>
      </c>
      <c r="AT24">
        <v>805.16899999999998</v>
      </c>
      <c r="AU24">
        <v>799.96199999999999</v>
      </c>
      <c r="AV24">
        <v>23.5655</v>
      </c>
      <c r="AW24">
        <v>22.014900000000001</v>
      </c>
      <c r="AX24">
        <v>805.61199999999997</v>
      </c>
      <c r="AY24">
        <v>23.255600000000001</v>
      </c>
      <c r="AZ24">
        <v>300.233</v>
      </c>
      <c r="BA24">
        <v>99.080100000000002</v>
      </c>
      <c r="BB24">
        <v>9.9998500000000004E-2</v>
      </c>
      <c r="BC24">
        <v>27.548500000000001</v>
      </c>
      <c r="BD24">
        <v>28.352699999999999</v>
      </c>
      <c r="BE24">
        <v>29.541399999999999</v>
      </c>
      <c r="BF24">
        <v>0</v>
      </c>
      <c r="BG24">
        <v>0</v>
      </c>
      <c r="BH24">
        <v>9971.8799999999992</v>
      </c>
      <c r="BI24">
        <v>1079.29</v>
      </c>
      <c r="BJ24">
        <v>1.2783100000000001</v>
      </c>
      <c r="BK24">
        <v>5.2068500000000002</v>
      </c>
      <c r="BL24">
        <v>824.601</v>
      </c>
      <c r="BM24">
        <v>817.97</v>
      </c>
      <c r="BN24">
        <v>1.55067</v>
      </c>
      <c r="BO24">
        <v>799.96199999999999</v>
      </c>
      <c r="BP24">
        <v>22.014900000000001</v>
      </c>
      <c r="BQ24">
        <v>2.3348800000000001</v>
      </c>
      <c r="BR24">
        <v>2.1812399999999998</v>
      </c>
      <c r="BS24">
        <v>19.9191</v>
      </c>
      <c r="BT24">
        <v>18.825199999999999</v>
      </c>
      <c r="BU24">
        <v>1799.94</v>
      </c>
      <c r="BV24">
        <v>0.91000999999999999</v>
      </c>
      <c r="BW24">
        <v>3.3996800000000001E-2</v>
      </c>
      <c r="BX24">
        <v>2.1994799999999998E-2</v>
      </c>
      <c r="BY24">
        <v>3.3998300000000002E-2</v>
      </c>
      <c r="BZ24">
        <v>26</v>
      </c>
      <c r="CA24">
        <v>33527.300000000003</v>
      </c>
      <c r="CB24">
        <v>1690226183.5999999</v>
      </c>
      <c r="CC24" t="s">
        <v>332</v>
      </c>
      <c r="CD24">
        <v>1690226177.5999999</v>
      </c>
      <c r="CE24">
        <v>1690226183.5999999</v>
      </c>
      <c r="CF24">
        <v>12</v>
      </c>
      <c r="CG24">
        <v>-0.255</v>
      </c>
      <c r="CH24">
        <v>0.113</v>
      </c>
      <c r="CI24">
        <v>-0.439</v>
      </c>
      <c r="CJ24">
        <v>0.31</v>
      </c>
      <c r="CK24">
        <v>800</v>
      </c>
      <c r="CL24">
        <v>25</v>
      </c>
      <c r="CM24">
        <v>0.02</v>
      </c>
      <c r="CN24">
        <v>0.03</v>
      </c>
      <c r="CO24">
        <v>5.9925485365853657</v>
      </c>
      <c r="CP24">
        <v>-4.5470316376306386</v>
      </c>
      <c r="CQ24">
        <v>0.4494000648483078</v>
      </c>
      <c r="CR24">
        <v>-1</v>
      </c>
      <c r="CS24">
        <v>1.780022926829268</v>
      </c>
      <c r="CT24">
        <v>-1.2289076655052209</v>
      </c>
      <c r="CU24">
        <v>0.1255680600650772</v>
      </c>
      <c r="CV24">
        <v>-1</v>
      </c>
      <c r="CW24">
        <v>0</v>
      </c>
      <c r="CX24">
        <v>0</v>
      </c>
      <c r="CY24" t="s">
        <v>333</v>
      </c>
      <c r="CZ24">
        <v>2.3645299999999998</v>
      </c>
      <c r="DA24">
        <v>2.7137699999999998</v>
      </c>
      <c r="DB24">
        <v>0.14740900000000001</v>
      </c>
      <c r="DC24">
        <v>0.14638499999999999</v>
      </c>
      <c r="DD24">
        <v>0.11201</v>
      </c>
      <c r="DE24">
        <v>0.105591</v>
      </c>
      <c r="DF24">
        <v>31131.3</v>
      </c>
      <c r="DG24">
        <v>27513.3</v>
      </c>
      <c r="DH24">
        <v>31171.9</v>
      </c>
      <c r="DI24">
        <v>28085.1</v>
      </c>
      <c r="DJ24">
        <v>37582.800000000003</v>
      </c>
      <c r="DK24">
        <v>35718.800000000003</v>
      </c>
      <c r="DL24">
        <v>44362.3</v>
      </c>
      <c r="DM24">
        <v>42569.9</v>
      </c>
      <c r="DN24">
        <v>1.4698500000000001</v>
      </c>
      <c r="DO24">
        <v>2.0597699999999999</v>
      </c>
      <c r="DP24">
        <v>0.15277399999999999</v>
      </c>
      <c r="DQ24">
        <v>0.22411300000000001</v>
      </c>
      <c r="DR24">
        <v>25.854600000000001</v>
      </c>
      <c r="DS24">
        <v>25.880500000000001</v>
      </c>
      <c r="DT24">
        <v>57</v>
      </c>
      <c r="DU24">
        <v>29.4</v>
      </c>
      <c r="DV24">
        <v>23.6768</v>
      </c>
      <c r="DW24">
        <v>62.352400000000003</v>
      </c>
      <c r="DX24">
        <v>36.201900000000002</v>
      </c>
      <c r="DY24">
        <v>1</v>
      </c>
      <c r="DZ24">
        <v>-6.3412099999999999E-2</v>
      </c>
      <c r="EA24">
        <v>9.2640499999999992</v>
      </c>
      <c r="EB24">
        <v>19.860600000000002</v>
      </c>
      <c r="EC24">
        <v>5.2409499999999998</v>
      </c>
      <c r="ED24">
        <v>12.039899999999999</v>
      </c>
      <c r="EE24">
        <v>5.0172999999999996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1.8688899999999999</v>
      </c>
      <c r="EL24">
        <v>1.86459</v>
      </c>
      <c r="EM24">
        <v>1.8691199999999999</v>
      </c>
      <c r="EN24">
        <v>1.8672200000000001</v>
      </c>
      <c r="EO24">
        <v>1.86338</v>
      </c>
      <c r="EP24">
        <v>1.8644700000000001</v>
      </c>
      <c r="EQ24">
        <v>1.87012</v>
      </c>
      <c r="ER24">
        <v>1.8693599999999999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-0.443</v>
      </c>
      <c r="FG24">
        <v>0.30990000000000001</v>
      </c>
      <c r="FH24">
        <v>0.1121710645629533</v>
      </c>
      <c r="FI24">
        <v>-6.1462078757559423E-4</v>
      </c>
      <c r="FJ24">
        <v>-1.8861989874597051E-7</v>
      </c>
      <c r="FK24">
        <v>1.1980462299894961E-10</v>
      </c>
      <c r="FL24">
        <v>0.30996499999999833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11.8</v>
      </c>
      <c r="FU24">
        <v>11.7</v>
      </c>
      <c r="FV24">
        <v>1.79565</v>
      </c>
      <c r="FW24">
        <v>2.5927699999999998</v>
      </c>
      <c r="FX24">
        <v>1.5490699999999999</v>
      </c>
      <c r="FY24">
        <v>2.3290999999999999</v>
      </c>
      <c r="FZ24">
        <v>1.50146</v>
      </c>
      <c r="GA24">
        <v>2.3022499999999999</v>
      </c>
      <c r="GB24">
        <v>33.850900000000003</v>
      </c>
      <c r="GC24">
        <v>23.8598</v>
      </c>
      <c r="GD24">
        <v>19</v>
      </c>
      <c r="GE24">
        <v>280.52600000000001</v>
      </c>
      <c r="GF24">
        <v>603.51900000000001</v>
      </c>
      <c r="GG24">
        <v>24.904699999999998</v>
      </c>
      <c r="GH24">
        <v>26.3508</v>
      </c>
      <c r="GI24">
        <v>30.0059</v>
      </c>
      <c r="GJ24">
        <v>26.430199999999999</v>
      </c>
      <c r="GK24">
        <v>26.405200000000001</v>
      </c>
      <c r="GL24">
        <v>35.9129</v>
      </c>
      <c r="GM24">
        <v>16.512</v>
      </c>
      <c r="GN24">
        <v>100</v>
      </c>
      <c r="GO24">
        <v>24.062200000000001</v>
      </c>
      <c r="GP24">
        <v>800</v>
      </c>
      <c r="GQ24">
        <v>22.200199999999999</v>
      </c>
      <c r="GR24">
        <v>99.739000000000004</v>
      </c>
      <c r="GS24">
        <v>99.583399999999997</v>
      </c>
    </row>
    <row r="25" spans="1:201" x14ac:dyDescent="0.25">
      <c r="A25">
        <v>9</v>
      </c>
      <c r="B25">
        <v>1690226895.0999999</v>
      </c>
      <c r="C25">
        <v>325.5</v>
      </c>
      <c r="D25" t="s">
        <v>349</v>
      </c>
      <c r="E25" t="s">
        <v>350</v>
      </c>
      <c r="F25" t="s">
        <v>330</v>
      </c>
      <c r="H25">
        <v>1690226895.0999999</v>
      </c>
      <c r="I25">
        <f t="shared" si="0"/>
        <v>1.0558258825216766E-4</v>
      </c>
      <c r="J25">
        <f t="shared" si="1"/>
        <v>0.10558258825216765</v>
      </c>
      <c r="K25">
        <f t="shared" si="2"/>
        <v>-0.53429115330311072</v>
      </c>
      <c r="L25">
        <f t="shared" si="3"/>
        <v>804.82899999999995</v>
      </c>
      <c r="M25">
        <f t="shared" si="4"/>
        <v>931.16910610759214</v>
      </c>
      <c r="N25">
        <f t="shared" si="5"/>
        <v>92.356144706134032</v>
      </c>
      <c r="O25">
        <f t="shared" si="6"/>
        <v>79.8253540631368</v>
      </c>
      <c r="P25">
        <f t="shared" si="7"/>
        <v>5.6127721998534509E-3</v>
      </c>
      <c r="Q25">
        <f t="shared" si="8"/>
        <v>2.1356678511887823</v>
      </c>
      <c r="R25">
        <f t="shared" si="9"/>
        <v>5.6045901073449563E-3</v>
      </c>
      <c r="S25">
        <f t="shared" si="10"/>
        <v>3.5036029359062E-3</v>
      </c>
      <c r="T25">
        <f t="shared" si="11"/>
        <v>276.10817594939351</v>
      </c>
      <c r="U25">
        <f t="shared" si="12"/>
        <v>29.411412727625905</v>
      </c>
      <c r="V25">
        <f t="shared" si="13"/>
        <v>29.411412727625905</v>
      </c>
      <c r="W25">
        <f t="shared" si="14"/>
        <v>4.1185170890918199</v>
      </c>
      <c r="X25">
        <f t="shared" si="15"/>
        <v>63.539990745044776</v>
      </c>
      <c r="Y25">
        <f t="shared" si="16"/>
        <v>2.3106068225628795</v>
      </c>
      <c r="Z25">
        <f t="shared" si="17"/>
        <v>3.6364607477426718</v>
      </c>
      <c r="AA25">
        <f t="shared" si="18"/>
        <v>1.8079102665289404</v>
      </c>
      <c r="AB25">
        <f t="shared" si="19"/>
        <v>-4.6561921419205934</v>
      </c>
      <c r="AC25">
        <f t="shared" si="20"/>
        <v>-246.4776500362598</v>
      </c>
      <c r="AD25">
        <f t="shared" si="21"/>
        <v>-25.242678775162638</v>
      </c>
      <c r="AE25">
        <f t="shared" si="22"/>
        <v>-0.26834500394951988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52548.821990387034</v>
      </c>
      <c r="AK25">
        <f t="shared" si="26"/>
        <v>1799.95</v>
      </c>
      <c r="AL25">
        <f t="shared" si="27"/>
        <v>1499.0694094263501</v>
      </c>
      <c r="AM25">
        <f t="shared" si="28"/>
        <v>0.83283947300000005</v>
      </c>
      <c r="AN25">
        <f t="shared" si="29"/>
        <v>0.15339769213000001</v>
      </c>
      <c r="AO25">
        <v>32.4</v>
      </c>
      <c r="AP25">
        <v>0.5</v>
      </c>
      <c r="AQ25" t="s">
        <v>331</v>
      </c>
      <c r="AR25">
        <v>2</v>
      </c>
      <c r="AS25">
        <v>1690226895.0999999</v>
      </c>
      <c r="AT25">
        <v>804.82899999999995</v>
      </c>
      <c r="AU25">
        <v>799.98</v>
      </c>
      <c r="AV25">
        <v>23.296399999999998</v>
      </c>
      <c r="AW25">
        <v>22.183499999999999</v>
      </c>
      <c r="AX25">
        <v>805.27200000000005</v>
      </c>
      <c r="AY25">
        <v>22.9864</v>
      </c>
      <c r="AZ25">
        <v>300.22300000000001</v>
      </c>
      <c r="BA25">
        <v>99.083100000000002</v>
      </c>
      <c r="BB25">
        <v>9.9899199999999994E-2</v>
      </c>
      <c r="BC25">
        <v>27.270700000000001</v>
      </c>
      <c r="BD25">
        <v>28.106000000000002</v>
      </c>
      <c r="BE25">
        <v>29.281199999999998</v>
      </c>
      <c r="BF25">
        <v>0</v>
      </c>
      <c r="BG25">
        <v>0</v>
      </c>
      <c r="BH25">
        <v>10040.6</v>
      </c>
      <c r="BI25">
        <v>1079.95</v>
      </c>
      <c r="BJ25">
        <v>1.28952</v>
      </c>
      <c r="BK25">
        <v>4.8487499999999999</v>
      </c>
      <c r="BL25">
        <v>824.02599999999995</v>
      </c>
      <c r="BM25">
        <v>818.12900000000002</v>
      </c>
      <c r="BN25">
        <v>1.1128400000000001</v>
      </c>
      <c r="BO25">
        <v>799.98</v>
      </c>
      <c r="BP25">
        <v>22.183499999999999</v>
      </c>
      <c r="BQ25">
        <v>2.3082799999999999</v>
      </c>
      <c r="BR25">
        <v>2.19801</v>
      </c>
      <c r="BS25">
        <v>19.734300000000001</v>
      </c>
      <c r="BT25">
        <v>18.947800000000001</v>
      </c>
      <c r="BU25">
        <v>1799.95</v>
      </c>
      <c r="BV25">
        <v>0.90998900000000005</v>
      </c>
      <c r="BW25">
        <v>3.3995299999999999E-2</v>
      </c>
      <c r="BX25">
        <v>2.20044E-2</v>
      </c>
      <c r="BY25">
        <v>3.4010899999999997E-2</v>
      </c>
      <c r="BZ25">
        <v>26</v>
      </c>
      <c r="CA25">
        <v>33527.5</v>
      </c>
      <c r="CB25">
        <v>1690226183.5999999</v>
      </c>
      <c r="CC25" t="s">
        <v>332</v>
      </c>
      <c r="CD25">
        <v>1690226177.5999999</v>
      </c>
      <c r="CE25">
        <v>1690226183.5999999</v>
      </c>
      <c r="CF25">
        <v>12</v>
      </c>
      <c r="CG25">
        <v>-0.255</v>
      </c>
      <c r="CH25">
        <v>0.113</v>
      </c>
      <c r="CI25">
        <v>-0.439</v>
      </c>
      <c r="CJ25">
        <v>0.31</v>
      </c>
      <c r="CK25">
        <v>800</v>
      </c>
      <c r="CL25">
        <v>25</v>
      </c>
      <c r="CM25">
        <v>0.02</v>
      </c>
      <c r="CN25">
        <v>0.03</v>
      </c>
      <c r="CO25">
        <v>5.3044582926829271</v>
      </c>
      <c r="CP25">
        <v>-2.9801006968641039</v>
      </c>
      <c r="CQ25">
        <v>0.30010004004276708</v>
      </c>
      <c r="CR25">
        <v>-1</v>
      </c>
      <c r="CS25">
        <v>1.5071473170731711</v>
      </c>
      <c r="CT25">
        <v>-1.759120766550532</v>
      </c>
      <c r="CU25">
        <v>0.17791458868910009</v>
      </c>
      <c r="CV25">
        <v>-1</v>
      </c>
      <c r="CW25">
        <v>0</v>
      </c>
      <c r="CX25">
        <v>0</v>
      </c>
      <c r="CY25" t="s">
        <v>333</v>
      </c>
      <c r="CZ25">
        <v>2.3644799999999999</v>
      </c>
      <c r="DA25">
        <v>2.71373</v>
      </c>
      <c r="DB25">
        <v>0.147366</v>
      </c>
      <c r="DC25">
        <v>0.146393</v>
      </c>
      <c r="DD25">
        <v>0.11110100000000001</v>
      </c>
      <c r="DE25">
        <v>0.10616</v>
      </c>
      <c r="DF25">
        <v>31130.9</v>
      </c>
      <c r="DG25">
        <v>27511.599999999999</v>
      </c>
      <c r="DH25">
        <v>31170</v>
      </c>
      <c r="DI25">
        <v>28083.5</v>
      </c>
      <c r="DJ25">
        <v>37619.699999999997</v>
      </c>
      <c r="DK25">
        <v>35694.300000000003</v>
      </c>
      <c r="DL25">
        <v>44359.9</v>
      </c>
      <c r="DM25">
        <v>42567.8</v>
      </c>
      <c r="DN25">
        <v>1.4692000000000001</v>
      </c>
      <c r="DO25">
        <v>2.0596700000000001</v>
      </c>
      <c r="DP25">
        <v>0.134073</v>
      </c>
      <c r="DQ25">
        <v>0.20686499999999999</v>
      </c>
      <c r="DR25">
        <v>25.913499999999999</v>
      </c>
      <c r="DS25">
        <v>25.901299999999999</v>
      </c>
      <c r="DT25">
        <v>57</v>
      </c>
      <c r="DU25">
        <v>29.4</v>
      </c>
      <c r="DV25">
        <v>23.679500000000001</v>
      </c>
      <c r="DW25">
        <v>62.0124</v>
      </c>
      <c r="DX25">
        <v>35.108199999999997</v>
      </c>
      <c r="DY25">
        <v>1</v>
      </c>
      <c r="DZ25">
        <v>-5.8602599999999998E-2</v>
      </c>
      <c r="EA25">
        <v>9.2810500000000005</v>
      </c>
      <c r="EB25">
        <v>19.8704</v>
      </c>
      <c r="EC25">
        <v>5.2408000000000001</v>
      </c>
      <c r="ED25">
        <v>12.039899999999999</v>
      </c>
      <c r="EE25">
        <v>5.0169499999999996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1.8688899999999999</v>
      </c>
      <c r="EL25">
        <v>1.8646199999999999</v>
      </c>
      <c r="EM25">
        <v>1.8691500000000001</v>
      </c>
      <c r="EN25">
        <v>1.8672200000000001</v>
      </c>
      <c r="EO25">
        <v>1.8633999999999999</v>
      </c>
      <c r="EP25">
        <v>1.8644700000000001</v>
      </c>
      <c r="EQ25">
        <v>1.87012</v>
      </c>
      <c r="ER25">
        <v>1.86937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-0.443</v>
      </c>
      <c r="FG25">
        <v>0.31</v>
      </c>
      <c r="FH25">
        <v>0.1121710645629533</v>
      </c>
      <c r="FI25">
        <v>-6.1462078757559423E-4</v>
      </c>
      <c r="FJ25">
        <v>-1.8861989874597051E-7</v>
      </c>
      <c r="FK25">
        <v>1.1980462299894961E-10</v>
      </c>
      <c r="FL25">
        <v>0.30996499999999833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12</v>
      </c>
      <c r="FU25">
        <v>11.9</v>
      </c>
      <c r="FV25">
        <v>1.79688</v>
      </c>
      <c r="FW25">
        <v>2.5781200000000002</v>
      </c>
      <c r="FX25">
        <v>1.5490699999999999</v>
      </c>
      <c r="FY25">
        <v>2.3290999999999999</v>
      </c>
      <c r="FZ25">
        <v>1.50146</v>
      </c>
      <c r="GA25">
        <v>2.3962400000000001</v>
      </c>
      <c r="GB25">
        <v>33.850900000000003</v>
      </c>
      <c r="GC25">
        <v>23.877400000000002</v>
      </c>
      <c r="GD25">
        <v>19</v>
      </c>
      <c r="GE25">
        <v>280.23700000000002</v>
      </c>
      <c r="GF25">
        <v>603.452</v>
      </c>
      <c r="GG25">
        <v>22.636199999999999</v>
      </c>
      <c r="GH25">
        <v>26.354700000000001</v>
      </c>
      <c r="GI25">
        <v>30.001799999999999</v>
      </c>
      <c r="GJ25">
        <v>26.4269</v>
      </c>
      <c r="GK25">
        <v>26.406700000000001</v>
      </c>
      <c r="GL25">
        <v>35.917400000000001</v>
      </c>
      <c r="GM25">
        <v>15.901300000000001</v>
      </c>
      <c r="GN25">
        <v>100</v>
      </c>
      <c r="GO25">
        <v>21.453399999999998</v>
      </c>
      <c r="GP25">
        <v>800</v>
      </c>
      <c r="GQ25">
        <v>22.2864</v>
      </c>
      <c r="GR25">
        <v>99.733400000000003</v>
      </c>
      <c r="GS25">
        <v>99.578199999999995</v>
      </c>
    </row>
    <row r="26" spans="1:201" x14ac:dyDescent="0.25">
      <c r="A26">
        <v>10</v>
      </c>
      <c r="B26">
        <v>1690226905.0999999</v>
      </c>
      <c r="C26">
        <v>335.5</v>
      </c>
      <c r="D26" t="s">
        <v>351</v>
      </c>
      <c r="E26" t="s">
        <v>352</v>
      </c>
      <c r="F26" t="s">
        <v>330</v>
      </c>
      <c r="H26">
        <v>1690226905.0999999</v>
      </c>
      <c r="I26">
        <f t="shared" si="0"/>
        <v>6.1573811445916606E-5</v>
      </c>
      <c r="J26">
        <f t="shared" si="1"/>
        <v>6.1573811445916608E-2</v>
      </c>
      <c r="K26">
        <f t="shared" si="2"/>
        <v>-0.47427455213079495</v>
      </c>
      <c r="L26">
        <f t="shared" si="3"/>
        <v>804.54100000000005</v>
      </c>
      <c r="M26">
        <f t="shared" si="4"/>
        <v>1005.6576820329389</v>
      </c>
      <c r="N26">
        <f t="shared" si="5"/>
        <v>99.743421803541921</v>
      </c>
      <c r="O26">
        <f t="shared" si="6"/>
        <v>79.796210733480009</v>
      </c>
      <c r="P26">
        <f t="shared" si="7"/>
        <v>3.332242317872226E-3</v>
      </c>
      <c r="Q26">
        <f t="shared" si="8"/>
        <v>2.1275781478706235</v>
      </c>
      <c r="R26">
        <f t="shared" si="9"/>
        <v>3.3293455932131935E-3</v>
      </c>
      <c r="S26">
        <f t="shared" si="10"/>
        <v>2.0811010391404276E-3</v>
      </c>
      <c r="T26">
        <f t="shared" si="11"/>
        <v>276.10522883957827</v>
      </c>
      <c r="U26">
        <f t="shared" si="12"/>
        <v>29.123057296569137</v>
      </c>
      <c r="V26">
        <f t="shared" si="13"/>
        <v>29.123057296569137</v>
      </c>
      <c r="W26">
        <f t="shared" si="14"/>
        <v>4.0504999580595191</v>
      </c>
      <c r="X26">
        <f t="shared" si="15"/>
        <v>63.706881905166732</v>
      </c>
      <c r="Y26">
        <f t="shared" si="16"/>
        <v>2.2746860824320003</v>
      </c>
      <c r="Z26">
        <f t="shared" si="17"/>
        <v>3.5705500165870139</v>
      </c>
      <c r="AA26">
        <f t="shared" si="18"/>
        <v>1.7758138756275188</v>
      </c>
      <c r="AB26">
        <f t="shared" si="19"/>
        <v>-2.7154050847649223</v>
      </c>
      <c r="AC26">
        <f t="shared" si="20"/>
        <v>-248.22168511639256</v>
      </c>
      <c r="AD26">
        <f t="shared" si="21"/>
        <v>-25.441814674931496</v>
      </c>
      <c r="AE26">
        <f t="shared" si="22"/>
        <v>-0.27367603651069317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52254.475431872757</v>
      </c>
      <c r="AK26">
        <f t="shared" si="26"/>
        <v>1799.94</v>
      </c>
      <c r="AL26">
        <f t="shared" si="27"/>
        <v>1499.0632409596201</v>
      </c>
      <c r="AM26">
        <f t="shared" si="28"/>
        <v>0.83284067299999998</v>
      </c>
      <c r="AN26">
        <f t="shared" si="29"/>
        <v>0.15339690703000003</v>
      </c>
      <c r="AO26">
        <v>32.4</v>
      </c>
      <c r="AP26">
        <v>0.5</v>
      </c>
      <c r="AQ26" t="s">
        <v>331</v>
      </c>
      <c r="AR26">
        <v>2</v>
      </c>
      <c r="AS26">
        <v>1690226905.0999999</v>
      </c>
      <c r="AT26">
        <v>804.54100000000005</v>
      </c>
      <c r="AU26">
        <v>799.95699999999999</v>
      </c>
      <c r="AV26">
        <v>22.9344</v>
      </c>
      <c r="AW26">
        <v>22.2851</v>
      </c>
      <c r="AX26">
        <v>804.98299999999995</v>
      </c>
      <c r="AY26">
        <v>22.624500000000001</v>
      </c>
      <c r="AZ26">
        <v>300.20600000000002</v>
      </c>
      <c r="BA26">
        <v>99.0822</v>
      </c>
      <c r="BB26">
        <v>0.10008</v>
      </c>
      <c r="BC26">
        <v>26.959</v>
      </c>
      <c r="BD26">
        <v>27.686</v>
      </c>
      <c r="BE26">
        <v>28.937799999999999</v>
      </c>
      <c r="BF26">
        <v>0</v>
      </c>
      <c r="BG26">
        <v>0</v>
      </c>
      <c r="BH26">
        <v>9971.25</v>
      </c>
      <c r="BI26">
        <v>1079.75</v>
      </c>
      <c r="BJ26">
        <v>1.1970099999999999</v>
      </c>
      <c r="BK26">
        <v>4.5835600000000003</v>
      </c>
      <c r="BL26">
        <v>823.42600000000004</v>
      </c>
      <c r="BM26">
        <v>818.19100000000003</v>
      </c>
      <c r="BN26">
        <v>0.649366</v>
      </c>
      <c r="BO26">
        <v>799.95699999999999</v>
      </c>
      <c r="BP26">
        <v>22.2851</v>
      </c>
      <c r="BQ26">
        <v>2.2723900000000001</v>
      </c>
      <c r="BR26">
        <v>2.2080500000000001</v>
      </c>
      <c r="BS26">
        <v>19.481999999999999</v>
      </c>
      <c r="BT26">
        <v>19.020900000000001</v>
      </c>
      <c r="BU26">
        <v>1799.94</v>
      </c>
      <c r="BV26">
        <v>0.91001299999999996</v>
      </c>
      <c r="BW26">
        <v>3.3998599999999997E-2</v>
      </c>
      <c r="BX26">
        <v>2.19934E-2</v>
      </c>
      <c r="BY26">
        <v>3.3995299999999999E-2</v>
      </c>
      <c r="BZ26">
        <v>26</v>
      </c>
      <c r="CA26">
        <v>33527.5</v>
      </c>
      <c r="CB26">
        <v>1690226183.5999999</v>
      </c>
      <c r="CC26" t="s">
        <v>332</v>
      </c>
      <c r="CD26">
        <v>1690226177.5999999</v>
      </c>
      <c r="CE26">
        <v>1690226183.5999999</v>
      </c>
      <c r="CF26">
        <v>12</v>
      </c>
      <c r="CG26">
        <v>-0.255</v>
      </c>
      <c r="CH26">
        <v>0.113</v>
      </c>
      <c r="CI26">
        <v>-0.439</v>
      </c>
      <c r="CJ26">
        <v>0.31</v>
      </c>
      <c r="CK26">
        <v>800</v>
      </c>
      <c r="CL26">
        <v>25</v>
      </c>
      <c r="CM26">
        <v>0.02</v>
      </c>
      <c r="CN26">
        <v>0.03</v>
      </c>
      <c r="CO26">
        <v>4.9620736585365854</v>
      </c>
      <c r="CP26">
        <v>-1.6570128919860581</v>
      </c>
      <c r="CQ26">
        <v>0.1683138096555403</v>
      </c>
      <c r="CR26">
        <v>-1</v>
      </c>
      <c r="CS26">
        <v>1.1835382439024389</v>
      </c>
      <c r="CT26">
        <v>-2.6838596655052278</v>
      </c>
      <c r="CU26">
        <v>0.26505680683717781</v>
      </c>
      <c r="CV26">
        <v>-1</v>
      </c>
      <c r="CW26">
        <v>0</v>
      </c>
      <c r="CX26">
        <v>0</v>
      </c>
      <c r="CY26" t="s">
        <v>333</v>
      </c>
      <c r="CZ26">
        <v>2.3644099999999999</v>
      </c>
      <c r="DA26">
        <v>2.7138499999999999</v>
      </c>
      <c r="DB26">
        <v>0.14732500000000001</v>
      </c>
      <c r="DC26">
        <v>0.146393</v>
      </c>
      <c r="DD26">
        <v>0.10986700000000001</v>
      </c>
      <c r="DE26">
        <v>0.106501</v>
      </c>
      <c r="DF26">
        <v>31133.3</v>
      </c>
      <c r="DG26">
        <v>27512.5</v>
      </c>
      <c r="DH26">
        <v>31170.799999999999</v>
      </c>
      <c r="DI26">
        <v>28084.5</v>
      </c>
      <c r="DJ26">
        <v>37673.699999999997</v>
      </c>
      <c r="DK26">
        <v>35681.699999999997</v>
      </c>
      <c r="DL26">
        <v>44361.4</v>
      </c>
      <c r="DM26">
        <v>42569.1</v>
      </c>
      <c r="DN26">
        <v>1.46878</v>
      </c>
      <c r="DO26">
        <v>2.0596700000000001</v>
      </c>
      <c r="DP26">
        <v>0.10624500000000001</v>
      </c>
      <c r="DQ26">
        <v>0.18659999999999999</v>
      </c>
      <c r="DR26">
        <v>25.948</v>
      </c>
      <c r="DS26">
        <v>25.888200000000001</v>
      </c>
      <c r="DT26">
        <v>57</v>
      </c>
      <c r="DU26">
        <v>29.4</v>
      </c>
      <c r="DV26">
        <v>23.6752</v>
      </c>
      <c r="DW26">
        <v>62.5124</v>
      </c>
      <c r="DX26">
        <v>35.661099999999998</v>
      </c>
      <c r="DY26">
        <v>1</v>
      </c>
      <c r="DZ26">
        <v>-5.9763700000000003E-2</v>
      </c>
      <c r="EA26">
        <v>9.2810500000000005</v>
      </c>
      <c r="EB26">
        <v>19.881</v>
      </c>
      <c r="EC26">
        <v>5.2406499999999996</v>
      </c>
      <c r="ED26">
        <v>12.039899999999999</v>
      </c>
      <c r="EE26">
        <v>5.0164999999999997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1.8691599999999999</v>
      </c>
      <c r="EN26">
        <v>1.8672200000000001</v>
      </c>
      <c r="EO26">
        <v>1.8633900000000001</v>
      </c>
      <c r="EP26">
        <v>1.8644799999999999</v>
      </c>
      <c r="EQ26">
        <v>1.87012</v>
      </c>
      <c r="ER26">
        <v>1.86937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-0.442</v>
      </c>
      <c r="FG26">
        <v>0.30990000000000001</v>
      </c>
      <c r="FH26">
        <v>0.1121710645629533</v>
      </c>
      <c r="FI26">
        <v>-6.1462078757559423E-4</v>
      </c>
      <c r="FJ26">
        <v>-1.8861989874597051E-7</v>
      </c>
      <c r="FK26">
        <v>1.1980462299894961E-10</v>
      </c>
      <c r="FL26">
        <v>0.30996499999999833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12.1</v>
      </c>
      <c r="FU26">
        <v>12</v>
      </c>
      <c r="FV26">
        <v>1.79688</v>
      </c>
      <c r="FW26">
        <v>2.5830099999999998</v>
      </c>
      <c r="FX26">
        <v>1.5490699999999999</v>
      </c>
      <c r="FY26">
        <v>2.3290999999999999</v>
      </c>
      <c r="FZ26">
        <v>1.50146</v>
      </c>
      <c r="GA26">
        <v>2.4011200000000001</v>
      </c>
      <c r="GB26">
        <v>33.850900000000003</v>
      </c>
      <c r="GC26">
        <v>23.877400000000002</v>
      </c>
      <c r="GD26">
        <v>19</v>
      </c>
      <c r="GE26">
        <v>280.05099999999999</v>
      </c>
      <c r="GF26">
        <v>603.46100000000001</v>
      </c>
      <c r="GG26">
        <v>21.005199999999999</v>
      </c>
      <c r="GH26">
        <v>26.363099999999999</v>
      </c>
      <c r="GI26">
        <v>29.9999</v>
      </c>
      <c r="GJ26">
        <v>26.425799999999999</v>
      </c>
      <c r="GK26">
        <v>26.407399999999999</v>
      </c>
      <c r="GL26">
        <v>35.920200000000001</v>
      </c>
      <c r="GM26">
        <v>15.610300000000001</v>
      </c>
      <c r="GN26">
        <v>100</v>
      </c>
      <c r="GO26">
        <v>20.4084</v>
      </c>
      <c r="GP26">
        <v>800</v>
      </c>
      <c r="GQ26">
        <v>22.384499999999999</v>
      </c>
      <c r="GR26">
        <v>99.736500000000007</v>
      </c>
      <c r="GS26">
        <v>99.581299999999999</v>
      </c>
    </row>
    <row r="27" spans="1:201" x14ac:dyDescent="0.25">
      <c r="A27">
        <v>11</v>
      </c>
      <c r="B27">
        <v>1690226915.0999999</v>
      </c>
      <c r="C27">
        <v>345.5</v>
      </c>
      <c r="D27" t="s">
        <v>353</v>
      </c>
      <c r="E27" t="s">
        <v>354</v>
      </c>
      <c r="F27" t="s">
        <v>330</v>
      </c>
      <c r="H27">
        <v>1690226915.0999999</v>
      </c>
      <c r="I27">
        <f t="shared" si="0"/>
        <v>6.7568116279508938E-6</v>
      </c>
      <c r="J27">
        <f t="shared" si="1"/>
        <v>6.7568116279508941E-3</v>
      </c>
      <c r="K27">
        <f t="shared" si="2"/>
        <v>-0.36274375703243106</v>
      </c>
      <c r="L27">
        <f t="shared" si="3"/>
        <v>803.75199999999995</v>
      </c>
      <c r="M27">
        <f t="shared" si="4"/>
        <v>2329.9793145674016</v>
      </c>
      <c r="N27">
        <f t="shared" si="5"/>
        <v>231.08856233801777</v>
      </c>
      <c r="O27">
        <f t="shared" si="6"/>
        <v>79.716542114792006</v>
      </c>
      <c r="P27">
        <f t="shared" si="7"/>
        <v>3.6920924192714038E-4</v>
      </c>
      <c r="Q27">
        <f t="shared" si="8"/>
        <v>2.1306945514402682</v>
      </c>
      <c r="R27">
        <f t="shared" si="9"/>
        <v>3.6917370283934058E-4</v>
      </c>
      <c r="S27">
        <f t="shared" si="10"/>
        <v>2.3073675695528745E-4</v>
      </c>
      <c r="T27">
        <f t="shared" si="11"/>
        <v>276.10980906811159</v>
      </c>
      <c r="U27">
        <f t="shared" si="12"/>
        <v>28.833942426162697</v>
      </c>
      <c r="V27">
        <f t="shared" si="13"/>
        <v>28.833942426162697</v>
      </c>
      <c r="W27">
        <f t="shared" si="14"/>
        <v>3.9832890645354757</v>
      </c>
      <c r="X27">
        <f t="shared" si="15"/>
        <v>63.442689405358465</v>
      </c>
      <c r="Y27">
        <f t="shared" si="16"/>
        <v>2.2248472012282998</v>
      </c>
      <c r="Z27">
        <f t="shared" si="17"/>
        <v>3.5068614241948985</v>
      </c>
      <c r="AA27">
        <f t="shared" si="18"/>
        <v>1.7584418633071759</v>
      </c>
      <c r="AB27">
        <f t="shared" si="19"/>
        <v>-0.29797539279263441</v>
      </c>
      <c r="AC27">
        <f t="shared" si="20"/>
        <v>-250.52486665049832</v>
      </c>
      <c r="AD27">
        <f t="shared" si="21"/>
        <v>-25.564375390964329</v>
      </c>
      <c r="AE27">
        <f t="shared" si="22"/>
        <v>-0.27740836614370323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52442.176748403101</v>
      </c>
      <c r="AK27">
        <f t="shared" si="26"/>
        <v>1799.96</v>
      </c>
      <c r="AL27">
        <f t="shared" si="27"/>
        <v>1499.0755832689601</v>
      </c>
      <c r="AM27">
        <f t="shared" si="28"/>
        <v>0.83283827600000004</v>
      </c>
      <c r="AN27">
        <f t="shared" si="29"/>
        <v>0.15339774720999999</v>
      </c>
      <c r="AO27">
        <v>32.4</v>
      </c>
      <c r="AP27">
        <v>0.5</v>
      </c>
      <c r="AQ27" t="s">
        <v>331</v>
      </c>
      <c r="AR27">
        <v>2</v>
      </c>
      <c r="AS27">
        <v>1690226915.0999999</v>
      </c>
      <c r="AT27">
        <v>803.75199999999995</v>
      </c>
      <c r="AU27">
        <v>799.89499999999998</v>
      </c>
      <c r="AV27">
        <v>22.432300000000001</v>
      </c>
      <c r="AW27">
        <v>22.361000000000001</v>
      </c>
      <c r="AX27">
        <v>804.19399999999996</v>
      </c>
      <c r="AY27">
        <v>22.122299999999999</v>
      </c>
      <c r="AZ27">
        <v>300.154</v>
      </c>
      <c r="BA27">
        <v>99.080500000000001</v>
      </c>
      <c r="BB27">
        <v>0.100021</v>
      </c>
      <c r="BC27">
        <v>26.652999999999999</v>
      </c>
      <c r="BD27">
        <v>27.346399999999999</v>
      </c>
      <c r="BE27">
        <v>28.5959</v>
      </c>
      <c r="BF27">
        <v>0</v>
      </c>
      <c r="BG27">
        <v>0</v>
      </c>
      <c r="BH27">
        <v>9998.1200000000008</v>
      </c>
      <c r="BI27">
        <v>1079.0899999999999</v>
      </c>
      <c r="BJ27">
        <v>1.28952</v>
      </c>
      <c r="BK27">
        <v>3.8565700000000001</v>
      </c>
      <c r="BL27">
        <v>822.19500000000005</v>
      </c>
      <c r="BM27">
        <v>818.19100000000003</v>
      </c>
      <c r="BN27">
        <v>7.13139E-2</v>
      </c>
      <c r="BO27">
        <v>799.89499999999998</v>
      </c>
      <c r="BP27">
        <v>22.361000000000001</v>
      </c>
      <c r="BQ27">
        <v>2.2225999999999999</v>
      </c>
      <c r="BR27">
        <v>2.2155399999999998</v>
      </c>
      <c r="BS27">
        <v>19.126200000000001</v>
      </c>
      <c r="BT27">
        <v>19.075099999999999</v>
      </c>
      <c r="BU27">
        <v>1799.96</v>
      </c>
      <c r="BV27">
        <v>0.90998100000000004</v>
      </c>
      <c r="BW27">
        <v>3.4003100000000001E-2</v>
      </c>
      <c r="BX27">
        <v>2.2004300000000001E-2</v>
      </c>
      <c r="BY27">
        <v>3.4011100000000002E-2</v>
      </c>
      <c r="BZ27">
        <v>26</v>
      </c>
      <c r="CA27">
        <v>33527.5</v>
      </c>
      <c r="CB27">
        <v>1690226183.5999999</v>
      </c>
      <c r="CC27" t="s">
        <v>332</v>
      </c>
      <c r="CD27">
        <v>1690226177.5999999</v>
      </c>
      <c r="CE27">
        <v>1690226183.5999999</v>
      </c>
      <c r="CF27">
        <v>12</v>
      </c>
      <c r="CG27">
        <v>-0.255</v>
      </c>
      <c r="CH27">
        <v>0.113</v>
      </c>
      <c r="CI27">
        <v>-0.439</v>
      </c>
      <c r="CJ27">
        <v>0.31</v>
      </c>
      <c r="CK27">
        <v>800</v>
      </c>
      <c r="CL27">
        <v>25</v>
      </c>
      <c r="CM27">
        <v>0.02</v>
      </c>
      <c r="CN27">
        <v>0.03</v>
      </c>
      <c r="CO27">
        <v>4.5589139999999997</v>
      </c>
      <c r="CP27">
        <v>-2.815078198874303</v>
      </c>
      <c r="CQ27">
        <v>0.28156399099316659</v>
      </c>
      <c r="CR27">
        <v>-1</v>
      </c>
      <c r="CS27">
        <v>0.67574582500000013</v>
      </c>
      <c r="CT27">
        <v>-2.9873898348968142</v>
      </c>
      <c r="CU27">
        <v>0.28785433405273642</v>
      </c>
      <c r="CV27">
        <v>-1</v>
      </c>
      <c r="CW27">
        <v>0</v>
      </c>
      <c r="CX27">
        <v>0</v>
      </c>
      <c r="CY27" t="s">
        <v>333</v>
      </c>
      <c r="CZ27">
        <v>2.3642400000000001</v>
      </c>
      <c r="DA27">
        <v>2.7138100000000001</v>
      </c>
      <c r="DB27">
        <v>0.14721500000000001</v>
      </c>
      <c r="DC27">
        <v>0.14638300000000001</v>
      </c>
      <c r="DD27">
        <v>0.108138</v>
      </c>
      <c r="DE27">
        <v>0.106752</v>
      </c>
      <c r="DF27">
        <v>31137.5</v>
      </c>
      <c r="DG27">
        <v>27514.1</v>
      </c>
      <c r="DH27">
        <v>31171.1</v>
      </c>
      <c r="DI27">
        <v>28085.8</v>
      </c>
      <c r="DJ27">
        <v>37748</v>
      </c>
      <c r="DK27">
        <v>35673.199999999997</v>
      </c>
      <c r="DL27">
        <v>44361.8</v>
      </c>
      <c r="DM27">
        <v>42570.9</v>
      </c>
      <c r="DN27">
        <v>1.4679199999999999</v>
      </c>
      <c r="DO27">
        <v>2.05985</v>
      </c>
      <c r="DP27">
        <v>8.4973900000000005E-2</v>
      </c>
      <c r="DQ27">
        <v>0.16819700000000001</v>
      </c>
      <c r="DR27">
        <v>25.956</v>
      </c>
      <c r="DS27">
        <v>25.8462</v>
      </c>
      <c r="DT27">
        <v>57</v>
      </c>
      <c r="DU27">
        <v>29.4</v>
      </c>
      <c r="DV27">
        <v>23.678100000000001</v>
      </c>
      <c r="DW27">
        <v>62.352400000000003</v>
      </c>
      <c r="DX27">
        <v>36.446300000000001</v>
      </c>
      <c r="DY27">
        <v>1</v>
      </c>
      <c r="DZ27">
        <v>-6.0429400000000001E-2</v>
      </c>
      <c r="EA27">
        <v>9.2810500000000005</v>
      </c>
      <c r="EB27">
        <v>19.888999999999999</v>
      </c>
      <c r="EC27">
        <v>5.2397499999999999</v>
      </c>
      <c r="ED27">
        <v>12.039899999999999</v>
      </c>
      <c r="EE27">
        <v>5.0157999999999996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1.8646100000000001</v>
      </c>
      <c r="EM27">
        <v>1.8691500000000001</v>
      </c>
      <c r="EN27">
        <v>1.8672200000000001</v>
      </c>
      <c r="EO27">
        <v>1.86338</v>
      </c>
      <c r="EP27">
        <v>1.8644700000000001</v>
      </c>
      <c r="EQ27">
        <v>1.87012</v>
      </c>
      <c r="ER27">
        <v>1.8693599999999999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-0.442</v>
      </c>
      <c r="FG27">
        <v>0.31</v>
      </c>
      <c r="FH27">
        <v>0.1121710645629533</v>
      </c>
      <c r="FI27">
        <v>-6.1462078757559423E-4</v>
      </c>
      <c r="FJ27">
        <v>-1.8861989874597051E-7</v>
      </c>
      <c r="FK27">
        <v>1.1980462299894961E-10</v>
      </c>
      <c r="FL27">
        <v>0.30996499999999833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12.3</v>
      </c>
      <c r="FU27">
        <v>12.2</v>
      </c>
      <c r="FV27">
        <v>1.79688</v>
      </c>
      <c r="FW27">
        <v>2.5891099999999998</v>
      </c>
      <c r="FX27">
        <v>1.5490699999999999</v>
      </c>
      <c r="FY27">
        <v>2.3290999999999999</v>
      </c>
      <c r="FZ27">
        <v>1.50146</v>
      </c>
      <c r="GA27">
        <v>2.3034699999999999</v>
      </c>
      <c r="GB27">
        <v>33.8735</v>
      </c>
      <c r="GC27">
        <v>23.877400000000002</v>
      </c>
      <c r="GD27">
        <v>19</v>
      </c>
      <c r="GE27">
        <v>279.69099999999997</v>
      </c>
      <c r="GF27">
        <v>603.63499999999999</v>
      </c>
      <c r="GG27">
        <v>19.736499999999999</v>
      </c>
      <c r="GH27">
        <v>26.374700000000001</v>
      </c>
      <c r="GI27">
        <v>29.9998</v>
      </c>
      <c r="GJ27">
        <v>26.425799999999999</v>
      </c>
      <c r="GK27">
        <v>26.409600000000001</v>
      </c>
      <c r="GL27">
        <v>35.927999999999997</v>
      </c>
      <c r="GM27">
        <v>15.2849</v>
      </c>
      <c r="GN27">
        <v>100</v>
      </c>
      <c r="GO27">
        <v>20.200199999999999</v>
      </c>
      <c r="GP27">
        <v>800</v>
      </c>
      <c r="GQ27">
        <v>22.274000000000001</v>
      </c>
      <c r="GR27">
        <v>99.737399999999994</v>
      </c>
      <c r="GS27">
        <v>99.585899999999995</v>
      </c>
    </row>
    <row r="28" spans="1:201" x14ac:dyDescent="0.25">
      <c r="A28">
        <v>12</v>
      </c>
      <c r="B28">
        <v>1690226925.0999999</v>
      </c>
      <c r="C28">
        <v>355.5</v>
      </c>
      <c r="D28" t="s">
        <v>355</v>
      </c>
      <c r="E28" t="s">
        <v>356</v>
      </c>
      <c r="F28" t="s">
        <v>330</v>
      </c>
      <c r="H28">
        <v>1690226925.0999999</v>
      </c>
      <c r="I28">
        <f t="shared" si="0"/>
        <v>-2.8961573276663553E-5</v>
      </c>
      <c r="J28">
        <f t="shared" si="1"/>
        <v>-2.8961573276663554E-2</v>
      </c>
      <c r="K28">
        <f t="shared" si="2"/>
        <v>-0.2134319986314388</v>
      </c>
      <c r="L28">
        <f t="shared" si="3"/>
        <v>802.69600000000003</v>
      </c>
      <c r="M28">
        <f t="shared" si="4"/>
        <v>567.07123354334828</v>
      </c>
      <c r="N28">
        <f t="shared" si="5"/>
        <v>56.242775940605398</v>
      </c>
      <c r="O28">
        <f t="shared" si="6"/>
        <v>79.612310775008012</v>
      </c>
      <c r="P28">
        <f t="shared" si="7"/>
        <v>-1.5834331568550446E-3</v>
      </c>
      <c r="Q28">
        <f t="shared" si="8"/>
        <v>2.1359334210915182</v>
      </c>
      <c r="R28">
        <f t="shared" si="9"/>
        <v>-1.5840855846788421E-3</v>
      </c>
      <c r="S28">
        <f t="shared" si="10"/>
        <v>-9.8999485152793834E-4</v>
      </c>
      <c r="T28">
        <f t="shared" si="11"/>
        <v>276.11010614219902</v>
      </c>
      <c r="U28">
        <f t="shared" si="12"/>
        <v>28.571554416604513</v>
      </c>
      <c r="V28">
        <f t="shared" si="13"/>
        <v>28.571554416604513</v>
      </c>
      <c r="W28">
        <f t="shared" si="14"/>
        <v>3.92313536104747</v>
      </c>
      <c r="X28">
        <f t="shared" si="15"/>
        <v>62.74230555850373</v>
      </c>
      <c r="Y28">
        <f t="shared" si="16"/>
        <v>2.1654815129728004</v>
      </c>
      <c r="Z28">
        <f t="shared" si="17"/>
        <v>3.4513897659588055</v>
      </c>
      <c r="AA28">
        <f t="shared" si="18"/>
        <v>1.7576538480746695</v>
      </c>
      <c r="AB28">
        <f t="shared" si="19"/>
        <v>1.2772053815008626</v>
      </c>
      <c r="AC28">
        <f t="shared" si="20"/>
        <v>-252.07496305169988</v>
      </c>
      <c r="AD28">
        <f t="shared" si="21"/>
        <v>-25.591326221253173</v>
      </c>
      <c r="AE28">
        <f t="shared" si="22"/>
        <v>-0.27897774925318686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52716.178400860634</v>
      </c>
      <c r="AK28">
        <f t="shared" si="26"/>
        <v>1799.97</v>
      </c>
      <c r="AL28">
        <f t="shared" si="27"/>
        <v>1499.0879021852099</v>
      </c>
      <c r="AM28">
        <f t="shared" si="28"/>
        <v>0.83284049299999996</v>
      </c>
      <c r="AN28">
        <f t="shared" si="29"/>
        <v>0.15339706002999995</v>
      </c>
      <c r="AO28">
        <v>32.4</v>
      </c>
      <c r="AP28">
        <v>0.5</v>
      </c>
      <c r="AQ28" t="s">
        <v>331</v>
      </c>
      <c r="AR28">
        <v>2</v>
      </c>
      <c r="AS28">
        <v>1690226925.0999999</v>
      </c>
      <c r="AT28">
        <v>802.69600000000003</v>
      </c>
      <c r="AU28">
        <v>800.14200000000005</v>
      </c>
      <c r="AV28">
        <v>21.833600000000001</v>
      </c>
      <c r="AW28">
        <v>22.139299999999999</v>
      </c>
      <c r="AX28">
        <v>803.13699999999994</v>
      </c>
      <c r="AY28">
        <v>21.523599999999998</v>
      </c>
      <c r="AZ28">
        <v>300.25099999999998</v>
      </c>
      <c r="BA28">
        <v>99.081000000000003</v>
      </c>
      <c r="BB28">
        <v>0.100148</v>
      </c>
      <c r="BC28">
        <v>26.3825</v>
      </c>
      <c r="BD28">
        <v>27.101600000000001</v>
      </c>
      <c r="BE28">
        <v>28.2453</v>
      </c>
      <c r="BF28">
        <v>0</v>
      </c>
      <c r="BG28">
        <v>0</v>
      </c>
      <c r="BH28">
        <v>10043.1</v>
      </c>
      <c r="BI28">
        <v>1077.77</v>
      </c>
      <c r="BJ28">
        <v>1.2250399999999999</v>
      </c>
      <c r="BK28">
        <v>2.55383</v>
      </c>
      <c r="BL28">
        <v>820.61199999999997</v>
      </c>
      <c r="BM28">
        <v>818.25699999999995</v>
      </c>
      <c r="BN28">
        <v>-0.30566199999999999</v>
      </c>
      <c r="BO28">
        <v>800.14200000000005</v>
      </c>
      <c r="BP28">
        <v>22.139299999999999</v>
      </c>
      <c r="BQ28">
        <v>2.1633</v>
      </c>
      <c r="BR28">
        <v>2.1935799999999999</v>
      </c>
      <c r="BS28">
        <v>18.693100000000001</v>
      </c>
      <c r="BT28">
        <v>18.915500000000002</v>
      </c>
      <c r="BU28">
        <v>1799.97</v>
      </c>
      <c r="BV28">
        <v>0.91000899999999996</v>
      </c>
      <c r="BW28">
        <v>3.3992599999999998E-2</v>
      </c>
      <c r="BX28">
        <v>2.19974E-2</v>
      </c>
      <c r="BY28">
        <v>3.4000500000000003E-2</v>
      </c>
      <c r="BZ28">
        <v>26</v>
      </c>
      <c r="CA28">
        <v>33528</v>
      </c>
      <c r="CB28">
        <v>1690226183.5999999</v>
      </c>
      <c r="CC28" t="s">
        <v>332</v>
      </c>
      <c r="CD28">
        <v>1690226177.5999999</v>
      </c>
      <c r="CE28">
        <v>1690226183.5999999</v>
      </c>
      <c r="CF28">
        <v>12</v>
      </c>
      <c r="CG28">
        <v>-0.255</v>
      </c>
      <c r="CH28">
        <v>0.113</v>
      </c>
      <c r="CI28">
        <v>-0.439</v>
      </c>
      <c r="CJ28">
        <v>0.31</v>
      </c>
      <c r="CK28">
        <v>800</v>
      </c>
      <c r="CL28">
        <v>25</v>
      </c>
      <c r="CM28">
        <v>0.02</v>
      </c>
      <c r="CN28">
        <v>0.03</v>
      </c>
      <c r="CO28">
        <v>3.8574460975609761</v>
      </c>
      <c r="CP28">
        <v>-6.0192549825783974</v>
      </c>
      <c r="CQ28">
        <v>0.60375093632358057</v>
      </c>
      <c r="CR28">
        <v>-1</v>
      </c>
      <c r="CS28">
        <v>0.17566620146341461</v>
      </c>
      <c r="CT28">
        <v>-3.402522733797908</v>
      </c>
      <c r="CU28">
        <v>0.33674823607235838</v>
      </c>
      <c r="CV28">
        <v>-1</v>
      </c>
      <c r="CW28">
        <v>0</v>
      </c>
      <c r="CX28">
        <v>0</v>
      </c>
      <c r="CY28" t="s">
        <v>333</v>
      </c>
      <c r="CZ28">
        <v>2.3645399999999999</v>
      </c>
      <c r="DA28">
        <v>2.7139799999999998</v>
      </c>
      <c r="DB28">
        <v>0.14707400000000001</v>
      </c>
      <c r="DC28">
        <v>0.14640900000000001</v>
      </c>
      <c r="DD28">
        <v>0.106059</v>
      </c>
      <c r="DE28">
        <v>0.10600900000000001</v>
      </c>
      <c r="DF28">
        <v>31143.8</v>
      </c>
      <c r="DG28">
        <v>27513.5</v>
      </c>
      <c r="DH28">
        <v>31172.3</v>
      </c>
      <c r="DI28">
        <v>28086.1</v>
      </c>
      <c r="DJ28">
        <v>37838.300000000003</v>
      </c>
      <c r="DK28">
        <v>35703.199999999997</v>
      </c>
      <c r="DL28">
        <v>44363.4</v>
      </c>
      <c r="DM28">
        <v>42571.3</v>
      </c>
      <c r="DN28">
        <v>1.4704999999999999</v>
      </c>
      <c r="DO28">
        <v>2.0590999999999999</v>
      </c>
      <c r="DP28">
        <v>7.0929500000000006E-2</v>
      </c>
      <c r="DQ28">
        <v>0.15079999999999999</v>
      </c>
      <c r="DR28">
        <v>25.9407</v>
      </c>
      <c r="DS28">
        <v>25.7791</v>
      </c>
      <c r="DT28">
        <v>57.1</v>
      </c>
      <c r="DU28">
        <v>29.4</v>
      </c>
      <c r="DV28">
        <v>23.718</v>
      </c>
      <c r="DW28">
        <v>62.342399999999998</v>
      </c>
      <c r="DX28">
        <v>35.216299999999997</v>
      </c>
      <c r="DY28">
        <v>1</v>
      </c>
      <c r="DZ28">
        <v>-7.0825700000000005E-2</v>
      </c>
      <c r="EA28">
        <v>2.5953900000000001</v>
      </c>
      <c r="EB28">
        <v>20.1632</v>
      </c>
      <c r="EC28">
        <v>5.2398999999999996</v>
      </c>
      <c r="ED28">
        <v>12.039899999999999</v>
      </c>
      <c r="EE28">
        <v>5.0160999999999998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1.8689100000000001</v>
      </c>
      <c r="EL28">
        <v>1.8646199999999999</v>
      </c>
      <c r="EM28">
        <v>1.8691800000000001</v>
      </c>
      <c r="EN28">
        <v>1.8672200000000001</v>
      </c>
      <c r="EO28">
        <v>1.8633999999999999</v>
      </c>
      <c r="EP28">
        <v>1.8645</v>
      </c>
      <c r="EQ28">
        <v>1.8701399999999999</v>
      </c>
      <c r="ER28">
        <v>1.8694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-0.441</v>
      </c>
      <c r="FG28">
        <v>0.31</v>
      </c>
      <c r="FH28">
        <v>0.1121710645629533</v>
      </c>
      <c r="FI28">
        <v>-6.1462078757559423E-4</v>
      </c>
      <c r="FJ28">
        <v>-1.8861989874597051E-7</v>
      </c>
      <c r="FK28">
        <v>1.1980462299894961E-10</v>
      </c>
      <c r="FL28">
        <v>0.30996499999999833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12.5</v>
      </c>
      <c r="FU28">
        <v>12.4</v>
      </c>
      <c r="FV28">
        <v>1.79688</v>
      </c>
      <c r="FW28">
        <v>2.5793499999999998</v>
      </c>
      <c r="FX28">
        <v>1.5490699999999999</v>
      </c>
      <c r="FY28">
        <v>2.3290999999999999</v>
      </c>
      <c r="FZ28">
        <v>1.50146</v>
      </c>
      <c r="GA28">
        <v>2.3815900000000001</v>
      </c>
      <c r="GB28">
        <v>33.8735</v>
      </c>
      <c r="GC28">
        <v>23.982399999999998</v>
      </c>
      <c r="GD28">
        <v>19</v>
      </c>
      <c r="GE28">
        <v>280.78800000000001</v>
      </c>
      <c r="GF28">
        <v>603.024</v>
      </c>
      <c r="GG28">
        <v>19.323799999999999</v>
      </c>
      <c r="GH28">
        <v>26.3903</v>
      </c>
      <c r="GI28">
        <v>29.992799999999999</v>
      </c>
      <c r="GJ28">
        <v>26.4269</v>
      </c>
      <c r="GK28">
        <v>26.411799999999999</v>
      </c>
      <c r="GL28">
        <v>35.918399999999998</v>
      </c>
      <c r="GM28">
        <v>18.576599999999999</v>
      </c>
      <c r="GN28">
        <v>100</v>
      </c>
      <c r="GO28">
        <v>20.7453</v>
      </c>
      <c r="GP28">
        <v>800</v>
      </c>
      <c r="GQ28">
        <v>21.701499999999999</v>
      </c>
      <c r="GR28">
        <v>99.741200000000006</v>
      </c>
      <c r="GS28">
        <v>99.586799999999997</v>
      </c>
    </row>
    <row r="29" spans="1:201" x14ac:dyDescent="0.25">
      <c r="A29">
        <v>13</v>
      </c>
      <c r="B29">
        <v>1690226935.0999999</v>
      </c>
      <c r="C29">
        <v>365.5</v>
      </c>
      <c r="D29" t="s">
        <v>357</v>
      </c>
      <c r="E29" t="s">
        <v>358</v>
      </c>
      <c r="F29" t="s">
        <v>330</v>
      </c>
      <c r="H29">
        <v>1690226935.0999999</v>
      </c>
      <c r="I29">
        <f t="shared" si="0"/>
        <v>2.5619397160211802E-5</v>
      </c>
      <c r="J29">
        <f t="shared" si="1"/>
        <v>2.5619397160211801E-2</v>
      </c>
      <c r="K29">
        <f t="shared" si="2"/>
        <v>-0.12864503738525707</v>
      </c>
      <c r="L29">
        <f t="shared" si="3"/>
        <v>801.12300000000005</v>
      </c>
      <c r="M29">
        <f t="shared" si="4"/>
        <v>918.9057185843111</v>
      </c>
      <c r="N29">
        <f t="shared" si="5"/>
        <v>91.136443394397617</v>
      </c>
      <c r="O29">
        <f t="shared" si="6"/>
        <v>79.454833575237004</v>
      </c>
      <c r="P29">
        <f t="shared" si="7"/>
        <v>1.4487235721623588E-3</v>
      </c>
      <c r="Q29">
        <f t="shared" si="8"/>
        <v>2.1211000739950667</v>
      </c>
      <c r="R29">
        <f t="shared" si="9"/>
        <v>1.4481740825920695E-3</v>
      </c>
      <c r="S29">
        <f t="shared" si="10"/>
        <v>9.0515815250733389E-4</v>
      </c>
      <c r="T29">
        <f t="shared" si="11"/>
        <v>276.1095360197013</v>
      </c>
      <c r="U29">
        <f t="shared" si="12"/>
        <v>28.454960746563653</v>
      </c>
      <c r="V29">
        <f t="shared" si="13"/>
        <v>28.454960746563653</v>
      </c>
      <c r="W29">
        <f t="shared" si="14"/>
        <v>3.8966609772484628</v>
      </c>
      <c r="X29">
        <f t="shared" si="15"/>
        <v>64.046747093671101</v>
      </c>
      <c r="Y29">
        <f t="shared" si="16"/>
        <v>2.1959888095703999</v>
      </c>
      <c r="Z29">
        <f t="shared" si="17"/>
        <v>3.4287280919336505</v>
      </c>
      <c r="AA29">
        <f t="shared" si="18"/>
        <v>1.700672167678063</v>
      </c>
      <c r="AB29">
        <f t="shared" si="19"/>
        <v>-1.1298154147653405</v>
      </c>
      <c r="AC29">
        <f t="shared" si="20"/>
        <v>-249.7533463976969</v>
      </c>
      <c r="AD29">
        <f t="shared" si="21"/>
        <v>-25.503871019945588</v>
      </c>
      <c r="AE29">
        <f t="shared" si="22"/>
        <v>-0.27749681270654492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52095.590546721578</v>
      </c>
      <c r="AK29">
        <f t="shared" si="26"/>
        <v>1799.97</v>
      </c>
      <c r="AL29">
        <f t="shared" si="27"/>
        <v>1499.0875349913299</v>
      </c>
      <c r="AM29">
        <f t="shared" si="28"/>
        <v>0.83284028899999996</v>
      </c>
      <c r="AN29">
        <f t="shared" si="29"/>
        <v>0.15339674329</v>
      </c>
      <c r="AO29">
        <v>32.4</v>
      </c>
      <c r="AP29">
        <v>0.5</v>
      </c>
      <c r="AQ29" t="s">
        <v>331</v>
      </c>
      <c r="AR29">
        <v>2</v>
      </c>
      <c r="AS29">
        <v>1690226935.0999999</v>
      </c>
      <c r="AT29">
        <v>801.12300000000005</v>
      </c>
      <c r="AU29">
        <v>799.95600000000002</v>
      </c>
      <c r="AV29">
        <v>22.1416</v>
      </c>
      <c r="AW29">
        <v>21.871200000000002</v>
      </c>
      <c r="AX29">
        <v>801.56299999999999</v>
      </c>
      <c r="AY29">
        <v>21.831600000000002</v>
      </c>
      <c r="AZ29">
        <v>300.18099999999998</v>
      </c>
      <c r="BA29">
        <v>99.079300000000003</v>
      </c>
      <c r="BB29">
        <v>0.100019</v>
      </c>
      <c r="BC29">
        <v>26.270900000000001</v>
      </c>
      <c r="BD29">
        <v>26.954499999999999</v>
      </c>
      <c r="BE29">
        <v>28.063099999999999</v>
      </c>
      <c r="BF29">
        <v>0</v>
      </c>
      <c r="BG29">
        <v>0</v>
      </c>
      <c r="BH29">
        <v>9916.25</v>
      </c>
      <c r="BI29">
        <v>1076.55</v>
      </c>
      <c r="BJ29">
        <v>1.24186</v>
      </c>
      <c r="BK29">
        <v>1.1674199999999999</v>
      </c>
      <c r="BL29">
        <v>819.26300000000003</v>
      </c>
      <c r="BM29">
        <v>817.84299999999996</v>
      </c>
      <c r="BN29">
        <v>0.27040700000000001</v>
      </c>
      <c r="BO29">
        <v>799.95600000000002</v>
      </c>
      <c r="BP29">
        <v>21.871200000000002</v>
      </c>
      <c r="BQ29">
        <v>2.1937700000000002</v>
      </c>
      <c r="BR29">
        <v>2.1669800000000001</v>
      </c>
      <c r="BS29">
        <v>18.916899999999998</v>
      </c>
      <c r="BT29">
        <v>18.720300000000002</v>
      </c>
      <c r="BU29">
        <v>1799.97</v>
      </c>
      <c r="BV29">
        <v>0.91001500000000002</v>
      </c>
      <c r="BW29">
        <v>3.4003100000000001E-2</v>
      </c>
      <c r="BX29">
        <v>2.1991199999999999E-2</v>
      </c>
      <c r="BY29">
        <v>3.3990899999999998E-2</v>
      </c>
      <c r="BZ29">
        <v>26</v>
      </c>
      <c r="CA29">
        <v>33527.9</v>
      </c>
      <c r="CB29">
        <v>1690226183.5999999</v>
      </c>
      <c r="CC29" t="s">
        <v>332</v>
      </c>
      <c r="CD29">
        <v>1690226177.5999999</v>
      </c>
      <c r="CE29">
        <v>1690226183.5999999</v>
      </c>
      <c r="CF29">
        <v>12</v>
      </c>
      <c r="CG29">
        <v>-0.255</v>
      </c>
      <c r="CH29">
        <v>0.113</v>
      </c>
      <c r="CI29">
        <v>-0.439</v>
      </c>
      <c r="CJ29">
        <v>0.31</v>
      </c>
      <c r="CK29">
        <v>800</v>
      </c>
      <c r="CL29">
        <v>25</v>
      </c>
      <c r="CM29">
        <v>0.02</v>
      </c>
      <c r="CN29">
        <v>0.03</v>
      </c>
      <c r="CO29">
        <v>2.6128184999999999</v>
      </c>
      <c r="CP29">
        <v>-7.9459211257035696</v>
      </c>
      <c r="CQ29">
        <v>0.76576341900272948</v>
      </c>
      <c r="CR29">
        <v>-1</v>
      </c>
      <c r="CS29">
        <v>-9.2900906500000005E-2</v>
      </c>
      <c r="CT29">
        <v>0.7164229249530959</v>
      </c>
      <c r="CU29">
        <v>0.17609464355416379</v>
      </c>
      <c r="CV29">
        <v>-1</v>
      </c>
      <c r="CW29">
        <v>0</v>
      </c>
      <c r="CX29">
        <v>0</v>
      </c>
      <c r="CY29" t="s">
        <v>333</v>
      </c>
      <c r="CZ29">
        <v>2.3642799999999999</v>
      </c>
      <c r="DA29">
        <v>2.71374</v>
      </c>
      <c r="DB29">
        <v>0.14688000000000001</v>
      </c>
      <c r="DC29">
        <v>0.14637600000000001</v>
      </c>
      <c r="DD29">
        <v>0.107125</v>
      </c>
      <c r="DE29">
        <v>0.105103</v>
      </c>
      <c r="DF29">
        <v>31152.9</v>
      </c>
      <c r="DG29">
        <v>27516.3</v>
      </c>
      <c r="DH29">
        <v>31174.400000000001</v>
      </c>
      <c r="DI29">
        <v>28088</v>
      </c>
      <c r="DJ29">
        <v>37794.9</v>
      </c>
      <c r="DK29">
        <v>35741.9</v>
      </c>
      <c r="DL29">
        <v>44366</v>
      </c>
      <c r="DM29">
        <v>42574.2</v>
      </c>
      <c r="DN29">
        <v>1.47115</v>
      </c>
      <c r="DO29">
        <v>2.0593499999999998</v>
      </c>
      <c r="DP29">
        <v>6.3925999999999997E-2</v>
      </c>
      <c r="DQ29">
        <v>0.144541</v>
      </c>
      <c r="DR29">
        <v>25.908100000000001</v>
      </c>
      <c r="DS29">
        <v>25.698799999999999</v>
      </c>
      <c r="DT29">
        <v>57.1</v>
      </c>
      <c r="DU29">
        <v>29.4</v>
      </c>
      <c r="DV29">
        <v>23.723400000000002</v>
      </c>
      <c r="DW29">
        <v>62.5124</v>
      </c>
      <c r="DX29">
        <v>35.584899999999998</v>
      </c>
      <c r="DY29">
        <v>1</v>
      </c>
      <c r="DZ29">
        <v>-7.2985300000000003E-2</v>
      </c>
      <c r="EA29">
        <v>6.0025599999999999</v>
      </c>
      <c r="EB29">
        <v>20.0688</v>
      </c>
      <c r="EC29">
        <v>5.2400500000000001</v>
      </c>
      <c r="ED29">
        <v>12.039899999999999</v>
      </c>
      <c r="EE29">
        <v>5.0162500000000003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1.8691800000000001</v>
      </c>
      <c r="EN29">
        <v>1.8672200000000001</v>
      </c>
      <c r="EO29">
        <v>1.8633999999999999</v>
      </c>
      <c r="EP29">
        <v>1.8645</v>
      </c>
      <c r="EQ29">
        <v>1.87016</v>
      </c>
      <c r="ER29">
        <v>1.8694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-0.44</v>
      </c>
      <c r="FG29">
        <v>0.31</v>
      </c>
      <c r="FH29">
        <v>0.1121710645629533</v>
      </c>
      <c r="FI29">
        <v>-6.1462078757559423E-4</v>
      </c>
      <c r="FJ29">
        <v>-1.8861989874597051E-7</v>
      </c>
      <c r="FK29">
        <v>1.1980462299894961E-10</v>
      </c>
      <c r="FL29">
        <v>0.30996499999999833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12.6</v>
      </c>
      <c r="FU29">
        <v>12.5</v>
      </c>
      <c r="FV29">
        <v>1.79688</v>
      </c>
      <c r="FW29">
        <v>2.5842299999999998</v>
      </c>
      <c r="FX29">
        <v>1.5490699999999999</v>
      </c>
      <c r="FY29">
        <v>2.3290999999999999</v>
      </c>
      <c r="FZ29">
        <v>1.50146</v>
      </c>
      <c r="GA29">
        <v>2.3999000000000001</v>
      </c>
      <c r="GB29">
        <v>33.8735</v>
      </c>
      <c r="GC29">
        <v>23.956199999999999</v>
      </c>
      <c r="GD29">
        <v>19</v>
      </c>
      <c r="GE29">
        <v>281.13600000000002</v>
      </c>
      <c r="GF29">
        <v>603.27300000000002</v>
      </c>
      <c r="GG29">
        <v>19.6981</v>
      </c>
      <c r="GH29">
        <v>26.408100000000001</v>
      </c>
      <c r="GI29">
        <v>30.000599999999999</v>
      </c>
      <c r="GJ29">
        <v>26.4435</v>
      </c>
      <c r="GK29">
        <v>26.414999999999999</v>
      </c>
      <c r="GL29">
        <v>35.920400000000001</v>
      </c>
      <c r="GM29">
        <v>18.058399999999999</v>
      </c>
      <c r="GN29">
        <v>100</v>
      </c>
      <c r="GO29">
        <v>19.562100000000001</v>
      </c>
      <c r="GP29">
        <v>800</v>
      </c>
      <c r="GQ29">
        <v>21.986499999999999</v>
      </c>
      <c r="GR29">
        <v>99.747399999999999</v>
      </c>
      <c r="GS29">
        <v>99.593599999999995</v>
      </c>
    </row>
    <row r="30" spans="1:201" x14ac:dyDescent="0.25">
      <c r="A30">
        <v>14</v>
      </c>
      <c r="B30">
        <v>1690226945.0999999</v>
      </c>
      <c r="C30">
        <v>375.5</v>
      </c>
      <c r="D30" t="s">
        <v>359</v>
      </c>
      <c r="E30" t="s">
        <v>360</v>
      </c>
      <c r="F30" t="s">
        <v>330</v>
      </c>
      <c r="H30">
        <v>1690226945.0999999</v>
      </c>
      <c r="I30">
        <f t="shared" si="0"/>
        <v>1.0057960432727311E-4</v>
      </c>
      <c r="J30">
        <f t="shared" si="1"/>
        <v>0.1005796043272731</v>
      </c>
      <c r="K30">
        <f t="shared" si="2"/>
        <v>-3.556926292290364E-2</v>
      </c>
      <c r="L30">
        <f t="shared" si="3"/>
        <v>799.51300000000003</v>
      </c>
      <c r="M30">
        <f t="shared" si="4"/>
        <v>787.65828961506134</v>
      </c>
      <c r="N30">
        <f t="shared" si="5"/>
        <v>78.118971680084371</v>
      </c>
      <c r="O30">
        <f t="shared" si="6"/>
        <v>79.294707144366996</v>
      </c>
      <c r="P30">
        <f t="shared" si="7"/>
        <v>5.9801892508780383E-3</v>
      </c>
      <c r="Q30">
        <f t="shared" si="8"/>
        <v>2.1291429133364925</v>
      </c>
      <c r="R30">
        <f t="shared" si="9"/>
        <v>5.9708734258143419E-3</v>
      </c>
      <c r="S30">
        <f t="shared" si="10"/>
        <v>3.7326316539845585E-3</v>
      </c>
      <c r="T30">
        <f t="shared" si="11"/>
        <v>276.11155240009435</v>
      </c>
      <c r="U30">
        <f t="shared" si="12"/>
        <v>28.449059722066181</v>
      </c>
      <c r="V30">
        <f t="shared" si="13"/>
        <v>28.449059722066181</v>
      </c>
      <c r="W30">
        <f t="shared" si="14"/>
        <v>3.8953252121107589</v>
      </c>
      <c r="X30">
        <f t="shared" si="15"/>
        <v>66.290016795781838</v>
      </c>
      <c r="Y30">
        <f t="shared" si="16"/>
        <v>2.2766384949691001</v>
      </c>
      <c r="Z30">
        <f t="shared" si="17"/>
        <v>3.4343610169577858</v>
      </c>
      <c r="AA30">
        <f t="shared" si="18"/>
        <v>1.6186867171416588</v>
      </c>
      <c r="AB30">
        <f t="shared" si="19"/>
        <v>-4.4355605508327436</v>
      </c>
      <c r="AC30">
        <f t="shared" si="20"/>
        <v>-246.83194958314192</v>
      </c>
      <c r="AD30">
        <f t="shared" si="21"/>
        <v>-25.11307103843524</v>
      </c>
      <c r="AE30">
        <f t="shared" si="22"/>
        <v>-0.26902877231555067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52437.205190171509</v>
      </c>
      <c r="AK30">
        <f t="shared" si="26"/>
        <v>1799.97</v>
      </c>
      <c r="AL30">
        <f t="shared" si="27"/>
        <v>1499.0866494060899</v>
      </c>
      <c r="AM30">
        <f t="shared" si="28"/>
        <v>0.83283979699999999</v>
      </c>
      <c r="AN30">
        <f t="shared" si="29"/>
        <v>0.15339786351999998</v>
      </c>
      <c r="AO30">
        <v>32.4</v>
      </c>
      <c r="AP30">
        <v>0.5</v>
      </c>
      <c r="AQ30" t="s">
        <v>331</v>
      </c>
      <c r="AR30">
        <v>2</v>
      </c>
      <c r="AS30">
        <v>1690226945.0999999</v>
      </c>
      <c r="AT30">
        <v>799.51300000000003</v>
      </c>
      <c r="AU30">
        <v>799.99699999999996</v>
      </c>
      <c r="AV30">
        <v>22.954899999999999</v>
      </c>
      <c r="AW30">
        <v>21.894300000000001</v>
      </c>
      <c r="AX30">
        <v>799.95100000000002</v>
      </c>
      <c r="AY30">
        <v>22.6449</v>
      </c>
      <c r="AZ30">
        <v>300.20499999999998</v>
      </c>
      <c r="BA30">
        <v>99.078699999999998</v>
      </c>
      <c r="BB30">
        <v>0.100059</v>
      </c>
      <c r="BC30">
        <v>26.2987</v>
      </c>
      <c r="BD30">
        <v>26.9726</v>
      </c>
      <c r="BE30">
        <v>28.021100000000001</v>
      </c>
      <c r="BF30">
        <v>0</v>
      </c>
      <c r="BG30">
        <v>0</v>
      </c>
      <c r="BH30">
        <v>9985</v>
      </c>
      <c r="BI30">
        <v>1075.51</v>
      </c>
      <c r="BJ30">
        <v>1.28952</v>
      </c>
      <c r="BK30">
        <v>-0.48468</v>
      </c>
      <c r="BL30">
        <v>818.29600000000005</v>
      </c>
      <c r="BM30">
        <v>817.90499999999997</v>
      </c>
      <c r="BN30">
        <v>1.06057</v>
      </c>
      <c r="BO30">
        <v>799.99699999999996</v>
      </c>
      <c r="BP30">
        <v>21.894300000000001</v>
      </c>
      <c r="BQ30">
        <v>2.27434</v>
      </c>
      <c r="BR30">
        <v>2.16926</v>
      </c>
      <c r="BS30">
        <v>19.495799999999999</v>
      </c>
      <c r="BT30">
        <v>18.737100000000002</v>
      </c>
      <c r="BU30">
        <v>1799.97</v>
      </c>
      <c r="BV30">
        <v>0.90998699999999999</v>
      </c>
      <c r="BW30">
        <v>3.3993799999999998E-2</v>
      </c>
      <c r="BX30">
        <v>2.2006100000000001E-2</v>
      </c>
      <c r="BY30">
        <v>3.4013000000000002E-2</v>
      </c>
      <c r="BZ30">
        <v>26</v>
      </c>
      <c r="CA30">
        <v>33527.800000000003</v>
      </c>
      <c r="CB30">
        <v>1690226183.5999999</v>
      </c>
      <c r="CC30" t="s">
        <v>332</v>
      </c>
      <c r="CD30">
        <v>1690226177.5999999</v>
      </c>
      <c r="CE30">
        <v>1690226183.5999999</v>
      </c>
      <c r="CF30">
        <v>12</v>
      </c>
      <c r="CG30">
        <v>-0.255</v>
      </c>
      <c r="CH30">
        <v>0.113</v>
      </c>
      <c r="CI30">
        <v>-0.439</v>
      </c>
      <c r="CJ30">
        <v>0.31</v>
      </c>
      <c r="CK30">
        <v>800</v>
      </c>
      <c r="CL30">
        <v>25</v>
      </c>
      <c r="CM30">
        <v>0.02</v>
      </c>
      <c r="CN30">
        <v>0.03</v>
      </c>
      <c r="CO30">
        <v>1.2608873927499999</v>
      </c>
      <c r="CP30">
        <v>-8.5134142215759887</v>
      </c>
      <c r="CQ30">
        <v>0.8200041238333251</v>
      </c>
      <c r="CR30">
        <v>-1</v>
      </c>
      <c r="CS30">
        <v>0.183672212</v>
      </c>
      <c r="CT30">
        <v>2.8231538575609769</v>
      </c>
      <c r="CU30">
        <v>0.28416401568750971</v>
      </c>
      <c r="CV30">
        <v>-1</v>
      </c>
      <c r="CW30">
        <v>0</v>
      </c>
      <c r="CX30">
        <v>0</v>
      </c>
      <c r="CY30" t="s">
        <v>333</v>
      </c>
      <c r="CZ30">
        <v>2.36436</v>
      </c>
      <c r="DA30">
        <v>2.7138399999999998</v>
      </c>
      <c r="DB30">
        <v>0.14669399999999999</v>
      </c>
      <c r="DC30">
        <v>0.14638200000000001</v>
      </c>
      <c r="DD30">
        <v>0.10992300000000001</v>
      </c>
      <c r="DE30">
        <v>0.105181</v>
      </c>
      <c r="DF30">
        <v>31158</v>
      </c>
      <c r="DG30">
        <v>27513.9</v>
      </c>
      <c r="DH30">
        <v>31172.799999999999</v>
      </c>
      <c r="DI30">
        <v>28085.8</v>
      </c>
      <c r="DJ30">
        <v>37673.199999999997</v>
      </c>
      <c r="DK30">
        <v>35736</v>
      </c>
      <c r="DL30">
        <v>44363.6</v>
      </c>
      <c r="DM30">
        <v>42570.9</v>
      </c>
      <c r="DN30">
        <v>1.4811799999999999</v>
      </c>
      <c r="DO30">
        <v>2.0583999999999998</v>
      </c>
      <c r="DP30">
        <v>6.7502300000000001E-2</v>
      </c>
      <c r="DQ30">
        <v>0.14666499999999999</v>
      </c>
      <c r="DR30">
        <v>25.867699999999999</v>
      </c>
      <c r="DS30">
        <v>25.6219</v>
      </c>
      <c r="DT30">
        <v>57.1</v>
      </c>
      <c r="DU30">
        <v>29.4</v>
      </c>
      <c r="DV30">
        <v>23.716699999999999</v>
      </c>
      <c r="DW30">
        <v>62.232399999999998</v>
      </c>
      <c r="DX30">
        <v>36.410299999999999</v>
      </c>
      <c r="DY30">
        <v>1</v>
      </c>
      <c r="DZ30">
        <v>-6.6935999999999996E-2</v>
      </c>
      <c r="EA30">
        <v>-6.6666699999999999</v>
      </c>
      <c r="EB30">
        <v>19.997599999999998</v>
      </c>
      <c r="EC30">
        <v>5.2398999999999996</v>
      </c>
      <c r="ED30">
        <v>12.039899999999999</v>
      </c>
      <c r="EE30">
        <v>5.0164999999999997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1.8689100000000001</v>
      </c>
      <c r="EL30">
        <v>1.8646199999999999</v>
      </c>
      <c r="EM30">
        <v>1.8691899999999999</v>
      </c>
      <c r="EN30">
        <v>1.8672299999999999</v>
      </c>
      <c r="EO30">
        <v>1.8633999999999999</v>
      </c>
      <c r="EP30">
        <v>1.8645</v>
      </c>
      <c r="EQ30">
        <v>1.8701300000000001</v>
      </c>
      <c r="ER30">
        <v>1.86941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-0.438</v>
      </c>
      <c r="FG30">
        <v>0.31</v>
      </c>
      <c r="FH30">
        <v>0.1121710645629533</v>
      </c>
      <c r="FI30">
        <v>-6.1462078757559423E-4</v>
      </c>
      <c r="FJ30">
        <v>-1.8861989874597051E-7</v>
      </c>
      <c r="FK30">
        <v>1.1980462299894961E-10</v>
      </c>
      <c r="FL30">
        <v>0.30996499999999833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12.8</v>
      </c>
      <c r="FU30">
        <v>12.7</v>
      </c>
      <c r="FV30">
        <v>1.79688</v>
      </c>
      <c r="FW30">
        <v>2.5854499999999998</v>
      </c>
      <c r="FX30">
        <v>1.5490699999999999</v>
      </c>
      <c r="FY30">
        <v>2.3290999999999999</v>
      </c>
      <c r="FZ30">
        <v>1.50146</v>
      </c>
      <c r="GA30">
        <v>2.3083499999999999</v>
      </c>
      <c r="GB30">
        <v>33.896099999999997</v>
      </c>
      <c r="GC30">
        <v>23.912400000000002</v>
      </c>
      <c r="GD30">
        <v>19</v>
      </c>
      <c r="GE30">
        <v>285.49700000000001</v>
      </c>
      <c r="GF30">
        <v>602.53800000000001</v>
      </c>
      <c r="GG30">
        <v>23.4025</v>
      </c>
      <c r="GH30">
        <v>26.426600000000001</v>
      </c>
      <c r="GI30">
        <v>30.002099999999999</v>
      </c>
      <c r="GJ30">
        <v>26.461300000000001</v>
      </c>
      <c r="GK30">
        <v>26.421099999999999</v>
      </c>
      <c r="GL30">
        <v>35.918999999999997</v>
      </c>
      <c r="GM30">
        <v>19.4117</v>
      </c>
      <c r="GN30">
        <v>100</v>
      </c>
      <c r="GO30">
        <v>24.1187</v>
      </c>
      <c r="GP30">
        <v>800</v>
      </c>
      <c r="GQ30">
        <v>21.377800000000001</v>
      </c>
      <c r="GR30">
        <v>99.741900000000001</v>
      </c>
      <c r="GS30">
        <v>99.585700000000003</v>
      </c>
    </row>
    <row r="31" spans="1:201" x14ac:dyDescent="0.25">
      <c r="A31">
        <v>15</v>
      </c>
      <c r="B31">
        <v>1690226955.0999999</v>
      </c>
      <c r="C31">
        <v>385.5</v>
      </c>
      <c r="D31" t="s">
        <v>361</v>
      </c>
      <c r="E31" t="s">
        <v>362</v>
      </c>
      <c r="F31" t="s">
        <v>330</v>
      </c>
      <c r="H31">
        <v>1690226955.0999999</v>
      </c>
      <c r="I31">
        <f t="shared" si="0"/>
        <v>3.6066235090598383E-4</v>
      </c>
      <c r="J31">
        <f t="shared" si="1"/>
        <v>0.36066235090598381</v>
      </c>
      <c r="K31">
        <f t="shared" si="2"/>
        <v>-1.9738896340751374E-2</v>
      </c>
      <c r="L31">
        <f t="shared" si="3"/>
        <v>797.50300000000004</v>
      </c>
      <c r="M31">
        <f t="shared" si="4"/>
        <v>779.16317086377319</v>
      </c>
      <c r="N31">
        <f t="shared" si="5"/>
        <v>77.278893825414883</v>
      </c>
      <c r="O31">
        <f t="shared" si="6"/>
        <v>79.097873163239001</v>
      </c>
      <c r="P31">
        <f t="shared" si="7"/>
        <v>2.320224423452219E-2</v>
      </c>
      <c r="Q31">
        <f t="shared" si="8"/>
        <v>2.1305676285262134</v>
      </c>
      <c r="R31">
        <f t="shared" si="9"/>
        <v>2.3062779446575723E-2</v>
      </c>
      <c r="S31">
        <f t="shared" si="10"/>
        <v>1.4426697521704099E-2</v>
      </c>
      <c r="T31">
        <f t="shared" si="11"/>
        <v>276.11247989346839</v>
      </c>
      <c r="U31">
        <f t="shared" si="12"/>
        <v>28.739907573106031</v>
      </c>
      <c r="V31">
        <f t="shared" si="13"/>
        <v>28.739907573106031</v>
      </c>
      <c r="W31">
        <f t="shared" si="14"/>
        <v>3.961639297332197</v>
      </c>
      <c r="X31">
        <f t="shared" si="15"/>
        <v>70.050691606017736</v>
      </c>
      <c r="Y31">
        <f t="shared" si="16"/>
        <v>2.4608222798255999</v>
      </c>
      <c r="Z31">
        <f t="shared" si="17"/>
        <v>3.5129164657871867</v>
      </c>
      <c r="AA31">
        <f t="shared" si="18"/>
        <v>1.5008170175065971</v>
      </c>
      <c r="AB31">
        <f t="shared" si="19"/>
        <v>-15.905209674953888</v>
      </c>
      <c r="AC31">
        <f t="shared" si="20"/>
        <v>-236.34331197968751</v>
      </c>
      <c r="AD31">
        <f t="shared" si="21"/>
        <v>-24.110858731584351</v>
      </c>
      <c r="AE31">
        <f t="shared" si="22"/>
        <v>-0.24690049275736214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52431.605215043048</v>
      </c>
      <c r="AK31">
        <f t="shared" si="26"/>
        <v>1799.98</v>
      </c>
      <c r="AL31">
        <f t="shared" si="27"/>
        <v>1499.09279262834</v>
      </c>
      <c r="AM31">
        <f t="shared" si="28"/>
        <v>0.83283858300000002</v>
      </c>
      <c r="AN31">
        <f t="shared" si="29"/>
        <v>0.15339752658</v>
      </c>
      <c r="AO31">
        <v>32.4</v>
      </c>
      <c r="AP31">
        <v>0.5</v>
      </c>
      <c r="AQ31" t="s">
        <v>331</v>
      </c>
      <c r="AR31">
        <v>2</v>
      </c>
      <c r="AS31">
        <v>1690226955.0999999</v>
      </c>
      <c r="AT31">
        <v>797.50300000000004</v>
      </c>
      <c r="AU31">
        <v>800.39400000000001</v>
      </c>
      <c r="AV31">
        <v>24.811199999999999</v>
      </c>
      <c r="AW31">
        <v>21.015599999999999</v>
      </c>
      <c r="AX31">
        <v>797.94</v>
      </c>
      <c r="AY31">
        <v>24.501200000000001</v>
      </c>
      <c r="AZ31">
        <v>300.23</v>
      </c>
      <c r="BA31">
        <v>99.081999999999994</v>
      </c>
      <c r="BB31">
        <v>9.9913000000000002E-2</v>
      </c>
      <c r="BC31">
        <v>26.682300000000001</v>
      </c>
      <c r="BD31">
        <v>27.287600000000001</v>
      </c>
      <c r="BE31">
        <v>28.3581</v>
      </c>
      <c r="BF31">
        <v>0</v>
      </c>
      <c r="BG31">
        <v>0</v>
      </c>
      <c r="BH31">
        <v>9996.8799999999992</v>
      </c>
      <c r="BI31">
        <v>1075.5999999999999</v>
      </c>
      <c r="BJ31">
        <v>1.28952</v>
      </c>
      <c r="BK31">
        <v>-2.8917199999999998</v>
      </c>
      <c r="BL31">
        <v>817.79300000000001</v>
      </c>
      <c r="BM31">
        <v>817.57600000000002</v>
      </c>
      <c r="BN31">
        <v>3.79555</v>
      </c>
      <c r="BO31">
        <v>800.39400000000001</v>
      </c>
      <c r="BP31">
        <v>21.015599999999999</v>
      </c>
      <c r="BQ31">
        <v>2.4583400000000002</v>
      </c>
      <c r="BR31">
        <v>2.0822699999999998</v>
      </c>
      <c r="BS31">
        <v>20.753299999999999</v>
      </c>
      <c r="BT31">
        <v>18.084199999999999</v>
      </c>
      <c r="BU31">
        <v>1799.98</v>
      </c>
      <c r="BV31">
        <v>0.90998800000000002</v>
      </c>
      <c r="BW31">
        <v>3.4005899999999999E-2</v>
      </c>
      <c r="BX31">
        <v>2.20009E-2</v>
      </c>
      <c r="BY31">
        <v>3.4005000000000001E-2</v>
      </c>
      <c r="BZ31">
        <v>26</v>
      </c>
      <c r="CA31">
        <v>33527.9</v>
      </c>
      <c r="CB31">
        <v>1690226183.5999999</v>
      </c>
      <c r="CC31" t="s">
        <v>332</v>
      </c>
      <c r="CD31">
        <v>1690226177.5999999</v>
      </c>
      <c r="CE31">
        <v>1690226183.5999999</v>
      </c>
      <c r="CF31">
        <v>12</v>
      </c>
      <c r="CG31">
        <v>-0.255</v>
      </c>
      <c r="CH31">
        <v>0.113</v>
      </c>
      <c r="CI31">
        <v>-0.439</v>
      </c>
      <c r="CJ31">
        <v>0.31</v>
      </c>
      <c r="CK31">
        <v>800</v>
      </c>
      <c r="CL31">
        <v>25</v>
      </c>
      <c r="CM31">
        <v>0.02</v>
      </c>
      <c r="CN31">
        <v>0.03</v>
      </c>
      <c r="CO31">
        <v>-0.39415883634146348</v>
      </c>
      <c r="CP31">
        <v>-12.529177616236939</v>
      </c>
      <c r="CQ31">
        <v>1.251514871175005</v>
      </c>
      <c r="CR31">
        <v>-1</v>
      </c>
      <c r="CS31">
        <v>1.1713487804878051</v>
      </c>
      <c r="CT31">
        <v>9.4921448989547041</v>
      </c>
      <c r="CU31">
        <v>0.99893213052970242</v>
      </c>
      <c r="CV31">
        <v>-1</v>
      </c>
      <c r="CW31">
        <v>0</v>
      </c>
      <c r="CX31">
        <v>0</v>
      </c>
      <c r="CY31" t="s">
        <v>333</v>
      </c>
      <c r="CZ31">
        <v>2.36436</v>
      </c>
      <c r="DA31">
        <v>2.7136999999999998</v>
      </c>
      <c r="DB31">
        <v>0.146477</v>
      </c>
      <c r="DC31">
        <v>0.14641499999999999</v>
      </c>
      <c r="DD31">
        <v>0.116165</v>
      </c>
      <c r="DE31">
        <v>0.10219300000000001</v>
      </c>
      <c r="DF31">
        <v>31165.4</v>
      </c>
      <c r="DG31">
        <v>27512</v>
      </c>
      <c r="DH31">
        <v>31172.3</v>
      </c>
      <c r="DI31">
        <v>28085</v>
      </c>
      <c r="DJ31">
        <v>37405</v>
      </c>
      <c r="DK31">
        <v>35854.800000000003</v>
      </c>
      <c r="DL31">
        <v>44362</v>
      </c>
      <c r="DM31">
        <v>42569.9</v>
      </c>
      <c r="DN31">
        <v>1.4749699999999999</v>
      </c>
      <c r="DO31">
        <v>2.0569000000000002</v>
      </c>
      <c r="DP31">
        <v>8.8810899999999998E-2</v>
      </c>
      <c r="DQ31">
        <v>0.17061799999999999</v>
      </c>
      <c r="DR31">
        <v>25.834199999999999</v>
      </c>
      <c r="DS31">
        <v>25.567699999999999</v>
      </c>
      <c r="DT31">
        <v>57.1</v>
      </c>
      <c r="DU31">
        <v>29.4</v>
      </c>
      <c r="DV31">
        <v>23.715800000000002</v>
      </c>
      <c r="DW31">
        <v>61.922400000000003</v>
      </c>
      <c r="DX31">
        <v>35.212299999999999</v>
      </c>
      <c r="DY31">
        <v>1</v>
      </c>
      <c r="DZ31">
        <v>-7.6958799999999994E-2</v>
      </c>
      <c r="EA31">
        <v>-1.3787199999999999</v>
      </c>
      <c r="EB31">
        <v>20.173300000000001</v>
      </c>
      <c r="EC31">
        <v>5.2406499999999996</v>
      </c>
      <c r="ED31">
        <v>12.039899999999999</v>
      </c>
      <c r="EE31">
        <v>5.0163000000000002</v>
      </c>
      <c r="EF31">
        <v>3.2879499999999999</v>
      </c>
      <c r="EG31">
        <v>9999</v>
      </c>
      <c r="EH31">
        <v>9999</v>
      </c>
      <c r="EI31">
        <v>9999</v>
      </c>
      <c r="EJ31">
        <v>999.9</v>
      </c>
      <c r="EK31">
        <v>1.8689100000000001</v>
      </c>
      <c r="EL31">
        <v>1.8646199999999999</v>
      </c>
      <c r="EM31">
        <v>1.8692</v>
      </c>
      <c r="EN31">
        <v>1.8672200000000001</v>
      </c>
      <c r="EO31">
        <v>1.8633999999999999</v>
      </c>
      <c r="EP31">
        <v>1.86452</v>
      </c>
      <c r="EQ31">
        <v>1.8701399999999999</v>
      </c>
      <c r="ER31">
        <v>1.8694299999999999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-0.437</v>
      </c>
      <c r="FG31">
        <v>0.31</v>
      </c>
      <c r="FH31">
        <v>0.1121710645629533</v>
      </c>
      <c r="FI31">
        <v>-6.1462078757559423E-4</v>
      </c>
      <c r="FJ31">
        <v>-1.8861989874597051E-7</v>
      </c>
      <c r="FK31">
        <v>1.1980462299894961E-10</v>
      </c>
      <c r="FL31">
        <v>0.30996499999999833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13</v>
      </c>
      <c r="FU31">
        <v>12.9</v>
      </c>
      <c r="FV31">
        <v>1.79565</v>
      </c>
      <c r="FW31">
        <v>2.5817899999999998</v>
      </c>
      <c r="FX31">
        <v>1.5490699999999999</v>
      </c>
      <c r="FY31">
        <v>2.3290999999999999</v>
      </c>
      <c r="FZ31">
        <v>1.50146</v>
      </c>
      <c r="GA31">
        <v>2.4157700000000002</v>
      </c>
      <c r="GB31">
        <v>33.896099999999997</v>
      </c>
      <c r="GC31">
        <v>23.991199999999999</v>
      </c>
      <c r="GD31">
        <v>19</v>
      </c>
      <c r="GE31">
        <v>282.98399999999998</v>
      </c>
      <c r="GF31">
        <v>601.28899999999999</v>
      </c>
      <c r="GG31">
        <v>25.537299999999998</v>
      </c>
      <c r="GH31">
        <v>26.444400000000002</v>
      </c>
      <c r="GI31">
        <v>29.994499999999999</v>
      </c>
      <c r="GJ31">
        <v>26.493600000000001</v>
      </c>
      <c r="GK31">
        <v>26.422799999999999</v>
      </c>
      <c r="GL31">
        <v>35.889899999999997</v>
      </c>
      <c r="GM31">
        <v>25.132200000000001</v>
      </c>
      <c r="GN31">
        <v>100</v>
      </c>
      <c r="GO31">
        <v>24.762699999999999</v>
      </c>
      <c r="GP31">
        <v>800</v>
      </c>
      <c r="GQ31">
        <v>20.211400000000001</v>
      </c>
      <c r="GR31">
        <v>99.739199999999997</v>
      </c>
      <c r="GS31">
        <v>99.583299999999994</v>
      </c>
    </row>
    <row r="32" spans="1:201" x14ac:dyDescent="0.25">
      <c r="A32">
        <v>16</v>
      </c>
      <c r="B32">
        <v>1690226965.0999999</v>
      </c>
      <c r="C32">
        <v>395.5</v>
      </c>
      <c r="D32" t="s">
        <v>363</v>
      </c>
      <c r="E32" t="s">
        <v>364</v>
      </c>
      <c r="F32" t="s">
        <v>330</v>
      </c>
      <c r="H32">
        <v>1690226965.0999999</v>
      </c>
      <c r="I32">
        <f t="shared" si="0"/>
        <v>4.3780209112808565E-4</v>
      </c>
      <c r="J32">
        <f t="shared" si="1"/>
        <v>0.43780209112808566</v>
      </c>
      <c r="K32">
        <f t="shared" si="2"/>
        <v>-2.9047446059809384E-2</v>
      </c>
      <c r="L32">
        <f t="shared" si="3"/>
        <v>796.67700000000002</v>
      </c>
      <c r="M32">
        <f t="shared" si="4"/>
        <v>778.34730547211814</v>
      </c>
      <c r="N32">
        <f t="shared" si="5"/>
        <v>77.196869715450475</v>
      </c>
      <c r="O32">
        <f t="shared" si="6"/>
        <v>79.014817860764097</v>
      </c>
      <c r="P32">
        <f t="shared" si="7"/>
        <v>2.7730198323469044E-2</v>
      </c>
      <c r="Q32">
        <f t="shared" si="8"/>
        <v>2.1328017636533385</v>
      </c>
      <c r="R32">
        <f t="shared" si="9"/>
        <v>2.7531447273522362E-2</v>
      </c>
      <c r="S32">
        <f t="shared" si="10"/>
        <v>1.7224892685284786E-2</v>
      </c>
      <c r="T32">
        <f t="shared" si="11"/>
        <v>276.11176814537674</v>
      </c>
      <c r="U32">
        <f t="shared" si="12"/>
        <v>28.878157565249385</v>
      </c>
      <c r="V32">
        <f t="shared" si="13"/>
        <v>28.878157565249385</v>
      </c>
      <c r="W32">
        <f t="shared" si="14"/>
        <v>3.9935043855230212</v>
      </c>
      <c r="X32">
        <f t="shared" si="15"/>
        <v>69.558570299566853</v>
      </c>
      <c r="Y32">
        <f t="shared" si="16"/>
        <v>2.4677197718466299</v>
      </c>
      <c r="Z32">
        <f t="shared" si="17"/>
        <v>3.5476861603378826</v>
      </c>
      <c r="AA32">
        <f t="shared" si="18"/>
        <v>1.5257846136763913</v>
      </c>
      <c r="AB32">
        <f t="shared" si="19"/>
        <v>-19.307072218748576</v>
      </c>
      <c r="AC32">
        <f t="shared" si="20"/>
        <v>-233.23937091083775</v>
      </c>
      <c r="AD32">
        <f t="shared" si="21"/>
        <v>-23.805531396021035</v>
      </c>
      <c r="AE32">
        <f t="shared" si="22"/>
        <v>-0.24020638023060314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52498.705742469436</v>
      </c>
      <c r="AK32">
        <f t="shared" si="26"/>
        <v>1799.98</v>
      </c>
      <c r="AL32">
        <f t="shared" si="27"/>
        <v>1499.0953719996799</v>
      </c>
      <c r="AM32">
        <f t="shared" si="28"/>
        <v>0.83284001599999991</v>
      </c>
      <c r="AN32">
        <f t="shared" si="29"/>
        <v>0.15339713115999998</v>
      </c>
      <c r="AO32">
        <v>32.4</v>
      </c>
      <c r="AP32">
        <v>0.5</v>
      </c>
      <c r="AQ32" t="s">
        <v>331</v>
      </c>
      <c r="AR32">
        <v>2</v>
      </c>
      <c r="AS32">
        <v>1690226965.0999999</v>
      </c>
      <c r="AT32">
        <v>796.67700000000002</v>
      </c>
      <c r="AU32">
        <v>800.12800000000004</v>
      </c>
      <c r="AV32">
        <v>24.8811</v>
      </c>
      <c r="AW32">
        <v>20.273399999999999</v>
      </c>
      <c r="AX32">
        <v>797.11300000000006</v>
      </c>
      <c r="AY32">
        <v>24.571100000000001</v>
      </c>
      <c r="AZ32">
        <v>300.19</v>
      </c>
      <c r="BA32">
        <v>99.080600000000004</v>
      </c>
      <c r="BB32">
        <v>9.9893300000000004E-2</v>
      </c>
      <c r="BC32">
        <v>26.849699999999999</v>
      </c>
      <c r="BD32">
        <v>27.514500000000002</v>
      </c>
      <c r="BE32">
        <v>28.634799999999998</v>
      </c>
      <c r="BF32">
        <v>0</v>
      </c>
      <c r="BG32">
        <v>0</v>
      </c>
      <c r="BH32">
        <v>10016.200000000001</v>
      </c>
      <c r="BI32">
        <v>1075.98</v>
      </c>
      <c r="BJ32">
        <v>1.28952</v>
      </c>
      <c r="BK32">
        <v>-3.4514800000000001</v>
      </c>
      <c r="BL32">
        <v>817.00400000000002</v>
      </c>
      <c r="BM32">
        <v>816.68499999999995</v>
      </c>
      <c r="BN32">
        <v>4.6076800000000002</v>
      </c>
      <c r="BO32">
        <v>800.12800000000004</v>
      </c>
      <c r="BP32">
        <v>20.273399999999999</v>
      </c>
      <c r="BQ32">
        <v>2.46523</v>
      </c>
      <c r="BR32">
        <v>2.0087000000000002</v>
      </c>
      <c r="BS32">
        <v>20.7988</v>
      </c>
      <c r="BT32">
        <v>17.513100000000001</v>
      </c>
      <c r="BU32">
        <v>1799.98</v>
      </c>
      <c r="BV32">
        <v>0.91000499999999995</v>
      </c>
      <c r="BW32">
        <v>3.3999500000000002E-2</v>
      </c>
      <c r="BX32">
        <v>2.19968E-2</v>
      </c>
      <c r="BY32">
        <v>3.3998599999999997E-2</v>
      </c>
      <c r="BZ32">
        <v>26</v>
      </c>
      <c r="CA32">
        <v>33528</v>
      </c>
      <c r="CB32">
        <v>1690226183.5999999</v>
      </c>
      <c r="CC32" t="s">
        <v>332</v>
      </c>
      <c r="CD32">
        <v>1690226177.5999999</v>
      </c>
      <c r="CE32">
        <v>1690226183.5999999</v>
      </c>
      <c r="CF32">
        <v>12</v>
      </c>
      <c r="CG32">
        <v>-0.255</v>
      </c>
      <c r="CH32">
        <v>0.113</v>
      </c>
      <c r="CI32">
        <v>-0.439</v>
      </c>
      <c r="CJ32">
        <v>0.31</v>
      </c>
      <c r="CK32">
        <v>800</v>
      </c>
      <c r="CL32">
        <v>25</v>
      </c>
      <c r="CM32">
        <v>0.02</v>
      </c>
      <c r="CN32">
        <v>0.03</v>
      </c>
      <c r="CO32">
        <v>-2.285162941463414</v>
      </c>
      <c r="CP32">
        <v>-10.26893960278746</v>
      </c>
      <c r="CQ32">
        <v>1.054290594674538</v>
      </c>
      <c r="CR32">
        <v>-1</v>
      </c>
      <c r="CS32">
        <v>3.109575951219512</v>
      </c>
      <c r="CT32">
        <v>13.25876646689896</v>
      </c>
      <c r="CU32">
        <v>1.332353521198282</v>
      </c>
      <c r="CV32">
        <v>-1</v>
      </c>
      <c r="CW32">
        <v>0</v>
      </c>
      <c r="CX32">
        <v>0</v>
      </c>
      <c r="CY32" t="s">
        <v>333</v>
      </c>
      <c r="CZ32">
        <v>2.3641999999999999</v>
      </c>
      <c r="DA32">
        <v>2.7136999999999998</v>
      </c>
      <c r="DB32">
        <v>0.14637700000000001</v>
      </c>
      <c r="DC32">
        <v>0.14636399999999999</v>
      </c>
      <c r="DD32">
        <v>0.116396</v>
      </c>
      <c r="DE32">
        <v>9.9626800000000001E-2</v>
      </c>
      <c r="DF32">
        <v>31169.4</v>
      </c>
      <c r="DG32">
        <v>27513.8</v>
      </c>
      <c r="DH32">
        <v>31172.7</v>
      </c>
      <c r="DI32">
        <v>28085.3</v>
      </c>
      <c r="DJ32">
        <v>37395.5</v>
      </c>
      <c r="DK32">
        <v>35957.599999999999</v>
      </c>
      <c r="DL32">
        <v>44362.400000000001</v>
      </c>
      <c r="DM32">
        <v>42570.2</v>
      </c>
      <c r="DN32">
        <v>1.4722200000000001</v>
      </c>
      <c r="DO32">
        <v>2.0560999999999998</v>
      </c>
      <c r="DP32">
        <v>0.103675</v>
      </c>
      <c r="DQ32">
        <v>0.18853700000000001</v>
      </c>
      <c r="DR32">
        <v>25.818100000000001</v>
      </c>
      <c r="DS32">
        <v>25.5519</v>
      </c>
      <c r="DT32">
        <v>57.1</v>
      </c>
      <c r="DU32">
        <v>29.4</v>
      </c>
      <c r="DV32">
        <v>23.718800000000002</v>
      </c>
      <c r="DW32">
        <v>61.7624</v>
      </c>
      <c r="DX32">
        <v>35.901400000000002</v>
      </c>
      <c r="DY32">
        <v>1</v>
      </c>
      <c r="DZ32">
        <v>-7.3478100000000005E-2</v>
      </c>
      <c r="EA32">
        <v>4.1360799999999998</v>
      </c>
      <c r="EB32">
        <v>20.123799999999999</v>
      </c>
      <c r="EC32">
        <v>5.2404999999999999</v>
      </c>
      <c r="ED32">
        <v>12.039899999999999</v>
      </c>
      <c r="EE32">
        <v>5.0164</v>
      </c>
      <c r="EF32">
        <v>3.2879499999999999</v>
      </c>
      <c r="EG32">
        <v>9999</v>
      </c>
      <c r="EH32">
        <v>9999</v>
      </c>
      <c r="EI32">
        <v>9999</v>
      </c>
      <c r="EJ32">
        <v>999.9</v>
      </c>
      <c r="EK32">
        <v>1.86893</v>
      </c>
      <c r="EL32">
        <v>1.86463</v>
      </c>
      <c r="EM32">
        <v>1.8692</v>
      </c>
      <c r="EN32">
        <v>1.8672200000000001</v>
      </c>
      <c r="EO32">
        <v>1.8633999999999999</v>
      </c>
      <c r="EP32">
        <v>1.86452</v>
      </c>
      <c r="EQ32">
        <v>1.8701300000000001</v>
      </c>
      <c r="ER32">
        <v>1.8694200000000001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-0.436</v>
      </c>
      <c r="FG32">
        <v>0.31</v>
      </c>
      <c r="FH32">
        <v>0.1121710645629533</v>
      </c>
      <c r="FI32">
        <v>-6.1462078757559423E-4</v>
      </c>
      <c r="FJ32">
        <v>-1.8861989874597051E-7</v>
      </c>
      <c r="FK32">
        <v>1.1980462299894961E-10</v>
      </c>
      <c r="FL32">
        <v>0.30996499999999833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13.1</v>
      </c>
      <c r="FU32">
        <v>13</v>
      </c>
      <c r="FV32">
        <v>1.79443</v>
      </c>
      <c r="FW32">
        <v>2.5854499999999998</v>
      </c>
      <c r="FX32">
        <v>1.5490699999999999</v>
      </c>
      <c r="FY32">
        <v>2.3290999999999999</v>
      </c>
      <c r="FZ32">
        <v>1.50146</v>
      </c>
      <c r="GA32">
        <v>2.3828100000000001</v>
      </c>
      <c r="GB32">
        <v>33.896099999999997</v>
      </c>
      <c r="GC32">
        <v>23.973700000000001</v>
      </c>
      <c r="GD32">
        <v>19</v>
      </c>
      <c r="GE32">
        <v>281.79899999999998</v>
      </c>
      <c r="GF32">
        <v>600.65499999999997</v>
      </c>
      <c r="GG32">
        <v>24.620100000000001</v>
      </c>
      <c r="GH32">
        <v>26.46</v>
      </c>
      <c r="GI32">
        <v>30.002199999999998</v>
      </c>
      <c r="GJ32">
        <v>26.490200000000002</v>
      </c>
      <c r="GK32">
        <v>26.426600000000001</v>
      </c>
      <c r="GL32">
        <v>35.876600000000003</v>
      </c>
      <c r="GM32">
        <v>26.314699999999998</v>
      </c>
      <c r="GN32">
        <v>100</v>
      </c>
      <c r="GO32">
        <v>24.091000000000001</v>
      </c>
      <c r="GP32">
        <v>800</v>
      </c>
      <c r="GQ32">
        <v>20.2544</v>
      </c>
      <c r="GR32">
        <v>99.740200000000002</v>
      </c>
      <c r="GS32">
        <v>99.584000000000003</v>
      </c>
    </row>
    <row r="33" spans="1:201" x14ac:dyDescent="0.25">
      <c r="A33">
        <v>17</v>
      </c>
      <c r="B33">
        <v>1690226975.0999999</v>
      </c>
      <c r="C33">
        <v>405.5</v>
      </c>
      <c r="D33" t="s">
        <v>365</v>
      </c>
      <c r="E33" t="s">
        <v>366</v>
      </c>
      <c r="F33" t="s">
        <v>330</v>
      </c>
      <c r="H33">
        <v>1690226975.0999999</v>
      </c>
      <c r="I33">
        <f t="shared" si="0"/>
        <v>3.6395581243229647E-4</v>
      </c>
      <c r="J33">
        <f t="shared" si="1"/>
        <v>0.36395581243229647</v>
      </c>
      <c r="K33">
        <f t="shared" si="2"/>
        <v>2.7264536796643864E-2</v>
      </c>
      <c r="L33">
        <f t="shared" si="3"/>
        <v>796.50400000000002</v>
      </c>
      <c r="M33">
        <f t="shared" si="4"/>
        <v>773.65590887075768</v>
      </c>
      <c r="N33">
        <f t="shared" si="5"/>
        <v>76.732756136200024</v>
      </c>
      <c r="O33">
        <f t="shared" si="6"/>
        <v>78.998875976681603</v>
      </c>
      <c r="P33">
        <f t="shared" si="7"/>
        <v>2.202648655605785E-2</v>
      </c>
      <c r="Q33">
        <f t="shared" si="8"/>
        <v>2.1280151548074451</v>
      </c>
      <c r="R33">
        <f t="shared" si="9"/>
        <v>2.190060698958321E-2</v>
      </c>
      <c r="S33">
        <f t="shared" si="10"/>
        <v>1.3699129072401475E-2</v>
      </c>
      <c r="T33">
        <f t="shared" si="11"/>
        <v>276.11101568173757</v>
      </c>
      <c r="U33">
        <f t="shared" si="12"/>
        <v>28.846387794649566</v>
      </c>
      <c r="V33">
        <f t="shared" si="13"/>
        <v>28.846387794649566</v>
      </c>
      <c r="W33">
        <f t="shared" si="14"/>
        <v>3.9861620947993686</v>
      </c>
      <c r="X33">
        <f t="shared" si="15"/>
        <v>67.638378752380873</v>
      </c>
      <c r="Y33">
        <f t="shared" si="16"/>
        <v>2.3908917019644402</v>
      </c>
      <c r="Z33">
        <f t="shared" si="17"/>
        <v>3.5348152129981094</v>
      </c>
      <c r="AA33">
        <f t="shared" si="18"/>
        <v>1.5952703928349283</v>
      </c>
      <c r="AB33">
        <f t="shared" si="19"/>
        <v>-16.050451328264273</v>
      </c>
      <c r="AC33">
        <f t="shared" si="20"/>
        <v>-236.16115063839925</v>
      </c>
      <c r="AD33">
        <f t="shared" si="21"/>
        <v>-24.146699762600804</v>
      </c>
      <c r="AE33">
        <f t="shared" si="22"/>
        <v>-0.24728604752675665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52303.118258255519</v>
      </c>
      <c r="AK33">
        <f t="shared" si="26"/>
        <v>1799.98</v>
      </c>
      <c r="AL33">
        <f t="shared" si="27"/>
        <v>1499.0977947727602</v>
      </c>
      <c r="AM33">
        <f t="shared" si="28"/>
        <v>0.83284136200000003</v>
      </c>
      <c r="AN33">
        <f t="shared" si="29"/>
        <v>0.15339671311999997</v>
      </c>
      <c r="AO33">
        <v>32.4</v>
      </c>
      <c r="AP33">
        <v>0.5</v>
      </c>
      <c r="AQ33" t="s">
        <v>331</v>
      </c>
      <c r="AR33">
        <v>2</v>
      </c>
      <c r="AS33">
        <v>1690226975.0999999</v>
      </c>
      <c r="AT33">
        <v>796.50400000000002</v>
      </c>
      <c r="AU33">
        <v>799.92700000000002</v>
      </c>
      <c r="AV33">
        <v>24.106100000000001</v>
      </c>
      <c r="AW33">
        <v>20.2727</v>
      </c>
      <c r="AX33">
        <v>796.94100000000003</v>
      </c>
      <c r="AY33">
        <v>23.796199999999999</v>
      </c>
      <c r="AZ33">
        <v>300.20100000000002</v>
      </c>
      <c r="BA33">
        <v>99.082099999999997</v>
      </c>
      <c r="BB33">
        <v>9.9920400000000006E-2</v>
      </c>
      <c r="BC33">
        <v>26.7879</v>
      </c>
      <c r="BD33">
        <v>27.44</v>
      </c>
      <c r="BE33">
        <v>28.6982</v>
      </c>
      <c r="BF33">
        <v>0</v>
      </c>
      <c r="BG33">
        <v>0</v>
      </c>
      <c r="BH33">
        <v>9975</v>
      </c>
      <c r="BI33">
        <v>1075.99</v>
      </c>
      <c r="BJ33">
        <v>1.1970099999999999</v>
      </c>
      <c r="BK33">
        <v>-3.4230299999999998</v>
      </c>
      <c r="BL33">
        <v>816.17899999999997</v>
      </c>
      <c r="BM33">
        <v>816.48</v>
      </c>
      <c r="BN33">
        <v>3.83344</v>
      </c>
      <c r="BO33">
        <v>799.92700000000002</v>
      </c>
      <c r="BP33">
        <v>20.2727</v>
      </c>
      <c r="BQ33">
        <v>2.3884799999999999</v>
      </c>
      <c r="BR33">
        <v>2.0086599999999999</v>
      </c>
      <c r="BS33">
        <v>20.285900000000002</v>
      </c>
      <c r="BT33">
        <v>17.512799999999999</v>
      </c>
      <c r="BU33">
        <v>1799.98</v>
      </c>
      <c r="BV33">
        <v>0.910022</v>
      </c>
      <c r="BW33">
        <v>3.3993099999999998E-2</v>
      </c>
      <c r="BX33">
        <v>2.1992600000000001E-2</v>
      </c>
      <c r="BY33">
        <v>3.39922E-2</v>
      </c>
      <c r="BZ33">
        <v>26</v>
      </c>
      <c r="CA33">
        <v>33528.199999999997</v>
      </c>
      <c r="CB33">
        <v>1690226183.5999999</v>
      </c>
      <c r="CC33" t="s">
        <v>332</v>
      </c>
      <c r="CD33">
        <v>1690226177.5999999</v>
      </c>
      <c r="CE33">
        <v>1690226183.5999999</v>
      </c>
      <c r="CF33">
        <v>12</v>
      </c>
      <c r="CG33">
        <v>-0.255</v>
      </c>
      <c r="CH33">
        <v>0.113</v>
      </c>
      <c r="CI33">
        <v>-0.439</v>
      </c>
      <c r="CJ33">
        <v>0.31</v>
      </c>
      <c r="CK33">
        <v>800</v>
      </c>
      <c r="CL33">
        <v>25</v>
      </c>
      <c r="CM33">
        <v>0.02</v>
      </c>
      <c r="CN33">
        <v>0.03</v>
      </c>
      <c r="CO33">
        <v>-3.333615</v>
      </c>
      <c r="CP33">
        <v>-1.6372514071294531</v>
      </c>
      <c r="CQ33">
        <v>0.18977477872467671</v>
      </c>
      <c r="CR33">
        <v>-1</v>
      </c>
      <c r="CS33">
        <v>4.3497197500000002</v>
      </c>
      <c r="CT33">
        <v>1.6184352720435401E-2</v>
      </c>
      <c r="CU33">
        <v>0.26534442447965162</v>
      </c>
      <c r="CV33">
        <v>-1</v>
      </c>
      <c r="CW33">
        <v>0</v>
      </c>
      <c r="CX33">
        <v>0</v>
      </c>
      <c r="CY33" t="s">
        <v>333</v>
      </c>
      <c r="CZ33">
        <v>2.3642400000000001</v>
      </c>
      <c r="DA33">
        <v>2.7136900000000002</v>
      </c>
      <c r="DB33">
        <v>0.146346</v>
      </c>
      <c r="DC33">
        <v>0.146339</v>
      </c>
      <c r="DD33">
        <v>0.11382</v>
      </c>
      <c r="DE33">
        <v>9.9623699999999996E-2</v>
      </c>
      <c r="DF33">
        <v>31168.3</v>
      </c>
      <c r="DG33">
        <v>27512.1</v>
      </c>
      <c r="DH33">
        <v>31170.5</v>
      </c>
      <c r="DI33">
        <v>28082.799999999999</v>
      </c>
      <c r="DJ33">
        <v>37503.300000000003</v>
      </c>
      <c r="DK33">
        <v>35954.800000000003</v>
      </c>
      <c r="DL33">
        <v>44359.5</v>
      </c>
      <c r="DM33">
        <v>42566.7</v>
      </c>
      <c r="DN33">
        <v>1.4710700000000001</v>
      </c>
      <c r="DO33">
        <v>2.0557799999999999</v>
      </c>
      <c r="DP33">
        <v>9.9390699999999998E-2</v>
      </c>
      <c r="DQ33">
        <v>0.192299</v>
      </c>
      <c r="DR33">
        <v>25.813600000000001</v>
      </c>
      <c r="DS33">
        <v>25.553999999999998</v>
      </c>
      <c r="DT33">
        <v>57.1</v>
      </c>
      <c r="DU33">
        <v>29.4</v>
      </c>
      <c r="DV33">
        <v>23.718699999999998</v>
      </c>
      <c r="DW33">
        <v>62.022399999999998</v>
      </c>
      <c r="DX33">
        <v>36.274000000000001</v>
      </c>
      <c r="DY33">
        <v>1</v>
      </c>
      <c r="DZ33">
        <v>-6.5505599999999997E-2</v>
      </c>
      <c r="EA33">
        <v>5.5632299999999999</v>
      </c>
      <c r="EB33">
        <v>20.071899999999999</v>
      </c>
      <c r="EC33">
        <v>5.2406499999999996</v>
      </c>
      <c r="ED33">
        <v>12.039899999999999</v>
      </c>
      <c r="EE33">
        <v>5.0162000000000004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1.8646199999999999</v>
      </c>
      <c r="EM33">
        <v>1.8691899999999999</v>
      </c>
      <c r="EN33">
        <v>1.8672200000000001</v>
      </c>
      <c r="EO33">
        <v>1.8633999999999999</v>
      </c>
      <c r="EP33">
        <v>1.86452</v>
      </c>
      <c r="EQ33">
        <v>1.8701300000000001</v>
      </c>
      <c r="ER33">
        <v>1.8694299999999999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-0.437</v>
      </c>
      <c r="FG33">
        <v>0.30990000000000001</v>
      </c>
      <c r="FH33">
        <v>0.1121710645629533</v>
      </c>
      <c r="FI33">
        <v>-6.1462078757559423E-4</v>
      </c>
      <c r="FJ33">
        <v>-1.8861989874597051E-7</v>
      </c>
      <c r="FK33">
        <v>1.1980462299894961E-10</v>
      </c>
      <c r="FL33">
        <v>0.30996499999999833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13.3</v>
      </c>
      <c r="FU33">
        <v>13.2</v>
      </c>
      <c r="FV33">
        <v>1.79443</v>
      </c>
      <c r="FW33">
        <v>2.5891099999999998</v>
      </c>
      <c r="FX33">
        <v>1.5490699999999999</v>
      </c>
      <c r="FY33">
        <v>2.3290999999999999</v>
      </c>
      <c r="FZ33">
        <v>1.50146</v>
      </c>
      <c r="GA33">
        <v>2.2631800000000002</v>
      </c>
      <c r="GB33">
        <v>33.896099999999997</v>
      </c>
      <c r="GC33">
        <v>23.956199999999999</v>
      </c>
      <c r="GD33">
        <v>19</v>
      </c>
      <c r="GE33">
        <v>281.26299999999998</v>
      </c>
      <c r="GF33">
        <v>600.48699999999997</v>
      </c>
      <c r="GG33">
        <v>23.283100000000001</v>
      </c>
      <c r="GH33">
        <v>26.472300000000001</v>
      </c>
      <c r="GI33">
        <v>30.003399999999999</v>
      </c>
      <c r="GJ33">
        <v>26.479700000000001</v>
      </c>
      <c r="GK33">
        <v>26.4359</v>
      </c>
      <c r="GL33">
        <v>35.877200000000002</v>
      </c>
      <c r="GM33">
        <v>24.792899999999999</v>
      </c>
      <c r="GN33">
        <v>100</v>
      </c>
      <c r="GO33">
        <v>23.070900000000002</v>
      </c>
      <c r="GP33">
        <v>800</v>
      </c>
      <c r="GQ33">
        <v>20.604800000000001</v>
      </c>
      <c r="GR33">
        <v>99.733599999999996</v>
      </c>
      <c r="GS33">
        <v>99.575599999999994</v>
      </c>
    </row>
    <row r="34" spans="1:201" x14ac:dyDescent="0.25">
      <c r="A34">
        <v>18</v>
      </c>
      <c r="B34">
        <v>1690226985.0999999</v>
      </c>
      <c r="C34">
        <v>415.5</v>
      </c>
      <c r="D34" t="s">
        <v>367</v>
      </c>
      <c r="E34" t="s">
        <v>368</v>
      </c>
      <c r="F34" t="s">
        <v>330</v>
      </c>
      <c r="H34">
        <v>1690226985.0999999</v>
      </c>
      <c r="I34">
        <f t="shared" si="0"/>
        <v>2.6810206050942932E-4</v>
      </c>
      <c r="J34">
        <f t="shared" si="1"/>
        <v>0.26810206050942931</v>
      </c>
      <c r="K34">
        <f t="shared" si="2"/>
        <v>0.10755132581521817</v>
      </c>
      <c r="L34">
        <f t="shared" si="3"/>
        <v>796.40300000000002</v>
      </c>
      <c r="M34">
        <f t="shared" si="4"/>
        <v>764.28373684310441</v>
      </c>
      <c r="N34">
        <f t="shared" si="5"/>
        <v>75.801301883171149</v>
      </c>
      <c r="O34">
        <f t="shared" si="6"/>
        <v>78.986875310230303</v>
      </c>
      <c r="P34">
        <f t="shared" si="7"/>
        <v>1.583504877417747E-2</v>
      </c>
      <c r="Q34">
        <f t="shared" si="8"/>
        <v>2.1330111145660462</v>
      </c>
      <c r="R34">
        <f t="shared" si="9"/>
        <v>1.5770029302559985E-2</v>
      </c>
      <c r="S34">
        <f t="shared" si="10"/>
        <v>9.8620877212091534E-3</v>
      </c>
      <c r="T34">
        <f t="shared" si="11"/>
        <v>276.11313128823059</v>
      </c>
      <c r="U34">
        <f t="shared" si="12"/>
        <v>28.730591580690437</v>
      </c>
      <c r="V34">
        <f t="shared" si="13"/>
        <v>28.730591580690437</v>
      </c>
      <c r="W34">
        <f t="shared" si="14"/>
        <v>3.9595000616596692</v>
      </c>
      <c r="X34">
        <f t="shared" si="15"/>
        <v>66.390114068827657</v>
      </c>
      <c r="Y34">
        <f t="shared" si="16"/>
        <v>2.32681128386406</v>
      </c>
      <c r="Z34">
        <f t="shared" si="17"/>
        <v>3.5047556650555216</v>
      </c>
      <c r="AA34">
        <f t="shared" si="18"/>
        <v>1.6326887777956092</v>
      </c>
      <c r="AB34">
        <f t="shared" si="19"/>
        <v>-11.823300868465834</v>
      </c>
      <c r="AC34">
        <f t="shared" si="20"/>
        <v>-240.08537403865324</v>
      </c>
      <c r="AD34">
        <f t="shared" si="21"/>
        <v>-24.458603997832128</v>
      </c>
      <c r="AE34">
        <f t="shared" si="22"/>
        <v>-0.25414761672061559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52543.979222638576</v>
      </c>
      <c r="AK34">
        <f t="shared" si="26"/>
        <v>1799.98</v>
      </c>
      <c r="AL34">
        <f t="shared" si="27"/>
        <v>1499.09577879516</v>
      </c>
      <c r="AM34">
        <f t="shared" si="28"/>
        <v>0.83284024199999995</v>
      </c>
      <c r="AN34">
        <f t="shared" si="29"/>
        <v>0.15339788846999999</v>
      </c>
      <c r="AO34">
        <v>32.4</v>
      </c>
      <c r="AP34">
        <v>0.5</v>
      </c>
      <c r="AQ34" t="s">
        <v>331</v>
      </c>
      <c r="AR34">
        <v>2</v>
      </c>
      <c r="AS34">
        <v>1690226985.0999999</v>
      </c>
      <c r="AT34">
        <v>796.40300000000002</v>
      </c>
      <c r="AU34">
        <v>799.86800000000005</v>
      </c>
      <c r="AV34">
        <v>23.460599999999999</v>
      </c>
      <c r="AW34">
        <v>20.635100000000001</v>
      </c>
      <c r="AX34">
        <v>796.84</v>
      </c>
      <c r="AY34">
        <v>23.150600000000001</v>
      </c>
      <c r="AZ34">
        <v>300.22000000000003</v>
      </c>
      <c r="BA34">
        <v>99.079599999999999</v>
      </c>
      <c r="BB34">
        <v>9.9930099999999994E-2</v>
      </c>
      <c r="BC34">
        <v>26.642800000000001</v>
      </c>
      <c r="BD34">
        <v>27.331600000000002</v>
      </c>
      <c r="BE34">
        <v>28.550599999999999</v>
      </c>
      <c r="BF34">
        <v>0</v>
      </c>
      <c r="BG34">
        <v>0</v>
      </c>
      <c r="BH34">
        <v>10018.1</v>
      </c>
      <c r="BI34">
        <v>1075.6500000000001</v>
      </c>
      <c r="BJ34">
        <v>1.1773899999999999</v>
      </c>
      <c r="BK34">
        <v>-3.4647199999999998</v>
      </c>
      <c r="BL34">
        <v>815.53599999999994</v>
      </c>
      <c r="BM34">
        <v>816.721</v>
      </c>
      <c r="BN34">
        <v>2.8255400000000002</v>
      </c>
      <c r="BO34">
        <v>799.86800000000005</v>
      </c>
      <c r="BP34">
        <v>20.635100000000001</v>
      </c>
      <c r="BQ34">
        <v>2.3244699999999998</v>
      </c>
      <c r="BR34">
        <v>2.0445099999999998</v>
      </c>
      <c r="BS34">
        <v>19.847000000000001</v>
      </c>
      <c r="BT34">
        <v>17.793399999999998</v>
      </c>
      <c r="BU34">
        <v>1799.98</v>
      </c>
      <c r="BV34">
        <v>0.909999</v>
      </c>
      <c r="BW34">
        <v>3.40074E-2</v>
      </c>
      <c r="BX34">
        <v>2.2007100000000002E-2</v>
      </c>
      <c r="BY34">
        <v>3.3986299999999997E-2</v>
      </c>
      <c r="BZ34">
        <v>26</v>
      </c>
      <c r="CA34">
        <v>33527.9</v>
      </c>
      <c r="CB34">
        <v>1690226183.5999999</v>
      </c>
      <c r="CC34" t="s">
        <v>332</v>
      </c>
      <c r="CD34">
        <v>1690226177.5999999</v>
      </c>
      <c r="CE34">
        <v>1690226183.5999999</v>
      </c>
      <c r="CF34">
        <v>12</v>
      </c>
      <c r="CG34">
        <v>-0.255</v>
      </c>
      <c r="CH34">
        <v>0.113</v>
      </c>
      <c r="CI34">
        <v>-0.439</v>
      </c>
      <c r="CJ34">
        <v>0.31</v>
      </c>
      <c r="CK34">
        <v>800</v>
      </c>
      <c r="CL34">
        <v>25</v>
      </c>
      <c r="CM34">
        <v>0.02</v>
      </c>
      <c r="CN34">
        <v>0.03</v>
      </c>
      <c r="CO34">
        <v>-3.458731463414634</v>
      </c>
      <c r="CP34">
        <v>-5.8095470383261374E-3</v>
      </c>
      <c r="CQ34">
        <v>2.101370790245348E-2</v>
      </c>
      <c r="CR34">
        <v>-1</v>
      </c>
      <c r="CS34">
        <v>3.9218156097560981</v>
      </c>
      <c r="CT34">
        <v>-5.3777807665505151</v>
      </c>
      <c r="CU34">
        <v>0.53371432211847591</v>
      </c>
      <c r="CV34">
        <v>-1</v>
      </c>
      <c r="CW34">
        <v>0</v>
      </c>
      <c r="CX34">
        <v>0</v>
      </c>
      <c r="CY34" t="s">
        <v>333</v>
      </c>
      <c r="CZ34">
        <v>2.3642799999999999</v>
      </c>
      <c r="DA34">
        <v>2.71374</v>
      </c>
      <c r="DB34">
        <v>0.146315</v>
      </c>
      <c r="DC34">
        <v>0.14633099999999999</v>
      </c>
      <c r="DD34">
        <v>0.11164</v>
      </c>
      <c r="DE34">
        <v>0.10087500000000001</v>
      </c>
      <c r="DF34">
        <v>31168</v>
      </c>
      <c r="DG34">
        <v>27510.9</v>
      </c>
      <c r="DH34">
        <v>31169.200000000001</v>
      </c>
      <c r="DI34">
        <v>28081.4</v>
      </c>
      <c r="DJ34">
        <v>37595.300000000003</v>
      </c>
      <c r="DK34">
        <v>35903.1</v>
      </c>
      <c r="DL34">
        <v>44358.1</v>
      </c>
      <c r="DM34">
        <v>42564.7</v>
      </c>
      <c r="DN34">
        <v>1.4712000000000001</v>
      </c>
      <c r="DO34">
        <v>2.0557300000000001</v>
      </c>
      <c r="DP34">
        <v>9.3057799999999996E-2</v>
      </c>
      <c r="DQ34">
        <v>0.18343300000000001</v>
      </c>
      <c r="DR34">
        <v>25.808700000000002</v>
      </c>
      <c r="DS34">
        <v>25.550999999999998</v>
      </c>
      <c r="DT34">
        <v>57.1</v>
      </c>
      <c r="DU34">
        <v>29.4</v>
      </c>
      <c r="DV34">
        <v>23.7194</v>
      </c>
      <c r="DW34">
        <v>61.862400000000001</v>
      </c>
      <c r="DX34">
        <v>35.224400000000003</v>
      </c>
      <c r="DY34">
        <v>1</v>
      </c>
      <c r="DZ34">
        <v>-6.4014199999999993E-2</v>
      </c>
      <c r="EA34">
        <v>5.5057400000000003</v>
      </c>
      <c r="EB34">
        <v>20.076799999999999</v>
      </c>
      <c r="EC34">
        <v>5.2401999999999997</v>
      </c>
      <c r="ED34">
        <v>12.039899999999999</v>
      </c>
      <c r="EE34">
        <v>5.0157499999999997</v>
      </c>
      <c r="EF34">
        <v>3.2879700000000001</v>
      </c>
      <c r="EG34">
        <v>9999</v>
      </c>
      <c r="EH34">
        <v>9999</v>
      </c>
      <c r="EI34">
        <v>9999</v>
      </c>
      <c r="EJ34">
        <v>999.9</v>
      </c>
      <c r="EK34">
        <v>1.8689199999999999</v>
      </c>
      <c r="EL34">
        <v>1.86463</v>
      </c>
      <c r="EM34">
        <v>1.8691899999999999</v>
      </c>
      <c r="EN34">
        <v>1.8672200000000001</v>
      </c>
      <c r="EO34">
        <v>1.8633999999999999</v>
      </c>
      <c r="EP34">
        <v>1.8645099999999999</v>
      </c>
      <c r="EQ34">
        <v>1.8701399999999999</v>
      </c>
      <c r="ER34">
        <v>1.8694299999999999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-0.437</v>
      </c>
      <c r="FG34">
        <v>0.31</v>
      </c>
      <c r="FH34">
        <v>0.1121710645629533</v>
      </c>
      <c r="FI34">
        <v>-6.1462078757559423E-4</v>
      </c>
      <c r="FJ34">
        <v>-1.8861989874597051E-7</v>
      </c>
      <c r="FK34">
        <v>1.1980462299894961E-10</v>
      </c>
      <c r="FL34">
        <v>0.30996499999999833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13.5</v>
      </c>
      <c r="FU34">
        <v>13.4</v>
      </c>
      <c r="FV34">
        <v>1.79443</v>
      </c>
      <c r="FW34">
        <v>2.5805699999999998</v>
      </c>
      <c r="FX34">
        <v>1.5490699999999999</v>
      </c>
      <c r="FY34">
        <v>2.3290999999999999</v>
      </c>
      <c r="FZ34">
        <v>1.50146</v>
      </c>
      <c r="GA34">
        <v>2.4084500000000002</v>
      </c>
      <c r="GB34">
        <v>33.896099999999997</v>
      </c>
      <c r="GC34">
        <v>23.9649</v>
      </c>
      <c r="GD34">
        <v>19</v>
      </c>
      <c r="GE34">
        <v>281.32499999999999</v>
      </c>
      <c r="GF34">
        <v>600.54700000000003</v>
      </c>
      <c r="GG34">
        <v>22.244</v>
      </c>
      <c r="GH34">
        <v>26.484100000000002</v>
      </c>
      <c r="GI34">
        <v>30.000699999999998</v>
      </c>
      <c r="GJ34">
        <v>26.4819</v>
      </c>
      <c r="GK34">
        <v>26.444700000000001</v>
      </c>
      <c r="GL34">
        <v>35.887999999999998</v>
      </c>
      <c r="GM34">
        <v>23.2287</v>
      </c>
      <c r="GN34">
        <v>100</v>
      </c>
      <c r="GO34">
        <v>22.179099999999998</v>
      </c>
      <c r="GP34">
        <v>800</v>
      </c>
      <c r="GQ34">
        <v>20.8005</v>
      </c>
      <c r="GR34">
        <v>99.729900000000001</v>
      </c>
      <c r="GS34">
        <v>99.570800000000006</v>
      </c>
    </row>
    <row r="35" spans="1:201" x14ac:dyDescent="0.25">
      <c r="A35">
        <v>19</v>
      </c>
      <c r="B35">
        <v>1690226995.0999999</v>
      </c>
      <c r="C35">
        <v>425.5</v>
      </c>
      <c r="D35" t="s">
        <v>369</v>
      </c>
      <c r="E35" t="s">
        <v>370</v>
      </c>
      <c r="F35" t="s">
        <v>330</v>
      </c>
      <c r="H35">
        <v>1690226995.0999999</v>
      </c>
      <c r="I35">
        <f t="shared" si="0"/>
        <v>2.0781884708057359E-4</v>
      </c>
      <c r="J35">
        <f t="shared" si="1"/>
        <v>0.2078188470805736</v>
      </c>
      <c r="K35">
        <f t="shared" si="2"/>
        <v>0.17022054795757302</v>
      </c>
      <c r="L35">
        <f t="shared" si="3"/>
        <v>796.33699999999999</v>
      </c>
      <c r="M35">
        <f t="shared" si="4"/>
        <v>752.67555170719299</v>
      </c>
      <c r="N35">
        <f t="shared" si="5"/>
        <v>74.648593936124001</v>
      </c>
      <c r="O35">
        <f t="shared" si="6"/>
        <v>78.978833860723995</v>
      </c>
      <c r="P35">
        <f t="shared" si="7"/>
        <v>1.2169141114032358E-2</v>
      </c>
      <c r="Q35">
        <f t="shared" si="8"/>
        <v>2.1322659018021559</v>
      </c>
      <c r="R35">
        <f t="shared" si="9"/>
        <v>1.2130688875288391E-2</v>
      </c>
      <c r="S35">
        <f t="shared" si="10"/>
        <v>7.585125143837643E-3</v>
      </c>
      <c r="T35">
        <f t="shared" si="11"/>
        <v>276.11314534607442</v>
      </c>
      <c r="U35">
        <f t="shared" si="12"/>
        <v>28.60444870902737</v>
      </c>
      <c r="V35">
        <f t="shared" si="13"/>
        <v>28.60444870902737</v>
      </c>
      <c r="W35">
        <f t="shared" si="14"/>
        <v>3.9306328304631646</v>
      </c>
      <c r="X35">
        <f t="shared" si="15"/>
        <v>65.762655583289018</v>
      </c>
      <c r="Y35">
        <f t="shared" si="16"/>
        <v>2.2847952401848</v>
      </c>
      <c r="Z35">
        <f t="shared" si="17"/>
        <v>3.474305013870806</v>
      </c>
      <c r="AA35">
        <f t="shared" si="18"/>
        <v>1.6458375902783646</v>
      </c>
      <c r="AB35">
        <f t="shared" si="19"/>
        <v>-9.164811156253295</v>
      </c>
      <c r="AC35">
        <f t="shared" si="20"/>
        <v>-242.52557063547002</v>
      </c>
      <c r="AD35">
        <f t="shared" si="21"/>
        <v>-24.682041755339522</v>
      </c>
      <c r="AE35">
        <f t="shared" si="22"/>
        <v>-0.25927820098843313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52537.708286257788</v>
      </c>
      <c r="AK35">
        <f t="shared" si="26"/>
        <v>1799.98</v>
      </c>
      <c r="AL35">
        <f t="shared" si="27"/>
        <v>1499.0938276168397</v>
      </c>
      <c r="AM35">
        <f t="shared" si="28"/>
        <v>0.83283915799999986</v>
      </c>
      <c r="AN35">
        <f t="shared" si="29"/>
        <v>0.15339789628</v>
      </c>
      <c r="AO35">
        <v>32.4</v>
      </c>
      <c r="AP35">
        <v>0.5</v>
      </c>
      <c r="AQ35" t="s">
        <v>331</v>
      </c>
      <c r="AR35">
        <v>2</v>
      </c>
      <c r="AS35">
        <v>1690226995.0999999</v>
      </c>
      <c r="AT35">
        <v>796.33699999999999</v>
      </c>
      <c r="AU35">
        <v>799.96100000000001</v>
      </c>
      <c r="AV35">
        <v>23.037400000000002</v>
      </c>
      <c r="AW35">
        <v>20.845700000000001</v>
      </c>
      <c r="AX35">
        <v>796.774</v>
      </c>
      <c r="AY35">
        <v>22.727499999999999</v>
      </c>
      <c r="AZ35">
        <v>300.142</v>
      </c>
      <c r="BA35">
        <v>99.077600000000004</v>
      </c>
      <c r="BB35">
        <v>0.100052</v>
      </c>
      <c r="BC35">
        <v>26.494700000000002</v>
      </c>
      <c r="BD35">
        <v>27.173200000000001</v>
      </c>
      <c r="BE35">
        <v>28.3873</v>
      </c>
      <c r="BF35">
        <v>0</v>
      </c>
      <c r="BG35">
        <v>0</v>
      </c>
      <c r="BH35">
        <v>10011.9</v>
      </c>
      <c r="BI35">
        <v>1075</v>
      </c>
      <c r="BJ35">
        <v>1.2699</v>
      </c>
      <c r="BK35">
        <v>-3.6237200000000001</v>
      </c>
      <c r="BL35">
        <v>815.11500000000001</v>
      </c>
      <c r="BM35">
        <v>816.99199999999996</v>
      </c>
      <c r="BN35">
        <v>2.1917</v>
      </c>
      <c r="BO35">
        <v>799.96100000000001</v>
      </c>
      <c r="BP35">
        <v>20.845700000000001</v>
      </c>
      <c r="BQ35">
        <v>2.2824900000000001</v>
      </c>
      <c r="BR35">
        <v>2.06535</v>
      </c>
      <c r="BS35">
        <v>19.5534</v>
      </c>
      <c r="BT35">
        <v>17.9544</v>
      </c>
      <c r="BU35">
        <v>1799.98</v>
      </c>
      <c r="BV35">
        <v>0.90998299999999999</v>
      </c>
      <c r="BW35">
        <v>3.4000700000000002E-2</v>
      </c>
      <c r="BX35">
        <v>2.2005400000000001E-2</v>
      </c>
      <c r="BY35">
        <v>3.4011E-2</v>
      </c>
      <c r="BZ35">
        <v>26</v>
      </c>
      <c r="CA35">
        <v>33527.9</v>
      </c>
      <c r="CB35">
        <v>1690226183.5999999</v>
      </c>
      <c r="CC35" t="s">
        <v>332</v>
      </c>
      <c r="CD35">
        <v>1690226177.5999999</v>
      </c>
      <c r="CE35">
        <v>1690226183.5999999</v>
      </c>
      <c r="CF35">
        <v>12</v>
      </c>
      <c r="CG35">
        <v>-0.255</v>
      </c>
      <c r="CH35">
        <v>0.113</v>
      </c>
      <c r="CI35">
        <v>-0.439</v>
      </c>
      <c r="CJ35">
        <v>0.31</v>
      </c>
      <c r="CK35">
        <v>800</v>
      </c>
      <c r="CL35">
        <v>25</v>
      </c>
      <c r="CM35">
        <v>0.02</v>
      </c>
      <c r="CN35">
        <v>0.03</v>
      </c>
      <c r="CO35">
        <v>-3.5098512500000001</v>
      </c>
      <c r="CP35">
        <v>-0.595569343339583</v>
      </c>
      <c r="CQ35">
        <v>6.3911420113603304E-2</v>
      </c>
      <c r="CR35">
        <v>-1</v>
      </c>
      <c r="CS35">
        <v>2.9683730000000002</v>
      </c>
      <c r="CT35">
        <v>-5.0437801125703636</v>
      </c>
      <c r="CU35">
        <v>0.48892055960145497</v>
      </c>
      <c r="CV35">
        <v>-1</v>
      </c>
      <c r="CW35">
        <v>0</v>
      </c>
      <c r="CX35">
        <v>0</v>
      </c>
      <c r="CY35" t="s">
        <v>333</v>
      </c>
      <c r="CZ35">
        <v>2.3640300000000001</v>
      </c>
      <c r="DA35">
        <v>2.7138499999999999</v>
      </c>
      <c r="DB35">
        <v>0.14629300000000001</v>
      </c>
      <c r="DC35">
        <v>0.146342</v>
      </c>
      <c r="DD35">
        <v>0.110196</v>
      </c>
      <c r="DE35">
        <v>0.10159799999999999</v>
      </c>
      <c r="DF35">
        <v>31168</v>
      </c>
      <c r="DG35">
        <v>27510.6</v>
      </c>
      <c r="DH35">
        <v>31168.400000000001</v>
      </c>
      <c r="DI35">
        <v>28081.4</v>
      </c>
      <c r="DJ35">
        <v>37656</v>
      </c>
      <c r="DK35">
        <v>35874.1</v>
      </c>
      <c r="DL35">
        <v>44356.9</v>
      </c>
      <c r="DM35">
        <v>42564.6</v>
      </c>
      <c r="DN35">
        <v>1.4710000000000001</v>
      </c>
      <c r="DO35">
        <v>2.0555699999999999</v>
      </c>
      <c r="DP35">
        <v>8.3856299999999995E-2</v>
      </c>
      <c r="DQ35">
        <v>0.174455</v>
      </c>
      <c r="DR35">
        <v>25.800699999999999</v>
      </c>
      <c r="DS35">
        <v>25.534099999999999</v>
      </c>
      <c r="DT35">
        <v>57.2</v>
      </c>
      <c r="DU35">
        <v>29.4</v>
      </c>
      <c r="DV35">
        <v>23.7592</v>
      </c>
      <c r="DW35">
        <v>61.7624</v>
      </c>
      <c r="DX35">
        <v>36.265999999999998</v>
      </c>
      <c r="DY35">
        <v>1</v>
      </c>
      <c r="DZ35">
        <v>-6.4169199999999996E-2</v>
      </c>
      <c r="EA35">
        <v>4.8404999999999996</v>
      </c>
      <c r="EB35">
        <v>20.104800000000001</v>
      </c>
      <c r="EC35">
        <v>5.2403500000000003</v>
      </c>
      <c r="ED35">
        <v>12.039899999999999</v>
      </c>
      <c r="EE35">
        <v>5.0157999999999996</v>
      </c>
      <c r="EF35">
        <v>3.2879499999999999</v>
      </c>
      <c r="EG35">
        <v>9999</v>
      </c>
      <c r="EH35">
        <v>9999</v>
      </c>
      <c r="EI35">
        <v>9999</v>
      </c>
      <c r="EJ35">
        <v>999.9</v>
      </c>
      <c r="EK35">
        <v>1.8689199999999999</v>
      </c>
      <c r="EL35">
        <v>1.8646199999999999</v>
      </c>
      <c r="EM35">
        <v>1.8691899999999999</v>
      </c>
      <c r="EN35">
        <v>1.86724</v>
      </c>
      <c r="EO35">
        <v>1.8633999999999999</v>
      </c>
      <c r="EP35">
        <v>1.8645</v>
      </c>
      <c r="EQ35">
        <v>1.8701300000000001</v>
      </c>
      <c r="ER35">
        <v>1.86941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-0.437</v>
      </c>
      <c r="FG35">
        <v>0.30990000000000001</v>
      </c>
      <c r="FH35">
        <v>0.1121710645629533</v>
      </c>
      <c r="FI35">
        <v>-6.1462078757559423E-4</v>
      </c>
      <c r="FJ35">
        <v>-1.8861989874597051E-7</v>
      </c>
      <c r="FK35">
        <v>1.1980462299894961E-10</v>
      </c>
      <c r="FL35">
        <v>0.30996499999999833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13.6</v>
      </c>
      <c r="FU35">
        <v>13.5</v>
      </c>
      <c r="FV35">
        <v>1.79565</v>
      </c>
      <c r="FW35">
        <v>2.5891099999999998</v>
      </c>
      <c r="FX35">
        <v>1.5490699999999999</v>
      </c>
      <c r="FY35">
        <v>2.3290999999999999</v>
      </c>
      <c r="FZ35">
        <v>1.50024</v>
      </c>
      <c r="GA35">
        <v>2.3596200000000001</v>
      </c>
      <c r="GB35">
        <v>33.918700000000001</v>
      </c>
      <c r="GC35">
        <v>23.956199999999999</v>
      </c>
      <c r="GD35">
        <v>19</v>
      </c>
      <c r="GE35">
        <v>281.274</v>
      </c>
      <c r="GF35">
        <v>600.50400000000002</v>
      </c>
      <c r="GG35">
        <v>21.5304</v>
      </c>
      <c r="GH35">
        <v>26.494700000000002</v>
      </c>
      <c r="GI35">
        <v>30</v>
      </c>
      <c r="GJ35">
        <v>26.489699999999999</v>
      </c>
      <c r="GK35">
        <v>26.451899999999998</v>
      </c>
      <c r="GL35">
        <v>35.8919</v>
      </c>
      <c r="GM35">
        <v>22.3553</v>
      </c>
      <c r="GN35">
        <v>100</v>
      </c>
      <c r="GO35">
        <v>21.556000000000001</v>
      </c>
      <c r="GP35">
        <v>800</v>
      </c>
      <c r="GQ35">
        <v>20.917000000000002</v>
      </c>
      <c r="GR35">
        <v>99.7273</v>
      </c>
      <c r="GS35">
        <v>99.570700000000002</v>
      </c>
    </row>
    <row r="36" spans="1:201" x14ac:dyDescent="0.25">
      <c r="A36">
        <v>20</v>
      </c>
      <c r="B36">
        <v>1690227005.0999999</v>
      </c>
      <c r="C36">
        <v>435.5</v>
      </c>
      <c r="D36" t="s">
        <v>371</v>
      </c>
      <c r="E36" t="s">
        <v>372</v>
      </c>
      <c r="F36" t="s">
        <v>330</v>
      </c>
      <c r="H36">
        <v>1690227005.0999999</v>
      </c>
      <c r="I36">
        <f t="shared" si="0"/>
        <v>1.7635865422487105E-4</v>
      </c>
      <c r="J36">
        <f t="shared" si="1"/>
        <v>0.17635865422487104</v>
      </c>
      <c r="K36">
        <f t="shared" si="2"/>
        <v>0.20708936861426541</v>
      </c>
      <c r="L36">
        <f t="shared" si="3"/>
        <v>796.24400000000003</v>
      </c>
      <c r="M36">
        <f t="shared" si="4"/>
        <v>743.08363631551913</v>
      </c>
      <c r="N36">
        <f t="shared" si="5"/>
        <v>73.699285468958621</v>
      </c>
      <c r="O36">
        <f t="shared" si="6"/>
        <v>78.971748254228004</v>
      </c>
      <c r="P36">
        <f t="shared" si="7"/>
        <v>1.0342096570864235E-2</v>
      </c>
      <c r="Q36">
        <f t="shared" si="8"/>
        <v>2.1284320155239222</v>
      </c>
      <c r="R36">
        <f t="shared" si="9"/>
        <v>1.031425967753042E-2</v>
      </c>
      <c r="S36">
        <f t="shared" si="10"/>
        <v>6.4489070433170204E-3</v>
      </c>
      <c r="T36">
        <f t="shared" si="11"/>
        <v>276.11241486019094</v>
      </c>
      <c r="U36">
        <f t="shared" si="12"/>
        <v>28.48583755310657</v>
      </c>
      <c r="V36">
        <f t="shared" si="13"/>
        <v>28.48583755310657</v>
      </c>
      <c r="W36">
        <f t="shared" si="14"/>
        <v>3.9036568160442844</v>
      </c>
      <c r="X36">
        <f t="shared" si="15"/>
        <v>65.577482808763207</v>
      </c>
      <c r="Y36">
        <f t="shared" si="16"/>
        <v>2.2605182409039997</v>
      </c>
      <c r="Z36">
        <f t="shared" si="17"/>
        <v>3.447095167553341</v>
      </c>
      <c r="AA36">
        <f t="shared" si="18"/>
        <v>1.6431385751402847</v>
      </c>
      <c r="AB36">
        <f t="shared" si="19"/>
        <v>-7.7774166513168135</v>
      </c>
      <c r="AC36">
        <f t="shared" si="20"/>
        <v>-243.77501732325453</v>
      </c>
      <c r="AD36">
        <f t="shared" si="21"/>
        <v>-24.822657192099413</v>
      </c>
      <c r="AE36">
        <f t="shared" si="22"/>
        <v>-0.26267630647984674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52395.579461533234</v>
      </c>
      <c r="AK36">
        <f t="shared" si="26"/>
        <v>1799.98</v>
      </c>
      <c r="AL36">
        <f t="shared" si="27"/>
        <v>1499.0959911927998</v>
      </c>
      <c r="AM36">
        <f t="shared" si="28"/>
        <v>0.83284035999999995</v>
      </c>
      <c r="AN36">
        <f t="shared" si="29"/>
        <v>0.15339749044999998</v>
      </c>
      <c r="AO36">
        <v>32.4</v>
      </c>
      <c r="AP36">
        <v>0.5</v>
      </c>
      <c r="AQ36" t="s">
        <v>331</v>
      </c>
      <c r="AR36">
        <v>2</v>
      </c>
      <c r="AS36">
        <v>1690227005.0999999</v>
      </c>
      <c r="AT36">
        <v>796.24400000000003</v>
      </c>
      <c r="AU36">
        <v>799.99400000000003</v>
      </c>
      <c r="AV36">
        <v>22.792000000000002</v>
      </c>
      <c r="AW36">
        <v>20.932300000000001</v>
      </c>
      <c r="AX36">
        <v>796.68</v>
      </c>
      <c r="AY36">
        <v>22.481999999999999</v>
      </c>
      <c r="AZ36">
        <v>300.25200000000001</v>
      </c>
      <c r="BA36">
        <v>99.080299999999994</v>
      </c>
      <c r="BB36">
        <v>0.100037</v>
      </c>
      <c r="BC36">
        <v>26.3614</v>
      </c>
      <c r="BD36">
        <v>27.016200000000001</v>
      </c>
      <c r="BE36">
        <v>28.226600000000001</v>
      </c>
      <c r="BF36">
        <v>0</v>
      </c>
      <c r="BG36">
        <v>0</v>
      </c>
      <c r="BH36">
        <v>9978.75</v>
      </c>
      <c r="BI36">
        <v>1074.17</v>
      </c>
      <c r="BJ36">
        <v>1.28952</v>
      </c>
      <c r="BK36">
        <v>-3.75</v>
      </c>
      <c r="BL36">
        <v>814.81500000000005</v>
      </c>
      <c r="BM36">
        <v>817.09799999999996</v>
      </c>
      <c r="BN36">
        <v>1.85965</v>
      </c>
      <c r="BO36">
        <v>799.99400000000003</v>
      </c>
      <c r="BP36">
        <v>20.932300000000001</v>
      </c>
      <c r="BQ36">
        <v>2.2582399999999998</v>
      </c>
      <c r="BR36">
        <v>2.0739800000000002</v>
      </c>
      <c r="BS36">
        <v>19.381599999999999</v>
      </c>
      <c r="BT36">
        <v>18.020800000000001</v>
      </c>
      <c r="BU36">
        <v>1799.98</v>
      </c>
      <c r="BV36">
        <v>0.909999</v>
      </c>
      <c r="BW36">
        <v>3.39946E-2</v>
      </c>
      <c r="BX36">
        <v>2.20015E-2</v>
      </c>
      <c r="BY36">
        <v>3.4004899999999998E-2</v>
      </c>
      <c r="BZ36">
        <v>26</v>
      </c>
      <c r="CA36">
        <v>33528</v>
      </c>
      <c r="CB36">
        <v>1690226183.5999999</v>
      </c>
      <c r="CC36" t="s">
        <v>332</v>
      </c>
      <c r="CD36">
        <v>1690226177.5999999</v>
      </c>
      <c r="CE36">
        <v>1690226183.5999999</v>
      </c>
      <c r="CF36">
        <v>12</v>
      </c>
      <c r="CG36">
        <v>-0.255</v>
      </c>
      <c r="CH36">
        <v>0.113</v>
      </c>
      <c r="CI36">
        <v>-0.439</v>
      </c>
      <c r="CJ36">
        <v>0.31</v>
      </c>
      <c r="CK36">
        <v>800</v>
      </c>
      <c r="CL36">
        <v>25</v>
      </c>
      <c r="CM36">
        <v>0.02</v>
      </c>
      <c r="CN36">
        <v>0.03</v>
      </c>
      <c r="CO36">
        <v>-3.612362249999999</v>
      </c>
      <c r="CP36">
        <v>-0.63211058161349643</v>
      </c>
      <c r="CQ36">
        <v>6.7254138106420641E-2</v>
      </c>
      <c r="CR36">
        <v>-1</v>
      </c>
      <c r="CS36">
        <v>2.2803032499999998</v>
      </c>
      <c r="CT36">
        <v>-3.1177759474671758</v>
      </c>
      <c r="CU36">
        <v>0.30301267223820438</v>
      </c>
      <c r="CV36">
        <v>-1</v>
      </c>
      <c r="CW36">
        <v>0</v>
      </c>
      <c r="CX36">
        <v>0</v>
      </c>
      <c r="CY36" t="s">
        <v>333</v>
      </c>
      <c r="CZ36">
        <v>2.3643999999999998</v>
      </c>
      <c r="DA36">
        <v>2.7138100000000001</v>
      </c>
      <c r="DB36">
        <v>0.14627899999999999</v>
      </c>
      <c r="DC36">
        <v>0.14635100000000001</v>
      </c>
      <c r="DD36">
        <v>0.109357</v>
      </c>
      <c r="DE36">
        <v>0.101898</v>
      </c>
      <c r="DF36">
        <v>31169.1</v>
      </c>
      <c r="DG36">
        <v>27510.6</v>
      </c>
      <c r="DH36">
        <v>31169.1</v>
      </c>
      <c r="DI36">
        <v>28081.7</v>
      </c>
      <c r="DJ36">
        <v>37692.6</v>
      </c>
      <c r="DK36">
        <v>35862.5</v>
      </c>
      <c r="DL36">
        <v>44357.7</v>
      </c>
      <c r="DM36">
        <v>42565.1</v>
      </c>
      <c r="DN36">
        <v>1.4714499999999999</v>
      </c>
      <c r="DO36">
        <v>2.0553699999999999</v>
      </c>
      <c r="DP36">
        <v>7.5213600000000005E-2</v>
      </c>
      <c r="DQ36">
        <v>0.16633400000000001</v>
      </c>
      <c r="DR36">
        <v>25.785</v>
      </c>
      <c r="DS36">
        <v>25.505800000000001</v>
      </c>
      <c r="DT36">
        <v>57.2</v>
      </c>
      <c r="DU36">
        <v>29.3</v>
      </c>
      <c r="DV36">
        <v>23.623799999999999</v>
      </c>
      <c r="DW36">
        <v>61.9024</v>
      </c>
      <c r="DX36">
        <v>35.849400000000003</v>
      </c>
      <c r="DY36">
        <v>1</v>
      </c>
      <c r="DZ36">
        <v>-6.7787100000000003E-2</v>
      </c>
      <c r="EA36">
        <v>3.8229500000000001</v>
      </c>
      <c r="EB36">
        <v>20.138100000000001</v>
      </c>
      <c r="EC36">
        <v>5.2401999999999997</v>
      </c>
      <c r="ED36">
        <v>12.039899999999999</v>
      </c>
      <c r="EE36">
        <v>5.0159500000000001</v>
      </c>
      <c r="EF36">
        <v>3.2879499999999999</v>
      </c>
      <c r="EG36">
        <v>9999</v>
      </c>
      <c r="EH36">
        <v>9999</v>
      </c>
      <c r="EI36">
        <v>9999</v>
      </c>
      <c r="EJ36">
        <v>999.9</v>
      </c>
      <c r="EK36">
        <v>1.8689100000000001</v>
      </c>
      <c r="EL36">
        <v>1.8646199999999999</v>
      </c>
      <c r="EM36">
        <v>1.8692</v>
      </c>
      <c r="EN36">
        <v>1.8672200000000001</v>
      </c>
      <c r="EO36">
        <v>1.8633999999999999</v>
      </c>
      <c r="EP36">
        <v>1.86453</v>
      </c>
      <c r="EQ36">
        <v>1.8701399999999999</v>
      </c>
      <c r="ER36">
        <v>1.86941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-0.436</v>
      </c>
      <c r="FG36">
        <v>0.31</v>
      </c>
      <c r="FH36">
        <v>0.1121710645629533</v>
      </c>
      <c r="FI36">
        <v>-6.1462078757559423E-4</v>
      </c>
      <c r="FJ36">
        <v>-1.8861989874597051E-7</v>
      </c>
      <c r="FK36">
        <v>1.1980462299894961E-10</v>
      </c>
      <c r="FL36">
        <v>0.30996499999999833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13.8</v>
      </c>
      <c r="FU36">
        <v>13.7</v>
      </c>
      <c r="FV36">
        <v>1.79565</v>
      </c>
      <c r="FW36">
        <v>2.5817899999999998</v>
      </c>
      <c r="FX36">
        <v>1.5490699999999999</v>
      </c>
      <c r="FY36">
        <v>2.3290999999999999</v>
      </c>
      <c r="FZ36">
        <v>1.50146</v>
      </c>
      <c r="GA36">
        <v>2.34131</v>
      </c>
      <c r="GB36">
        <v>33.918700000000001</v>
      </c>
      <c r="GC36">
        <v>23.973700000000001</v>
      </c>
      <c r="GD36">
        <v>19</v>
      </c>
      <c r="GE36">
        <v>281.512</v>
      </c>
      <c r="GF36">
        <v>600.40099999999995</v>
      </c>
      <c r="GG36">
        <v>21.189900000000002</v>
      </c>
      <c r="GH36">
        <v>26.5059</v>
      </c>
      <c r="GI36">
        <v>29.998699999999999</v>
      </c>
      <c r="GJ36">
        <v>26.5002</v>
      </c>
      <c r="GK36">
        <v>26.4575</v>
      </c>
      <c r="GL36">
        <v>35.896000000000001</v>
      </c>
      <c r="GM36">
        <v>22.3553</v>
      </c>
      <c r="GN36">
        <v>100</v>
      </c>
      <c r="GO36">
        <v>21.271599999999999</v>
      </c>
      <c r="GP36">
        <v>800</v>
      </c>
      <c r="GQ36">
        <v>20.939800000000002</v>
      </c>
      <c r="GR36">
        <v>99.729299999999995</v>
      </c>
      <c r="GS36">
        <v>99.571899999999999</v>
      </c>
    </row>
    <row r="37" spans="1:201" x14ac:dyDescent="0.25">
      <c r="A37">
        <v>21</v>
      </c>
      <c r="B37">
        <v>1690227015.0999999</v>
      </c>
      <c r="C37">
        <v>445.5</v>
      </c>
      <c r="D37" t="s">
        <v>373</v>
      </c>
      <c r="E37" t="s">
        <v>374</v>
      </c>
      <c r="F37" t="s">
        <v>330</v>
      </c>
      <c r="H37">
        <v>1690227015.0999999</v>
      </c>
      <c r="I37">
        <f t="shared" si="0"/>
        <v>1.6957048692542437E-4</v>
      </c>
      <c r="J37">
        <f t="shared" si="1"/>
        <v>0.16957048692542437</v>
      </c>
      <c r="K37">
        <f t="shared" si="2"/>
        <v>0.22622496377633092</v>
      </c>
      <c r="L37">
        <f t="shared" si="3"/>
        <v>796.13900000000001</v>
      </c>
      <c r="M37">
        <f t="shared" si="4"/>
        <v>739.15590518633689</v>
      </c>
      <c r="N37">
        <f t="shared" si="5"/>
        <v>73.311025294755012</v>
      </c>
      <c r="O37">
        <f t="shared" si="6"/>
        <v>78.962727562093008</v>
      </c>
      <c r="P37">
        <f t="shared" si="7"/>
        <v>1.0029410324661901E-2</v>
      </c>
      <c r="Q37">
        <f t="shared" si="8"/>
        <v>2.1344931074296252</v>
      </c>
      <c r="R37">
        <f t="shared" si="9"/>
        <v>1.000330307936324E-2</v>
      </c>
      <c r="S37">
        <f t="shared" si="10"/>
        <v>6.2544043503611393E-3</v>
      </c>
      <c r="T37">
        <f t="shared" si="11"/>
        <v>276.1135037515682</v>
      </c>
      <c r="U37">
        <f t="shared" si="12"/>
        <v>28.394100565100416</v>
      </c>
      <c r="V37">
        <f t="shared" si="13"/>
        <v>28.394100565100416</v>
      </c>
      <c r="W37">
        <f t="shared" si="14"/>
        <v>3.8829037406385543</v>
      </c>
      <c r="X37">
        <f t="shared" si="15"/>
        <v>65.72142571419765</v>
      </c>
      <c r="Y37">
        <f t="shared" si="16"/>
        <v>2.2536352172314</v>
      </c>
      <c r="Z37">
        <f t="shared" si="17"/>
        <v>3.4290723196294759</v>
      </c>
      <c r="AA37">
        <f t="shared" si="18"/>
        <v>1.6292685234071542</v>
      </c>
      <c r="AB37">
        <f t="shared" si="19"/>
        <v>-7.478058473411215</v>
      </c>
      <c r="AC37">
        <f t="shared" si="20"/>
        <v>-244.13123712184606</v>
      </c>
      <c r="AD37">
        <f t="shared" si="21"/>
        <v>-24.766001950285265</v>
      </c>
      <c r="AE37">
        <f t="shared" si="22"/>
        <v>-0.26179379397433422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52673.171328587829</v>
      </c>
      <c r="AK37">
        <f t="shared" si="26"/>
        <v>1799.99</v>
      </c>
      <c r="AL37">
        <f t="shared" si="27"/>
        <v>1499.1034520012199</v>
      </c>
      <c r="AM37">
        <f t="shared" si="28"/>
        <v>0.83283987799999992</v>
      </c>
      <c r="AN37">
        <f t="shared" si="29"/>
        <v>0.15339724318</v>
      </c>
      <c r="AO37">
        <v>32.4</v>
      </c>
      <c r="AP37">
        <v>0.5</v>
      </c>
      <c r="AQ37" t="s">
        <v>331</v>
      </c>
      <c r="AR37">
        <v>2</v>
      </c>
      <c r="AS37">
        <v>1690227015.0999999</v>
      </c>
      <c r="AT37">
        <v>796.13900000000001</v>
      </c>
      <c r="AU37">
        <v>800.03599999999994</v>
      </c>
      <c r="AV37">
        <v>22.722200000000001</v>
      </c>
      <c r="AW37">
        <v>20.9344</v>
      </c>
      <c r="AX37">
        <v>796.57600000000002</v>
      </c>
      <c r="AY37">
        <v>22.412199999999999</v>
      </c>
      <c r="AZ37">
        <v>300.327</v>
      </c>
      <c r="BA37">
        <v>99.081999999999994</v>
      </c>
      <c r="BB37">
        <v>0.100087</v>
      </c>
      <c r="BC37">
        <v>26.272600000000001</v>
      </c>
      <c r="BD37">
        <v>26.919499999999999</v>
      </c>
      <c r="BE37">
        <v>28.106400000000001</v>
      </c>
      <c r="BF37">
        <v>0</v>
      </c>
      <c r="BG37">
        <v>0</v>
      </c>
      <c r="BH37">
        <v>10030.6</v>
      </c>
      <c r="BI37">
        <v>1073.57</v>
      </c>
      <c r="BJ37">
        <v>1.28952</v>
      </c>
      <c r="BK37">
        <v>-3.8966099999999999</v>
      </c>
      <c r="BL37">
        <v>814.65</v>
      </c>
      <c r="BM37">
        <v>817.14200000000005</v>
      </c>
      <c r="BN37">
        <v>1.78772</v>
      </c>
      <c r="BO37">
        <v>800.03599999999994</v>
      </c>
      <c r="BP37">
        <v>20.9344</v>
      </c>
      <c r="BQ37">
        <v>2.25136</v>
      </c>
      <c r="BR37">
        <v>2.07423</v>
      </c>
      <c r="BS37">
        <v>19.3325</v>
      </c>
      <c r="BT37">
        <v>18.022600000000001</v>
      </c>
      <c r="BU37">
        <v>1799.99</v>
      </c>
      <c r="BV37">
        <v>0.91000199999999998</v>
      </c>
      <c r="BW37">
        <v>3.39992E-2</v>
      </c>
      <c r="BX37">
        <v>2.1998400000000001E-2</v>
      </c>
      <c r="BY37">
        <v>3.4000200000000001E-2</v>
      </c>
      <c r="BZ37">
        <v>26</v>
      </c>
      <c r="CA37">
        <v>33528.199999999997</v>
      </c>
      <c r="CB37">
        <v>1690226183.5999999</v>
      </c>
      <c r="CC37" t="s">
        <v>332</v>
      </c>
      <c r="CD37">
        <v>1690226177.5999999</v>
      </c>
      <c r="CE37">
        <v>1690226183.5999999</v>
      </c>
      <c r="CF37">
        <v>12</v>
      </c>
      <c r="CG37">
        <v>-0.255</v>
      </c>
      <c r="CH37">
        <v>0.113</v>
      </c>
      <c r="CI37">
        <v>-0.439</v>
      </c>
      <c r="CJ37">
        <v>0.31</v>
      </c>
      <c r="CK37">
        <v>800</v>
      </c>
      <c r="CL37">
        <v>25</v>
      </c>
      <c r="CM37">
        <v>0.02</v>
      </c>
      <c r="CN37">
        <v>0.03</v>
      </c>
      <c r="CO37">
        <v>-3.7187909756097568</v>
      </c>
      <c r="CP37">
        <v>-0.7258624390243954</v>
      </c>
      <c r="CQ37">
        <v>7.3774098825975312E-2</v>
      </c>
      <c r="CR37">
        <v>-1</v>
      </c>
      <c r="CS37">
        <v>1.935145609756098</v>
      </c>
      <c r="CT37">
        <v>-1.3708461324041801</v>
      </c>
      <c r="CU37">
        <v>0.14320035026951269</v>
      </c>
      <c r="CV37">
        <v>-1</v>
      </c>
      <c r="CW37">
        <v>0</v>
      </c>
      <c r="CX37">
        <v>0</v>
      </c>
      <c r="CY37" t="s">
        <v>333</v>
      </c>
      <c r="CZ37">
        <v>2.3646400000000001</v>
      </c>
      <c r="DA37">
        <v>2.7139099999999998</v>
      </c>
      <c r="DB37">
        <v>0.146263</v>
      </c>
      <c r="DC37">
        <v>0.14635600000000001</v>
      </c>
      <c r="DD37">
        <v>0.109116</v>
      </c>
      <c r="DE37">
        <v>0.101905</v>
      </c>
      <c r="DF37">
        <v>31168.9</v>
      </c>
      <c r="DG37">
        <v>27510.1</v>
      </c>
      <c r="DH37">
        <v>31168.3</v>
      </c>
      <c r="DI37">
        <v>28081.4</v>
      </c>
      <c r="DJ37">
        <v>37702</v>
      </c>
      <c r="DK37">
        <v>35861.800000000003</v>
      </c>
      <c r="DL37">
        <v>44356.7</v>
      </c>
      <c r="DM37">
        <v>42564.7</v>
      </c>
      <c r="DN37">
        <v>1.4723999999999999</v>
      </c>
      <c r="DO37">
        <v>2.0551499999999998</v>
      </c>
      <c r="DP37">
        <v>7.0780499999999996E-2</v>
      </c>
      <c r="DQ37">
        <v>0.161417</v>
      </c>
      <c r="DR37">
        <v>25.7608</v>
      </c>
      <c r="DS37">
        <v>25.465699999999998</v>
      </c>
      <c r="DT37">
        <v>57.2</v>
      </c>
      <c r="DU37">
        <v>29.3</v>
      </c>
      <c r="DV37">
        <v>23.620699999999999</v>
      </c>
      <c r="DW37">
        <v>61.682400000000001</v>
      </c>
      <c r="DX37">
        <v>35.288499999999999</v>
      </c>
      <c r="DY37">
        <v>1</v>
      </c>
      <c r="DZ37">
        <v>-6.9656999999999997E-2</v>
      </c>
      <c r="EA37">
        <v>2.9629099999999999</v>
      </c>
      <c r="EB37">
        <v>20.159800000000001</v>
      </c>
      <c r="EC37">
        <v>5.2403500000000003</v>
      </c>
      <c r="ED37">
        <v>12.039899999999999</v>
      </c>
      <c r="EE37">
        <v>5.0164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1.8689199999999999</v>
      </c>
      <c r="EL37">
        <v>1.86463</v>
      </c>
      <c r="EM37">
        <v>1.8691800000000001</v>
      </c>
      <c r="EN37">
        <v>1.8672299999999999</v>
      </c>
      <c r="EO37">
        <v>1.8633999999999999</v>
      </c>
      <c r="EP37">
        <v>1.86456</v>
      </c>
      <c r="EQ37">
        <v>1.8701300000000001</v>
      </c>
      <c r="ER37">
        <v>1.8694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-0.437</v>
      </c>
      <c r="FG37">
        <v>0.31</v>
      </c>
      <c r="FH37">
        <v>0.1121710645629533</v>
      </c>
      <c r="FI37">
        <v>-6.1462078757559423E-4</v>
      </c>
      <c r="FJ37">
        <v>-1.8861989874597051E-7</v>
      </c>
      <c r="FK37">
        <v>1.1980462299894961E-10</v>
      </c>
      <c r="FL37">
        <v>0.30996499999999833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14</v>
      </c>
      <c r="FU37">
        <v>13.9</v>
      </c>
      <c r="FV37">
        <v>1.79565</v>
      </c>
      <c r="FW37">
        <v>2.5817899999999998</v>
      </c>
      <c r="FX37">
        <v>1.5490699999999999</v>
      </c>
      <c r="FY37">
        <v>2.3290999999999999</v>
      </c>
      <c r="FZ37">
        <v>1.50146</v>
      </c>
      <c r="GA37">
        <v>2.4084500000000002</v>
      </c>
      <c r="GB37">
        <v>33.918700000000001</v>
      </c>
      <c r="GC37">
        <v>23.982399999999998</v>
      </c>
      <c r="GD37">
        <v>19</v>
      </c>
      <c r="GE37">
        <v>281.95999999999998</v>
      </c>
      <c r="GF37">
        <v>600.28200000000004</v>
      </c>
      <c r="GG37">
        <v>21.171500000000002</v>
      </c>
      <c r="GH37">
        <v>26.516999999999999</v>
      </c>
      <c r="GI37">
        <v>29.999199999999998</v>
      </c>
      <c r="GJ37">
        <v>26.510300000000001</v>
      </c>
      <c r="GK37">
        <v>26.4636</v>
      </c>
      <c r="GL37">
        <v>35.896700000000003</v>
      </c>
      <c r="GM37">
        <v>22.635300000000001</v>
      </c>
      <c r="GN37">
        <v>100</v>
      </c>
      <c r="GO37">
        <v>21.2456</v>
      </c>
      <c r="GP37">
        <v>800</v>
      </c>
      <c r="GQ37">
        <v>20.854399999999998</v>
      </c>
      <c r="GR37">
        <v>99.727000000000004</v>
      </c>
      <c r="GS37">
        <v>99.570800000000006</v>
      </c>
    </row>
    <row r="38" spans="1:201" x14ac:dyDescent="0.25">
      <c r="A38">
        <v>22</v>
      </c>
      <c r="B38">
        <v>1690227025.0999999</v>
      </c>
      <c r="C38">
        <v>455.5</v>
      </c>
      <c r="D38" t="s">
        <v>375</v>
      </c>
      <c r="E38" t="s">
        <v>376</v>
      </c>
      <c r="F38" t="s">
        <v>330</v>
      </c>
      <c r="H38">
        <v>1690227025.0999999</v>
      </c>
      <c r="I38">
        <f t="shared" si="0"/>
        <v>2.0870342816608134E-4</v>
      </c>
      <c r="J38">
        <f t="shared" si="1"/>
        <v>0.20870342816608134</v>
      </c>
      <c r="K38">
        <f t="shared" si="2"/>
        <v>0.23047363593538039</v>
      </c>
      <c r="L38">
        <f t="shared" si="3"/>
        <v>795.78499999999997</v>
      </c>
      <c r="M38">
        <f t="shared" si="4"/>
        <v>746.01325266244089</v>
      </c>
      <c r="N38">
        <f t="shared" si="5"/>
        <v>73.991504192987705</v>
      </c>
      <c r="O38">
        <f t="shared" si="6"/>
        <v>78.9279935096</v>
      </c>
      <c r="P38">
        <f t="shared" si="7"/>
        <v>1.2616460132543861E-2</v>
      </c>
      <c r="Q38">
        <f t="shared" si="8"/>
        <v>2.131659706375165</v>
      </c>
      <c r="R38">
        <f t="shared" si="9"/>
        <v>1.2575122518363988E-2</v>
      </c>
      <c r="S38">
        <f t="shared" si="10"/>
        <v>7.863154245252111E-3</v>
      </c>
      <c r="T38">
        <f t="shared" si="11"/>
        <v>276.11178528118643</v>
      </c>
      <c r="U38">
        <f t="shared" si="12"/>
        <v>28.387994315695813</v>
      </c>
      <c r="V38">
        <f t="shared" si="13"/>
        <v>28.387994315695813</v>
      </c>
      <c r="W38">
        <f t="shared" si="14"/>
        <v>3.8815257852300538</v>
      </c>
      <c r="X38">
        <f t="shared" si="15"/>
        <v>66.663776944231813</v>
      </c>
      <c r="Y38">
        <f t="shared" si="16"/>
        <v>2.2866241660319999</v>
      </c>
      <c r="Z38">
        <f t="shared" si="17"/>
        <v>3.4300849289485895</v>
      </c>
      <c r="AA38">
        <f t="shared" si="18"/>
        <v>1.5949016191980538</v>
      </c>
      <c r="AB38">
        <f t="shared" si="19"/>
        <v>-9.2038211821241873</v>
      </c>
      <c r="AC38">
        <f t="shared" si="20"/>
        <v>-242.53081593352042</v>
      </c>
      <c r="AD38">
        <f t="shared" si="21"/>
        <v>-24.636210339616898</v>
      </c>
      <c r="AE38">
        <f t="shared" si="22"/>
        <v>-0.25906217407506915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52549.715638868845</v>
      </c>
      <c r="AK38">
        <f t="shared" si="26"/>
        <v>1799.98</v>
      </c>
      <c r="AL38">
        <f t="shared" si="27"/>
        <v>1499.0950516032399</v>
      </c>
      <c r="AM38">
        <f t="shared" si="28"/>
        <v>0.83283983799999994</v>
      </c>
      <c r="AN38">
        <f t="shared" si="29"/>
        <v>0.15339714068000002</v>
      </c>
      <c r="AO38">
        <v>32.4</v>
      </c>
      <c r="AP38">
        <v>0.5</v>
      </c>
      <c r="AQ38" t="s">
        <v>331</v>
      </c>
      <c r="AR38">
        <v>2</v>
      </c>
      <c r="AS38">
        <v>1690227025.0999999</v>
      </c>
      <c r="AT38">
        <v>795.78499999999997</v>
      </c>
      <c r="AU38">
        <v>800.06600000000003</v>
      </c>
      <c r="AV38">
        <v>23.0547</v>
      </c>
      <c r="AW38">
        <v>20.8536</v>
      </c>
      <c r="AX38">
        <v>796.22199999999998</v>
      </c>
      <c r="AY38">
        <v>22.744700000000002</v>
      </c>
      <c r="AZ38">
        <v>300.12700000000001</v>
      </c>
      <c r="BA38">
        <v>99.082499999999996</v>
      </c>
      <c r="BB38">
        <v>0.10006</v>
      </c>
      <c r="BC38">
        <v>26.2776</v>
      </c>
      <c r="BD38">
        <v>26.895099999999999</v>
      </c>
      <c r="BE38">
        <v>28.081800000000001</v>
      </c>
      <c r="BF38">
        <v>0</v>
      </c>
      <c r="BG38">
        <v>0</v>
      </c>
      <c r="BH38">
        <v>10006.200000000001</v>
      </c>
      <c r="BI38">
        <v>1072.82</v>
      </c>
      <c r="BJ38">
        <v>1.3035399999999999</v>
      </c>
      <c r="BK38">
        <v>-4.2805200000000001</v>
      </c>
      <c r="BL38">
        <v>814.56500000000005</v>
      </c>
      <c r="BM38">
        <v>817.10500000000002</v>
      </c>
      <c r="BN38">
        <v>2.2011400000000001</v>
      </c>
      <c r="BO38">
        <v>800.06600000000003</v>
      </c>
      <c r="BP38">
        <v>20.8536</v>
      </c>
      <c r="BQ38">
        <v>2.2843200000000001</v>
      </c>
      <c r="BR38">
        <v>2.06623</v>
      </c>
      <c r="BS38">
        <v>19.566199999999998</v>
      </c>
      <c r="BT38">
        <v>17.961200000000002</v>
      </c>
      <c r="BU38">
        <v>1799.98</v>
      </c>
      <c r="BV38">
        <v>0.91000400000000004</v>
      </c>
      <c r="BW38">
        <v>3.4005399999999998E-2</v>
      </c>
      <c r="BX38">
        <v>2.1995399999999998E-2</v>
      </c>
      <c r="BY38">
        <v>3.3995600000000001E-2</v>
      </c>
      <c r="BZ38">
        <v>26</v>
      </c>
      <c r="CA38">
        <v>33528.1</v>
      </c>
      <c r="CB38">
        <v>1690226183.5999999</v>
      </c>
      <c r="CC38" t="s">
        <v>332</v>
      </c>
      <c r="CD38">
        <v>1690226177.5999999</v>
      </c>
      <c r="CE38">
        <v>1690226183.5999999</v>
      </c>
      <c r="CF38">
        <v>12</v>
      </c>
      <c r="CG38">
        <v>-0.255</v>
      </c>
      <c r="CH38">
        <v>0.113</v>
      </c>
      <c r="CI38">
        <v>-0.439</v>
      </c>
      <c r="CJ38">
        <v>0.31</v>
      </c>
      <c r="CK38">
        <v>800</v>
      </c>
      <c r="CL38">
        <v>25</v>
      </c>
      <c r="CM38">
        <v>0.02</v>
      </c>
      <c r="CN38">
        <v>0.03</v>
      </c>
      <c r="CO38">
        <v>-3.865113902439024</v>
      </c>
      <c r="CP38">
        <v>-0.94882390243902026</v>
      </c>
      <c r="CQ38">
        <v>9.7906079954658803E-2</v>
      </c>
      <c r="CR38">
        <v>-1</v>
      </c>
      <c r="CS38">
        <v>1.8373731707317069</v>
      </c>
      <c r="CT38">
        <v>0.22781142857142919</v>
      </c>
      <c r="CU38">
        <v>6.2366128214625033E-2</v>
      </c>
      <c r="CV38">
        <v>-1</v>
      </c>
      <c r="CW38">
        <v>0</v>
      </c>
      <c r="CX38">
        <v>0</v>
      </c>
      <c r="CY38" t="s">
        <v>333</v>
      </c>
      <c r="CZ38">
        <v>2.36395</v>
      </c>
      <c r="DA38">
        <v>2.7138599999999999</v>
      </c>
      <c r="DB38">
        <v>0.14622199999999999</v>
      </c>
      <c r="DC38">
        <v>0.14635699999999999</v>
      </c>
      <c r="DD38">
        <v>0.110252</v>
      </c>
      <c r="DE38">
        <v>0.10162599999999999</v>
      </c>
      <c r="DF38">
        <v>31169.5</v>
      </c>
      <c r="DG38">
        <v>27508.799999999999</v>
      </c>
      <c r="DH38">
        <v>31167.5</v>
      </c>
      <c r="DI38">
        <v>28080.2</v>
      </c>
      <c r="DJ38">
        <v>37652.400000000001</v>
      </c>
      <c r="DK38">
        <v>35871.599999999999</v>
      </c>
      <c r="DL38">
        <v>44355.4</v>
      </c>
      <c r="DM38">
        <v>42563</v>
      </c>
      <c r="DN38">
        <v>1.4746999999999999</v>
      </c>
      <c r="DO38">
        <v>2.0546700000000002</v>
      </c>
      <c r="DP38">
        <v>7.1041300000000002E-2</v>
      </c>
      <c r="DQ38">
        <v>0.16245999999999999</v>
      </c>
      <c r="DR38">
        <v>25.731999999999999</v>
      </c>
      <c r="DS38">
        <v>25.4239</v>
      </c>
      <c r="DT38">
        <v>57.2</v>
      </c>
      <c r="DU38">
        <v>29.3</v>
      </c>
      <c r="DV38">
        <v>23.621600000000001</v>
      </c>
      <c r="DW38">
        <v>62.002400000000002</v>
      </c>
      <c r="DX38">
        <v>36.5304</v>
      </c>
      <c r="DY38">
        <v>1</v>
      </c>
      <c r="DZ38">
        <v>-7.1529499999999996E-2</v>
      </c>
      <c r="EA38">
        <v>-0.86323300000000003</v>
      </c>
      <c r="EB38">
        <v>20.182500000000001</v>
      </c>
      <c r="EC38">
        <v>5.2403500000000003</v>
      </c>
      <c r="ED38">
        <v>12.039899999999999</v>
      </c>
      <c r="EE38">
        <v>5.0167000000000002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1.86894</v>
      </c>
      <c r="EL38">
        <v>1.8646199999999999</v>
      </c>
      <c r="EM38">
        <v>1.8692</v>
      </c>
      <c r="EN38">
        <v>1.8672299999999999</v>
      </c>
      <c r="EO38">
        <v>1.8633999999999999</v>
      </c>
      <c r="EP38">
        <v>1.8645499999999999</v>
      </c>
      <c r="EQ38">
        <v>1.87016</v>
      </c>
      <c r="ER38">
        <v>1.86947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-0.437</v>
      </c>
      <c r="FG38">
        <v>0.31</v>
      </c>
      <c r="FH38">
        <v>0.1121710645629533</v>
      </c>
      <c r="FI38">
        <v>-6.1462078757559423E-4</v>
      </c>
      <c r="FJ38">
        <v>-1.8861989874597051E-7</v>
      </c>
      <c r="FK38">
        <v>1.1980462299894961E-10</v>
      </c>
      <c r="FL38">
        <v>0.30996499999999833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14.1</v>
      </c>
      <c r="FU38">
        <v>14</v>
      </c>
      <c r="FV38">
        <v>1.79565</v>
      </c>
      <c r="FW38">
        <v>2.5878899999999998</v>
      </c>
      <c r="FX38">
        <v>1.5490699999999999</v>
      </c>
      <c r="FY38">
        <v>2.3290999999999999</v>
      </c>
      <c r="FZ38">
        <v>1.50146</v>
      </c>
      <c r="GA38">
        <v>2.2851599999999999</v>
      </c>
      <c r="GB38">
        <v>33.918700000000001</v>
      </c>
      <c r="GC38">
        <v>23.973700000000001</v>
      </c>
      <c r="GD38">
        <v>19</v>
      </c>
      <c r="GE38">
        <v>283.00400000000002</v>
      </c>
      <c r="GF38">
        <v>599.95100000000002</v>
      </c>
      <c r="GG38">
        <v>23.0654</v>
      </c>
      <c r="GH38">
        <v>26.527200000000001</v>
      </c>
      <c r="GI38">
        <v>29.997399999999999</v>
      </c>
      <c r="GJ38">
        <v>26.524699999999999</v>
      </c>
      <c r="GK38">
        <v>26.4697</v>
      </c>
      <c r="GL38">
        <v>35.891399999999997</v>
      </c>
      <c r="GM38">
        <v>24.049600000000002</v>
      </c>
      <c r="GN38">
        <v>100</v>
      </c>
      <c r="GO38">
        <v>23.055099999999999</v>
      </c>
      <c r="GP38">
        <v>800</v>
      </c>
      <c r="GQ38">
        <v>20.477399999999999</v>
      </c>
      <c r="GR38">
        <v>99.724100000000007</v>
      </c>
      <c r="GS38">
        <v>99.566699999999997</v>
      </c>
    </row>
    <row r="39" spans="1:201" x14ac:dyDescent="0.25">
      <c r="A39">
        <v>23</v>
      </c>
      <c r="B39">
        <v>1690227035.0999999</v>
      </c>
      <c r="C39">
        <v>465.5</v>
      </c>
      <c r="D39" t="s">
        <v>377</v>
      </c>
      <c r="E39" t="s">
        <v>378</v>
      </c>
      <c r="F39" t="s">
        <v>330</v>
      </c>
      <c r="H39">
        <v>1690227035.0999999</v>
      </c>
      <c r="I39">
        <f t="shared" si="0"/>
        <v>2.9327380914295363E-4</v>
      </c>
      <c r="J39">
        <f t="shared" si="1"/>
        <v>0.29327380914295365</v>
      </c>
      <c r="K39">
        <f t="shared" si="2"/>
        <v>0.20914994404190679</v>
      </c>
      <c r="L39">
        <f t="shared" si="3"/>
        <v>795.38</v>
      </c>
      <c r="M39">
        <f t="shared" si="4"/>
        <v>756.37246729117351</v>
      </c>
      <c r="N39">
        <f t="shared" si="5"/>
        <v>75.016244360140192</v>
      </c>
      <c r="O39">
        <f t="shared" si="6"/>
        <v>78.884971385664002</v>
      </c>
      <c r="P39">
        <f t="shared" si="7"/>
        <v>1.7984083516611068E-2</v>
      </c>
      <c r="Q39">
        <f t="shared" si="8"/>
        <v>2.1309659929262943</v>
      </c>
      <c r="R39">
        <f t="shared" si="9"/>
        <v>1.7900188806144475E-2</v>
      </c>
      <c r="S39">
        <f t="shared" si="10"/>
        <v>1.1195122895015175E-2</v>
      </c>
      <c r="T39">
        <f t="shared" si="11"/>
        <v>276.11111648061762</v>
      </c>
      <c r="U39">
        <f t="shared" si="12"/>
        <v>28.481082618114279</v>
      </c>
      <c r="V39">
        <f t="shared" si="13"/>
        <v>28.481082618114279</v>
      </c>
      <c r="W39">
        <f t="shared" si="14"/>
        <v>3.902578764896</v>
      </c>
      <c r="X39">
        <f t="shared" si="15"/>
        <v>67.402321684742333</v>
      </c>
      <c r="Y39">
        <f t="shared" si="16"/>
        <v>2.3286925276521599</v>
      </c>
      <c r="Z39">
        <f t="shared" si="17"/>
        <v>3.4549144145865518</v>
      </c>
      <c r="AA39">
        <f t="shared" si="18"/>
        <v>1.57388623724384</v>
      </c>
      <c r="AB39">
        <f t="shared" si="19"/>
        <v>-12.933374983204255</v>
      </c>
      <c r="AC39">
        <f t="shared" si="20"/>
        <v>-239.10740142867067</v>
      </c>
      <c r="AD39">
        <f t="shared" si="21"/>
        <v>-24.322493300592711</v>
      </c>
      <c r="AE39">
        <f t="shared" si="22"/>
        <v>-0.25215323185003058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52498.218998995908</v>
      </c>
      <c r="AK39">
        <f t="shared" si="26"/>
        <v>1799.98</v>
      </c>
      <c r="AL39">
        <f t="shared" si="27"/>
        <v>1499.0958147947601</v>
      </c>
      <c r="AM39">
        <f t="shared" si="28"/>
        <v>0.83284026200000005</v>
      </c>
      <c r="AN39">
        <f t="shared" si="29"/>
        <v>0.15339676912</v>
      </c>
      <c r="AO39">
        <v>32.4</v>
      </c>
      <c r="AP39">
        <v>0.5</v>
      </c>
      <c r="AQ39" t="s">
        <v>331</v>
      </c>
      <c r="AR39">
        <v>2</v>
      </c>
      <c r="AS39">
        <v>1690227035.0999999</v>
      </c>
      <c r="AT39">
        <v>795.38</v>
      </c>
      <c r="AU39">
        <v>800.15499999999997</v>
      </c>
      <c r="AV39">
        <v>23.479700000000001</v>
      </c>
      <c r="AW39">
        <v>20.3887</v>
      </c>
      <c r="AX39">
        <v>795.81600000000003</v>
      </c>
      <c r="AY39">
        <v>23.169799999999999</v>
      </c>
      <c r="AZ39">
        <v>300.19299999999998</v>
      </c>
      <c r="BA39">
        <v>99.078999999999994</v>
      </c>
      <c r="BB39">
        <v>9.9972800000000001E-2</v>
      </c>
      <c r="BC39">
        <v>26.399799999999999</v>
      </c>
      <c r="BD39">
        <v>27.038699999999999</v>
      </c>
      <c r="BE39">
        <v>28.184899999999999</v>
      </c>
      <c r="BF39">
        <v>0</v>
      </c>
      <c r="BG39">
        <v>0</v>
      </c>
      <c r="BH39">
        <v>10000.6</v>
      </c>
      <c r="BI39">
        <v>1072.6600000000001</v>
      </c>
      <c r="BJ39">
        <v>1.32036</v>
      </c>
      <c r="BK39">
        <v>-4.7747799999999998</v>
      </c>
      <c r="BL39">
        <v>814.50400000000002</v>
      </c>
      <c r="BM39">
        <v>816.80799999999999</v>
      </c>
      <c r="BN39">
        <v>3.09104</v>
      </c>
      <c r="BO39">
        <v>800.15499999999997</v>
      </c>
      <c r="BP39">
        <v>20.3887</v>
      </c>
      <c r="BQ39">
        <v>2.3263500000000001</v>
      </c>
      <c r="BR39">
        <v>2.0200900000000002</v>
      </c>
      <c r="BS39">
        <v>19.86</v>
      </c>
      <c r="BT39">
        <v>17.602699999999999</v>
      </c>
      <c r="BU39">
        <v>1799.98</v>
      </c>
      <c r="BV39">
        <v>0.91001500000000002</v>
      </c>
      <c r="BW39">
        <v>3.4001000000000003E-2</v>
      </c>
      <c r="BX39">
        <v>2.1992600000000001E-2</v>
      </c>
      <c r="BY39">
        <v>3.3991199999999999E-2</v>
      </c>
      <c r="BZ39">
        <v>26</v>
      </c>
      <c r="CA39">
        <v>33528.199999999997</v>
      </c>
      <c r="CB39">
        <v>1690226183.5999999</v>
      </c>
      <c r="CC39" t="s">
        <v>332</v>
      </c>
      <c r="CD39">
        <v>1690226177.5999999</v>
      </c>
      <c r="CE39">
        <v>1690226183.5999999</v>
      </c>
      <c r="CF39">
        <v>12</v>
      </c>
      <c r="CG39">
        <v>-0.255</v>
      </c>
      <c r="CH39">
        <v>0.113</v>
      </c>
      <c r="CI39">
        <v>-0.439</v>
      </c>
      <c r="CJ39">
        <v>0.31</v>
      </c>
      <c r="CK39">
        <v>800</v>
      </c>
      <c r="CL39">
        <v>25</v>
      </c>
      <c r="CM39">
        <v>0.02</v>
      </c>
      <c r="CN39">
        <v>0.03</v>
      </c>
      <c r="CO39">
        <v>-4.2694400000000003</v>
      </c>
      <c r="CP39">
        <v>-3.214484577861155</v>
      </c>
      <c r="CQ39">
        <v>0.32305281257868662</v>
      </c>
      <c r="CR39">
        <v>-1</v>
      </c>
      <c r="CS39">
        <v>2.2478720000000001</v>
      </c>
      <c r="CT39">
        <v>4.3507213508442737</v>
      </c>
      <c r="CU39">
        <v>0.43137744785280557</v>
      </c>
      <c r="CV39">
        <v>-1</v>
      </c>
      <c r="CW39">
        <v>0</v>
      </c>
      <c r="CX39">
        <v>0</v>
      </c>
      <c r="CY39" t="s">
        <v>333</v>
      </c>
      <c r="CZ39">
        <v>2.3641399999999999</v>
      </c>
      <c r="DA39">
        <v>2.7137600000000002</v>
      </c>
      <c r="DB39">
        <v>0.146172</v>
      </c>
      <c r="DC39">
        <v>0.14635200000000001</v>
      </c>
      <c r="DD39">
        <v>0.111691</v>
      </c>
      <c r="DE39">
        <v>0.10001500000000001</v>
      </c>
      <c r="DF39">
        <v>31171.8</v>
      </c>
      <c r="DG39">
        <v>27508.799999999999</v>
      </c>
      <c r="DH39">
        <v>31167.9</v>
      </c>
      <c r="DI39">
        <v>28080.1</v>
      </c>
      <c r="DJ39">
        <v>37591.300000000003</v>
      </c>
      <c r="DK39">
        <v>35935.9</v>
      </c>
      <c r="DL39">
        <v>44355.8</v>
      </c>
      <c r="DM39">
        <v>42562.9</v>
      </c>
      <c r="DN39">
        <v>1.4726999999999999</v>
      </c>
      <c r="DO39">
        <v>2.0541299999999998</v>
      </c>
      <c r="DP39">
        <v>8.1509399999999996E-2</v>
      </c>
      <c r="DQ39">
        <v>0.17069300000000001</v>
      </c>
      <c r="DR39">
        <v>25.7043</v>
      </c>
      <c r="DS39">
        <v>25.392399999999999</v>
      </c>
      <c r="DT39">
        <v>57.2</v>
      </c>
      <c r="DU39">
        <v>29.3</v>
      </c>
      <c r="DV39">
        <v>23.6234</v>
      </c>
      <c r="DW39">
        <v>61.842399999999998</v>
      </c>
      <c r="DX39">
        <v>35.3125</v>
      </c>
      <c r="DY39">
        <v>1</v>
      </c>
      <c r="DZ39">
        <v>-7.2162100000000007E-2</v>
      </c>
      <c r="EA39">
        <v>1.1647000000000001</v>
      </c>
      <c r="EB39">
        <v>20.185199999999998</v>
      </c>
      <c r="EC39">
        <v>5.2408000000000001</v>
      </c>
      <c r="ED39">
        <v>12.039899999999999</v>
      </c>
      <c r="EE39">
        <v>5.0170000000000003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1.8689100000000001</v>
      </c>
      <c r="EL39">
        <v>1.8646199999999999</v>
      </c>
      <c r="EM39">
        <v>1.8691899999999999</v>
      </c>
      <c r="EN39">
        <v>1.8672299999999999</v>
      </c>
      <c r="EO39">
        <v>1.8633999999999999</v>
      </c>
      <c r="EP39">
        <v>1.86452</v>
      </c>
      <c r="EQ39">
        <v>1.8701300000000001</v>
      </c>
      <c r="ER39">
        <v>1.8694200000000001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-0.436</v>
      </c>
      <c r="FG39">
        <v>0.30990000000000001</v>
      </c>
      <c r="FH39">
        <v>0.1121710645629533</v>
      </c>
      <c r="FI39">
        <v>-6.1462078757559423E-4</v>
      </c>
      <c r="FJ39">
        <v>-1.8861989874597051E-7</v>
      </c>
      <c r="FK39">
        <v>1.1980462299894961E-10</v>
      </c>
      <c r="FL39">
        <v>0.30996499999999833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14.3</v>
      </c>
      <c r="FU39">
        <v>14.2</v>
      </c>
      <c r="FV39">
        <v>1.79443</v>
      </c>
      <c r="FW39">
        <v>2.5817899999999998</v>
      </c>
      <c r="FX39">
        <v>1.5490699999999999</v>
      </c>
      <c r="FY39">
        <v>2.3290999999999999</v>
      </c>
      <c r="FZ39">
        <v>1.50146</v>
      </c>
      <c r="GA39">
        <v>2.3767100000000001</v>
      </c>
      <c r="GB39">
        <v>33.941299999999998</v>
      </c>
      <c r="GC39">
        <v>23.982399999999998</v>
      </c>
      <c r="GD39">
        <v>19</v>
      </c>
      <c r="GE39">
        <v>282.20499999999998</v>
      </c>
      <c r="GF39">
        <v>599.53800000000001</v>
      </c>
      <c r="GG39">
        <v>23.310400000000001</v>
      </c>
      <c r="GH39">
        <v>26.5367</v>
      </c>
      <c r="GI39">
        <v>30.0002</v>
      </c>
      <c r="GJ39">
        <v>26.537099999999999</v>
      </c>
      <c r="GK39">
        <v>26.4741</v>
      </c>
      <c r="GL39">
        <v>35.879399999999997</v>
      </c>
      <c r="GM39">
        <v>25.848400000000002</v>
      </c>
      <c r="GN39">
        <v>100</v>
      </c>
      <c r="GO39">
        <v>23.145099999999999</v>
      </c>
      <c r="GP39">
        <v>800</v>
      </c>
      <c r="GQ39">
        <v>20.1035</v>
      </c>
      <c r="GR39">
        <v>99.725300000000004</v>
      </c>
      <c r="GS39">
        <v>99.566400000000002</v>
      </c>
    </row>
    <row r="40" spans="1:201" x14ac:dyDescent="0.25">
      <c r="A40">
        <v>24</v>
      </c>
      <c r="B40">
        <v>1690227045.0999999</v>
      </c>
      <c r="C40">
        <v>475.5</v>
      </c>
      <c r="D40" t="s">
        <v>379</v>
      </c>
      <c r="E40" t="s">
        <v>380</v>
      </c>
      <c r="F40" t="s">
        <v>330</v>
      </c>
      <c r="H40">
        <v>1690227045.0999999</v>
      </c>
      <c r="I40">
        <f t="shared" si="0"/>
        <v>3.0390637186452035E-4</v>
      </c>
      <c r="J40">
        <f t="shared" si="1"/>
        <v>0.30390637186452035</v>
      </c>
      <c r="K40">
        <f t="shared" si="2"/>
        <v>0.20303207623758784</v>
      </c>
      <c r="L40">
        <f t="shared" si="3"/>
        <v>795.23199999999997</v>
      </c>
      <c r="M40">
        <f t="shared" si="4"/>
        <v>756.99568618882131</v>
      </c>
      <c r="N40">
        <f t="shared" si="5"/>
        <v>75.08020383239068</v>
      </c>
      <c r="O40">
        <f t="shared" si="6"/>
        <v>78.872550720384012</v>
      </c>
      <c r="P40">
        <f t="shared" si="7"/>
        <v>1.8441371422797472E-2</v>
      </c>
      <c r="Q40">
        <f t="shared" si="8"/>
        <v>2.1285232333722761</v>
      </c>
      <c r="R40">
        <f t="shared" si="9"/>
        <v>1.8353066618076692E-2</v>
      </c>
      <c r="S40">
        <f t="shared" si="10"/>
        <v>1.147856513087633E-2</v>
      </c>
      <c r="T40">
        <f t="shared" si="11"/>
        <v>276.11604954000006</v>
      </c>
      <c r="U40">
        <f t="shared" si="12"/>
        <v>28.505729512626832</v>
      </c>
      <c r="V40">
        <f t="shared" si="13"/>
        <v>28.505729512626832</v>
      </c>
      <c r="W40">
        <f t="shared" si="14"/>
        <v>3.9081695892776622</v>
      </c>
      <c r="X40">
        <f t="shared" si="15"/>
        <v>66.97110198531692</v>
      </c>
      <c r="Y40">
        <f t="shared" si="16"/>
        <v>2.3173731191988001</v>
      </c>
      <c r="Z40">
        <f t="shared" si="17"/>
        <v>3.4602583061973093</v>
      </c>
      <c r="AA40">
        <f t="shared" si="18"/>
        <v>1.5907964700788622</v>
      </c>
      <c r="AB40">
        <f t="shared" si="19"/>
        <v>-13.402270999225347</v>
      </c>
      <c r="AC40">
        <f t="shared" si="20"/>
        <v>-238.65508545720115</v>
      </c>
      <c r="AD40">
        <f t="shared" si="21"/>
        <v>-24.31051322502989</v>
      </c>
      <c r="AE40">
        <f t="shared" si="22"/>
        <v>-0.25182014145633502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52388.242150705279</v>
      </c>
      <c r="AK40">
        <f t="shared" si="26"/>
        <v>1800</v>
      </c>
      <c r="AL40">
        <f t="shared" si="27"/>
        <v>1499.115456</v>
      </c>
      <c r="AM40">
        <f t="shared" si="28"/>
        <v>0.83284192000000001</v>
      </c>
      <c r="AN40">
        <f t="shared" si="29"/>
        <v>0.15339780530000002</v>
      </c>
      <c r="AO40">
        <v>32.4</v>
      </c>
      <c r="AP40">
        <v>0.5</v>
      </c>
      <c r="AQ40" t="s">
        <v>331</v>
      </c>
      <c r="AR40">
        <v>2</v>
      </c>
      <c r="AS40">
        <v>1690227045.0999999</v>
      </c>
      <c r="AT40">
        <v>795.23199999999997</v>
      </c>
      <c r="AU40">
        <v>800.03200000000004</v>
      </c>
      <c r="AV40">
        <v>23.364899999999999</v>
      </c>
      <c r="AW40">
        <v>20.161300000000001</v>
      </c>
      <c r="AX40">
        <v>795.66800000000001</v>
      </c>
      <c r="AY40">
        <v>23.055</v>
      </c>
      <c r="AZ40">
        <v>300.178</v>
      </c>
      <c r="BA40">
        <v>99.081800000000001</v>
      </c>
      <c r="BB40">
        <v>0.100012</v>
      </c>
      <c r="BC40">
        <v>26.425999999999998</v>
      </c>
      <c r="BD40">
        <v>27.101800000000001</v>
      </c>
      <c r="BE40">
        <v>28.237500000000001</v>
      </c>
      <c r="BF40">
        <v>0</v>
      </c>
      <c r="BG40">
        <v>0</v>
      </c>
      <c r="BH40">
        <v>9979.3799999999992</v>
      </c>
      <c r="BI40">
        <v>1072.4100000000001</v>
      </c>
      <c r="BJ40">
        <v>1.2726999999999999</v>
      </c>
      <c r="BK40">
        <v>-4.7998700000000003</v>
      </c>
      <c r="BL40">
        <v>814.25699999999995</v>
      </c>
      <c r="BM40">
        <v>816.49300000000005</v>
      </c>
      <c r="BN40">
        <v>3.2035999999999998</v>
      </c>
      <c r="BO40">
        <v>800.03200000000004</v>
      </c>
      <c r="BP40">
        <v>20.161300000000001</v>
      </c>
      <c r="BQ40">
        <v>2.3150400000000002</v>
      </c>
      <c r="BR40">
        <v>1.99762</v>
      </c>
      <c r="BS40">
        <v>19.781400000000001</v>
      </c>
      <c r="BT40">
        <v>17.4255</v>
      </c>
      <c r="BU40">
        <v>1800</v>
      </c>
      <c r="BV40">
        <v>0.91000999999999999</v>
      </c>
      <c r="BW40">
        <v>3.3996400000000003E-2</v>
      </c>
      <c r="BX40">
        <v>2.2006999999999999E-2</v>
      </c>
      <c r="BY40">
        <v>3.3986599999999999E-2</v>
      </c>
      <c r="BZ40">
        <v>26</v>
      </c>
      <c r="CA40">
        <v>33528.199999999997</v>
      </c>
      <c r="CB40">
        <v>1690226183.5999999</v>
      </c>
      <c r="CC40" t="s">
        <v>332</v>
      </c>
      <c r="CD40">
        <v>1690226177.5999999</v>
      </c>
      <c r="CE40">
        <v>1690226183.5999999</v>
      </c>
      <c r="CF40">
        <v>12</v>
      </c>
      <c r="CG40">
        <v>-0.255</v>
      </c>
      <c r="CH40">
        <v>0.113</v>
      </c>
      <c r="CI40">
        <v>-0.439</v>
      </c>
      <c r="CJ40">
        <v>0.31</v>
      </c>
      <c r="CK40">
        <v>800</v>
      </c>
      <c r="CL40">
        <v>25</v>
      </c>
      <c r="CM40">
        <v>0.02</v>
      </c>
      <c r="CN40">
        <v>0.03</v>
      </c>
      <c r="CO40">
        <v>-4.6842026829268297</v>
      </c>
      <c r="CP40">
        <v>-1.301099581881535</v>
      </c>
      <c r="CQ40">
        <v>0.15724805304195291</v>
      </c>
      <c r="CR40">
        <v>-1</v>
      </c>
      <c r="CS40">
        <v>2.9182553658536579</v>
      </c>
      <c r="CT40">
        <v>3.2705981184668991</v>
      </c>
      <c r="CU40">
        <v>0.34489387723845361</v>
      </c>
      <c r="CV40">
        <v>-1</v>
      </c>
      <c r="CW40">
        <v>0</v>
      </c>
      <c r="CX40">
        <v>0</v>
      </c>
      <c r="CY40" t="s">
        <v>333</v>
      </c>
      <c r="CZ40">
        <v>2.3641100000000002</v>
      </c>
      <c r="DA40">
        <v>2.7137899999999999</v>
      </c>
      <c r="DB40">
        <v>0.14615500000000001</v>
      </c>
      <c r="DC40">
        <v>0.14633399999999999</v>
      </c>
      <c r="DD40">
        <v>0.111304</v>
      </c>
      <c r="DE40">
        <v>9.9224900000000005E-2</v>
      </c>
      <c r="DF40">
        <v>31171</v>
      </c>
      <c r="DG40">
        <v>27508.3</v>
      </c>
      <c r="DH40">
        <v>31166.5</v>
      </c>
      <c r="DI40">
        <v>28079</v>
      </c>
      <c r="DJ40">
        <v>37605.9</v>
      </c>
      <c r="DK40">
        <v>35966.199999999997</v>
      </c>
      <c r="DL40">
        <v>44353.599999999999</v>
      </c>
      <c r="DM40">
        <v>42561.4</v>
      </c>
      <c r="DN40">
        <v>1.4722</v>
      </c>
      <c r="DO40">
        <v>2.0537800000000002</v>
      </c>
      <c r="DP40">
        <v>8.6799299999999996E-2</v>
      </c>
      <c r="DQ40">
        <v>0.17516300000000001</v>
      </c>
      <c r="DR40">
        <v>25.680900000000001</v>
      </c>
      <c r="DS40">
        <v>25.372</v>
      </c>
      <c r="DT40">
        <v>57.2</v>
      </c>
      <c r="DU40">
        <v>29.3</v>
      </c>
      <c r="DV40">
        <v>23.6236</v>
      </c>
      <c r="DW40">
        <v>61.742400000000004</v>
      </c>
      <c r="DX40">
        <v>35.805300000000003</v>
      </c>
      <c r="DY40">
        <v>1</v>
      </c>
      <c r="DZ40">
        <v>-6.9357199999999994E-2</v>
      </c>
      <c r="EA40">
        <v>1.9272400000000001</v>
      </c>
      <c r="EB40">
        <v>20.175999999999998</v>
      </c>
      <c r="EC40">
        <v>5.2409499999999998</v>
      </c>
      <c r="ED40">
        <v>12.039899999999999</v>
      </c>
      <c r="EE40">
        <v>5.0168999999999997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1.8692</v>
      </c>
      <c r="EN40">
        <v>1.8672200000000001</v>
      </c>
      <c r="EO40">
        <v>1.8633999999999999</v>
      </c>
      <c r="EP40">
        <v>1.8645</v>
      </c>
      <c r="EQ40">
        <v>1.87012</v>
      </c>
      <c r="ER40">
        <v>1.8694299999999999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-0.436</v>
      </c>
      <c r="FG40">
        <v>0.30990000000000001</v>
      </c>
      <c r="FH40">
        <v>0.1121710645629533</v>
      </c>
      <c r="FI40">
        <v>-6.1462078757559423E-4</v>
      </c>
      <c r="FJ40">
        <v>-1.8861989874597051E-7</v>
      </c>
      <c r="FK40">
        <v>1.1980462299894961E-10</v>
      </c>
      <c r="FL40">
        <v>0.30996499999999833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14.5</v>
      </c>
      <c r="FU40">
        <v>14.4</v>
      </c>
      <c r="FV40">
        <v>1.79443</v>
      </c>
      <c r="FW40">
        <v>2.5830099999999998</v>
      </c>
      <c r="FX40">
        <v>1.5490699999999999</v>
      </c>
      <c r="FY40">
        <v>2.3290999999999999</v>
      </c>
      <c r="FZ40">
        <v>1.50146</v>
      </c>
      <c r="GA40">
        <v>2.3925800000000002</v>
      </c>
      <c r="GB40">
        <v>33.941299999999998</v>
      </c>
      <c r="GC40">
        <v>23.982399999999998</v>
      </c>
      <c r="GD40">
        <v>19</v>
      </c>
      <c r="GE40">
        <v>282.00200000000001</v>
      </c>
      <c r="GF40">
        <v>599.31700000000001</v>
      </c>
      <c r="GG40">
        <v>23.150200000000002</v>
      </c>
      <c r="GH40">
        <v>26.544</v>
      </c>
      <c r="GI40">
        <v>30.001200000000001</v>
      </c>
      <c r="GJ40">
        <v>26.539200000000001</v>
      </c>
      <c r="GK40">
        <v>26.480699999999999</v>
      </c>
      <c r="GL40">
        <v>35.872799999999998</v>
      </c>
      <c r="GM40">
        <v>26.146899999999999</v>
      </c>
      <c r="GN40">
        <v>100</v>
      </c>
      <c r="GO40">
        <v>23.060099999999998</v>
      </c>
      <c r="GP40">
        <v>800</v>
      </c>
      <c r="GQ40">
        <v>20.177499999999998</v>
      </c>
      <c r="GR40">
        <v>99.720399999999998</v>
      </c>
      <c r="GS40">
        <v>99.562799999999996</v>
      </c>
    </row>
    <row r="41" spans="1:201" x14ac:dyDescent="0.25">
      <c r="A41">
        <v>25</v>
      </c>
      <c r="B41">
        <v>1690227055.0999999</v>
      </c>
      <c r="C41">
        <v>485.5</v>
      </c>
      <c r="D41" t="s">
        <v>381</v>
      </c>
      <c r="E41" t="s">
        <v>382</v>
      </c>
      <c r="F41" t="s">
        <v>330</v>
      </c>
      <c r="H41">
        <v>1690227055.0999999</v>
      </c>
      <c r="I41">
        <f t="shared" si="0"/>
        <v>2.8431140993663589E-4</v>
      </c>
      <c r="J41">
        <f t="shared" si="1"/>
        <v>0.28431140993663589</v>
      </c>
      <c r="K41">
        <f t="shared" si="2"/>
        <v>0.22739872239851774</v>
      </c>
      <c r="L41">
        <f t="shared" si="3"/>
        <v>795.09299999999996</v>
      </c>
      <c r="M41">
        <f t="shared" si="4"/>
        <v>752.87637157783661</v>
      </c>
      <c r="N41">
        <f t="shared" si="5"/>
        <v>74.670657982781108</v>
      </c>
      <c r="O41">
        <f t="shared" si="6"/>
        <v>78.857724466872</v>
      </c>
      <c r="P41">
        <f t="shared" si="7"/>
        <v>1.7022800443531376E-2</v>
      </c>
      <c r="Q41">
        <f t="shared" si="8"/>
        <v>2.1283607891252099</v>
      </c>
      <c r="R41">
        <f t="shared" si="9"/>
        <v>1.6947522868053327E-2</v>
      </c>
      <c r="S41">
        <f t="shared" si="10"/>
        <v>1.0598937347863175E-2</v>
      </c>
      <c r="T41">
        <f t="shared" si="11"/>
        <v>276.11325989680165</v>
      </c>
      <c r="U41">
        <f t="shared" si="12"/>
        <v>28.49762181028677</v>
      </c>
      <c r="V41">
        <f t="shared" si="13"/>
        <v>28.49762181028677</v>
      </c>
      <c r="W41">
        <f t="shared" si="14"/>
        <v>3.9063296929217675</v>
      </c>
      <c r="X41">
        <f t="shared" si="15"/>
        <v>66.368919070188397</v>
      </c>
      <c r="Y41">
        <f t="shared" si="16"/>
        <v>2.2944913697879996</v>
      </c>
      <c r="Z41">
        <f t="shared" si="17"/>
        <v>3.4571775492704075</v>
      </c>
      <c r="AA41">
        <f t="shared" si="18"/>
        <v>1.6118383231337678</v>
      </c>
      <c r="AB41">
        <f t="shared" si="19"/>
        <v>-12.538133178205642</v>
      </c>
      <c r="AC41">
        <f t="shared" si="20"/>
        <v>-239.43919733130681</v>
      </c>
      <c r="AD41">
        <f t="shared" si="21"/>
        <v>-24.389424105990326</v>
      </c>
      <c r="AE41">
        <f t="shared" si="22"/>
        <v>-0.25349471870111984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52383.848976008485</v>
      </c>
      <c r="AK41">
        <f t="shared" si="26"/>
        <v>1799.98</v>
      </c>
      <c r="AL41">
        <f t="shared" si="27"/>
        <v>1499.0954727985597</v>
      </c>
      <c r="AM41">
        <f t="shared" si="28"/>
        <v>0.83284007199999988</v>
      </c>
      <c r="AN41">
        <f t="shared" si="29"/>
        <v>0.15339795992000002</v>
      </c>
      <c r="AO41">
        <v>32.4</v>
      </c>
      <c r="AP41">
        <v>0.5</v>
      </c>
      <c r="AQ41" t="s">
        <v>331</v>
      </c>
      <c r="AR41">
        <v>2</v>
      </c>
      <c r="AS41">
        <v>1690227055.0999999</v>
      </c>
      <c r="AT41">
        <v>795.09299999999996</v>
      </c>
      <c r="AU41">
        <v>799.98599999999999</v>
      </c>
      <c r="AV41">
        <v>23.134499999999999</v>
      </c>
      <c r="AW41">
        <v>20.137599999999999</v>
      </c>
      <c r="AX41">
        <v>795.529</v>
      </c>
      <c r="AY41">
        <v>22.8245</v>
      </c>
      <c r="AZ41">
        <v>300.26299999999998</v>
      </c>
      <c r="BA41">
        <v>99.080500000000001</v>
      </c>
      <c r="BB41">
        <v>0.100004</v>
      </c>
      <c r="BC41">
        <v>26.410900000000002</v>
      </c>
      <c r="BD41">
        <v>27.098199999999999</v>
      </c>
      <c r="BE41">
        <v>28.264800000000001</v>
      </c>
      <c r="BF41">
        <v>0</v>
      </c>
      <c r="BG41">
        <v>0</v>
      </c>
      <c r="BH41">
        <v>9978.1200000000008</v>
      </c>
      <c r="BI41">
        <v>1072.2</v>
      </c>
      <c r="BJ41">
        <v>1.28952</v>
      </c>
      <c r="BK41">
        <v>-4.8928200000000004</v>
      </c>
      <c r="BL41">
        <v>813.923</v>
      </c>
      <c r="BM41">
        <v>816.42700000000002</v>
      </c>
      <c r="BN41">
        <v>2.9968300000000001</v>
      </c>
      <c r="BO41">
        <v>799.98599999999999</v>
      </c>
      <c r="BP41">
        <v>20.137599999999999</v>
      </c>
      <c r="BQ41">
        <v>2.29217</v>
      </c>
      <c r="BR41">
        <v>1.99525</v>
      </c>
      <c r="BS41">
        <v>19.621500000000001</v>
      </c>
      <c r="BT41">
        <v>17.406700000000001</v>
      </c>
      <c r="BU41">
        <v>1799.98</v>
      </c>
      <c r="BV41">
        <v>0.90998699999999999</v>
      </c>
      <c r="BW41">
        <v>3.3991899999999999E-2</v>
      </c>
      <c r="BX41">
        <v>2.2007599999999999E-2</v>
      </c>
      <c r="BY41">
        <v>3.4013399999999999E-2</v>
      </c>
      <c r="BZ41">
        <v>26</v>
      </c>
      <c r="CA41">
        <v>33527.9</v>
      </c>
      <c r="CB41">
        <v>1690226183.5999999</v>
      </c>
      <c r="CC41" t="s">
        <v>332</v>
      </c>
      <c r="CD41">
        <v>1690226177.5999999</v>
      </c>
      <c r="CE41">
        <v>1690226183.5999999</v>
      </c>
      <c r="CF41">
        <v>12</v>
      </c>
      <c r="CG41">
        <v>-0.255</v>
      </c>
      <c r="CH41">
        <v>0.113</v>
      </c>
      <c r="CI41">
        <v>-0.439</v>
      </c>
      <c r="CJ41">
        <v>0.31</v>
      </c>
      <c r="CK41">
        <v>800</v>
      </c>
      <c r="CL41">
        <v>25</v>
      </c>
      <c r="CM41">
        <v>0.02</v>
      </c>
      <c r="CN41">
        <v>0.03</v>
      </c>
      <c r="CO41">
        <v>-4.8379370731707318</v>
      </c>
      <c r="CP41">
        <v>-0.50049951219512223</v>
      </c>
      <c r="CQ41">
        <v>6.4047121991047423E-2</v>
      </c>
      <c r="CR41">
        <v>-1</v>
      </c>
      <c r="CS41">
        <v>3.1533987804878052</v>
      </c>
      <c r="CT41">
        <v>-0.17831456445992941</v>
      </c>
      <c r="CU41">
        <v>7.028645264446097E-2</v>
      </c>
      <c r="CV41">
        <v>-1</v>
      </c>
      <c r="CW41">
        <v>0</v>
      </c>
      <c r="CX41">
        <v>0</v>
      </c>
      <c r="CY41" t="s">
        <v>333</v>
      </c>
      <c r="CZ41">
        <v>2.3643399999999999</v>
      </c>
      <c r="DA41">
        <v>2.7137799999999999</v>
      </c>
      <c r="DB41">
        <v>0.14613000000000001</v>
      </c>
      <c r="DC41">
        <v>0.14632400000000001</v>
      </c>
      <c r="DD41">
        <v>0.110517</v>
      </c>
      <c r="DE41">
        <v>9.91393E-2</v>
      </c>
      <c r="DF41">
        <v>31171</v>
      </c>
      <c r="DG41">
        <v>27507.599999999999</v>
      </c>
      <c r="DH41">
        <v>31165.599999999999</v>
      </c>
      <c r="DI41">
        <v>28078</v>
      </c>
      <c r="DJ41">
        <v>37638.6</v>
      </c>
      <c r="DK41">
        <v>35968.5</v>
      </c>
      <c r="DL41">
        <v>44352.4</v>
      </c>
      <c r="DM41">
        <v>42560</v>
      </c>
      <c r="DN41">
        <v>1.47207</v>
      </c>
      <c r="DO41">
        <v>2.0535999999999999</v>
      </c>
      <c r="DP41">
        <v>8.7581599999999996E-2</v>
      </c>
      <c r="DQ41">
        <v>0.177622</v>
      </c>
      <c r="DR41">
        <v>25.664400000000001</v>
      </c>
      <c r="DS41">
        <v>25.359000000000002</v>
      </c>
      <c r="DT41">
        <v>57.2</v>
      </c>
      <c r="DU41">
        <v>29.3</v>
      </c>
      <c r="DV41">
        <v>23.622800000000002</v>
      </c>
      <c r="DW41">
        <v>61.702399999999997</v>
      </c>
      <c r="DX41">
        <v>36.418300000000002</v>
      </c>
      <c r="DY41">
        <v>1</v>
      </c>
      <c r="DZ41">
        <v>-6.7291699999999996E-2</v>
      </c>
      <c r="EA41">
        <v>2.12195</v>
      </c>
      <c r="EB41">
        <v>20.172599999999999</v>
      </c>
      <c r="EC41">
        <v>5.2409499999999998</v>
      </c>
      <c r="ED41">
        <v>12.039899999999999</v>
      </c>
      <c r="EE41">
        <v>5.0171000000000001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1.8646199999999999</v>
      </c>
      <c r="EM41">
        <v>1.8691800000000001</v>
      </c>
      <c r="EN41">
        <v>1.8672299999999999</v>
      </c>
      <c r="EO41">
        <v>1.8633999999999999</v>
      </c>
      <c r="EP41">
        <v>1.8645400000000001</v>
      </c>
      <c r="EQ41">
        <v>1.87012</v>
      </c>
      <c r="ER41">
        <v>1.8694299999999999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-0.436</v>
      </c>
      <c r="FG41">
        <v>0.31</v>
      </c>
      <c r="FH41">
        <v>0.1121710645629533</v>
      </c>
      <c r="FI41">
        <v>-6.1462078757559423E-4</v>
      </c>
      <c r="FJ41">
        <v>-1.8861989874597051E-7</v>
      </c>
      <c r="FK41">
        <v>1.1980462299894961E-10</v>
      </c>
      <c r="FL41">
        <v>0.30996499999999833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14.6</v>
      </c>
      <c r="FU41">
        <v>14.5</v>
      </c>
      <c r="FV41">
        <v>1.79443</v>
      </c>
      <c r="FW41">
        <v>2.5891099999999998</v>
      </c>
      <c r="FX41">
        <v>1.5490699999999999</v>
      </c>
      <c r="FY41">
        <v>2.3290999999999999</v>
      </c>
      <c r="FZ41">
        <v>1.50146</v>
      </c>
      <c r="GA41">
        <v>2.2631800000000002</v>
      </c>
      <c r="GB41">
        <v>33.941299999999998</v>
      </c>
      <c r="GC41">
        <v>23.973700000000001</v>
      </c>
      <c r="GD41">
        <v>19</v>
      </c>
      <c r="GE41">
        <v>281.96300000000002</v>
      </c>
      <c r="GF41">
        <v>599.255</v>
      </c>
      <c r="GG41">
        <v>22.907900000000001</v>
      </c>
      <c r="GH41">
        <v>26.5501</v>
      </c>
      <c r="GI41">
        <v>30.000599999999999</v>
      </c>
      <c r="GJ41">
        <v>26.5426</v>
      </c>
      <c r="GK41">
        <v>26.488</v>
      </c>
      <c r="GL41">
        <v>35.871400000000001</v>
      </c>
      <c r="GM41">
        <v>25.862400000000001</v>
      </c>
      <c r="GN41">
        <v>100</v>
      </c>
      <c r="GO41">
        <v>22.881699999999999</v>
      </c>
      <c r="GP41">
        <v>800</v>
      </c>
      <c r="GQ41">
        <v>20.245200000000001</v>
      </c>
      <c r="GR41">
        <v>99.717699999999994</v>
      </c>
      <c r="GS41">
        <v>99.5595</v>
      </c>
    </row>
    <row r="42" spans="1:201" x14ac:dyDescent="0.25">
      <c r="A42">
        <v>26</v>
      </c>
      <c r="B42">
        <v>1690227065.0999999</v>
      </c>
      <c r="C42">
        <v>495.5</v>
      </c>
      <c r="D42" t="s">
        <v>383</v>
      </c>
      <c r="E42" t="s">
        <v>384</v>
      </c>
      <c r="F42" t="s">
        <v>330</v>
      </c>
      <c r="H42">
        <v>1690227065.0999999</v>
      </c>
      <c r="I42">
        <f t="shared" si="0"/>
        <v>2.6186213712628523E-4</v>
      </c>
      <c r="J42">
        <f t="shared" si="1"/>
        <v>0.26186213712628525</v>
      </c>
      <c r="K42">
        <f t="shared" si="2"/>
        <v>0.26320186343297708</v>
      </c>
      <c r="L42">
        <f t="shared" si="3"/>
        <v>794.93</v>
      </c>
      <c r="M42">
        <f t="shared" si="4"/>
        <v>746.93690314127161</v>
      </c>
      <c r="N42">
        <f t="shared" si="5"/>
        <v>74.081352934805764</v>
      </c>
      <c r="O42">
        <f t="shared" si="6"/>
        <v>78.841317975860008</v>
      </c>
      <c r="P42">
        <f t="shared" si="7"/>
        <v>1.5558656186391333E-2</v>
      </c>
      <c r="Q42">
        <f t="shared" si="8"/>
        <v>2.1341813100796365</v>
      </c>
      <c r="R42">
        <f t="shared" si="9"/>
        <v>1.5495916081791244E-2</v>
      </c>
      <c r="S42">
        <f t="shared" si="10"/>
        <v>9.6905633327311405E-3</v>
      </c>
      <c r="T42">
        <f t="shared" si="11"/>
        <v>276.11303020135375</v>
      </c>
      <c r="U42">
        <f t="shared" si="12"/>
        <v>28.466931124094128</v>
      </c>
      <c r="V42">
        <f t="shared" si="13"/>
        <v>28.466931124094128</v>
      </c>
      <c r="W42">
        <f t="shared" si="14"/>
        <v>3.8993718379306728</v>
      </c>
      <c r="X42">
        <f t="shared" si="15"/>
        <v>65.950029403346804</v>
      </c>
      <c r="Y42">
        <f t="shared" si="16"/>
        <v>2.2755211285466004</v>
      </c>
      <c r="Z42">
        <f t="shared" si="17"/>
        <v>3.450371666447086</v>
      </c>
      <c r="AA42">
        <f t="shared" si="18"/>
        <v>1.6238507093840724</v>
      </c>
      <c r="AB42">
        <f t="shared" si="19"/>
        <v>-11.548120247269178</v>
      </c>
      <c r="AC42">
        <f t="shared" si="20"/>
        <v>-240.40573031485084</v>
      </c>
      <c r="AD42">
        <f t="shared" si="21"/>
        <v>-24.413278002628694</v>
      </c>
      <c r="AE42">
        <f t="shared" si="22"/>
        <v>-0.25409836339494518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52641.180707462379</v>
      </c>
      <c r="AK42">
        <f t="shared" si="26"/>
        <v>1799.98</v>
      </c>
      <c r="AL42">
        <f t="shared" si="27"/>
        <v>1499.0915830417798</v>
      </c>
      <c r="AM42">
        <f t="shared" si="28"/>
        <v>0.83283791099999993</v>
      </c>
      <c r="AN42">
        <f t="shared" si="29"/>
        <v>0.15339783230999998</v>
      </c>
      <c r="AO42">
        <v>32.4</v>
      </c>
      <c r="AP42">
        <v>0.5</v>
      </c>
      <c r="AQ42" t="s">
        <v>331</v>
      </c>
      <c r="AR42">
        <v>2</v>
      </c>
      <c r="AS42">
        <v>1690227065.0999999</v>
      </c>
      <c r="AT42">
        <v>794.93</v>
      </c>
      <c r="AU42">
        <v>800.01700000000005</v>
      </c>
      <c r="AV42">
        <v>22.943300000000001</v>
      </c>
      <c r="AW42">
        <v>20.182099999999998</v>
      </c>
      <c r="AX42">
        <v>795.36500000000001</v>
      </c>
      <c r="AY42">
        <v>22.633299999999998</v>
      </c>
      <c r="AZ42">
        <v>300.22000000000003</v>
      </c>
      <c r="BA42">
        <v>99.080200000000005</v>
      </c>
      <c r="BB42">
        <v>0.10000199999999999</v>
      </c>
      <c r="BC42">
        <v>26.377500000000001</v>
      </c>
      <c r="BD42">
        <v>27.081399999999999</v>
      </c>
      <c r="BE42">
        <v>28.2377</v>
      </c>
      <c r="BF42">
        <v>0</v>
      </c>
      <c r="BG42">
        <v>0</v>
      </c>
      <c r="BH42">
        <v>10028.1</v>
      </c>
      <c r="BI42">
        <v>1071.82</v>
      </c>
      <c r="BJ42">
        <v>1.33718</v>
      </c>
      <c r="BK42">
        <v>-5.0878300000000003</v>
      </c>
      <c r="BL42">
        <v>813.596</v>
      </c>
      <c r="BM42">
        <v>816.49599999999998</v>
      </c>
      <c r="BN42">
        <v>2.7612299999999999</v>
      </c>
      <c r="BO42">
        <v>800.01700000000005</v>
      </c>
      <c r="BP42">
        <v>20.182099999999998</v>
      </c>
      <c r="BQ42">
        <v>2.2732299999999999</v>
      </c>
      <c r="BR42">
        <v>1.9996400000000001</v>
      </c>
      <c r="BS42">
        <v>19.4879</v>
      </c>
      <c r="BT42">
        <v>17.441500000000001</v>
      </c>
      <c r="BU42">
        <v>1799.98</v>
      </c>
      <c r="BV42">
        <v>0.90997799999999995</v>
      </c>
      <c r="BW42">
        <v>3.4007700000000002E-2</v>
      </c>
      <c r="BX42">
        <v>2.2004800000000001E-2</v>
      </c>
      <c r="BY42">
        <v>3.40091E-2</v>
      </c>
      <c r="BZ42">
        <v>26</v>
      </c>
      <c r="CA42">
        <v>33527.9</v>
      </c>
      <c r="CB42">
        <v>1690226183.5999999</v>
      </c>
      <c r="CC42" t="s">
        <v>332</v>
      </c>
      <c r="CD42">
        <v>1690226177.5999999</v>
      </c>
      <c r="CE42">
        <v>1690226183.5999999</v>
      </c>
      <c r="CF42">
        <v>12</v>
      </c>
      <c r="CG42">
        <v>-0.255</v>
      </c>
      <c r="CH42">
        <v>0.113</v>
      </c>
      <c r="CI42">
        <v>-0.439</v>
      </c>
      <c r="CJ42">
        <v>0.31</v>
      </c>
      <c r="CK42">
        <v>800</v>
      </c>
      <c r="CL42">
        <v>25</v>
      </c>
      <c r="CM42">
        <v>0.02</v>
      </c>
      <c r="CN42">
        <v>0.03</v>
      </c>
      <c r="CO42">
        <v>-4.9314336585365854</v>
      </c>
      <c r="CP42">
        <v>-0.52489923344948552</v>
      </c>
      <c r="CQ42">
        <v>6.0620034028689727E-2</v>
      </c>
      <c r="CR42">
        <v>-1</v>
      </c>
      <c r="CS42">
        <v>3.000265853658536</v>
      </c>
      <c r="CT42">
        <v>-1.3472460627177669</v>
      </c>
      <c r="CU42">
        <v>0.13293945772190141</v>
      </c>
      <c r="CV42">
        <v>-1</v>
      </c>
      <c r="CW42">
        <v>0</v>
      </c>
      <c r="CX42">
        <v>0</v>
      </c>
      <c r="CY42" t="s">
        <v>333</v>
      </c>
      <c r="CZ42">
        <v>2.3641999999999999</v>
      </c>
      <c r="DA42">
        <v>2.7138200000000001</v>
      </c>
      <c r="DB42">
        <v>0.14610400000000001</v>
      </c>
      <c r="DC42">
        <v>0.14632600000000001</v>
      </c>
      <c r="DD42">
        <v>0.109863</v>
      </c>
      <c r="DE42">
        <v>9.9292500000000006E-2</v>
      </c>
      <c r="DF42">
        <v>31171.599999999999</v>
      </c>
      <c r="DG42">
        <v>27507.5</v>
      </c>
      <c r="DH42">
        <v>31165.3</v>
      </c>
      <c r="DI42">
        <v>28078</v>
      </c>
      <c r="DJ42">
        <v>37666.199999999997</v>
      </c>
      <c r="DK42">
        <v>35962.400000000001</v>
      </c>
      <c r="DL42">
        <v>44352</v>
      </c>
      <c r="DM42">
        <v>42560</v>
      </c>
      <c r="DN42">
        <v>1.4721</v>
      </c>
      <c r="DO42">
        <v>2.0533800000000002</v>
      </c>
      <c r="DP42">
        <v>8.7283600000000003E-2</v>
      </c>
      <c r="DQ42">
        <v>0.176616</v>
      </c>
      <c r="DR42">
        <v>25.6526</v>
      </c>
      <c r="DS42">
        <v>25.348299999999998</v>
      </c>
      <c r="DT42">
        <v>57.2</v>
      </c>
      <c r="DU42">
        <v>29.3</v>
      </c>
      <c r="DV42">
        <v>23.621400000000001</v>
      </c>
      <c r="DW42">
        <v>61.662399999999998</v>
      </c>
      <c r="DX42">
        <v>35.156199999999998</v>
      </c>
      <c r="DY42">
        <v>1</v>
      </c>
      <c r="DZ42">
        <v>-6.6903000000000004E-2</v>
      </c>
      <c r="EA42">
        <v>2.1004399999999999</v>
      </c>
      <c r="EB42">
        <v>20.173100000000002</v>
      </c>
      <c r="EC42">
        <v>5.2406499999999996</v>
      </c>
      <c r="ED42">
        <v>12.039899999999999</v>
      </c>
      <c r="EE42">
        <v>5.0168999999999997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1.8689100000000001</v>
      </c>
      <c r="EL42">
        <v>1.8646400000000001</v>
      </c>
      <c r="EM42">
        <v>1.8692</v>
      </c>
      <c r="EN42">
        <v>1.8672200000000001</v>
      </c>
      <c r="EO42">
        <v>1.8633999999999999</v>
      </c>
      <c r="EP42">
        <v>1.8645499999999999</v>
      </c>
      <c r="EQ42">
        <v>1.87015</v>
      </c>
      <c r="ER42">
        <v>1.86941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-0.435</v>
      </c>
      <c r="FG42">
        <v>0.31</v>
      </c>
      <c r="FH42">
        <v>0.1121710645629533</v>
      </c>
      <c r="FI42">
        <v>-6.1462078757559423E-4</v>
      </c>
      <c r="FJ42">
        <v>-1.8861989874597051E-7</v>
      </c>
      <c r="FK42">
        <v>1.1980462299894961E-10</v>
      </c>
      <c r="FL42">
        <v>0.30996499999999833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14.8</v>
      </c>
      <c r="FU42">
        <v>14.7</v>
      </c>
      <c r="FV42">
        <v>1.79443</v>
      </c>
      <c r="FW42">
        <v>2.5793499999999998</v>
      </c>
      <c r="FX42">
        <v>1.5490699999999999</v>
      </c>
      <c r="FY42">
        <v>2.3290999999999999</v>
      </c>
      <c r="FZ42">
        <v>1.50146</v>
      </c>
      <c r="GA42">
        <v>2.4084500000000002</v>
      </c>
      <c r="GB42">
        <v>33.941299999999998</v>
      </c>
      <c r="GC42">
        <v>23.982399999999998</v>
      </c>
      <c r="GD42">
        <v>19</v>
      </c>
      <c r="GE42">
        <v>281.99900000000002</v>
      </c>
      <c r="GF42">
        <v>599.14200000000005</v>
      </c>
      <c r="GG42">
        <v>22.720199999999998</v>
      </c>
      <c r="GH42">
        <v>26.554600000000001</v>
      </c>
      <c r="GI42">
        <v>30.000499999999999</v>
      </c>
      <c r="GJ42">
        <v>26.548200000000001</v>
      </c>
      <c r="GK42">
        <v>26.494599999999998</v>
      </c>
      <c r="GL42">
        <v>35.8688</v>
      </c>
      <c r="GM42">
        <v>25.283000000000001</v>
      </c>
      <c r="GN42">
        <v>100</v>
      </c>
      <c r="GO42">
        <v>22.715</v>
      </c>
      <c r="GP42">
        <v>800</v>
      </c>
      <c r="GQ42">
        <v>20.315300000000001</v>
      </c>
      <c r="GR42">
        <v>99.716899999999995</v>
      </c>
      <c r="GS42">
        <v>99.559299999999993</v>
      </c>
    </row>
    <row r="43" spans="1:201" x14ac:dyDescent="0.25">
      <c r="A43">
        <v>27</v>
      </c>
      <c r="B43">
        <v>1690227075.0999999</v>
      </c>
      <c r="C43">
        <v>505.5</v>
      </c>
      <c r="D43" t="s">
        <v>385</v>
      </c>
      <c r="E43" t="s">
        <v>386</v>
      </c>
      <c r="F43" t="s">
        <v>330</v>
      </c>
      <c r="H43">
        <v>1690227075.0999999</v>
      </c>
      <c r="I43">
        <f t="shared" si="0"/>
        <v>2.4157074427847217E-4</v>
      </c>
      <c r="J43">
        <f t="shared" si="1"/>
        <v>0.24157074427847217</v>
      </c>
      <c r="K43">
        <f t="shared" si="2"/>
        <v>0.28346265802032056</v>
      </c>
      <c r="L43">
        <f t="shared" si="3"/>
        <v>794.83299999999997</v>
      </c>
      <c r="M43">
        <f t="shared" si="4"/>
        <v>742.13746991641881</v>
      </c>
      <c r="N43">
        <f t="shared" si="5"/>
        <v>73.604182732938924</v>
      </c>
      <c r="O43">
        <f t="shared" si="6"/>
        <v>78.83045358262099</v>
      </c>
      <c r="P43">
        <f t="shared" si="7"/>
        <v>1.4288831477910751E-2</v>
      </c>
      <c r="Q43">
        <f t="shared" si="8"/>
        <v>2.136196568966624</v>
      </c>
      <c r="R43">
        <f t="shared" si="9"/>
        <v>1.4235945496637023E-2</v>
      </c>
      <c r="S43">
        <f t="shared" si="10"/>
        <v>8.9022011440464989E-3</v>
      </c>
      <c r="T43">
        <f t="shared" si="11"/>
        <v>276.11422486356196</v>
      </c>
      <c r="U43">
        <f t="shared" si="12"/>
        <v>28.441668976045264</v>
      </c>
      <c r="V43">
        <f t="shared" si="13"/>
        <v>28.441668976045264</v>
      </c>
      <c r="W43">
        <f t="shared" si="14"/>
        <v>3.8936527946535757</v>
      </c>
      <c r="X43">
        <f t="shared" si="15"/>
        <v>65.703338033506867</v>
      </c>
      <c r="Y43">
        <f t="shared" si="16"/>
        <v>2.2629192889741998</v>
      </c>
      <c r="Z43">
        <f t="shared" si="17"/>
        <v>3.444146609142102</v>
      </c>
      <c r="AA43">
        <f t="shared" si="18"/>
        <v>1.6307335056793759</v>
      </c>
      <c r="AB43">
        <f t="shared" si="19"/>
        <v>-10.653269822680622</v>
      </c>
      <c r="AC43">
        <f t="shared" si="20"/>
        <v>-241.2474823975557</v>
      </c>
      <c r="AD43">
        <f t="shared" si="21"/>
        <v>-24.468821897301286</v>
      </c>
      <c r="AE43">
        <f t="shared" si="22"/>
        <v>-0.25534925397565189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52733.797136104615</v>
      </c>
      <c r="AK43">
        <f t="shared" si="26"/>
        <v>1799.99</v>
      </c>
      <c r="AL43">
        <f t="shared" si="27"/>
        <v>1499.1024476067998</v>
      </c>
      <c r="AM43">
        <f t="shared" si="28"/>
        <v>0.83283931999999994</v>
      </c>
      <c r="AN43">
        <f t="shared" si="29"/>
        <v>0.15339764379999998</v>
      </c>
      <c r="AO43">
        <v>32.4</v>
      </c>
      <c r="AP43">
        <v>0.5</v>
      </c>
      <c r="AQ43" t="s">
        <v>331</v>
      </c>
      <c r="AR43">
        <v>2</v>
      </c>
      <c r="AS43">
        <v>1690227075.0999999</v>
      </c>
      <c r="AT43">
        <v>794.83299999999997</v>
      </c>
      <c r="AU43">
        <v>799.96600000000001</v>
      </c>
      <c r="AV43">
        <v>22.816600000000001</v>
      </c>
      <c r="AW43">
        <v>20.2682</v>
      </c>
      <c r="AX43">
        <v>795.26800000000003</v>
      </c>
      <c r="AY43">
        <v>22.506699999999999</v>
      </c>
      <c r="AZ43">
        <v>300.12200000000001</v>
      </c>
      <c r="BA43">
        <v>99.078699999999998</v>
      </c>
      <c r="BB43">
        <v>9.9936999999999998E-2</v>
      </c>
      <c r="BC43">
        <v>26.346900000000002</v>
      </c>
      <c r="BD43">
        <v>27.020800000000001</v>
      </c>
      <c r="BE43">
        <v>28.193000000000001</v>
      </c>
      <c r="BF43">
        <v>0</v>
      </c>
      <c r="BG43">
        <v>0</v>
      </c>
      <c r="BH43">
        <v>10045.6</v>
      </c>
      <c r="BI43">
        <v>1071.48</v>
      </c>
      <c r="BJ43">
        <v>1.2250399999999999</v>
      </c>
      <c r="BK43">
        <v>-5.1333599999999997</v>
      </c>
      <c r="BL43">
        <v>813.39099999999996</v>
      </c>
      <c r="BM43">
        <v>816.51499999999999</v>
      </c>
      <c r="BN43">
        <v>2.5483799999999999</v>
      </c>
      <c r="BO43">
        <v>799.96600000000001</v>
      </c>
      <c r="BP43">
        <v>20.2682</v>
      </c>
      <c r="BQ43">
        <v>2.26064</v>
      </c>
      <c r="BR43">
        <v>2.0081500000000001</v>
      </c>
      <c r="BS43">
        <v>19.398599999999998</v>
      </c>
      <c r="BT43">
        <v>17.508700000000001</v>
      </c>
      <c r="BU43">
        <v>1799.99</v>
      </c>
      <c r="BV43">
        <v>0.90998999999999997</v>
      </c>
      <c r="BW43">
        <v>3.4003400000000003E-2</v>
      </c>
      <c r="BX43">
        <v>2.2002000000000001E-2</v>
      </c>
      <c r="BY43">
        <v>3.4004800000000002E-2</v>
      </c>
      <c r="BZ43">
        <v>26</v>
      </c>
      <c r="CA43">
        <v>33528.1</v>
      </c>
      <c r="CB43">
        <v>1690226183.5999999</v>
      </c>
      <c r="CC43" t="s">
        <v>332</v>
      </c>
      <c r="CD43">
        <v>1690226177.5999999</v>
      </c>
      <c r="CE43">
        <v>1690226183.5999999</v>
      </c>
      <c r="CF43">
        <v>12</v>
      </c>
      <c r="CG43">
        <v>-0.255</v>
      </c>
      <c r="CH43">
        <v>0.113</v>
      </c>
      <c r="CI43">
        <v>-0.439</v>
      </c>
      <c r="CJ43">
        <v>0.31</v>
      </c>
      <c r="CK43">
        <v>800</v>
      </c>
      <c r="CL43">
        <v>25</v>
      </c>
      <c r="CM43">
        <v>0.02</v>
      </c>
      <c r="CN43">
        <v>0.03</v>
      </c>
      <c r="CO43">
        <v>-5.0184207317073168</v>
      </c>
      <c r="CP43">
        <v>-0.73554815331010492</v>
      </c>
      <c r="CQ43">
        <v>7.7715824279016937E-2</v>
      </c>
      <c r="CR43">
        <v>-1</v>
      </c>
      <c r="CS43">
        <v>2.7933614634146351</v>
      </c>
      <c r="CT43">
        <v>-1.4094434843205561</v>
      </c>
      <c r="CU43">
        <v>0.13909600435356409</v>
      </c>
      <c r="CV43">
        <v>-1</v>
      </c>
      <c r="CW43">
        <v>0</v>
      </c>
      <c r="CX43">
        <v>0</v>
      </c>
      <c r="CY43" t="s">
        <v>333</v>
      </c>
      <c r="CZ43">
        <v>2.36389</v>
      </c>
      <c r="DA43">
        <v>2.7137699999999998</v>
      </c>
      <c r="DB43">
        <v>0.14608499999999999</v>
      </c>
      <c r="DC43">
        <v>0.146317</v>
      </c>
      <c r="DD43">
        <v>0.109426</v>
      </c>
      <c r="DE43">
        <v>9.95896E-2</v>
      </c>
      <c r="DF43">
        <v>31172.9</v>
      </c>
      <c r="DG43">
        <v>27507.8</v>
      </c>
      <c r="DH43">
        <v>31166</v>
      </c>
      <c r="DI43">
        <v>28077.9</v>
      </c>
      <c r="DJ43">
        <v>37685.5</v>
      </c>
      <c r="DK43">
        <v>35950.6</v>
      </c>
      <c r="DL43">
        <v>44352.800000000003</v>
      </c>
      <c r="DM43">
        <v>42560.1</v>
      </c>
      <c r="DN43">
        <v>1.4717</v>
      </c>
      <c r="DO43">
        <v>2.0535999999999999</v>
      </c>
      <c r="DP43">
        <v>8.4303299999999998E-2</v>
      </c>
      <c r="DQ43">
        <v>0.17471600000000001</v>
      </c>
      <c r="DR43">
        <v>25.640599999999999</v>
      </c>
      <c r="DS43">
        <v>25.334599999999998</v>
      </c>
      <c r="DT43">
        <v>57.2</v>
      </c>
      <c r="DU43">
        <v>29.3</v>
      </c>
      <c r="DV43">
        <v>23.622800000000002</v>
      </c>
      <c r="DW43">
        <v>61.592399999999998</v>
      </c>
      <c r="DX43">
        <v>36.222000000000001</v>
      </c>
      <c r="DY43">
        <v>1</v>
      </c>
      <c r="DZ43">
        <v>-6.64024E-2</v>
      </c>
      <c r="EA43">
        <v>1.98828</v>
      </c>
      <c r="EB43">
        <v>20.174800000000001</v>
      </c>
      <c r="EC43">
        <v>5.2409499999999998</v>
      </c>
      <c r="ED43">
        <v>12.039899999999999</v>
      </c>
      <c r="EE43">
        <v>5.0171999999999999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1.86917</v>
      </c>
      <c r="EN43">
        <v>1.8672299999999999</v>
      </c>
      <c r="EO43">
        <v>1.8633999999999999</v>
      </c>
      <c r="EP43">
        <v>1.86452</v>
      </c>
      <c r="EQ43">
        <v>1.8701399999999999</v>
      </c>
      <c r="ER43">
        <v>1.8693900000000001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-0.435</v>
      </c>
      <c r="FG43">
        <v>0.30990000000000001</v>
      </c>
      <c r="FH43">
        <v>0.1121710645629533</v>
      </c>
      <c r="FI43">
        <v>-6.1462078757559423E-4</v>
      </c>
      <c r="FJ43">
        <v>-1.8861989874597051E-7</v>
      </c>
      <c r="FK43">
        <v>1.1980462299894961E-10</v>
      </c>
      <c r="FL43">
        <v>0.30996499999999833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15</v>
      </c>
      <c r="FU43">
        <v>14.9</v>
      </c>
      <c r="FV43">
        <v>1.79443</v>
      </c>
      <c r="FW43">
        <v>2.5817899999999998</v>
      </c>
      <c r="FX43">
        <v>1.5490699999999999</v>
      </c>
      <c r="FY43">
        <v>2.3290999999999999</v>
      </c>
      <c r="FZ43">
        <v>1.50146</v>
      </c>
      <c r="GA43">
        <v>2.4121100000000002</v>
      </c>
      <c r="GB43">
        <v>33.941299999999998</v>
      </c>
      <c r="GC43">
        <v>23.982399999999998</v>
      </c>
      <c r="GD43">
        <v>19</v>
      </c>
      <c r="GE43">
        <v>281.85399999999998</v>
      </c>
      <c r="GF43">
        <v>599.40300000000002</v>
      </c>
      <c r="GG43">
        <v>22.587399999999999</v>
      </c>
      <c r="GH43">
        <v>26.558599999999998</v>
      </c>
      <c r="GI43">
        <v>30.000399999999999</v>
      </c>
      <c r="GJ43">
        <v>26.554300000000001</v>
      </c>
      <c r="GK43">
        <v>26.500699999999998</v>
      </c>
      <c r="GL43">
        <v>35.873899999999999</v>
      </c>
      <c r="GM43">
        <v>24.998699999999999</v>
      </c>
      <c r="GN43">
        <v>100</v>
      </c>
      <c r="GO43">
        <v>22.594100000000001</v>
      </c>
      <c r="GP43">
        <v>800</v>
      </c>
      <c r="GQ43">
        <v>20.3673</v>
      </c>
      <c r="GR43">
        <v>99.718699999999998</v>
      </c>
      <c r="GS43">
        <v>99.5595</v>
      </c>
    </row>
    <row r="44" spans="1:201" x14ac:dyDescent="0.25">
      <c r="A44">
        <v>28</v>
      </c>
      <c r="B44">
        <v>1690227085.0999999</v>
      </c>
      <c r="C44">
        <v>515.5</v>
      </c>
      <c r="D44" t="s">
        <v>387</v>
      </c>
      <c r="E44" t="s">
        <v>388</v>
      </c>
      <c r="F44" t="s">
        <v>330</v>
      </c>
      <c r="H44">
        <v>1690227085.0999999</v>
      </c>
      <c r="I44">
        <f t="shared" si="0"/>
        <v>2.2699174239255776E-4</v>
      </c>
      <c r="J44">
        <f t="shared" si="1"/>
        <v>0.22699174239255776</v>
      </c>
      <c r="K44">
        <f t="shared" si="2"/>
        <v>0.31828555613013293</v>
      </c>
      <c r="L44">
        <f t="shared" si="3"/>
        <v>794.65599999999995</v>
      </c>
      <c r="M44">
        <f t="shared" si="4"/>
        <v>735.80220080818447</v>
      </c>
      <c r="N44">
        <f t="shared" si="5"/>
        <v>72.974749052235012</v>
      </c>
      <c r="O44">
        <f t="shared" si="6"/>
        <v>78.811699827967999</v>
      </c>
      <c r="P44">
        <f t="shared" si="7"/>
        <v>1.3415280398611239E-2</v>
      </c>
      <c r="Q44">
        <f t="shared" si="8"/>
        <v>2.1260552970040312</v>
      </c>
      <c r="R44">
        <f t="shared" si="9"/>
        <v>1.3368430178584734E-2</v>
      </c>
      <c r="S44">
        <f t="shared" si="10"/>
        <v>8.3594644647641374E-3</v>
      </c>
      <c r="T44">
        <f t="shared" si="11"/>
        <v>276.1136133889591</v>
      </c>
      <c r="U44">
        <f t="shared" si="12"/>
        <v>28.416512507695767</v>
      </c>
      <c r="V44">
        <f t="shared" si="13"/>
        <v>28.416512507695767</v>
      </c>
      <c r="W44">
        <f t="shared" si="14"/>
        <v>3.8879649477452158</v>
      </c>
      <c r="X44">
        <f t="shared" si="15"/>
        <v>65.658765313615973</v>
      </c>
      <c r="Y44">
        <f t="shared" si="16"/>
        <v>2.256130896308</v>
      </c>
      <c r="Z44">
        <f t="shared" si="17"/>
        <v>3.4361457842402277</v>
      </c>
      <c r="AA44">
        <f t="shared" si="18"/>
        <v>1.6318340514372158</v>
      </c>
      <c r="AB44">
        <f t="shared" si="19"/>
        <v>-10.010335839511797</v>
      </c>
      <c r="AC44">
        <f t="shared" si="20"/>
        <v>-241.73478833067207</v>
      </c>
      <c r="AD44">
        <f t="shared" si="21"/>
        <v>-24.627263037583411</v>
      </c>
      <c r="AE44">
        <f t="shared" si="22"/>
        <v>-0.25877381880820849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52302.449437674419</v>
      </c>
      <c r="AK44">
        <f t="shared" si="26"/>
        <v>1799.99</v>
      </c>
      <c r="AL44">
        <f t="shared" si="27"/>
        <v>1499.1034718011099</v>
      </c>
      <c r="AM44">
        <f t="shared" si="28"/>
        <v>0.83283988899999994</v>
      </c>
      <c r="AN44">
        <f t="shared" si="29"/>
        <v>0.15339730408999999</v>
      </c>
      <c r="AO44">
        <v>32.4</v>
      </c>
      <c r="AP44">
        <v>0.5</v>
      </c>
      <c r="AQ44" t="s">
        <v>331</v>
      </c>
      <c r="AR44">
        <v>2</v>
      </c>
      <c r="AS44">
        <v>1690227085.0999999</v>
      </c>
      <c r="AT44">
        <v>794.65599999999995</v>
      </c>
      <c r="AU44">
        <v>800.03700000000003</v>
      </c>
      <c r="AV44">
        <v>22.7485</v>
      </c>
      <c r="AW44">
        <v>20.354800000000001</v>
      </c>
      <c r="AX44">
        <v>795.09199999999998</v>
      </c>
      <c r="AY44">
        <v>22.438500000000001</v>
      </c>
      <c r="AZ44">
        <v>300.25599999999997</v>
      </c>
      <c r="BA44">
        <v>99.076999999999998</v>
      </c>
      <c r="BB44">
        <v>0.10012799999999999</v>
      </c>
      <c r="BC44">
        <v>26.307500000000001</v>
      </c>
      <c r="BD44">
        <v>26.945799999999998</v>
      </c>
      <c r="BE44">
        <v>28.149699999999999</v>
      </c>
      <c r="BF44">
        <v>0</v>
      </c>
      <c r="BG44">
        <v>0</v>
      </c>
      <c r="BH44">
        <v>9958.75</v>
      </c>
      <c r="BI44">
        <v>1070.8699999999999</v>
      </c>
      <c r="BJ44">
        <v>1.1886000000000001</v>
      </c>
      <c r="BK44">
        <v>-5.3807999999999998</v>
      </c>
      <c r="BL44">
        <v>813.154</v>
      </c>
      <c r="BM44">
        <v>816.66</v>
      </c>
      <c r="BN44">
        <v>2.3936099999999998</v>
      </c>
      <c r="BO44">
        <v>800.03700000000003</v>
      </c>
      <c r="BP44">
        <v>20.354800000000001</v>
      </c>
      <c r="BQ44">
        <v>2.2538499999999999</v>
      </c>
      <c r="BR44">
        <v>2.0167000000000002</v>
      </c>
      <c r="BS44">
        <v>19.350300000000001</v>
      </c>
      <c r="BT44">
        <v>17.576000000000001</v>
      </c>
      <c r="BU44">
        <v>1799.99</v>
      </c>
      <c r="BV44">
        <v>0.91000099999999995</v>
      </c>
      <c r="BW44">
        <v>3.3999099999999997E-2</v>
      </c>
      <c r="BX44">
        <v>2.19992E-2</v>
      </c>
      <c r="BY44">
        <v>3.4000500000000003E-2</v>
      </c>
      <c r="BZ44">
        <v>26</v>
      </c>
      <c r="CA44">
        <v>33528.199999999997</v>
      </c>
      <c r="CB44">
        <v>1690226183.5999999</v>
      </c>
      <c r="CC44" t="s">
        <v>332</v>
      </c>
      <c r="CD44">
        <v>1690226177.5999999</v>
      </c>
      <c r="CE44">
        <v>1690226183.5999999</v>
      </c>
      <c r="CF44">
        <v>12</v>
      </c>
      <c r="CG44">
        <v>-0.255</v>
      </c>
      <c r="CH44">
        <v>0.113</v>
      </c>
      <c r="CI44">
        <v>-0.439</v>
      </c>
      <c r="CJ44">
        <v>0.31</v>
      </c>
      <c r="CK44">
        <v>800</v>
      </c>
      <c r="CL44">
        <v>25</v>
      </c>
      <c r="CM44">
        <v>0.02</v>
      </c>
      <c r="CN44">
        <v>0.03</v>
      </c>
      <c r="CO44">
        <v>-5.1574947499999997</v>
      </c>
      <c r="CP44">
        <v>-0.7551006754221391</v>
      </c>
      <c r="CQ44">
        <v>8.0405587087823083E-2</v>
      </c>
      <c r="CR44">
        <v>-1</v>
      </c>
      <c r="CS44">
        <v>2.5743485000000002</v>
      </c>
      <c r="CT44">
        <v>-1.0341609005628609</v>
      </c>
      <c r="CU44">
        <v>0.1005228448799078</v>
      </c>
      <c r="CV44">
        <v>-1</v>
      </c>
      <c r="CW44">
        <v>0</v>
      </c>
      <c r="CX44">
        <v>0</v>
      </c>
      <c r="CY44" t="s">
        <v>333</v>
      </c>
      <c r="CZ44">
        <v>2.3643200000000002</v>
      </c>
      <c r="DA44">
        <v>2.7138800000000001</v>
      </c>
      <c r="DB44">
        <v>0.14605699999999999</v>
      </c>
      <c r="DC44">
        <v>0.14632300000000001</v>
      </c>
      <c r="DD44">
        <v>0.10918799999999999</v>
      </c>
      <c r="DE44">
        <v>9.9887500000000004E-2</v>
      </c>
      <c r="DF44">
        <v>31173.3</v>
      </c>
      <c r="DG44">
        <v>27507.7</v>
      </c>
      <c r="DH44">
        <v>31165.3</v>
      </c>
      <c r="DI44">
        <v>28078.1</v>
      </c>
      <c r="DJ44">
        <v>37695</v>
      </c>
      <c r="DK44">
        <v>35938.699999999997</v>
      </c>
      <c r="DL44">
        <v>44352</v>
      </c>
      <c r="DM44">
        <v>42560.2</v>
      </c>
      <c r="DN44">
        <v>1.4721</v>
      </c>
      <c r="DO44">
        <v>2.0532699999999999</v>
      </c>
      <c r="DP44">
        <v>8.0689800000000006E-2</v>
      </c>
      <c r="DQ44">
        <v>0.17322599999999999</v>
      </c>
      <c r="DR44">
        <v>25.624700000000001</v>
      </c>
      <c r="DS44">
        <v>25.3155</v>
      </c>
      <c r="DT44">
        <v>57.3</v>
      </c>
      <c r="DU44">
        <v>29.3</v>
      </c>
      <c r="DV44">
        <v>23.664999999999999</v>
      </c>
      <c r="DW44">
        <v>62.122399999999999</v>
      </c>
      <c r="DX44">
        <v>36.009599999999999</v>
      </c>
      <c r="DY44">
        <v>1</v>
      </c>
      <c r="DZ44">
        <v>-6.7408499999999996E-2</v>
      </c>
      <c r="EA44">
        <v>0.52023699999999995</v>
      </c>
      <c r="EB44">
        <v>20.1874</v>
      </c>
      <c r="EC44">
        <v>5.2408000000000001</v>
      </c>
      <c r="ED44">
        <v>12.039899999999999</v>
      </c>
      <c r="EE44">
        <v>5.0169499999999996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1.86917</v>
      </c>
      <c r="EN44">
        <v>1.8672200000000001</v>
      </c>
      <c r="EO44">
        <v>1.8633999999999999</v>
      </c>
      <c r="EP44">
        <v>1.86452</v>
      </c>
      <c r="EQ44">
        <v>1.8701399999999999</v>
      </c>
      <c r="ER44">
        <v>1.8694200000000001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-0.436</v>
      </c>
      <c r="FG44">
        <v>0.31</v>
      </c>
      <c r="FH44">
        <v>0.1121710645629533</v>
      </c>
      <c r="FI44">
        <v>-6.1462078757559423E-4</v>
      </c>
      <c r="FJ44">
        <v>-1.8861989874597051E-7</v>
      </c>
      <c r="FK44">
        <v>1.1980462299894961E-10</v>
      </c>
      <c r="FL44">
        <v>0.30996499999999833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15.1</v>
      </c>
      <c r="FU44">
        <v>15</v>
      </c>
      <c r="FV44">
        <v>1.79443</v>
      </c>
      <c r="FW44">
        <v>2.5842299999999998</v>
      </c>
      <c r="FX44">
        <v>1.5490699999999999</v>
      </c>
      <c r="FY44">
        <v>2.3290999999999999</v>
      </c>
      <c r="FZ44">
        <v>1.50146</v>
      </c>
      <c r="GA44">
        <v>2.34863</v>
      </c>
      <c r="GB44">
        <v>33.941299999999998</v>
      </c>
      <c r="GC44">
        <v>23.982399999999998</v>
      </c>
      <c r="GD44">
        <v>19</v>
      </c>
      <c r="GE44">
        <v>282.04899999999998</v>
      </c>
      <c r="GF44">
        <v>599.19299999999998</v>
      </c>
      <c r="GG44">
        <v>22.648800000000001</v>
      </c>
      <c r="GH44">
        <v>26.5608</v>
      </c>
      <c r="GI44">
        <v>29.999400000000001</v>
      </c>
      <c r="GJ44">
        <v>26.559899999999999</v>
      </c>
      <c r="GK44">
        <v>26.5063</v>
      </c>
      <c r="GL44">
        <v>35.875799999999998</v>
      </c>
      <c r="GM44">
        <v>24.718900000000001</v>
      </c>
      <c r="GN44">
        <v>100</v>
      </c>
      <c r="GO44">
        <v>22.8416</v>
      </c>
      <c r="GP44">
        <v>800</v>
      </c>
      <c r="GQ44">
        <v>20.299299999999999</v>
      </c>
      <c r="GR44">
        <v>99.716800000000006</v>
      </c>
      <c r="GS44">
        <v>99.559799999999996</v>
      </c>
    </row>
    <row r="45" spans="1:201" x14ac:dyDescent="0.25">
      <c r="A45">
        <v>29</v>
      </c>
      <c r="B45">
        <v>1690227095.0999999</v>
      </c>
      <c r="C45">
        <v>525.5</v>
      </c>
      <c r="D45" t="s">
        <v>389</v>
      </c>
      <c r="E45" t="s">
        <v>390</v>
      </c>
      <c r="F45" t="s">
        <v>330</v>
      </c>
      <c r="H45">
        <v>1690227095.0999999</v>
      </c>
      <c r="I45">
        <f t="shared" si="0"/>
        <v>2.3095508475272085E-4</v>
      </c>
      <c r="J45">
        <f t="shared" si="1"/>
        <v>0.23095508475272084</v>
      </c>
      <c r="K45">
        <f t="shared" si="2"/>
        <v>0.33860307969929893</v>
      </c>
      <c r="L45">
        <f t="shared" si="3"/>
        <v>794.49900000000002</v>
      </c>
      <c r="M45">
        <f t="shared" si="4"/>
        <v>734.14642562496454</v>
      </c>
      <c r="N45">
        <f t="shared" si="5"/>
        <v>72.808724794498275</v>
      </c>
      <c r="O45">
        <f t="shared" si="6"/>
        <v>78.794171055536395</v>
      </c>
      <c r="P45">
        <f t="shared" si="7"/>
        <v>1.3698182337244246E-2</v>
      </c>
      <c r="Q45">
        <f t="shared" si="8"/>
        <v>2.1333141446046486</v>
      </c>
      <c r="R45">
        <f t="shared" si="9"/>
        <v>1.364950476445706E-2</v>
      </c>
      <c r="S45">
        <f t="shared" si="10"/>
        <v>8.5352994789301764E-3</v>
      </c>
      <c r="T45">
        <f t="shared" si="11"/>
        <v>276.11166079456956</v>
      </c>
      <c r="U45">
        <f t="shared" si="12"/>
        <v>28.4079962323767</v>
      </c>
      <c r="V45">
        <f t="shared" si="13"/>
        <v>28.4079962323767</v>
      </c>
      <c r="W45">
        <f t="shared" si="14"/>
        <v>3.8860410709684903</v>
      </c>
      <c r="X45">
        <f t="shared" si="15"/>
        <v>65.772603328251961</v>
      </c>
      <c r="Y45">
        <f t="shared" si="16"/>
        <v>2.2599624817177202</v>
      </c>
      <c r="Z45">
        <f t="shared" si="17"/>
        <v>3.4360240698378681</v>
      </c>
      <c r="AA45">
        <f t="shared" si="18"/>
        <v>1.6260785892507701</v>
      </c>
      <c r="AB45">
        <f t="shared" si="19"/>
        <v>-10.185119237594989</v>
      </c>
      <c r="AC45">
        <f t="shared" si="20"/>
        <v>-241.64966658062662</v>
      </c>
      <c r="AD45">
        <f t="shared" si="21"/>
        <v>-24.533704251668357</v>
      </c>
      <c r="AE45">
        <f t="shared" si="22"/>
        <v>-0.25682927532039912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52615.949295990999</v>
      </c>
      <c r="AK45">
        <f t="shared" si="26"/>
        <v>1799.98</v>
      </c>
      <c r="AL45">
        <f t="shared" si="27"/>
        <v>1499.09767777406</v>
      </c>
      <c r="AM45">
        <f t="shared" si="28"/>
        <v>0.83284129699999998</v>
      </c>
      <c r="AN45">
        <f t="shared" si="29"/>
        <v>0.15339707151999998</v>
      </c>
      <c r="AO45">
        <v>32.4</v>
      </c>
      <c r="AP45">
        <v>0.5</v>
      </c>
      <c r="AQ45" t="s">
        <v>331</v>
      </c>
      <c r="AR45">
        <v>2</v>
      </c>
      <c r="AS45">
        <v>1690227095.0999999</v>
      </c>
      <c r="AT45">
        <v>794.49900000000002</v>
      </c>
      <c r="AU45">
        <v>800.13400000000001</v>
      </c>
      <c r="AV45">
        <v>22.787700000000001</v>
      </c>
      <c r="AW45">
        <v>20.351800000000001</v>
      </c>
      <c r="AX45">
        <v>794.93399999999997</v>
      </c>
      <c r="AY45">
        <v>22.477699999999999</v>
      </c>
      <c r="AZ45">
        <v>300.19400000000002</v>
      </c>
      <c r="BA45">
        <v>99.074700000000007</v>
      </c>
      <c r="BB45">
        <v>9.99636E-2</v>
      </c>
      <c r="BC45">
        <v>26.306899999999999</v>
      </c>
      <c r="BD45">
        <v>26.983699999999999</v>
      </c>
      <c r="BE45">
        <v>28.1403</v>
      </c>
      <c r="BF45">
        <v>0</v>
      </c>
      <c r="BG45">
        <v>0</v>
      </c>
      <c r="BH45">
        <v>10021.200000000001</v>
      </c>
      <c r="BI45">
        <v>1070.31</v>
      </c>
      <c r="BJ45">
        <v>1.3455900000000001</v>
      </c>
      <c r="BK45">
        <v>-5.6355000000000004</v>
      </c>
      <c r="BL45">
        <v>813.02599999999995</v>
      </c>
      <c r="BM45">
        <v>816.75699999999995</v>
      </c>
      <c r="BN45">
        <v>2.4358599999999999</v>
      </c>
      <c r="BO45">
        <v>800.13400000000001</v>
      </c>
      <c r="BP45">
        <v>20.351800000000001</v>
      </c>
      <c r="BQ45">
        <v>2.2576800000000001</v>
      </c>
      <c r="BR45">
        <v>2.0163500000000001</v>
      </c>
      <c r="BS45">
        <v>19.377600000000001</v>
      </c>
      <c r="BT45">
        <v>17.5733</v>
      </c>
      <c r="BU45">
        <v>1799.98</v>
      </c>
      <c r="BV45">
        <v>0.91001399999999999</v>
      </c>
      <c r="BW45">
        <v>3.3994400000000001E-2</v>
      </c>
      <c r="BX45">
        <v>2.1996100000000001E-2</v>
      </c>
      <c r="BY45">
        <v>3.39958E-2</v>
      </c>
      <c r="BZ45">
        <v>26</v>
      </c>
      <c r="CA45">
        <v>33528.199999999997</v>
      </c>
      <c r="CB45">
        <v>1690226183.5999999</v>
      </c>
      <c r="CC45" t="s">
        <v>332</v>
      </c>
      <c r="CD45">
        <v>1690226177.5999999</v>
      </c>
      <c r="CE45">
        <v>1690226183.5999999</v>
      </c>
      <c r="CF45">
        <v>12</v>
      </c>
      <c r="CG45">
        <v>-0.255</v>
      </c>
      <c r="CH45">
        <v>0.113</v>
      </c>
      <c r="CI45">
        <v>-0.439</v>
      </c>
      <c r="CJ45">
        <v>0.31</v>
      </c>
      <c r="CK45">
        <v>800</v>
      </c>
      <c r="CL45">
        <v>25</v>
      </c>
      <c r="CM45">
        <v>0.02</v>
      </c>
      <c r="CN45">
        <v>0.03</v>
      </c>
      <c r="CO45">
        <v>-5.3264052500000014</v>
      </c>
      <c r="CP45">
        <v>-1.197919812382735</v>
      </c>
      <c r="CQ45">
        <v>0.1209291186602197</v>
      </c>
      <c r="CR45">
        <v>-1</v>
      </c>
      <c r="CS45">
        <v>2.4436727500000002</v>
      </c>
      <c r="CT45">
        <v>-0.49295425891182471</v>
      </c>
      <c r="CU45">
        <v>5.4989831695846307E-2</v>
      </c>
      <c r="CV45">
        <v>-1</v>
      </c>
      <c r="CW45">
        <v>0</v>
      </c>
      <c r="CX45">
        <v>0</v>
      </c>
      <c r="CY45" t="s">
        <v>333</v>
      </c>
      <c r="CZ45">
        <v>2.3641200000000002</v>
      </c>
      <c r="DA45">
        <v>2.7137699999999998</v>
      </c>
      <c r="DB45">
        <v>0.146034</v>
      </c>
      <c r="DC45">
        <v>0.14633099999999999</v>
      </c>
      <c r="DD45">
        <v>0.109319</v>
      </c>
      <c r="DE45">
        <v>9.9873799999999999E-2</v>
      </c>
      <c r="DF45">
        <v>31174.7</v>
      </c>
      <c r="DG45">
        <v>27507.9</v>
      </c>
      <c r="DH45">
        <v>31166</v>
      </c>
      <c r="DI45">
        <v>28078.5</v>
      </c>
      <c r="DJ45">
        <v>37690</v>
      </c>
      <c r="DK45">
        <v>35939.699999999997</v>
      </c>
      <c r="DL45">
        <v>44352.6</v>
      </c>
      <c r="DM45">
        <v>42560.7</v>
      </c>
      <c r="DN45">
        <v>1.4722200000000001</v>
      </c>
      <c r="DO45">
        <v>2.0534500000000002</v>
      </c>
      <c r="DP45">
        <v>8.4191600000000005E-2</v>
      </c>
      <c r="DQ45">
        <v>0.173822</v>
      </c>
      <c r="DR45">
        <v>25.6052</v>
      </c>
      <c r="DS45">
        <v>25.296299999999999</v>
      </c>
      <c r="DT45">
        <v>57.3</v>
      </c>
      <c r="DU45">
        <v>29.3</v>
      </c>
      <c r="DV45">
        <v>23.668700000000001</v>
      </c>
      <c r="DW45">
        <v>61.482399999999998</v>
      </c>
      <c r="DX45">
        <v>35.284500000000001</v>
      </c>
      <c r="DY45">
        <v>1</v>
      </c>
      <c r="DZ45">
        <v>-6.8000500000000005E-2</v>
      </c>
      <c r="EA45">
        <v>1.06247</v>
      </c>
      <c r="EB45">
        <v>20.185199999999998</v>
      </c>
      <c r="EC45">
        <v>5.2408000000000001</v>
      </c>
      <c r="ED45">
        <v>12.039899999999999</v>
      </c>
      <c r="EE45">
        <v>5.01675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1.8692</v>
      </c>
      <c r="EN45">
        <v>1.8672200000000001</v>
      </c>
      <c r="EO45">
        <v>1.8633999999999999</v>
      </c>
      <c r="EP45">
        <v>1.86453</v>
      </c>
      <c r="EQ45">
        <v>1.8701300000000001</v>
      </c>
      <c r="ER45">
        <v>1.8694299999999999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-0.435</v>
      </c>
      <c r="FG45">
        <v>0.31</v>
      </c>
      <c r="FH45">
        <v>0.1121710645629533</v>
      </c>
      <c r="FI45">
        <v>-6.1462078757559423E-4</v>
      </c>
      <c r="FJ45">
        <v>-1.8861989874597051E-7</v>
      </c>
      <c r="FK45">
        <v>1.1980462299894961E-10</v>
      </c>
      <c r="FL45">
        <v>0.30996499999999833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15.3</v>
      </c>
      <c r="FU45">
        <v>15.2</v>
      </c>
      <c r="FV45">
        <v>1.79443</v>
      </c>
      <c r="FW45">
        <v>2.5805699999999998</v>
      </c>
      <c r="FX45">
        <v>1.5490699999999999</v>
      </c>
      <c r="FY45">
        <v>2.3290999999999999</v>
      </c>
      <c r="FZ45">
        <v>1.50146</v>
      </c>
      <c r="GA45">
        <v>2.4182100000000002</v>
      </c>
      <c r="GB45">
        <v>33.941299999999998</v>
      </c>
      <c r="GC45">
        <v>23.982399999999998</v>
      </c>
      <c r="GD45">
        <v>19</v>
      </c>
      <c r="GE45">
        <v>282.13</v>
      </c>
      <c r="GF45">
        <v>599.39800000000002</v>
      </c>
      <c r="GG45">
        <v>22.9132</v>
      </c>
      <c r="GH45">
        <v>26.562999999999999</v>
      </c>
      <c r="GI45">
        <v>29.9999</v>
      </c>
      <c r="GJ45">
        <v>26.565999999999999</v>
      </c>
      <c r="GK45">
        <v>26.511199999999999</v>
      </c>
      <c r="GL45">
        <v>35.871600000000001</v>
      </c>
      <c r="GM45">
        <v>24.993500000000001</v>
      </c>
      <c r="GN45">
        <v>100</v>
      </c>
      <c r="GO45">
        <v>22.903500000000001</v>
      </c>
      <c r="GP45">
        <v>800</v>
      </c>
      <c r="GQ45">
        <v>20.227</v>
      </c>
      <c r="GR45">
        <v>99.718400000000003</v>
      </c>
      <c r="GS45">
        <v>99.561099999999996</v>
      </c>
    </row>
    <row r="46" spans="1:201" x14ac:dyDescent="0.25">
      <c r="A46">
        <v>30</v>
      </c>
      <c r="B46">
        <v>1690227105.0999999</v>
      </c>
      <c r="C46">
        <v>535.5</v>
      </c>
      <c r="D46" t="s">
        <v>391</v>
      </c>
      <c r="E46" t="s">
        <v>392</v>
      </c>
      <c r="F46" t="s">
        <v>330</v>
      </c>
      <c r="H46">
        <v>1690227105.0999999</v>
      </c>
      <c r="I46">
        <f t="shared" si="0"/>
        <v>2.4074484541628896E-4</v>
      </c>
      <c r="J46">
        <f t="shared" si="1"/>
        <v>0.24074484541628896</v>
      </c>
      <c r="K46">
        <f t="shared" si="2"/>
        <v>0.34264044984061137</v>
      </c>
      <c r="L46">
        <f t="shared" si="3"/>
        <v>794.22500000000002</v>
      </c>
      <c r="M46">
        <f t="shared" si="4"/>
        <v>735.02159213590107</v>
      </c>
      <c r="N46">
        <f t="shared" si="5"/>
        <v>72.899571312851833</v>
      </c>
      <c r="O46">
        <f t="shared" si="6"/>
        <v>78.771375760135001</v>
      </c>
      <c r="P46">
        <f t="shared" si="7"/>
        <v>1.4280237975950134E-2</v>
      </c>
      <c r="Q46">
        <f t="shared" si="8"/>
        <v>2.1296716951392161</v>
      </c>
      <c r="R46">
        <f t="shared" si="9"/>
        <v>1.4227254272316917E-2</v>
      </c>
      <c r="S46">
        <f t="shared" si="10"/>
        <v>8.8967778385877112E-3</v>
      </c>
      <c r="T46">
        <f t="shared" si="11"/>
        <v>276.11300216635482</v>
      </c>
      <c r="U46">
        <f t="shared" si="12"/>
        <v>28.412346780764747</v>
      </c>
      <c r="V46">
        <f t="shared" si="13"/>
        <v>28.412346780764747</v>
      </c>
      <c r="W46">
        <f t="shared" si="14"/>
        <v>3.887023781710981</v>
      </c>
      <c r="X46">
        <f t="shared" si="15"/>
        <v>65.778698900001928</v>
      </c>
      <c r="Y46">
        <f t="shared" si="16"/>
        <v>2.2607724535263602</v>
      </c>
      <c r="Z46">
        <f t="shared" si="17"/>
        <v>3.4369370196318885</v>
      </c>
      <c r="AA46">
        <f t="shared" si="18"/>
        <v>1.6262513281846207</v>
      </c>
      <c r="AB46">
        <f t="shared" si="19"/>
        <v>-10.616847682858344</v>
      </c>
      <c r="AC46">
        <f t="shared" si="20"/>
        <v>-241.21991140088613</v>
      </c>
      <c r="AD46">
        <f t="shared" si="21"/>
        <v>-24.533043440790426</v>
      </c>
      <c r="AE46">
        <f t="shared" si="22"/>
        <v>-0.25680035818010083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52457.842226218287</v>
      </c>
      <c r="AK46">
        <f t="shared" si="26"/>
        <v>1799.99</v>
      </c>
      <c r="AL46">
        <f t="shared" si="27"/>
        <v>1499.1048811932801</v>
      </c>
      <c r="AM46">
        <f t="shared" si="28"/>
        <v>0.832840672</v>
      </c>
      <c r="AN46">
        <f t="shared" si="29"/>
        <v>0.15339696452000001</v>
      </c>
      <c r="AO46">
        <v>32.4</v>
      </c>
      <c r="AP46">
        <v>0.5</v>
      </c>
      <c r="AQ46" t="s">
        <v>331</v>
      </c>
      <c r="AR46">
        <v>2</v>
      </c>
      <c r="AS46">
        <v>1690227105.0999999</v>
      </c>
      <c r="AT46">
        <v>794.22500000000002</v>
      </c>
      <c r="AU46">
        <v>799.98900000000003</v>
      </c>
      <c r="AV46">
        <v>22.794599999999999</v>
      </c>
      <c r="AW46">
        <v>20.2545</v>
      </c>
      <c r="AX46">
        <v>794.66</v>
      </c>
      <c r="AY46">
        <v>22.4846</v>
      </c>
      <c r="AZ46">
        <v>300.08</v>
      </c>
      <c r="BA46">
        <v>99.080200000000005</v>
      </c>
      <c r="BB46">
        <v>9.9976599999999999E-2</v>
      </c>
      <c r="BC46">
        <v>26.311399999999999</v>
      </c>
      <c r="BD46">
        <v>26.971</v>
      </c>
      <c r="BE46">
        <v>28.131599999999999</v>
      </c>
      <c r="BF46">
        <v>0</v>
      </c>
      <c r="BG46">
        <v>0</v>
      </c>
      <c r="BH46">
        <v>9989.3799999999992</v>
      </c>
      <c r="BI46">
        <v>1070.0899999999999</v>
      </c>
      <c r="BJ46">
        <v>1.47174</v>
      </c>
      <c r="BK46">
        <v>-5.7638499999999997</v>
      </c>
      <c r="BL46">
        <v>812.75099999999998</v>
      </c>
      <c r="BM46">
        <v>816.52700000000004</v>
      </c>
      <c r="BN46">
        <v>2.5400999999999998</v>
      </c>
      <c r="BO46">
        <v>799.98900000000003</v>
      </c>
      <c r="BP46">
        <v>20.2545</v>
      </c>
      <c r="BQ46">
        <v>2.2584900000000001</v>
      </c>
      <c r="BR46">
        <v>2.0068100000000002</v>
      </c>
      <c r="BS46">
        <v>19.383299999999998</v>
      </c>
      <c r="BT46">
        <v>17.498200000000001</v>
      </c>
      <c r="BU46">
        <v>1799.99</v>
      </c>
      <c r="BV46">
        <v>0.91001299999999996</v>
      </c>
      <c r="BW46">
        <v>3.40021E-2</v>
      </c>
      <c r="BX46">
        <v>2.1993599999999999E-2</v>
      </c>
      <c r="BY46">
        <v>3.3991800000000003E-2</v>
      </c>
      <c r="BZ46">
        <v>26</v>
      </c>
      <c r="CA46">
        <v>33528.400000000001</v>
      </c>
      <c r="CB46">
        <v>1690226183.5999999</v>
      </c>
      <c r="CC46" t="s">
        <v>332</v>
      </c>
      <c r="CD46">
        <v>1690226177.5999999</v>
      </c>
      <c r="CE46">
        <v>1690226183.5999999</v>
      </c>
      <c r="CF46">
        <v>12</v>
      </c>
      <c r="CG46">
        <v>-0.255</v>
      </c>
      <c r="CH46">
        <v>0.113</v>
      </c>
      <c r="CI46">
        <v>-0.439</v>
      </c>
      <c r="CJ46">
        <v>0.31</v>
      </c>
      <c r="CK46">
        <v>800</v>
      </c>
      <c r="CL46">
        <v>25</v>
      </c>
      <c r="CM46">
        <v>0.02</v>
      </c>
      <c r="CN46">
        <v>0.03</v>
      </c>
      <c r="CO46">
        <v>-5.5530324390243901</v>
      </c>
      <c r="CP46">
        <v>-1.3165509407665501</v>
      </c>
      <c r="CQ46">
        <v>0.1348902151214631</v>
      </c>
      <c r="CR46">
        <v>-1</v>
      </c>
      <c r="CS46">
        <v>2.445463170731708</v>
      </c>
      <c r="CT46">
        <v>0.53466397212543704</v>
      </c>
      <c r="CU46">
        <v>5.4815322917336103E-2</v>
      </c>
      <c r="CV46">
        <v>-1</v>
      </c>
      <c r="CW46">
        <v>0</v>
      </c>
      <c r="CX46">
        <v>0</v>
      </c>
      <c r="CY46" t="s">
        <v>333</v>
      </c>
      <c r="CZ46">
        <v>2.36374</v>
      </c>
      <c r="DA46">
        <v>2.7137600000000002</v>
      </c>
      <c r="DB46">
        <v>0.146007</v>
      </c>
      <c r="DC46">
        <v>0.146317</v>
      </c>
      <c r="DD46">
        <v>0.109347</v>
      </c>
      <c r="DE46">
        <v>9.9539699999999995E-2</v>
      </c>
      <c r="DF46">
        <v>31175.4</v>
      </c>
      <c r="DG46">
        <v>27508</v>
      </c>
      <c r="DH46">
        <v>31165.7</v>
      </c>
      <c r="DI46">
        <v>28078.3</v>
      </c>
      <c r="DJ46">
        <v>37688.5</v>
      </c>
      <c r="DK46">
        <v>35952.9</v>
      </c>
      <c r="DL46">
        <v>44352.3</v>
      </c>
      <c r="DM46">
        <v>42560.5</v>
      </c>
      <c r="DN46">
        <v>1.4718</v>
      </c>
      <c r="DO46">
        <v>2.0534699999999999</v>
      </c>
      <c r="DP46">
        <v>8.4452299999999994E-2</v>
      </c>
      <c r="DQ46">
        <v>0.17426900000000001</v>
      </c>
      <c r="DR46">
        <v>25.5883</v>
      </c>
      <c r="DS46">
        <v>25.280200000000001</v>
      </c>
      <c r="DT46">
        <v>57.3</v>
      </c>
      <c r="DU46">
        <v>29.3</v>
      </c>
      <c r="DV46">
        <v>23.667400000000001</v>
      </c>
      <c r="DW46">
        <v>61.952399999999997</v>
      </c>
      <c r="DX46">
        <v>36.7348</v>
      </c>
      <c r="DY46">
        <v>1</v>
      </c>
      <c r="DZ46">
        <v>-6.7271300000000006E-2</v>
      </c>
      <c r="EA46">
        <v>1.22444</v>
      </c>
      <c r="EB46">
        <v>20.183499999999999</v>
      </c>
      <c r="EC46">
        <v>5.2408000000000001</v>
      </c>
      <c r="ED46">
        <v>12.039899999999999</v>
      </c>
      <c r="EE46">
        <v>5.0170000000000003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1.8646400000000001</v>
      </c>
      <c r="EM46">
        <v>1.8692</v>
      </c>
      <c r="EN46">
        <v>1.8672299999999999</v>
      </c>
      <c r="EO46">
        <v>1.8633999999999999</v>
      </c>
      <c r="EP46">
        <v>1.8645400000000001</v>
      </c>
      <c r="EQ46">
        <v>1.87015</v>
      </c>
      <c r="ER46">
        <v>1.86941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-0.435</v>
      </c>
      <c r="FG46">
        <v>0.31</v>
      </c>
      <c r="FH46">
        <v>0.1121710645629533</v>
      </c>
      <c r="FI46">
        <v>-6.1462078757559423E-4</v>
      </c>
      <c r="FJ46">
        <v>-1.8861989874597051E-7</v>
      </c>
      <c r="FK46">
        <v>1.1980462299894961E-10</v>
      </c>
      <c r="FL46">
        <v>0.30996499999999833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15.5</v>
      </c>
      <c r="FU46">
        <v>15.4</v>
      </c>
      <c r="FV46">
        <v>1.79443</v>
      </c>
      <c r="FW46">
        <v>2.5878899999999998</v>
      </c>
      <c r="FX46">
        <v>1.5490699999999999</v>
      </c>
      <c r="FY46">
        <v>2.3290999999999999</v>
      </c>
      <c r="FZ46">
        <v>1.50146</v>
      </c>
      <c r="GA46">
        <v>2.3974600000000001</v>
      </c>
      <c r="GB46">
        <v>33.963900000000002</v>
      </c>
      <c r="GC46">
        <v>23.982399999999998</v>
      </c>
      <c r="GD46">
        <v>19</v>
      </c>
      <c r="GE46">
        <v>281.96899999999999</v>
      </c>
      <c r="GF46">
        <v>599.46400000000006</v>
      </c>
      <c r="GG46">
        <v>22.9465</v>
      </c>
      <c r="GH46">
        <v>26.565300000000001</v>
      </c>
      <c r="GI46">
        <v>30.000299999999999</v>
      </c>
      <c r="GJ46">
        <v>26.570499999999999</v>
      </c>
      <c r="GK46">
        <v>26.5151</v>
      </c>
      <c r="GL46">
        <v>35.874899999999997</v>
      </c>
      <c r="GM46">
        <v>25.276800000000001</v>
      </c>
      <c r="GN46">
        <v>100</v>
      </c>
      <c r="GO46">
        <v>22.939599999999999</v>
      </c>
      <c r="GP46">
        <v>800</v>
      </c>
      <c r="GQ46">
        <v>20.186</v>
      </c>
      <c r="GR46">
        <v>99.717699999999994</v>
      </c>
      <c r="GS46">
        <v>99.560400000000001</v>
      </c>
    </row>
    <row r="47" spans="1:201" x14ac:dyDescent="0.25">
      <c r="A47">
        <v>31</v>
      </c>
      <c r="B47">
        <v>1690227115.0999999</v>
      </c>
      <c r="C47">
        <v>545.5</v>
      </c>
      <c r="D47" t="s">
        <v>393</v>
      </c>
      <c r="E47" t="s">
        <v>394</v>
      </c>
      <c r="F47" t="s">
        <v>330</v>
      </c>
      <c r="H47">
        <v>1690227115.0999999</v>
      </c>
      <c r="I47">
        <f t="shared" si="0"/>
        <v>2.3923498124575599E-4</v>
      </c>
      <c r="J47">
        <f t="shared" si="1"/>
        <v>0.23923498124575598</v>
      </c>
      <c r="K47">
        <f t="shared" si="2"/>
        <v>0.36933622660066306</v>
      </c>
      <c r="L47">
        <f t="shared" si="3"/>
        <v>794.04499999999996</v>
      </c>
      <c r="M47">
        <f t="shared" si="4"/>
        <v>731.52972190113451</v>
      </c>
      <c r="N47">
        <f t="shared" si="5"/>
        <v>72.551543346734078</v>
      </c>
      <c r="O47">
        <f t="shared" si="6"/>
        <v>78.7516740769465</v>
      </c>
      <c r="P47">
        <f t="shared" si="7"/>
        <v>1.4167891454965605E-2</v>
      </c>
      <c r="Q47">
        <f t="shared" si="8"/>
        <v>2.1284049621753294</v>
      </c>
      <c r="R47">
        <f t="shared" si="9"/>
        <v>1.4115705585974719E-2</v>
      </c>
      <c r="S47">
        <f t="shared" si="10"/>
        <v>8.8269885918045229E-3</v>
      </c>
      <c r="T47">
        <f t="shared" si="11"/>
        <v>276.11418281399995</v>
      </c>
      <c r="U47">
        <f t="shared" si="12"/>
        <v>28.410625871881798</v>
      </c>
      <c r="V47">
        <f t="shared" si="13"/>
        <v>28.410625871881798</v>
      </c>
      <c r="W47">
        <f t="shared" si="14"/>
        <v>3.8866350333926087</v>
      </c>
      <c r="X47">
        <f t="shared" si="15"/>
        <v>65.706080856404697</v>
      </c>
      <c r="Y47">
        <f t="shared" si="16"/>
        <v>2.2578233740295799</v>
      </c>
      <c r="Z47">
        <f t="shared" si="17"/>
        <v>3.4362472157848978</v>
      </c>
      <c r="AA47">
        <f t="shared" si="18"/>
        <v>1.6288116593630289</v>
      </c>
      <c r="AB47">
        <f t="shared" si="19"/>
        <v>-10.550262672937839</v>
      </c>
      <c r="AC47">
        <f t="shared" si="20"/>
        <v>-241.26910326095881</v>
      </c>
      <c r="AD47">
        <f t="shared" si="21"/>
        <v>-24.552023006500839</v>
      </c>
      <c r="AE47">
        <f t="shared" si="22"/>
        <v>-0.25720612639753426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52403.710935846277</v>
      </c>
      <c r="AK47">
        <f t="shared" si="26"/>
        <v>1800</v>
      </c>
      <c r="AL47">
        <f t="shared" si="27"/>
        <v>1499.1117354</v>
      </c>
      <c r="AM47">
        <f t="shared" si="28"/>
        <v>0.83283985300000007</v>
      </c>
      <c r="AN47">
        <f t="shared" si="29"/>
        <v>0.15339676822999998</v>
      </c>
      <c r="AO47">
        <v>32.4</v>
      </c>
      <c r="AP47">
        <v>0.5</v>
      </c>
      <c r="AQ47" t="s">
        <v>331</v>
      </c>
      <c r="AR47">
        <v>2</v>
      </c>
      <c r="AS47">
        <v>1690227115.0999999</v>
      </c>
      <c r="AT47">
        <v>794.04499999999996</v>
      </c>
      <c r="AU47">
        <v>800.08299999999997</v>
      </c>
      <c r="AV47">
        <v>22.7654</v>
      </c>
      <c r="AW47">
        <v>20.241499999999998</v>
      </c>
      <c r="AX47">
        <v>794.48099999999999</v>
      </c>
      <c r="AY47">
        <v>22.455400000000001</v>
      </c>
      <c r="AZ47">
        <v>300.12099999999998</v>
      </c>
      <c r="BA47">
        <v>99.078000000000003</v>
      </c>
      <c r="BB47">
        <v>9.9847699999999998E-2</v>
      </c>
      <c r="BC47">
        <v>26.308</v>
      </c>
      <c r="BD47">
        <v>26.9559</v>
      </c>
      <c r="BE47">
        <v>28.1326</v>
      </c>
      <c r="BF47">
        <v>0</v>
      </c>
      <c r="BG47">
        <v>0</v>
      </c>
      <c r="BH47">
        <v>9978.75</v>
      </c>
      <c r="BI47">
        <v>1069.97</v>
      </c>
      <c r="BJ47">
        <v>1.3988499999999999</v>
      </c>
      <c r="BK47">
        <v>-6.0380200000000004</v>
      </c>
      <c r="BL47">
        <v>812.54300000000001</v>
      </c>
      <c r="BM47">
        <v>816.61300000000006</v>
      </c>
      <c r="BN47">
        <v>2.52386</v>
      </c>
      <c r="BO47">
        <v>800.08299999999997</v>
      </c>
      <c r="BP47">
        <v>20.241499999999998</v>
      </c>
      <c r="BQ47">
        <v>2.2555499999999999</v>
      </c>
      <c r="BR47">
        <v>2.00549</v>
      </c>
      <c r="BS47">
        <v>19.362400000000001</v>
      </c>
      <c r="BT47">
        <v>17.4878</v>
      </c>
      <c r="BU47">
        <v>1800</v>
      </c>
      <c r="BV47">
        <v>0.91001299999999996</v>
      </c>
      <c r="BW47">
        <v>3.4007200000000001E-2</v>
      </c>
      <c r="BX47">
        <v>2.1991400000000001E-2</v>
      </c>
      <c r="BY47">
        <v>3.3988499999999998E-2</v>
      </c>
      <c r="BZ47">
        <v>26</v>
      </c>
      <c r="CA47">
        <v>33528.400000000001</v>
      </c>
      <c r="CB47">
        <v>1690226183.5999999</v>
      </c>
      <c r="CC47" t="s">
        <v>332</v>
      </c>
      <c r="CD47">
        <v>1690226177.5999999</v>
      </c>
      <c r="CE47">
        <v>1690226183.5999999</v>
      </c>
      <c r="CF47">
        <v>12</v>
      </c>
      <c r="CG47">
        <v>-0.255</v>
      </c>
      <c r="CH47">
        <v>0.113</v>
      </c>
      <c r="CI47">
        <v>-0.439</v>
      </c>
      <c r="CJ47">
        <v>0.31</v>
      </c>
      <c r="CK47">
        <v>800</v>
      </c>
      <c r="CL47">
        <v>25</v>
      </c>
      <c r="CM47">
        <v>0.02</v>
      </c>
      <c r="CN47">
        <v>0.03</v>
      </c>
      <c r="CO47">
        <v>-5.7513517073170721</v>
      </c>
      <c r="CP47">
        <v>-1.087771986062716</v>
      </c>
      <c r="CQ47">
        <v>0.1104687617008501</v>
      </c>
      <c r="CR47">
        <v>-1</v>
      </c>
      <c r="CS47">
        <v>2.5059185365853658</v>
      </c>
      <c r="CT47">
        <v>0.32712836236933818</v>
      </c>
      <c r="CU47">
        <v>3.921701320457343E-2</v>
      </c>
      <c r="CV47">
        <v>-1</v>
      </c>
      <c r="CW47">
        <v>0</v>
      </c>
      <c r="CX47">
        <v>0</v>
      </c>
      <c r="CY47" t="s">
        <v>333</v>
      </c>
      <c r="CZ47">
        <v>2.3638699999999999</v>
      </c>
      <c r="DA47">
        <v>2.7136200000000001</v>
      </c>
      <c r="DB47">
        <v>0.14598</v>
      </c>
      <c r="DC47">
        <v>0.14632400000000001</v>
      </c>
      <c r="DD47">
        <v>0.10924399999999999</v>
      </c>
      <c r="DE47">
        <v>9.9491499999999997E-2</v>
      </c>
      <c r="DF47">
        <v>31176.1</v>
      </c>
      <c r="DG47">
        <v>27507.1</v>
      </c>
      <c r="DH47">
        <v>31165.4</v>
      </c>
      <c r="DI47">
        <v>28077.5</v>
      </c>
      <c r="DJ47">
        <v>37692.800000000003</v>
      </c>
      <c r="DK47">
        <v>35953.9</v>
      </c>
      <c r="DL47">
        <v>44352.2</v>
      </c>
      <c r="DM47">
        <v>42559.4</v>
      </c>
      <c r="DN47">
        <v>1.4715</v>
      </c>
      <c r="DO47">
        <v>2.0535199999999998</v>
      </c>
      <c r="DP47">
        <v>8.4377800000000003E-2</v>
      </c>
      <c r="DQ47">
        <v>0.175238</v>
      </c>
      <c r="DR47">
        <v>25.574400000000001</v>
      </c>
      <c r="DS47">
        <v>25.2653</v>
      </c>
      <c r="DT47">
        <v>57.3</v>
      </c>
      <c r="DU47">
        <v>29.3</v>
      </c>
      <c r="DV47">
        <v>23.669</v>
      </c>
      <c r="DW47">
        <v>62.182400000000001</v>
      </c>
      <c r="DX47">
        <v>35.396599999999999</v>
      </c>
      <c r="DY47">
        <v>1</v>
      </c>
      <c r="DZ47">
        <v>-6.7322199999999999E-2</v>
      </c>
      <c r="EA47">
        <v>1.03627</v>
      </c>
      <c r="EB47">
        <v>20.184999999999999</v>
      </c>
      <c r="EC47">
        <v>5.2401999999999997</v>
      </c>
      <c r="ED47">
        <v>12.039899999999999</v>
      </c>
      <c r="EE47">
        <v>5.0160499999999999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1.8689100000000001</v>
      </c>
      <c r="EL47">
        <v>1.8646400000000001</v>
      </c>
      <c r="EM47">
        <v>1.86917</v>
      </c>
      <c r="EN47">
        <v>1.8672299999999999</v>
      </c>
      <c r="EO47">
        <v>1.8633999999999999</v>
      </c>
      <c r="EP47">
        <v>1.8645400000000001</v>
      </c>
      <c r="EQ47">
        <v>1.87016</v>
      </c>
      <c r="ER47">
        <v>1.8694500000000001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-0.436</v>
      </c>
      <c r="FG47">
        <v>0.31</v>
      </c>
      <c r="FH47">
        <v>0.1121710645629533</v>
      </c>
      <c r="FI47">
        <v>-6.1462078757559423E-4</v>
      </c>
      <c r="FJ47">
        <v>-1.8861989874597051E-7</v>
      </c>
      <c r="FK47">
        <v>1.1980462299894961E-10</v>
      </c>
      <c r="FL47">
        <v>0.30996499999999833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15.6</v>
      </c>
      <c r="FU47">
        <v>15.5</v>
      </c>
      <c r="FV47">
        <v>1.79443</v>
      </c>
      <c r="FW47">
        <v>2.5769000000000002</v>
      </c>
      <c r="FX47">
        <v>1.5490699999999999</v>
      </c>
      <c r="FY47">
        <v>2.3290999999999999</v>
      </c>
      <c r="FZ47">
        <v>1.50146</v>
      </c>
      <c r="GA47">
        <v>2.4096700000000002</v>
      </c>
      <c r="GB47">
        <v>33.941299999999998</v>
      </c>
      <c r="GC47">
        <v>23.991199999999999</v>
      </c>
      <c r="GD47">
        <v>19</v>
      </c>
      <c r="GE47">
        <v>281.86</v>
      </c>
      <c r="GF47">
        <v>599.56399999999996</v>
      </c>
      <c r="GG47">
        <v>22.999300000000002</v>
      </c>
      <c r="GH47">
        <v>26.565300000000001</v>
      </c>
      <c r="GI47">
        <v>30</v>
      </c>
      <c r="GJ47">
        <v>26.574999999999999</v>
      </c>
      <c r="GK47">
        <v>26.520199999999999</v>
      </c>
      <c r="GL47">
        <v>35.869799999999998</v>
      </c>
      <c r="GM47">
        <v>25.549900000000001</v>
      </c>
      <c r="GN47">
        <v>100</v>
      </c>
      <c r="GO47">
        <v>23.02</v>
      </c>
      <c r="GP47">
        <v>800</v>
      </c>
      <c r="GQ47">
        <v>20.170100000000001</v>
      </c>
      <c r="GR47">
        <v>99.717100000000002</v>
      </c>
      <c r="GS47">
        <v>99.557900000000004</v>
      </c>
    </row>
    <row r="48" spans="1:201" x14ac:dyDescent="0.25">
      <c r="A48">
        <v>32</v>
      </c>
      <c r="B48">
        <v>1690227125.0999999</v>
      </c>
      <c r="C48">
        <v>555.5</v>
      </c>
      <c r="D48" t="s">
        <v>395</v>
      </c>
      <c r="E48" t="s">
        <v>396</v>
      </c>
      <c r="F48" t="s">
        <v>330</v>
      </c>
      <c r="H48">
        <v>1690227125.0999999</v>
      </c>
      <c r="I48">
        <f t="shared" si="0"/>
        <v>2.4087798956741623E-4</v>
      </c>
      <c r="J48">
        <f t="shared" si="1"/>
        <v>0.24087798956741624</v>
      </c>
      <c r="K48">
        <f t="shared" si="2"/>
        <v>0.38485903288483214</v>
      </c>
      <c r="L48">
        <f t="shared" si="3"/>
        <v>793.77200000000005</v>
      </c>
      <c r="M48">
        <f t="shared" si="4"/>
        <v>729.77566843731699</v>
      </c>
      <c r="N48">
        <f t="shared" si="5"/>
        <v>72.377927691592788</v>
      </c>
      <c r="O48">
        <f t="shared" si="6"/>
        <v>78.724976598127995</v>
      </c>
      <c r="P48">
        <f t="shared" si="7"/>
        <v>1.4254887235344687E-2</v>
      </c>
      <c r="Q48">
        <f t="shared" si="8"/>
        <v>2.1296481683868569</v>
      </c>
      <c r="R48">
        <f t="shared" si="9"/>
        <v>1.4202090525168026E-2</v>
      </c>
      <c r="S48">
        <f t="shared" si="10"/>
        <v>8.88103378269103E-3</v>
      </c>
      <c r="T48">
        <f t="shared" si="11"/>
        <v>276.11433351095843</v>
      </c>
      <c r="U48">
        <f t="shared" si="12"/>
        <v>28.406742721552838</v>
      </c>
      <c r="V48">
        <f t="shared" si="13"/>
        <v>28.406742721552838</v>
      </c>
      <c r="W48">
        <f t="shared" si="14"/>
        <v>3.8857579656054897</v>
      </c>
      <c r="X48">
        <f t="shared" si="15"/>
        <v>65.652868861833397</v>
      </c>
      <c r="Y48">
        <f t="shared" si="16"/>
        <v>2.2557018832235998</v>
      </c>
      <c r="Z48">
        <f t="shared" si="17"/>
        <v>3.4358009365451028</v>
      </c>
      <c r="AA48">
        <f t="shared" si="18"/>
        <v>1.6300560823818899</v>
      </c>
      <c r="AB48">
        <f t="shared" si="19"/>
        <v>-10.622719339923055</v>
      </c>
      <c r="AC48">
        <f t="shared" si="20"/>
        <v>-241.2167805613397</v>
      </c>
      <c r="AD48">
        <f t="shared" si="21"/>
        <v>-24.531623386551018</v>
      </c>
      <c r="AE48">
        <f t="shared" si="22"/>
        <v>-0.25678977685535642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52457.764794040493</v>
      </c>
      <c r="AK48">
        <f t="shared" si="26"/>
        <v>1799.99</v>
      </c>
      <c r="AL48">
        <f t="shared" si="27"/>
        <v>1499.1054553900899</v>
      </c>
      <c r="AM48">
        <f t="shared" si="28"/>
        <v>0.83284099099999997</v>
      </c>
      <c r="AN48">
        <f t="shared" si="29"/>
        <v>0.15339770416000001</v>
      </c>
      <c r="AO48">
        <v>32.4</v>
      </c>
      <c r="AP48">
        <v>0.5</v>
      </c>
      <c r="AQ48" t="s">
        <v>331</v>
      </c>
      <c r="AR48">
        <v>2</v>
      </c>
      <c r="AS48">
        <v>1690227125.0999999</v>
      </c>
      <c r="AT48">
        <v>793.77200000000005</v>
      </c>
      <c r="AU48">
        <v>799.99</v>
      </c>
      <c r="AV48">
        <v>22.7439</v>
      </c>
      <c r="AW48">
        <v>20.202999999999999</v>
      </c>
      <c r="AX48">
        <v>794.20699999999999</v>
      </c>
      <c r="AY48">
        <v>22.433900000000001</v>
      </c>
      <c r="AZ48">
        <v>300.16699999999997</v>
      </c>
      <c r="BA48">
        <v>99.078199999999995</v>
      </c>
      <c r="BB48">
        <v>0.100124</v>
      </c>
      <c r="BC48">
        <v>26.305800000000001</v>
      </c>
      <c r="BD48">
        <v>26.94</v>
      </c>
      <c r="BE48">
        <v>28.145299999999999</v>
      </c>
      <c r="BF48">
        <v>0</v>
      </c>
      <c r="BG48">
        <v>0</v>
      </c>
      <c r="BH48">
        <v>9989.3799999999992</v>
      </c>
      <c r="BI48">
        <v>1069.78</v>
      </c>
      <c r="BJ48">
        <v>1.4577199999999999</v>
      </c>
      <c r="BK48">
        <v>-6.2177100000000003</v>
      </c>
      <c r="BL48">
        <v>812.24599999999998</v>
      </c>
      <c r="BM48">
        <v>816.48599999999999</v>
      </c>
      <c r="BN48">
        <v>2.5408599999999999</v>
      </c>
      <c r="BO48">
        <v>799.99</v>
      </c>
      <c r="BP48">
        <v>20.202999999999999</v>
      </c>
      <c r="BQ48">
        <v>2.2534200000000002</v>
      </c>
      <c r="BR48">
        <v>2.0016799999999999</v>
      </c>
      <c r="BS48">
        <v>19.347300000000001</v>
      </c>
      <c r="BT48">
        <v>17.457599999999999</v>
      </c>
      <c r="BU48">
        <v>1799.99</v>
      </c>
      <c r="BV48">
        <v>0.91000599999999998</v>
      </c>
      <c r="BW48">
        <v>3.4004300000000001E-2</v>
      </c>
      <c r="BX48">
        <v>2.2004300000000001E-2</v>
      </c>
      <c r="BY48">
        <v>3.3985599999999998E-2</v>
      </c>
      <c r="BZ48">
        <v>26</v>
      </c>
      <c r="CA48">
        <v>33528.1</v>
      </c>
      <c r="CB48">
        <v>1690226183.5999999</v>
      </c>
      <c r="CC48" t="s">
        <v>332</v>
      </c>
      <c r="CD48">
        <v>1690226177.5999999</v>
      </c>
      <c r="CE48">
        <v>1690226183.5999999</v>
      </c>
      <c r="CF48">
        <v>12</v>
      </c>
      <c r="CG48">
        <v>-0.255</v>
      </c>
      <c r="CH48">
        <v>0.113</v>
      </c>
      <c r="CI48">
        <v>-0.439</v>
      </c>
      <c r="CJ48">
        <v>0.31</v>
      </c>
      <c r="CK48">
        <v>800</v>
      </c>
      <c r="CL48">
        <v>25</v>
      </c>
      <c r="CM48">
        <v>0.02</v>
      </c>
      <c r="CN48">
        <v>0.03</v>
      </c>
      <c r="CO48">
        <v>-5.961193658536585</v>
      </c>
      <c r="CP48">
        <v>-1.3066871080139411</v>
      </c>
      <c r="CQ48">
        <v>0.13101026596818341</v>
      </c>
      <c r="CR48">
        <v>-1</v>
      </c>
      <c r="CS48">
        <v>2.5352051219512202</v>
      </c>
      <c r="CT48">
        <v>1.755846689894628E-2</v>
      </c>
      <c r="CU48">
        <v>6.9611251970869304E-3</v>
      </c>
      <c r="CV48">
        <v>-1</v>
      </c>
      <c r="CW48">
        <v>0</v>
      </c>
      <c r="CX48">
        <v>0</v>
      </c>
      <c r="CY48" t="s">
        <v>333</v>
      </c>
      <c r="CZ48">
        <v>2.3640400000000001</v>
      </c>
      <c r="DA48">
        <v>2.7139099999999998</v>
      </c>
      <c r="DB48">
        <v>0.14594499999999999</v>
      </c>
      <c r="DC48">
        <v>0.146311</v>
      </c>
      <c r="DD48">
        <v>0.10917</v>
      </c>
      <c r="DE48">
        <v>9.93565E-2</v>
      </c>
      <c r="DF48">
        <v>31176.9</v>
      </c>
      <c r="DG48">
        <v>27507.5</v>
      </c>
      <c r="DH48">
        <v>31164.9</v>
      </c>
      <c r="DI48">
        <v>28077.5</v>
      </c>
      <c r="DJ48">
        <v>37695.300000000003</v>
      </c>
      <c r="DK48">
        <v>35959.4</v>
      </c>
      <c r="DL48">
        <v>44351.3</v>
      </c>
      <c r="DM48">
        <v>42559.5</v>
      </c>
      <c r="DN48">
        <v>1.4719500000000001</v>
      </c>
      <c r="DO48">
        <v>2.0533800000000002</v>
      </c>
      <c r="DP48">
        <v>8.4228800000000006E-2</v>
      </c>
      <c r="DQ48">
        <v>0.17680199999999999</v>
      </c>
      <c r="DR48">
        <v>25.5609</v>
      </c>
      <c r="DS48">
        <v>25.252400000000002</v>
      </c>
      <c r="DT48">
        <v>57.3</v>
      </c>
      <c r="DU48">
        <v>29.3</v>
      </c>
      <c r="DV48">
        <v>23.6661</v>
      </c>
      <c r="DW48">
        <v>61.782400000000003</v>
      </c>
      <c r="DX48">
        <v>35.7973</v>
      </c>
      <c r="DY48">
        <v>1</v>
      </c>
      <c r="DZ48">
        <v>-6.6961400000000004E-2</v>
      </c>
      <c r="EA48">
        <v>0.90406900000000001</v>
      </c>
      <c r="EB48">
        <v>20.1861</v>
      </c>
      <c r="EC48">
        <v>5.2406499999999996</v>
      </c>
      <c r="ED48">
        <v>12.039899999999999</v>
      </c>
      <c r="EE48">
        <v>5.0167999999999999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1.8646400000000001</v>
      </c>
      <c r="EM48">
        <v>1.8691899999999999</v>
      </c>
      <c r="EN48">
        <v>1.8672299999999999</v>
      </c>
      <c r="EO48">
        <v>1.8633999999999999</v>
      </c>
      <c r="EP48">
        <v>1.8645700000000001</v>
      </c>
      <c r="EQ48">
        <v>1.87015</v>
      </c>
      <c r="ER48">
        <v>1.8694299999999999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-0.435</v>
      </c>
      <c r="FG48">
        <v>0.31</v>
      </c>
      <c r="FH48">
        <v>0.1121710645629533</v>
      </c>
      <c r="FI48">
        <v>-6.1462078757559423E-4</v>
      </c>
      <c r="FJ48">
        <v>-1.8861989874597051E-7</v>
      </c>
      <c r="FK48">
        <v>1.1980462299894961E-10</v>
      </c>
      <c r="FL48">
        <v>0.30996499999999833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15.8</v>
      </c>
      <c r="FU48">
        <v>15.7</v>
      </c>
      <c r="FV48">
        <v>1.79443</v>
      </c>
      <c r="FW48">
        <v>2.5878899999999998</v>
      </c>
      <c r="FX48">
        <v>1.5490699999999999</v>
      </c>
      <c r="FY48">
        <v>2.3290999999999999</v>
      </c>
      <c r="FZ48">
        <v>1.50146</v>
      </c>
      <c r="GA48">
        <v>2.3767100000000001</v>
      </c>
      <c r="GB48">
        <v>33.963900000000002</v>
      </c>
      <c r="GC48">
        <v>23.982399999999998</v>
      </c>
      <c r="GD48">
        <v>19</v>
      </c>
      <c r="GE48">
        <v>282.06299999999999</v>
      </c>
      <c r="GF48">
        <v>599.48900000000003</v>
      </c>
      <c r="GG48">
        <v>23.076699999999999</v>
      </c>
      <c r="GH48">
        <v>26.565300000000001</v>
      </c>
      <c r="GI48">
        <v>30.0001</v>
      </c>
      <c r="GJ48">
        <v>26.5777</v>
      </c>
      <c r="GK48">
        <v>26.5246</v>
      </c>
      <c r="GL48">
        <v>35.8703</v>
      </c>
      <c r="GM48">
        <v>25.549900000000001</v>
      </c>
      <c r="GN48">
        <v>100</v>
      </c>
      <c r="GO48">
        <v>23.101199999999999</v>
      </c>
      <c r="GP48">
        <v>800</v>
      </c>
      <c r="GQ48">
        <v>20.1492</v>
      </c>
      <c r="GR48">
        <v>99.715400000000002</v>
      </c>
      <c r="GS48">
        <v>99.558000000000007</v>
      </c>
    </row>
    <row r="49" spans="1:201" x14ac:dyDescent="0.25">
      <c r="A49">
        <v>33</v>
      </c>
      <c r="B49">
        <v>1690227135.0999999</v>
      </c>
      <c r="C49">
        <v>565.5</v>
      </c>
      <c r="D49" t="s">
        <v>397</v>
      </c>
      <c r="E49" t="s">
        <v>398</v>
      </c>
      <c r="F49" t="s">
        <v>330</v>
      </c>
      <c r="H49">
        <v>1690227135.0999999</v>
      </c>
      <c r="I49">
        <f t="shared" si="0"/>
        <v>2.4040371393730517E-4</v>
      </c>
      <c r="J49">
        <f t="shared" si="1"/>
        <v>0.24040371393730517</v>
      </c>
      <c r="K49">
        <f t="shared" si="2"/>
        <v>0.41107085520476783</v>
      </c>
      <c r="L49">
        <f t="shared" si="3"/>
        <v>793.57799999999997</v>
      </c>
      <c r="M49">
        <f t="shared" si="4"/>
        <v>726.48425653925369</v>
      </c>
      <c r="N49">
        <f t="shared" si="5"/>
        <v>72.049562160248115</v>
      </c>
      <c r="O49">
        <f t="shared" si="6"/>
        <v>78.703629053682008</v>
      </c>
      <c r="P49">
        <f t="shared" si="7"/>
        <v>1.4205100009643413E-2</v>
      </c>
      <c r="Q49">
        <f t="shared" si="8"/>
        <v>2.1272819590570364</v>
      </c>
      <c r="R49">
        <f t="shared" si="9"/>
        <v>1.4152612638012827E-2</v>
      </c>
      <c r="S49">
        <f t="shared" si="10"/>
        <v>8.8500824446640855E-3</v>
      </c>
      <c r="T49">
        <f t="shared" si="11"/>
        <v>276.11505116697145</v>
      </c>
      <c r="U49">
        <f t="shared" si="12"/>
        <v>28.411332672886434</v>
      </c>
      <c r="V49">
        <f t="shared" si="13"/>
        <v>28.411332672886434</v>
      </c>
      <c r="W49">
        <f t="shared" si="14"/>
        <v>3.8867946935825786</v>
      </c>
      <c r="X49">
        <f t="shared" si="15"/>
        <v>65.603234470487052</v>
      </c>
      <c r="Y49">
        <f t="shared" si="16"/>
        <v>2.2543026266376001</v>
      </c>
      <c r="Z49">
        <f t="shared" si="17"/>
        <v>3.4362675024075888</v>
      </c>
      <c r="AA49">
        <f t="shared" si="18"/>
        <v>1.6324920669449785</v>
      </c>
      <c r="AB49">
        <f t="shared" si="19"/>
        <v>-10.601803784635157</v>
      </c>
      <c r="AC49">
        <f t="shared" si="20"/>
        <v>-241.21139485442933</v>
      </c>
      <c r="AD49">
        <f t="shared" si="21"/>
        <v>-24.559207649974386</v>
      </c>
      <c r="AE49">
        <f t="shared" si="22"/>
        <v>-0.25735512206742328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52355.197900208761</v>
      </c>
      <c r="AK49">
        <f t="shared" si="26"/>
        <v>1799.99</v>
      </c>
      <c r="AL49">
        <f t="shared" si="27"/>
        <v>1499.10151341199</v>
      </c>
      <c r="AM49">
        <f t="shared" si="28"/>
        <v>0.83283880100000007</v>
      </c>
      <c r="AN49">
        <f t="shared" si="29"/>
        <v>0.15339810286000002</v>
      </c>
      <c r="AO49">
        <v>32.4</v>
      </c>
      <c r="AP49">
        <v>0.5</v>
      </c>
      <c r="AQ49" t="s">
        <v>331</v>
      </c>
      <c r="AR49">
        <v>2</v>
      </c>
      <c r="AS49">
        <v>1690227135.0999999</v>
      </c>
      <c r="AT49">
        <v>793.57799999999997</v>
      </c>
      <c r="AU49">
        <v>800.07299999999998</v>
      </c>
      <c r="AV49">
        <v>22.730399999999999</v>
      </c>
      <c r="AW49">
        <v>20.195</v>
      </c>
      <c r="AX49">
        <v>794.01300000000003</v>
      </c>
      <c r="AY49">
        <v>22.420500000000001</v>
      </c>
      <c r="AZ49">
        <v>300.23</v>
      </c>
      <c r="BA49">
        <v>99.075599999999994</v>
      </c>
      <c r="BB49">
        <v>0.10006900000000001</v>
      </c>
      <c r="BC49">
        <v>26.3081</v>
      </c>
      <c r="BD49">
        <v>26.973400000000002</v>
      </c>
      <c r="BE49">
        <v>28.1479</v>
      </c>
      <c r="BF49">
        <v>0</v>
      </c>
      <c r="BG49">
        <v>0</v>
      </c>
      <c r="BH49">
        <v>9969.3799999999992</v>
      </c>
      <c r="BI49">
        <v>1069.69</v>
      </c>
      <c r="BJ49">
        <v>1.4577199999999999</v>
      </c>
      <c r="BK49">
        <v>-6.4946900000000003</v>
      </c>
      <c r="BL49">
        <v>812.03599999999994</v>
      </c>
      <c r="BM49">
        <v>816.56299999999999</v>
      </c>
      <c r="BN49">
        <v>2.53539</v>
      </c>
      <c r="BO49">
        <v>800.07299999999998</v>
      </c>
      <c r="BP49">
        <v>20.195</v>
      </c>
      <c r="BQ49">
        <v>2.25203</v>
      </c>
      <c r="BR49">
        <v>2.0008300000000001</v>
      </c>
      <c r="BS49">
        <v>19.337299999999999</v>
      </c>
      <c r="BT49">
        <v>17.450900000000001</v>
      </c>
      <c r="BU49">
        <v>1799.99</v>
      </c>
      <c r="BV49">
        <v>0.90997700000000004</v>
      </c>
      <c r="BW49">
        <v>3.4001000000000003E-2</v>
      </c>
      <c r="BX49">
        <v>2.2008300000000001E-2</v>
      </c>
      <c r="BY49">
        <v>3.4013599999999998E-2</v>
      </c>
      <c r="BZ49">
        <v>26</v>
      </c>
      <c r="CA49">
        <v>33528</v>
      </c>
      <c r="CB49">
        <v>1690226183.5999999</v>
      </c>
      <c r="CC49" t="s">
        <v>332</v>
      </c>
      <c r="CD49">
        <v>1690226177.5999999</v>
      </c>
      <c r="CE49">
        <v>1690226183.5999999</v>
      </c>
      <c r="CF49">
        <v>12</v>
      </c>
      <c r="CG49">
        <v>-0.255</v>
      </c>
      <c r="CH49">
        <v>0.113</v>
      </c>
      <c r="CI49">
        <v>-0.439</v>
      </c>
      <c r="CJ49">
        <v>0.31</v>
      </c>
      <c r="CK49">
        <v>800</v>
      </c>
      <c r="CL49">
        <v>25</v>
      </c>
      <c r="CM49">
        <v>0.02</v>
      </c>
      <c r="CN49">
        <v>0.03</v>
      </c>
      <c r="CO49">
        <v>-6.1907512195121948</v>
      </c>
      <c r="CP49">
        <v>-1.3828659930313569</v>
      </c>
      <c r="CQ49">
        <v>0.1376233353935816</v>
      </c>
      <c r="CR49">
        <v>-1</v>
      </c>
      <c r="CS49">
        <v>2.5374221951219509</v>
      </c>
      <c r="CT49">
        <v>2.6800557491298629E-2</v>
      </c>
      <c r="CU49">
        <v>6.0593859916722569E-3</v>
      </c>
      <c r="CV49">
        <v>-1</v>
      </c>
      <c r="CW49">
        <v>0</v>
      </c>
      <c r="CX49">
        <v>0</v>
      </c>
      <c r="CY49" t="s">
        <v>333</v>
      </c>
      <c r="CZ49">
        <v>2.3642500000000002</v>
      </c>
      <c r="DA49">
        <v>2.7138300000000002</v>
      </c>
      <c r="DB49">
        <v>0.14591599999999999</v>
      </c>
      <c r="DC49">
        <v>0.146316</v>
      </c>
      <c r="DD49">
        <v>0.10911999999999999</v>
      </c>
      <c r="DE49">
        <v>9.93251E-2</v>
      </c>
      <c r="DF49">
        <v>31178.400000000001</v>
      </c>
      <c r="DG49">
        <v>27507.4</v>
      </c>
      <c r="DH49">
        <v>31165.4</v>
      </c>
      <c r="DI49">
        <v>28077.599999999999</v>
      </c>
      <c r="DJ49">
        <v>37697.800000000003</v>
      </c>
      <c r="DK49">
        <v>35960.6</v>
      </c>
      <c r="DL49">
        <v>44351.8</v>
      </c>
      <c r="DM49">
        <v>42559.4</v>
      </c>
      <c r="DN49">
        <v>1.4718500000000001</v>
      </c>
      <c r="DO49">
        <v>2.0530300000000001</v>
      </c>
      <c r="DP49">
        <v>8.7097300000000002E-2</v>
      </c>
      <c r="DQ49">
        <v>0.17777100000000001</v>
      </c>
      <c r="DR49">
        <v>25.5473</v>
      </c>
      <c r="DS49">
        <v>25.239100000000001</v>
      </c>
      <c r="DT49">
        <v>57.3</v>
      </c>
      <c r="DU49">
        <v>29.3</v>
      </c>
      <c r="DV49">
        <v>23.664999999999999</v>
      </c>
      <c r="DW49">
        <v>62.252400000000002</v>
      </c>
      <c r="DX49">
        <v>36.133800000000001</v>
      </c>
      <c r="DY49">
        <v>1</v>
      </c>
      <c r="DZ49">
        <v>-6.6676799999999994E-2</v>
      </c>
      <c r="EA49">
        <v>0.86114400000000002</v>
      </c>
      <c r="EB49">
        <v>20.186199999999999</v>
      </c>
      <c r="EC49">
        <v>5.2411000000000003</v>
      </c>
      <c r="ED49">
        <v>12.039899999999999</v>
      </c>
      <c r="EE49">
        <v>5.0169499999999996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1.8646499999999999</v>
      </c>
      <c r="EM49">
        <v>1.86917</v>
      </c>
      <c r="EN49">
        <v>1.8672500000000001</v>
      </c>
      <c r="EO49">
        <v>1.8633999999999999</v>
      </c>
      <c r="EP49">
        <v>1.8645400000000001</v>
      </c>
      <c r="EQ49">
        <v>1.87015</v>
      </c>
      <c r="ER49">
        <v>1.8694200000000001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-0.435</v>
      </c>
      <c r="FG49">
        <v>0.30990000000000001</v>
      </c>
      <c r="FH49">
        <v>0.1121710645629533</v>
      </c>
      <c r="FI49">
        <v>-6.1462078757559423E-4</v>
      </c>
      <c r="FJ49">
        <v>-1.8861989874597051E-7</v>
      </c>
      <c r="FK49">
        <v>1.1980462299894961E-10</v>
      </c>
      <c r="FL49">
        <v>0.30996499999999833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16</v>
      </c>
      <c r="FU49">
        <v>15.9</v>
      </c>
      <c r="FV49">
        <v>1.79443</v>
      </c>
      <c r="FW49">
        <v>2.5878899999999998</v>
      </c>
      <c r="FX49">
        <v>1.5490699999999999</v>
      </c>
      <c r="FY49">
        <v>2.3290999999999999</v>
      </c>
      <c r="FZ49">
        <v>1.50146</v>
      </c>
      <c r="GA49">
        <v>2.33887</v>
      </c>
      <c r="GB49">
        <v>33.963900000000002</v>
      </c>
      <c r="GC49">
        <v>23.982399999999998</v>
      </c>
      <c r="GD49">
        <v>19</v>
      </c>
      <c r="GE49">
        <v>282.036</v>
      </c>
      <c r="GF49">
        <v>599.23800000000006</v>
      </c>
      <c r="GG49">
        <v>23.182500000000001</v>
      </c>
      <c r="GH49">
        <v>26.562999999999999</v>
      </c>
      <c r="GI49">
        <v>30.000399999999999</v>
      </c>
      <c r="GJ49">
        <v>26.581099999999999</v>
      </c>
      <c r="GK49">
        <v>26.528400000000001</v>
      </c>
      <c r="GL49">
        <v>35.866999999999997</v>
      </c>
      <c r="GM49">
        <v>25.549900000000001</v>
      </c>
      <c r="GN49">
        <v>100</v>
      </c>
      <c r="GO49">
        <v>23.188199999999998</v>
      </c>
      <c r="GP49">
        <v>800</v>
      </c>
      <c r="GQ49">
        <v>20.126799999999999</v>
      </c>
      <c r="GR49">
        <v>99.7166</v>
      </c>
      <c r="GS49">
        <v>99.557900000000004</v>
      </c>
    </row>
    <row r="50" spans="1:201" x14ac:dyDescent="0.25">
      <c r="A50">
        <v>34</v>
      </c>
      <c r="B50">
        <v>1690227145.0999999</v>
      </c>
      <c r="C50">
        <v>575.5</v>
      </c>
      <c r="D50" t="s">
        <v>399</v>
      </c>
      <c r="E50" t="s">
        <v>400</v>
      </c>
      <c r="F50" t="s">
        <v>330</v>
      </c>
      <c r="H50">
        <v>1690227145.0999999</v>
      </c>
      <c r="I50">
        <f t="shared" si="0"/>
        <v>2.4093064564617071E-4</v>
      </c>
      <c r="J50">
        <f t="shared" si="1"/>
        <v>0.2409306456461707</v>
      </c>
      <c r="K50">
        <f t="shared" si="2"/>
        <v>0.43473957161139665</v>
      </c>
      <c r="L50">
        <f t="shared" si="3"/>
        <v>793.33399999999995</v>
      </c>
      <c r="M50">
        <f t="shared" si="4"/>
        <v>723.70331193330071</v>
      </c>
      <c r="N50">
        <f t="shared" si="5"/>
        <v>71.772464689572416</v>
      </c>
      <c r="O50">
        <f t="shared" si="6"/>
        <v>78.678010122586002</v>
      </c>
      <c r="P50">
        <f t="shared" si="7"/>
        <v>1.423407960096113E-2</v>
      </c>
      <c r="Q50">
        <f t="shared" si="8"/>
        <v>2.126676213604036</v>
      </c>
      <c r="R50">
        <f t="shared" si="9"/>
        <v>1.4181363331502689E-2</v>
      </c>
      <c r="S50">
        <f t="shared" si="10"/>
        <v>8.8680720853514319E-3</v>
      </c>
      <c r="T50">
        <f t="shared" si="11"/>
        <v>276.11478203246662</v>
      </c>
      <c r="U50">
        <f t="shared" si="12"/>
        <v>28.406600485024228</v>
      </c>
      <c r="V50">
        <f t="shared" si="13"/>
        <v>28.406600485024228</v>
      </c>
      <c r="W50">
        <f t="shared" si="14"/>
        <v>3.8857258426284362</v>
      </c>
      <c r="X50">
        <f t="shared" si="15"/>
        <v>65.58456396947021</v>
      </c>
      <c r="Y50">
        <f t="shared" si="16"/>
        <v>2.2529825961825001</v>
      </c>
      <c r="Z50">
        <f t="shared" si="17"/>
        <v>3.435233017987692</v>
      </c>
      <c r="AA50">
        <f t="shared" si="18"/>
        <v>1.6327432464459362</v>
      </c>
      <c r="AB50">
        <f t="shared" si="19"/>
        <v>-10.625041472996129</v>
      </c>
      <c r="AC50">
        <f t="shared" si="20"/>
        <v>-241.18488059298502</v>
      </c>
      <c r="AD50">
        <f t="shared" si="21"/>
        <v>-24.562296566551296</v>
      </c>
      <c r="AE50">
        <f t="shared" si="22"/>
        <v>-0.25743660006583013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52329.932836503845</v>
      </c>
      <c r="AK50">
        <f t="shared" si="26"/>
        <v>1799.99</v>
      </c>
      <c r="AL50">
        <f t="shared" si="27"/>
        <v>1499.1033548017599</v>
      </c>
      <c r="AM50">
        <f t="shared" si="28"/>
        <v>0.8328398239999999</v>
      </c>
      <c r="AN50">
        <f t="shared" si="29"/>
        <v>0.15339795334</v>
      </c>
      <c r="AO50">
        <v>32.4</v>
      </c>
      <c r="AP50">
        <v>0.5</v>
      </c>
      <c r="AQ50" t="s">
        <v>331</v>
      </c>
      <c r="AR50">
        <v>2</v>
      </c>
      <c r="AS50">
        <v>1690227145.0999999</v>
      </c>
      <c r="AT50">
        <v>793.33399999999995</v>
      </c>
      <c r="AU50">
        <v>800.08699999999999</v>
      </c>
      <c r="AV50">
        <v>22.717500000000001</v>
      </c>
      <c r="AW50">
        <v>20.177</v>
      </c>
      <c r="AX50">
        <v>793.76900000000001</v>
      </c>
      <c r="AY50">
        <v>22.407499999999999</v>
      </c>
      <c r="AZ50">
        <v>300.28800000000001</v>
      </c>
      <c r="BA50">
        <v>99.073800000000006</v>
      </c>
      <c r="BB50">
        <v>0.100079</v>
      </c>
      <c r="BC50">
        <v>26.303000000000001</v>
      </c>
      <c r="BD50">
        <v>26.985399999999998</v>
      </c>
      <c r="BE50">
        <v>28.150600000000001</v>
      </c>
      <c r="BF50">
        <v>0</v>
      </c>
      <c r="BG50">
        <v>0</v>
      </c>
      <c r="BH50">
        <v>9964.3799999999992</v>
      </c>
      <c r="BI50">
        <v>1069.5999999999999</v>
      </c>
      <c r="BJ50">
        <v>1.4577199999999999</v>
      </c>
      <c r="BK50">
        <v>-6.7522599999999997</v>
      </c>
      <c r="BL50">
        <v>811.77599999999995</v>
      </c>
      <c r="BM50">
        <v>816.56200000000001</v>
      </c>
      <c r="BN50">
        <v>2.5405099999999998</v>
      </c>
      <c r="BO50">
        <v>800.08699999999999</v>
      </c>
      <c r="BP50">
        <v>20.177</v>
      </c>
      <c r="BQ50">
        <v>2.2507100000000002</v>
      </c>
      <c r="BR50">
        <v>1.99901</v>
      </c>
      <c r="BS50">
        <v>19.3279</v>
      </c>
      <c r="BT50">
        <v>17.436499999999999</v>
      </c>
      <c r="BU50">
        <v>1799.99</v>
      </c>
      <c r="BV50">
        <v>0.90998599999999996</v>
      </c>
      <c r="BW50">
        <v>3.3997699999999999E-2</v>
      </c>
      <c r="BX50">
        <v>2.20062E-2</v>
      </c>
      <c r="BY50">
        <v>3.4010400000000003E-2</v>
      </c>
      <c r="BZ50">
        <v>26</v>
      </c>
      <c r="CA50">
        <v>33528</v>
      </c>
      <c r="CB50">
        <v>1690226183.5999999</v>
      </c>
      <c r="CC50" t="s">
        <v>332</v>
      </c>
      <c r="CD50">
        <v>1690226177.5999999</v>
      </c>
      <c r="CE50">
        <v>1690226183.5999999</v>
      </c>
      <c r="CF50">
        <v>12</v>
      </c>
      <c r="CG50">
        <v>-0.255</v>
      </c>
      <c r="CH50">
        <v>0.113</v>
      </c>
      <c r="CI50">
        <v>-0.439</v>
      </c>
      <c r="CJ50">
        <v>0.31</v>
      </c>
      <c r="CK50">
        <v>800</v>
      </c>
      <c r="CL50">
        <v>25</v>
      </c>
      <c r="CM50">
        <v>0.02</v>
      </c>
      <c r="CN50">
        <v>0.03</v>
      </c>
      <c r="CO50">
        <v>-6.4441495</v>
      </c>
      <c r="CP50">
        <v>-1.462644652908057</v>
      </c>
      <c r="CQ50">
        <v>0.1433600224775024</v>
      </c>
      <c r="CR50">
        <v>-1</v>
      </c>
      <c r="CS50">
        <v>2.5356372500000002</v>
      </c>
      <c r="CT50">
        <v>-3.2982101313322708E-2</v>
      </c>
      <c r="CU50">
        <v>3.2333365023609708E-3</v>
      </c>
      <c r="CV50">
        <v>-1</v>
      </c>
      <c r="CW50">
        <v>0</v>
      </c>
      <c r="CX50">
        <v>0</v>
      </c>
      <c r="CY50" t="s">
        <v>333</v>
      </c>
      <c r="CZ50">
        <v>2.36442</v>
      </c>
      <c r="DA50">
        <v>2.7138399999999998</v>
      </c>
      <c r="DB50">
        <v>0.14588200000000001</v>
      </c>
      <c r="DC50">
        <v>0.146313</v>
      </c>
      <c r="DD50">
        <v>0.109073</v>
      </c>
      <c r="DE50">
        <v>9.9259799999999995E-2</v>
      </c>
      <c r="DF50">
        <v>31179.5</v>
      </c>
      <c r="DG50">
        <v>27507.1</v>
      </c>
      <c r="DH50">
        <v>31165.200000000001</v>
      </c>
      <c r="DI50">
        <v>28077.200000000001</v>
      </c>
      <c r="DJ50">
        <v>37699.599999999999</v>
      </c>
      <c r="DK50">
        <v>35962.800000000003</v>
      </c>
      <c r="DL50">
        <v>44351.6</v>
      </c>
      <c r="DM50">
        <v>42558.9</v>
      </c>
      <c r="DN50">
        <v>1.4719500000000001</v>
      </c>
      <c r="DO50">
        <v>2.0528200000000001</v>
      </c>
      <c r="DP50">
        <v>8.8810899999999998E-2</v>
      </c>
      <c r="DQ50">
        <v>0.17877699999999999</v>
      </c>
      <c r="DR50">
        <v>25.531300000000002</v>
      </c>
      <c r="DS50">
        <v>25.2254</v>
      </c>
      <c r="DT50">
        <v>57.3</v>
      </c>
      <c r="DU50">
        <v>29.3</v>
      </c>
      <c r="DV50">
        <v>23.665600000000001</v>
      </c>
      <c r="DW50">
        <v>61.792400000000001</v>
      </c>
      <c r="DX50">
        <v>35.104199999999999</v>
      </c>
      <c r="DY50">
        <v>1</v>
      </c>
      <c r="DZ50">
        <v>-6.7004599999999997E-2</v>
      </c>
      <c r="EA50">
        <v>0.91416699999999995</v>
      </c>
      <c r="EB50">
        <v>20.186199999999999</v>
      </c>
      <c r="EC50">
        <v>5.2408000000000001</v>
      </c>
      <c r="ED50">
        <v>12.039899999999999</v>
      </c>
      <c r="EE50">
        <v>5.0166000000000004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1.8689199999999999</v>
      </c>
      <c r="EL50">
        <v>1.8646400000000001</v>
      </c>
      <c r="EM50">
        <v>1.8691899999999999</v>
      </c>
      <c r="EN50">
        <v>1.8672200000000001</v>
      </c>
      <c r="EO50">
        <v>1.8633999999999999</v>
      </c>
      <c r="EP50">
        <v>1.8645499999999999</v>
      </c>
      <c r="EQ50">
        <v>1.87018</v>
      </c>
      <c r="ER50">
        <v>1.86941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-0.435</v>
      </c>
      <c r="FG50">
        <v>0.31</v>
      </c>
      <c r="FH50">
        <v>0.1121710645629533</v>
      </c>
      <c r="FI50">
        <v>-6.1462078757559423E-4</v>
      </c>
      <c r="FJ50">
        <v>-1.8861989874597051E-7</v>
      </c>
      <c r="FK50">
        <v>1.1980462299894961E-10</v>
      </c>
      <c r="FL50">
        <v>0.30996499999999833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16.100000000000001</v>
      </c>
      <c r="FU50">
        <v>16</v>
      </c>
      <c r="FV50">
        <v>1.79321</v>
      </c>
      <c r="FW50">
        <v>2.5793499999999998</v>
      </c>
      <c r="FX50">
        <v>1.5490699999999999</v>
      </c>
      <c r="FY50">
        <v>2.3290999999999999</v>
      </c>
      <c r="FZ50">
        <v>1.50146</v>
      </c>
      <c r="GA50">
        <v>2.4133300000000002</v>
      </c>
      <c r="GB50">
        <v>33.963900000000002</v>
      </c>
      <c r="GC50">
        <v>23.991199999999999</v>
      </c>
      <c r="GD50">
        <v>19</v>
      </c>
      <c r="GE50">
        <v>282.09100000000001</v>
      </c>
      <c r="GF50">
        <v>599.10799999999995</v>
      </c>
      <c r="GG50">
        <v>23.2392</v>
      </c>
      <c r="GH50">
        <v>26.561299999999999</v>
      </c>
      <c r="GI50">
        <v>30</v>
      </c>
      <c r="GJ50">
        <v>26.5839</v>
      </c>
      <c r="GK50">
        <v>26.5318</v>
      </c>
      <c r="GL50">
        <v>35.863199999999999</v>
      </c>
      <c r="GM50">
        <v>25.8245</v>
      </c>
      <c r="GN50">
        <v>100</v>
      </c>
      <c r="GO50">
        <v>23.236699999999999</v>
      </c>
      <c r="GP50">
        <v>800</v>
      </c>
      <c r="GQ50">
        <v>20.1052</v>
      </c>
      <c r="GR50">
        <v>99.716099999999997</v>
      </c>
      <c r="GS50">
        <v>99.556799999999996</v>
      </c>
    </row>
    <row r="51" spans="1:201" x14ac:dyDescent="0.25">
      <c r="A51">
        <v>35</v>
      </c>
      <c r="B51">
        <v>1690227155.0999999</v>
      </c>
      <c r="C51">
        <v>585.5</v>
      </c>
      <c r="D51" t="s">
        <v>401</v>
      </c>
      <c r="E51" t="s">
        <v>402</v>
      </c>
      <c r="F51" t="s">
        <v>330</v>
      </c>
      <c r="H51">
        <v>1690227155.0999999</v>
      </c>
      <c r="I51">
        <f t="shared" si="0"/>
        <v>2.4521678273642806E-4</v>
      </c>
      <c r="J51">
        <f t="shared" si="1"/>
        <v>0.24521678273642805</v>
      </c>
      <c r="K51">
        <f t="shared" si="2"/>
        <v>0.4448857751966418</v>
      </c>
      <c r="L51">
        <f t="shared" si="3"/>
        <v>793.06</v>
      </c>
      <c r="M51">
        <f t="shared" si="4"/>
        <v>722.98147966064778</v>
      </c>
      <c r="N51">
        <f t="shared" si="5"/>
        <v>71.70248858584273</v>
      </c>
      <c r="O51">
        <f t="shared" si="6"/>
        <v>78.652603417419996</v>
      </c>
      <c r="P51">
        <f t="shared" si="7"/>
        <v>1.4447863755420296E-2</v>
      </c>
      <c r="Q51">
        <f t="shared" si="8"/>
        <v>2.1267032646255624</v>
      </c>
      <c r="R51">
        <f t="shared" si="9"/>
        <v>1.4393556033736767E-2</v>
      </c>
      <c r="S51">
        <f t="shared" si="10"/>
        <v>9.000834766642726E-3</v>
      </c>
      <c r="T51">
        <f t="shared" si="11"/>
        <v>276.11274598451183</v>
      </c>
      <c r="U51">
        <f t="shared" si="12"/>
        <v>28.415641932159467</v>
      </c>
      <c r="V51">
        <f t="shared" si="13"/>
        <v>28.415641932159467</v>
      </c>
      <c r="W51">
        <f t="shared" si="14"/>
        <v>3.8877682414865422</v>
      </c>
      <c r="X51">
        <f t="shared" si="15"/>
        <v>65.469414282210039</v>
      </c>
      <c r="Y51">
        <f t="shared" si="16"/>
        <v>2.2504347967690999</v>
      </c>
      <c r="Z51">
        <f t="shared" si="17"/>
        <v>3.4373834277307855</v>
      </c>
      <c r="AA51">
        <f t="shared" si="18"/>
        <v>1.6373334447174424</v>
      </c>
      <c r="AB51">
        <f t="shared" si="19"/>
        <v>-10.814060118676478</v>
      </c>
      <c r="AC51">
        <f t="shared" si="20"/>
        <v>-241.0092528225052</v>
      </c>
      <c r="AD51">
        <f t="shared" si="21"/>
        <v>-24.546505590217542</v>
      </c>
      <c r="AE51">
        <f t="shared" si="22"/>
        <v>-0.25707254688740022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52329.294402634107</v>
      </c>
      <c r="AK51">
        <f t="shared" si="26"/>
        <v>1799.98</v>
      </c>
      <c r="AL51">
        <f t="shared" si="27"/>
        <v>1499.0951920016801</v>
      </c>
      <c r="AM51">
        <f t="shared" si="28"/>
        <v>0.83283991600000007</v>
      </c>
      <c r="AN51">
        <f t="shared" si="29"/>
        <v>0.15339767441000002</v>
      </c>
      <c r="AO51">
        <v>32.4</v>
      </c>
      <c r="AP51">
        <v>0.5</v>
      </c>
      <c r="AQ51" t="s">
        <v>331</v>
      </c>
      <c r="AR51">
        <v>2</v>
      </c>
      <c r="AS51">
        <v>1690227155.0999999</v>
      </c>
      <c r="AT51">
        <v>793.06</v>
      </c>
      <c r="AU51">
        <v>799.96199999999999</v>
      </c>
      <c r="AV51">
        <v>22.691299999999998</v>
      </c>
      <c r="AW51">
        <v>20.104199999999999</v>
      </c>
      <c r="AX51">
        <v>793.49400000000003</v>
      </c>
      <c r="AY51">
        <v>22.3813</v>
      </c>
      <c r="AZ51">
        <v>300.13299999999998</v>
      </c>
      <c r="BA51">
        <v>99.076099999999997</v>
      </c>
      <c r="BB51">
        <v>0.100007</v>
      </c>
      <c r="BC51">
        <v>26.313600000000001</v>
      </c>
      <c r="BD51">
        <v>26.9086</v>
      </c>
      <c r="BE51">
        <v>28.180499999999999</v>
      </c>
      <c r="BF51">
        <v>0</v>
      </c>
      <c r="BG51">
        <v>0</v>
      </c>
      <c r="BH51">
        <v>9964.3799999999992</v>
      </c>
      <c r="BI51">
        <v>1069.5999999999999</v>
      </c>
      <c r="BJ51">
        <v>1.4577199999999999</v>
      </c>
      <c r="BK51">
        <v>-6.9021600000000003</v>
      </c>
      <c r="BL51">
        <v>811.47299999999996</v>
      </c>
      <c r="BM51">
        <v>816.37400000000002</v>
      </c>
      <c r="BN51">
        <v>2.5871</v>
      </c>
      <c r="BO51">
        <v>799.96199999999999</v>
      </c>
      <c r="BP51">
        <v>20.104199999999999</v>
      </c>
      <c r="BQ51">
        <v>2.24817</v>
      </c>
      <c r="BR51">
        <v>1.9918499999999999</v>
      </c>
      <c r="BS51">
        <v>19.309699999999999</v>
      </c>
      <c r="BT51">
        <v>17.3797</v>
      </c>
      <c r="BU51">
        <v>1799.98</v>
      </c>
      <c r="BV51">
        <v>0.90999300000000005</v>
      </c>
      <c r="BW51">
        <v>3.3994900000000002E-2</v>
      </c>
      <c r="BX51">
        <v>2.2004300000000001E-2</v>
      </c>
      <c r="BY51">
        <v>3.4007500000000003E-2</v>
      </c>
      <c r="BZ51">
        <v>26</v>
      </c>
      <c r="CA51">
        <v>33528</v>
      </c>
      <c r="CB51">
        <v>1690226183.5999999</v>
      </c>
      <c r="CC51" t="s">
        <v>332</v>
      </c>
      <c r="CD51">
        <v>1690226177.5999999</v>
      </c>
      <c r="CE51">
        <v>1690226183.5999999</v>
      </c>
      <c r="CF51">
        <v>12</v>
      </c>
      <c r="CG51">
        <v>-0.255</v>
      </c>
      <c r="CH51">
        <v>0.113</v>
      </c>
      <c r="CI51">
        <v>-0.439</v>
      </c>
      <c r="CJ51">
        <v>0.31</v>
      </c>
      <c r="CK51">
        <v>800</v>
      </c>
      <c r="CL51">
        <v>25</v>
      </c>
      <c r="CM51">
        <v>0.02</v>
      </c>
      <c r="CN51">
        <v>0.03</v>
      </c>
      <c r="CO51">
        <v>-6.6986627500000004</v>
      </c>
      <c r="CP51">
        <v>-1.589692345215763</v>
      </c>
      <c r="CQ51">
        <v>0.1567792855097174</v>
      </c>
      <c r="CR51">
        <v>-1</v>
      </c>
      <c r="CS51">
        <v>2.5554122499999998</v>
      </c>
      <c r="CT51">
        <v>0.23909842401501219</v>
      </c>
      <c r="CU51">
        <v>2.6205173009112161E-2</v>
      </c>
      <c r="CV51">
        <v>-1</v>
      </c>
      <c r="CW51">
        <v>0</v>
      </c>
      <c r="CX51">
        <v>0</v>
      </c>
      <c r="CY51" t="s">
        <v>333</v>
      </c>
      <c r="CZ51">
        <v>2.3639100000000002</v>
      </c>
      <c r="DA51">
        <v>2.7137699999999998</v>
      </c>
      <c r="DB51">
        <v>0.14585100000000001</v>
      </c>
      <c r="DC51">
        <v>0.14629900000000001</v>
      </c>
      <c r="DD51">
        <v>0.108985</v>
      </c>
      <c r="DE51">
        <v>9.9007200000000004E-2</v>
      </c>
      <c r="DF51">
        <v>31181.1</v>
      </c>
      <c r="DG51">
        <v>27507.599999999999</v>
      </c>
      <c r="DH51">
        <v>31165.599999999999</v>
      </c>
      <c r="DI51">
        <v>28077.200000000001</v>
      </c>
      <c r="DJ51">
        <v>37704.1</v>
      </c>
      <c r="DK51">
        <v>35972.9</v>
      </c>
      <c r="DL51">
        <v>44352.4</v>
      </c>
      <c r="DM51">
        <v>42558.9</v>
      </c>
      <c r="DN51">
        <v>1.4719</v>
      </c>
      <c r="DO51">
        <v>2.0531199999999998</v>
      </c>
      <c r="DP51">
        <v>8.4973900000000005E-2</v>
      </c>
      <c r="DQ51">
        <v>0.18123500000000001</v>
      </c>
      <c r="DR51">
        <v>25.517199999999999</v>
      </c>
      <c r="DS51">
        <v>25.2151</v>
      </c>
      <c r="DT51">
        <v>57.3</v>
      </c>
      <c r="DU51">
        <v>29.3</v>
      </c>
      <c r="DV51">
        <v>23.667100000000001</v>
      </c>
      <c r="DW51">
        <v>61.9024</v>
      </c>
      <c r="DX51">
        <v>36.494399999999999</v>
      </c>
      <c r="DY51">
        <v>1</v>
      </c>
      <c r="DZ51">
        <v>-6.6938499999999998E-2</v>
      </c>
      <c r="EA51">
        <v>0.83183300000000004</v>
      </c>
      <c r="EB51">
        <v>20.186499999999999</v>
      </c>
      <c r="EC51">
        <v>5.2408000000000001</v>
      </c>
      <c r="ED51">
        <v>12.039899999999999</v>
      </c>
      <c r="EE51">
        <v>5.0164999999999997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1.8646499999999999</v>
      </c>
      <c r="EM51">
        <v>1.8692</v>
      </c>
      <c r="EN51">
        <v>1.8672500000000001</v>
      </c>
      <c r="EO51">
        <v>1.8633999999999999</v>
      </c>
      <c r="EP51">
        <v>1.8645400000000001</v>
      </c>
      <c r="EQ51">
        <v>1.8701700000000001</v>
      </c>
      <c r="ER51">
        <v>1.8694299999999999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-0.434</v>
      </c>
      <c r="FG51">
        <v>0.31</v>
      </c>
      <c r="FH51">
        <v>0.1121710645629533</v>
      </c>
      <c r="FI51">
        <v>-6.1462078757559423E-4</v>
      </c>
      <c r="FJ51">
        <v>-1.8861989874597051E-7</v>
      </c>
      <c r="FK51">
        <v>1.1980462299894961E-10</v>
      </c>
      <c r="FL51">
        <v>0.30996499999999833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16.3</v>
      </c>
      <c r="FU51">
        <v>16.2</v>
      </c>
      <c r="FV51">
        <v>1.79443</v>
      </c>
      <c r="FW51">
        <v>2.5842299999999998</v>
      </c>
      <c r="FX51">
        <v>1.5490699999999999</v>
      </c>
      <c r="FY51">
        <v>2.3290999999999999</v>
      </c>
      <c r="FZ51">
        <v>1.50146</v>
      </c>
      <c r="GA51">
        <v>2.32178</v>
      </c>
      <c r="GB51">
        <v>33.963900000000002</v>
      </c>
      <c r="GC51">
        <v>23.973700000000001</v>
      </c>
      <c r="GD51">
        <v>19</v>
      </c>
      <c r="GE51">
        <v>282.07400000000001</v>
      </c>
      <c r="GF51">
        <v>599.399</v>
      </c>
      <c r="GG51">
        <v>23.271000000000001</v>
      </c>
      <c r="GH51">
        <v>26.559699999999999</v>
      </c>
      <c r="GI51">
        <v>30.0002</v>
      </c>
      <c r="GJ51">
        <v>26.585000000000001</v>
      </c>
      <c r="GK51">
        <v>26.5351</v>
      </c>
      <c r="GL51">
        <v>35.863900000000001</v>
      </c>
      <c r="GM51">
        <v>25.8245</v>
      </c>
      <c r="GN51">
        <v>100</v>
      </c>
      <c r="GO51">
        <v>23.286000000000001</v>
      </c>
      <c r="GP51">
        <v>800</v>
      </c>
      <c r="GQ51">
        <v>20.1022</v>
      </c>
      <c r="GR51">
        <v>99.717799999999997</v>
      </c>
      <c r="GS51">
        <v>99.556700000000006</v>
      </c>
    </row>
    <row r="52" spans="1:201" x14ac:dyDescent="0.25">
      <c r="A52">
        <v>36</v>
      </c>
      <c r="B52">
        <v>1690227165.0999999</v>
      </c>
      <c r="C52">
        <v>595.5</v>
      </c>
      <c r="D52" t="s">
        <v>403</v>
      </c>
      <c r="E52" t="s">
        <v>404</v>
      </c>
      <c r="F52" t="s">
        <v>330</v>
      </c>
      <c r="H52">
        <v>1690227165.0999999</v>
      </c>
      <c r="I52">
        <f t="shared" si="0"/>
        <v>2.4394088173164335E-4</v>
      </c>
      <c r="J52">
        <f t="shared" si="1"/>
        <v>0.24394088173164336</v>
      </c>
      <c r="K52">
        <f t="shared" si="2"/>
        <v>0.48107462296017489</v>
      </c>
      <c r="L52">
        <f t="shared" si="3"/>
        <v>792.71600000000001</v>
      </c>
      <c r="M52">
        <f t="shared" si="4"/>
        <v>718.38834202163571</v>
      </c>
      <c r="N52">
        <f t="shared" si="5"/>
        <v>71.24818608317851</v>
      </c>
      <c r="O52">
        <f t="shared" si="6"/>
        <v>78.61984079554</v>
      </c>
      <c r="P52">
        <f t="shared" si="7"/>
        <v>1.4369253147882411E-2</v>
      </c>
      <c r="Q52">
        <f t="shared" si="8"/>
        <v>2.1288416662958762</v>
      </c>
      <c r="R52">
        <f t="shared" si="9"/>
        <v>1.4315587350557924E-2</v>
      </c>
      <c r="S52">
        <f t="shared" si="10"/>
        <v>8.952046974821876E-3</v>
      </c>
      <c r="T52">
        <f t="shared" si="11"/>
        <v>276.11421715960472</v>
      </c>
      <c r="U52">
        <f t="shared" si="12"/>
        <v>28.406994518164623</v>
      </c>
      <c r="V52">
        <f t="shared" si="13"/>
        <v>28.406994518164623</v>
      </c>
      <c r="W52">
        <f t="shared" si="14"/>
        <v>3.8858148324149417</v>
      </c>
      <c r="X52">
        <f t="shared" si="15"/>
        <v>65.428234727609919</v>
      </c>
      <c r="Y52">
        <f t="shared" si="16"/>
        <v>2.2480635326050002</v>
      </c>
      <c r="Z52">
        <f t="shared" si="17"/>
        <v>3.4359226440452093</v>
      </c>
      <c r="AA52">
        <f t="shared" si="18"/>
        <v>1.6377512998099415</v>
      </c>
      <c r="AB52">
        <f t="shared" si="19"/>
        <v>-10.757792884365472</v>
      </c>
      <c r="AC52">
        <f t="shared" si="20"/>
        <v>-241.08546793430924</v>
      </c>
      <c r="AD52">
        <f t="shared" si="21"/>
        <v>-24.527661833774022</v>
      </c>
      <c r="AE52">
        <f t="shared" si="22"/>
        <v>-0.25670549284402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52422.835638318975</v>
      </c>
      <c r="AK52">
        <f t="shared" si="26"/>
        <v>1799.99</v>
      </c>
      <c r="AL52">
        <f t="shared" si="27"/>
        <v>1499.10590718758</v>
      </c>
      <c r="AM52">
        <f t="shared" si="28"/>
        <v>0.83284124199999998</v>
      </c>
      <c r="AN52">
        <f t="shared" si="29"/>
        <v>0.15339763951999996</v>
      </c>
      <c r="AO52">
        <v>32.4</v>
      </c>
      <c r="AP52">
        <v>0.5</v>
      </c>
      <c r="AQ52" t="s">
        <v>331</v>
      </c>
      <c r="AR52">
        <v>2</v>
      </c>
      <c r="AS52">
        <v>1690227165.0999999</v>
      </c>
      <c r="AT52">
        <v>792.71600000000001</v>
      </c>
      <c r="AU52">
        <v>799.99400000000003</v>
      </c>
      <c r="AV52">
        <v>22.667000000000002</v>
      </c>
      <c r="AW52">
        <v>20.0943</v>
      </c>
      <c r="AX52">
        <v>793.15</v>
      </c>
      <c r="AY52">
        <v>22.356999999999999</v>
      </c>
      <c r="AZ52">
        <v>300.25</v>
      </c>
      <c r="BA52">
        <v>99.0779</v>
      </c>
      <c r="BB52">
        <v>9.9915000000000004E-2</v>
      </c>
      <c r="BC52">
        <v>26.3064</v>
      </c>
      <c r="BD52">
        <v>26.956399999999999</v>
      </c>
      <c r="BE52">
        <v>28.170300000000001</v>
      </c>
      <c r="BF52">
        <v>0</v>
      </c>
      <c r="BG52">
        <v>0</v>
      </c>
      <c r="BH52">
        <v>9982.5</v>
      </c>
      <c r="BI52">
        <v>1069.56</v>
      </c>
      <c r="BJ52">
        <v>1.5137799999999999</v>
      </c>
      <c r="BK52">
        <v>-7.2775299999999996</v>
      </c>
      <c r="BL52">
        <v>811.101</v>
      </c>
      <c r="BM52">
        <v>816.39800000000002</v>
      </c>
      <c r="BN52">
        <v>2.5726499999999999</v>
      </c>
      <c r="BO52">
        <v>799.99400000000003</v>
      </c>
      <c r="BP52">
        <v>20.0943</v>
      </c>
      <c r="BQ52">
        <v>2.2458</v>
      </c>
      <c r="BR52">
        <v>1.9908999999999999</v>
      </c>
      <c r="BS52">
        <v>19.2928</v>
      </c>
      <c r="BT52">
        <v>17.372199999999999</v>
      </c>
      <c r="BU52">
        <v>1799.99</v>
      </c>
      <c r="BV52">
        <v>0.91000099999999995</v>
      </c>
      <c r="BW52">
        <v>3.39922E-2</v>
      </c>
      <c r="BX52">
        <v>2.2002600000000001E-2</v>
      </c>
      <c r="BY52">
        <v>3.4004800000000002E-2</v>
      </c>
      <c r="BZ52">
        <v>25.833300000000001</v>
      </c>
      <c r="CA52">
        <v>33528.1</v>
      </c>
      <c r="CB52">
        <v>1690226183.5999999</v>
      </c>
      <c r="CC52" t="s">
        <v>332</v>
      </c>
      <c r="CD52">
        <v>1690226177.5999999</v>
      </c>
      <c r="CE52">
        <v>1690226183.5999999</v>
      </c>
      <c r="CF52">
        <v>12</v>
      </c>
      <c r="CG52">
        <v>-0.255</v>
      </c>
      <c r="CH52">
        <v>0.113</v>
      </c>
      <c r="CI52">
        <v>-0.439</v>
      </c>
      <c r="CJ52">
        <v>0.31</v>
      </c>
      <c r="CK52">
        <v>800</v>
      </c>
      <c r="CL52">
        <v>25</v>
      </c>
      <c r="CM52">
        <v>0.02</v>
      </c>
      <c r="CN52">
        <v>0.03</v>
      </c>
      <c r="CO52">
        <v>-6.9421592682926834</v>
      </c>
      <c r="CP52">
        <v>-1.5131799303136111</v>
      </c>
      <c r="CQ52">
        <v>0.15490021583367239</v>
      </c>
      <c r="CR52">
        <v>-1</v>
      </c>
      <c r="CS52">
        <v>2.57619731707317</v>
      </c>
      <c r="CT52">
        <v>7.3332125435542309E-2</v>
      </c>
      <c r="CU52">
        <v>1.7116879562952929E-2</v>
      </c>
      <c r="CV52">
        <v>-1</v>
      </c>
      <c r="CW52">
        <v>0</v>
      </c>
      <c r="CX52">
        <v>0</v>
      </c>
      <c r="CY52" t="s">
        <v>333</v>
      </c>
      <c r="CZ52">
        <v>2.36429</v>
      </c>
      <c r="DA52">
        <v>2.7136900000000002</v>
      </c>
      <c r="DB52">
        <v>0.14581</v>
      </c>
      <c r="DC52">
        <v>0.14630399999999999</v>
      </c>
      <c r="DD52">
        <v>0.108903</v>
      </c>
      <c r="DE52">
        <v>9.8973800000000001E-2</v>
      </c>
      <c r="DF52">
        <v>31182.7</v>
      </c>
      <c r="DG52">
        <v>27507.4</v>
      </c>
      <c r="DH52">
        <v>31165.8</v>
      </c>
      <c r="DI52">
        <v>28077.1</v>
      </c>
      <c r="DJ52">
        <v>37707.800000000003</v>
      </c>
      <c r="DK52">
        <v>35974.400000000001</v>
      </c>
      <c r="DL52">
        <v>44352.7</v>
      </c>
      <c r="DM52">
        <v>42559.1</v>
      </c>
      <c r="DN52">
        <v>1.4717</v>
      </c>
      <c r="DO52">
        <v>2.0528499999999998</v>
      </c>
      <c r="DP52">
        <v>8.8587399999999997E-2</v>
      </c>
      <c r="DQ52">
        <v>0.18112400000000001</v>
      </c>
      <c r="DR52">
        <v>25.5059</v>
      </c>
      <c r="DS52">
        <v>25.206700000000001</v>
      </c>
      <c r="DT52">
        <v>57.3</v>
      </c>
      <c r="DU52">
        <v>29.3</v>
      </c>
      <c r="DV52">
        <v>23.666699999999999</v>
      </c>
      <c r="DW52">
        <v>61.712400000000002</v>
      </c>
      <c r="DX52">
        <v>35.4968</v>
      </c>
      <c r="DY52">
        <v>1</v>
      </c>
      <c r="DZ52">
        <v>-6.7672800000000005E-2</v>
      </c>
      <c r="EA52">
        <v>0.57027799999999995</v>
      </c>
      <c r="EB52">
        <v>20.187999999999999</v>
      </c>
      <c r="EC52">
        <v>5.2408000000000001</v>
      </c>
      <c r="ED52">
        <v>12.039899999999999</v>
      </c>
      <c r="EE52">
        <v>5.0163000000000002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1.8646400000000001</v>
      </c>
      <c r="EM52">
        <v>1.8691899999999999</v>
      </c>
      <c r="EN52">
        <v>1.8672599999999999</v>
      </c>
      <c r="EO52">
        <v>1.8633999999999999</v>
      </c>
      <c r="EP52">
        <v>1.8645400000000001</v>
      </c>
      <c r="EQ52">
        <v>1.87015</v>
      </c>
      <c r="ER52">
        <v>1.86941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-0.434</v>
      </c>
      <c r="FG52">
        <v>0.31</v>
      </c>
      <c r="FH52">
        <v>0.1121710645629533</v>
      </c>
      <c r="FI52">
        <v>-6.1462078757559423E-4</v>
      </c>
      <c r="FJ52">
        <v>-1.8861989874597051E-7</v>
      </c>
      <c r="FK52">
        <v>1.1980462299894961E-10</v>
      </c>
      <c r="FL52">
        <v>0.30996499999999833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16.5</v>
      </c>
      <c r="FU52">
        <v>16.399999999999999</v>
      </c>
      <c r="FV52">
        <v>1.79321</v>
      </c>
      <c r="FW52">
        <v>2.5830099999999998</v>
      </c>
      <c r="FX52">
        <v>1.5490699999999999</v>
      </c>
      <c r="FY52">
        <v>2.3290999999999999</v>
      </c>
      <c r="FZ52">
        <v>1.50146</v>
      </c>
      <c r="GA52">
        <v>2.3889200000000002</v>
      </c>
      <c r="GB52">
        <v>33.963900000000002</v>
      </c>
      <c r="GC52">
        <v>23.982399999999998</v>
      </c>
      <c r="GD52">
        <v>19</v>
      </c>
      <c r="GE52">
        <v>281.99400000000003</v>
      </c>
      <c r="GF52">
        <v>599.202</v>
      </c>
      <c r="GG52">
        <v>23.378599999999999</v>
      </c>
      <c r="GH52">
        <v>26.5563</v>
      </c>
      <c r="GI52">
        <v>29.9998</v>
      </c>
      <c r="GJ52">
        <v>26.586099999999998</v>
      </c>
      <c r="GK52">
        <v>26.538</v>
      </c>
      <c r="GL52">
        <v>35.861400000000003</v>
      </c>
      <c r="GM52">
        <v>25.8245</v>
      </c>
      <c r="GN52">
        <v>100</v>
      </c>
      <c r="GO52">
        <v>23.4055</v>
      </c>
      <c r="GP52">
        <v>800</v>
      </c>
      <c r="GQ52">
        <v>20.097100000000001</v>
      </c>
      <c r="GR52">
        <v>99.718400000000003</v>
      </c>
      <c r="GS52">
        <v>99.556899999999999</v>
      </c>
    </row>
    <row r="53" spans="1:201" x14ac:dyDescent="0.25">
      <c r="A53">
        <v>37</v>
      </c>
      <c r="B53">
        <v>1690227175.0999999</v>
      </c>
      <c r="C53">
        <v>605.5</v>
      </c>
      <c r="D53" t="s">
        <v>405</v>
      </c>
      <c r="E53" t="s">
        <v>406</v>
      </c>
      <c r="F53" t="s">
        <v>330</v>
      </c>
      <c r="H53">
        <v>1690227175.0999999</v>
      </c>
      <c r="I53">
        <f t="shared" si="0"/>
        <v>2.4412096509292698E-4</v>
      </c>
      <c r="J53">
        <f t="shared" si="1"/>
        <v>0.24412096509292697</v>
      </c>
      <c r="K53">
        <f t="shared" si="2"/>
        <v>0.5050581538278015</v>
      </c>
      <c r="L53">
        <f t="shared" si="3"/>
        <v>792.48900000000003</v>
      </c>
      <c r="M53">
        <f t="shared" si="4"/>
        <v>715.45425777105686</v>
      </c>
      <c r="N53">
        <f t="shared" si="5"/>
        <v>70.954491324719868</v>
      </c>
      <c r="O53">
        <f t="shared" si="6"/>
        <v>78.594338163027004</v>
      </c>
      <c r="P53">
        <f t="shared" si="7"/>
        <v>1.4358818903641948E-2</v>
      </c>
      <c r="Q53">
        <f t="shared" si="8"/>
        <v>2.1278474467010033</v>
      </c>
      <c r="R53">
        <f t="shared" si="9"/>
        <v>1.4305205922390884E-2</v>
      </c>
      <c r="S53">
        <f t="shared" si="10"/>
        <v>8.9455538577126511E-3</v>
      </c>
      <c r="T53">
        <f t="shared" si="11"/>
        <v>276.11384943964771</v>
      </c>
      <c r="U53">
        <f t="shared" si="12"/>
        <v>28.414407667022321</v>
      </c>
      <c r="V53">
        <f t="shared" si="13"/>
        <v>28.414407667022321</v>
      </c>
      <c r="W53">
        <f t="shared" si="14"/>
        <v>3.887489374558986</v>
      </c>
      <c r="X53">
        <f t="shared" si="15"/>
        <v>65.383812845893274</v>
      </c>
      <c r="Y53">
        <f t="shared" si="16"/>
        <v>2.2474127406358999</v>
      </c>
      <c r="Z53">
        <f t="shared" si="17"/>
        <v>3.4372616750463165</v>
      </c>
      <c r="AA53">
        <f t="shared" si="18"/>
        <v>1.6400766339230861</v>
      </c>
      <c r="AB53">
        <f t="shared" si="19"/>
        <v>-10.76573456059808</v>
      </c>
      <c r="AC53">
        <f t="shared" si="20"/>
        <v>-241.06615689796334</v>
      </c>
      <c r="AD53">
        <f t="shared" si="21"/>
        <v>-24.538874024320418</v>
      </c>
      <c r="AE53">
        <f t="shared" si="22"/>
        <v>-0.25691604323412776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52378.696818170763</v>
      </c>
      <c r="AK53">
        <f t="shared" si="26"/>
        <v>1799.99</v>
      </c>
      <c r="AL53">
        <f t="shared" si="27"/>
        <v>1499.10239000712</v>
      </c>
      <c r="AM53">
        <f t="shared" si="28"/>
        <v>0.83283928799999996</v>
      </c>
      <c r="AN53">
        <f t="shared" si="29"/>
        <v>0.15339743522999999</v>
      </c>
      <c r="AO53">
        <v>32.4</v>
      </c>
      <c r="AP53">
        <v>0.5</v>
      </c>
      <c r="AQ53" t="s">
        <v>331</v>
      </c>
      <c r="AR53">
        <v>2</v>
      </c>
      <c r="AS53">
        <v>1690227175.0999999</v>
      </c>
      <c r="AT53">
        <v>792.48900000000003</v>
      </c>
      <c r="AU53">
        <v>800.02700000000004</v>
      </c>
      <c r="AV53">
        <v>22.661300000000001</v>
      </c>
      <c r="AW53">
        <v>20.086600000000001</v>
      </c>
      <c r="AX53">
        <v>792.923</v>
      </c>
      <c r="AY53">
        <v>22.351299999999998</v>
      </c>
      <c r="AZ53">
        <v>300.24</v>
      </c>
      <c r="BA53">
        <v>99.073999999999998</v>
      </c>
      <c r="BB53">
        <v>0.10004300000000001</v>
      </c>
      <c r="BC53">
        <v>26.312999999999999</v>
      </c>
      <c r="BD53">
        <v>26.908200000000001</v>
      </c>
      <c r="BE53">
        <v>28.181899999999999</v>
      </c>
      <c r="BF53">
        <v>0</v>
      </c>
      <c r="BG53">
        <v>0</v>
      </c>
      <c r="BH53">
        <v>9974.3799999999992</v>
      </c>
      <c r="BI53">
        <v>1069.58</v>
      </c>
      <c r="BJ53">
        <v>1.5137799999999999</v>
      </c>
      <c r="BK53">
        <v>-7.5383899999999997</v>
      </c>
      <c r="BL53">
        <v>810.86400000000003</v>
      </c>
      <c r="BM53">
        <v>816.42600000000004</v>
      </c>
      <c r="BN53">
        <v>2.5747</v>
      </c>
      <c r="BO53">
        <v>800.02700000000004</v>
      </c>
      <c r="BP53">
        <v>20.086600000000001</v>
      </c>
      <c r="BQ53">
        <v>2.2451400000000001</v>
      </c>
      <c r="BR53">
        <v>1.9900599999999999</v>
      </c>
      <c r="BS53">
        <v>19.2881</v>
      </c>
      <c r="BT53">
        <v>17.365400000000001</v>
      </c>
      <c r="BU53">
        <v>1799.99</v>
      </c>
      <c r="BV53">
        <v>0.909995</v>
      </c>
      <c r="BW53">
        <v>3.4001400000000001E-2</v>
      </c>
      <c r="BX53">
        <v>2.20009E-2</v>
      </c>
      <c r="BY53">
        <v>3.4002299999999999E-2</v>
      </c>
      <c r="BZ53">
        <v>25.708300000000001</v>
      </c>
      <c r="CA53">
        <v>33528.199999999997</v>
      </c>
      <c r="CB53">
        <v>1690226183.5999999</v>
      </c>
      <c r="CC53" t="s">
        <v>332</v>
      </c>
      <c r="CD53">
        <v>1690226177.5999999</v>
      </c>
      <c r="CE53">
        <v>1690226183.5999999</v>
      </c>
      <c r="CF53">
        <v>12</v>
      </c>
      <c r="CG53">
        <v>-0.255</v>
      </c>
      <c r="CH53">
        <v>0.113</v>
      </c>
      <c r="CI53">
        <v>-0.439</v>
      </c>
      <c r="CJ53">
        <v>0.31</v>
      </c>
      <c r="CK53">
        <v>800</v>
      </c>
      <c r="CL53">
        <v>25</v>
      </c>
      <c r="CM53">
        <v>0.02</v>
      </c>
      <c r="CN53">
        <v>0.03</v>
      </c>
      <c r="CO53">
        <v>-7.2457707500000001</v>
      </c>
      <c r="CP53">
        <v>-1.922741200750443</v>
      </c>
      <c r="CQ53">
        <v>0.18784599277583081</v>
      </c>
      <c r="CR53">
        <v>-1</v>
      </c>
      <c r="CS53">
        <v>2.57575025</v>
      </c>
      <c r="CT53">
        <v>-4.0349606003755922E-2</v>
      </c>
      <c r="CU53">
        <v>4.6250899923676791E-3</v>
      </c>
      <c r="CV53">
        <v>-1</v>
      </c>
      <c r="CW53">
        <v>0</v>
      </c>
      <c r="CX53">
        <v>0</v>
      </c>
      <c r="CY53" t="s">
        <v>333</v>
      </c>
      <c r="CZ53">
        <v>2.36429</v>
      </c>
      <c r="DA53">
        <v>2.7138100000000001</v>
      </c>
      <c r="DB53">
        <v>0.14577599999999999</v>
      </c>
      <c r="DC53">
        <v>0.14630199999999999</v>
      </c>
      <c r="DD53">
        <v>0.108878</v>
      </c>
      <c r="DE53">
        <v>9.8942500000000003E-2</v>
      </c>
      <c r="DF53">
        <v>31184</v>
      </c>
      <c r="DG53">
        <v>27507.4</v>
      </c>
      <c r="DH53">
        <v>31165.8</v>
      </c>
      <c r="DI53">
        <v>28077</v>
      </c>
      <c r="DJ53">
        <v>37708.9</v>
      </c>
      <c r="DK53">
        <v>35975.699999999997</v>
      </c>
      <c r="DL53">
        <v>44352.800000000003</v>
      </c>
      <c r="DM53">
        <v>42559.199999999997</v>
      </c>
      <c r="DN53">
        <v>1.4719800000000001</v>
      </c>
      <c r="DO53">
        <v>2.0530499999999998</v>
      </c>
      <c r="DP53">
        <v>8.6166000000000006E-2</v>
      </c>
      <c r="DQ53">
        <v>0.18235299999999999</v>
      </c>
      <c r="DR53">
        <v>25.497299999999999</v>
      </c>
      <c r="DS53">
        <v>25.1982</v>
      </c>
      <c r="DT53">
        <v>57.3</v>
      </c>
      <c r="DU53">
        <v>29.3</v>
      </c>
      <c r="DV53">
        <v>23.665700000000001</v>
      </c>
      <c r="DW53">
        <v>62.212400000000002</v>
      </c>
      <c r="DX53">
        <v>35.7652</v>
      </c>
      <c r="DY53">
        <v>1</v>
      </c>
      <c r="DZ53">
        <v>-6.8366399999999994E-2</v>
      </c>
      <c r="EA53">
        <v>0.54692300000000005</v>
      </c>
      <c r="EB53">
        <v>20.188199999999998</v>
      </c>
      <c r="EC53">
        <v>5.2404999999999999</v>
      </c>
      <c r="ED53">
        <v>12.039899999999999</v>
      </c>
      <c r="EE53">
        <v>5.0167999999999999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1.8689100000000001</v>
      </c>
      <c r="EL53">
        <v>1.8646199999999999</v>
      </c>
      <c r="EM53">
        <v>1.8692</v>
      </c>
      <c r="EN53">
        <v>1.8672500000000001</v>
      </c>
      <c r="EO53">
        <v>1.8633999999999999</v>
      </c>
      <c r="EP53">
        <v>1.8645400000000001</v>
      </c>
      <c r="EQ53">
        <v>1.87015</v>
      </c>
      <c r="ER53">
        <v>1.8694299999999999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-0.434</v>
      </c>
      <c r="FG53">
        <v>0.31</v>
      </c>
      <c r="FH53">
        <v>0.1121710645629533</v>
      </c>
      <c r="FI53">
        <v>-6.1462078757559423E-4</v>
      </c>
      <c r="FJ53">
        <v>-1.8861989874597051E-7</v>
      </c>
      <c r="FK53">
        <v>1.1980462299894961E-10</v>
      </c>
      <c r="FL53">
        <v>0.30996499999999833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16.600000000000001</v>
      </c>
      <c r="FU53">
        <v>16.5</v>
      </c>
      <c r="FV53">
        <v>1.79321</v>
      </c>
      <c r="FW53">
        <v>2.5854499999999998</v>
      </c>
      <c r="FX53">
        <v>1.5490699999999999</v>
      </c>
      <c r="FY53">
        <v>2.3290999999999999</v>
      </c>
      <c r="FZ53">
        <v>1.50146</v>
      </c>
      <c r="GA53">
        <v>2.36816</v>
      </c>
      <c r="GB53">
        <v>33.963900000000002</v>
      </c>
      <c r="GC53">
        <v>23.982399999999998</v>
      </c>
      <c r="GD53">
        <v>19</v>
      </c>
      <c r="GE53">
        <v>282.12099999999998</v>
      </c>
      <c r="GF53">
        <v>599.39599999999996</v>
      </c>
      <c r="GG53">
        <v>23.476600000000001</v>
      </c>
      <c r="GH53">
        <v>26.552900000000001</v>
      </c>
      <c r="GI53">
        <v>29.9999</v>
      </c>
      <c r="GJ53">
        <v>26.5884</v>
      </c>
      <c r="GK53">
        <v>26.540199999999999</v>
      </c>
      <c r="GL53">
        <v>35.861699999999999</v>
      </c>
      <c r="GM53">
        <v>25.8245</v>
      </c>
      <c r="GN53">
        <v>100</v>
      </c>
      <c r="GO53">
        <v>23.491099999999999</v>
      </c>
      <c r="GP53">
        <v>800</v>
      </c>
      <c r="GQ53">
        <v>20.081900000000001</v>
      </c>
      <c r="GR53">
        <v>99.718500000000006</v>
      </c>
      <c r="GS53">
        <v>99.556899999999999</v>
      </c>
    </row>
    <row r="54" spans="1:201" x14ac:dyDescent="0.25">
      <c r="A54">
        <v>38</v>
      </c>
      <c r="B54">
        <v>1690227185.0999999</v>
      </c>
      <c r="C54">
        <v>615.5</v>
      </c>
      <c r="D54" t="s">
        <v>407</v>
      </c>
      <c r="E54" t="s">
        <v>408</v>
      </c>
      <c r="F54" t="s">
        <v>330</v>
      </c>
      <c r="H54">
        <v>1690227185.0999999</v>
      </c>
      <c r="I54">
        <f t="shared" si="0"/>
        <v>2.4430466568470412E-4</v>
      </c>
      <c r="J54">
        <f t="shared" si="1"/>
        <v>0.24430466568470413</v>
      </c>
      <c r="K54">
        <f t="shared" si="2"/>
        <v>0.54719848702839746</v>
      </c>
      <c r="L54">
        <f t="shared" si="3"/>
        <v>792.03200000000004</v>
      </c>
      <c r="M54">
        <f t="shared" si="4"/>
        <v>710.28909306794492</v>
      </c>
      <c r="N54">
        <f t="shared" si="5"/>
        <v>70.446009141990103</v>
      </c>
      <c r="O54">
        <f t="shared" si="6"/>
        <v>78.553217355135999</v>
      </c>
      <c r="P54">
        <f t="shared" si="7"/>
        <v>1.4348488387888084E-2</v>
      </c>
      <c r="Q54">
        <f t="shared" si="8"/>
        <v>2.1272518348653859</v>
      </c>
      <c r="R54">
        <f t="shared" si="9"/>
        <v>1.4294937438601584E-2</v>
      </c>
      <c r="S54">
        <f t="shared" si="10"/>
        <v>8.9391305086848095E-3</v>
      </c>
      <c r="T54">
        <f t="shared" si="11"/>
        <v>276.11375278018471</v>
      </c>
      <c r="U54">
        <f t="shared" si="12"/>
        <v>28.422163170902749</v>
      </c>
      <c r="V54">
        <f t="shared" si="13"/>
        <v>28.422163170902749</v>
      </c>
      <c r="W54">
        <f t="shared" si="14"/>
        <v>3.8892419243079024</v>
      </c>
      <c r="X54">
        <f t="shared" si="15"/>
        <v>65.334045951008719</v>
      </c>
      <c r="Y54">
        <f t="shared" si="16"/>
        <v>2.2466700985048003</v>
      </c>
      <c r="Z54">
        <f t="shared" si="17"/>
        <v>3.4387432552232946</v>
      </c>
      <c r="AA54">
        <f t="shared" si="18"/>
        <v>1.6425718258031021</v>
      </c>
      <c r="AB54">
        <f t="shared" si="19"/>
        <v>-10.773835756695451</v>
      </c>
      <c r="AC54">
        <f t="shared" si="20"/>
        <v>-241.0509185734474</v>
      </c>
      <c r="AD54">
        <f t="shared" si="21"/>
        <v>-24.546038652957915</v>
      </c>
      <c r="AE54">
        <f t="shared" si="22"/>
        <v>-0.25704020291607321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52351.843348093993</v>
      </c>
      <c r="AK54">
        <f t="shared" si="26"/>
        <v>1799.99</v>
      </c>
      <c r="AL54">
        <f t="shared" si="27"/>
        <v>1499.1013370129701</v>
      </c>
      <c r="AM54">
        <f t="shared" si="28"/>
        <v>0.83283870300000007</v>
      </c>
      <c r="AN54">
        <f t="shared" si="29"/>
        <v>0.15339738153000002</v>
      </c>
      <c r="AO54">
        <v>32.4</v>
      </c>
      <c r="AP54">
        <v>0.5</v>
      </c>
      <c r="AQ54" t="s">
        <v>331</v>
      </c>
      <c r="AR54">
        <v>2</v>
      </c>
      <c r="AS54">
        <v>1690227185.0999999</v>
      </c>
      <c r="AT54">
        <v>792.03200000000004</v>
      </c>
      <c r="AU54">
        <v>800.024</v>
      </c>
      <c r="AV54">
        <v>22.6526</v>
      </c>
      <c r="AW54">
        <v>20.0763</v>
      </c>
      <c r="AX54">
        <v>792.46600000000001</v>
      </c>
      <c r="AY54">
        <v>22.342600000000001</v>
      </c>
      <c r="AZ54">
        <v>300.28199999999998</v>
      </c>
      <c r="BA54">
        <v>99.079300000000003</v>
      </c>
      <c r="BB54">
        <v>0.100048</v>
      </c>
      <c r="BC54">
        <v>26.3203</v>
      </c>
      <c r="BD54">
        <v>26.977900000000002</v>
      </c>
      <c r="BE54">
        <v>28.1785</v>
      </c>
      <c r="BF54">
        <v>0</v>
      </c>
      <c r="BG54">
        <v>0</v>
      </c>
      <c r="BH54">
        <v>9968.75</v>
      </c>
      <c r="BI54">
        <v>1069.71</v>
      </c>
      <c r="BJ54">
        <v>1.5137799999999999</v>
      </c>
      <c r="BK54">
        <v>-7.99139</v>
      </c>
      <c r="BL54">
        <v>810.39</v>
      </c>
      <c r="BM54">
        <v>816.41399999999999</v>
      </c>
      <c r="BN54">
        <v>2.5762900000000002</v>
      </c>
      <c r="BO54">
        <v>800.024</v>
      </c>
      <c r="BP54">
        <v>20.0763</v>
      </c>
      <c r="BQ54">
        <v>2.2444000000000002</v>
      </c>
      <c r="BR54">
        <v>1.9891399999999999</v>
      </c>
      <c r="BS54">
        <v>19.282800000000002</v>
      </c>
      <c r="BT54">
        <v>17.3582</v>
      </c>
      <c r="BU54">
        <v>1799.99</v>
      </c>
      <c r="BV54">
        <v>0.90999300000000005</v>
      </c>
      <c r="BW54">
        <v>3.40074E-2</v>
      </c>
      <c r="BX54">
        <v>2.1999399999999999E-2</v>
      </c>
      <c r="BY54">
        <v>3.39999E-2</v>
      </c>
      <c r="BZ54">
        <v>25.666699999999999</v>
      </c>
      <c r="CA54">
        <v>33528.199999999997</v>
      </c>
      <c r="CB54">
        <v>1690226183.5999999</v>
      </c>
      <c r="CC54" t="s">
        <v>332</v>
      </c>
      <c r="CD54">
        <v>1690226177.5999999</v>
      </c>
      <c r="CE54">
        <v>1690226183.5999999</v>
      </c>
      <c r="CF54">
        <v>12</v>
      </c>
      <c r="CG54">
        <v>-0.255</v>
      </c>
      <c r="CH54">
        <v>0.113</v>
      </c>
      <c r="CI54">
        <v>-0.439</v>
      </c>
      <c r="CJ54">
        <v>0.31</v>
      </c>
      <c r="CK54">
        <v>800</v>
      </c>
      <c r="CL54">
        <v>25</v>
      </c>
      <c r="CM54">
        <v>0.02</v>
      </c>
      <c r="CN54">
        <v>0.03</v>
      </c>
      <c r="CO54">
        <v>-7.5594177499999997</v>
      </c>
      <c r="CP54">
        <v>-1.8819234146341359</v>
      </c>
      <c r="CQ54">
        <v>0.1841042098172595</v>
      </c>
      <c r="CR54">
        <v>-1</v>
      </c>
      <c r="CS54">
        <v>2.5741122500000002</v>
      </c>
      <c r="CT54">
        <v>1.4690318949343599E-2</v>
      </c>
      <c r="CU54">
        <v>1.6712786833738801E-3</v>
      </c>
      <c r="CV54">
        <v>-1</v>
      </c>
      <c r="CW54">
        <v>0</v>
      </c>
      <c r="CX54">
        <v>0</v>
      </c>
      <c r="CY54" t="s">
        <v>333</v>
      </c>
      <c r="CZ54">
        <v>2.36443</v>
      </c>
      <c r="DA54">
        <v>2.7138100000000001</v>
      </c>
      <c r="DB54">
        <v>0.145727</v>
      </c>
      <c r="DC54">
        <v>0.14630799999999999</v>
      </c>
      <c r="DD54">
        <v>0.10885400000000001</v>
      </c>
      <c r="DE54">
        <v>9.8911100000000002E-2</v>
      </c>
      <c r="DF54">
        <v>31184.799999999999</v>
      </c>
      <c r="DG54">
        <v>27507.5</v>
      </c>
      <c r="DH54">
        <v>31164.799999999999</v>
      </c>
      <c r="DI54">
        <v>28077.4</v>
      </c>
      <c r="DJ54">
        <v>37708.6</v>
      </c>
      <c r="DK54">
        <v>35977.4</v>
      </c>
      <c r="DL54">
        <v>44351.3</v>
      </c>
      <c r="DM54">
        <v>42559.7</v>
      </c>
      <c r="DN54">
        <v>1.4720299999999999</v>
      </c>
      <c r="DO54">
        <v>2.0529799999999998</v>
      </c>
      <c r="DP54">
        <v>9.1046100000000005E-2</v>
      </c>
      <c r="DQ54">
        <v>0.182725</v>
      </c>
      <c r="DR54">
        <v>25.487100000000002</v>
      </c>
      <c r="DS54">
        <v>25.188700000000001</v>
      </c>
      <c r="DT54">
        <v>57.3</v>
      </c>
      <c r="DU54">
        <v>29.3</v>
      </c>
      <c r="DV54">
        <v>23.664300000000001</v>
      </c>
      <c r="DW54">
        <v>62.232399999999998</v>
      </c>
      <c r="DX54">
        <v>36.229999999999997</v>
      </c>
      <c r="DY54">
        <v>1</v>
      </c>
      <c r="DZ54">
        <v>-6.82368E-2</v>
      </c>
      <c r="EA54">
        <v>0.50607599999999997</v>
      </c>
      <c r="EB54">
        <v>20.188400000000001</v>
      </c>
      <c r="EC54">
        <v>5.2408000000000001</v>
      </c>
      <c r="ED54">
        <v>12.039899999999999</v>
      </c>
      <c r="EE54">
        <v>5.0168999999999997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1.8646400000000001</v>
      </c>
      <c r="EM54">
        <v>1.8692</v>
      </c>
      <c r="EN54">
        <v>1.86724</v>
      </c>
      <c r="EO54">
        <v>1.8633999999999999</v>
      </c>
      <c r="EP54">
        <v>1.8645499999999999</v>
      </c>
      <c r="EQ54">
        <v>1.8701399999999999</v>
      </c>
      <c r="ER54">
        <v>1.8694599999999999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-0.434</v>
      </c>
      <c r="FG54">
        <v>0.31</v>
      </c>
      <c r="FH54">
        <v>0.1121710645629533</v>
      </c>
      <c r="FI54">
        <v>-6.1462078757559423E-4</v>
      </c>
      <c r="FJ54">
        <v>-1.8861989874597051E-7</v>
      </c>
      <c r="FK54">
        <v>1.1980462299894961E-10</v>
      </c>
      <c r="FL54">
        <v>0.30996499999999833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16.8</v>
      </c>
      <c r="FU54">
        <v>16.7</v>
      </c>
      <c r="FV54">
        <v>1.79321</v>
      </c>
      <c r="FW54">
        <v>2.5854499999999998</v>
      </c>
      <c r="FX54">
        <v>1.5490699999999999</v>
      </c>
      <c r="FY54">
        <v>2.3290999999999999</v>
      </c>
      <c r="FZ54">
        <v>1.50146</v>
      </c>
      <c r="GA54">
        <v>2.2924799999999999</v>
      </c>
      <c r="GB54">
        <v>33.963900000000002</v>
      </c>
      <c r="GC54">
        <v>23.982399999999998</v>
      </c>
      <c r="GD54">
        <v>19</v>
      </c>
      <c r="GE54">
        <v>282.142</v>
      </c>
      <c r="GF54">
        <v>599.35799999999995</v>
      </c>
      <c r="GG54">
        <v>23.588999999999999</v>
      </c>
      <c r="GH54">
        <v>26.548999999999999</v>
      </c>
      <c r="GI54">
        <v>30</v>
      </c>
      <c r="GJ54">
        <v>26.5884</v>
      </c>
      <c r="GK54">
        <v>26.542400000000001</v>
      </c>
      <c r="GL54">
        <v>35.859499999999997</v>
      </c>
      <c r="GM54">
        <v>25.8245</v>
      </c>
      <c r="GN54">
        <v>100</v>
      </c>
      <c r="GO54">
        <v>23.592099999999999</v>
      </c>
      <c r="GP54">
        <v>800</v>
      </c>
      <c r="GQ54">
        <v>20.072099999999999</v>
      </c>
      <c r="GR54">
        <v>99.715199999999996</v>
      </c>
      <c r="GS54">
        <v>99.558199999999999</v>
      </c>
    </row>
    <row r="55" spans="1:201" x14ac:dyDescent="0.25">
      <c r="A55">
        <v>39</v>
      </c>
      <c r="B55">
        <v>1690227195.0999999</v>
      </c>
      <c r="C55">
        <v>625.5</v>
      </c>
      <c r="D55" t="s">
        <v>409</v>
      </c>
      <c r="E55" t="s">
        <v>410</v>
      </c>
      <c r="F55" t="s">
        <v>330</v>
      </c>
      <c r="H55">
        <v>1690227195.0999999</v>
      </c>
      <c r="I55">
        <f t="shared" si="0"/>
        <v>2.4463629882163845E-4</v>
      </c>
      <c r="J55">
        <f t="shared" si="1"/>
        <v>0.24463629882163843</v>
      </c>
      <c r="K55">
        <f t="shared" si="2"/>
        <v>0.5747631980038167</v>
      </c>
      <c r="L55">
        <f t="shared" si="3"/>
        <v>791.73099999999999</v>
      </c>
      <c r="M55">
        <f t="shared" si="4"/>
        <v>706.83201113896962</v>
      </c>
      <c r="N55">
        <f t="shared" si="5"/>
        <v>70.099175510037298</v>
      </c>
      <c r="O55">
        <f t="shared" si="6"/>
        <v>78.518925927401995</v>
      </c>
      <c r="P55">
        <f t="shared" si="7"/>
        <v>1.4332143978936666E-2</v>
      </c>
      <c r="Q55">
        <f t="shared" si="8"/>
        <v>2.1301049945862962</v>
      </c>
      <c r="R55">
        <f t="shared" si="9"/>
        <v>1.4278785993015578E-2</v>
      </c>
      <c r="S55">
        <f t="shared" si="10"/>
        <v>8.9290186193230307E-3</v>
      </c>
      <c r="T55">
        <f t="shared" si="11"/>
        <v>276.11215600506716</v>
      </c>
      <c r="U55">
        <f t="shared" si="12"/>
        <v>28.437142847141104</v>
      </c>
      <c r="V55">
        <f t="shared" si="13"/>
        <v>28.437142847141104</v>
      </c>
      <c r="W55">
        <f t="shared" si="14"/>
        <v>3.8926289072944886</v>
      </c>
      <c r="X55">
        <f t="shared" si="15"/>
        <v>65.248879602346676</v>
      </c>
      <c r="Y55">
        <f t="shared" si="16"/>
        <v>2.2460869088160003</v>
      </c>
      <c r="Z55">
        <f t="shared" si="17"/>
        <v>3.4423378953088104</v>
      </c>
      <c r="AA55">
        <f t="shared" si="18"/>
        <v>1.6465419984784884</v>
      </c>
      <c r="AB55">
        <f t="shared" si="19"/>
        <v>-10.788460778034256</v>
      </c>
      <c r="AC55">
        <f t="shared" si="20"/>
        <v>-241.06182907410152</v>
      </c>
      <c r="AD55">
        <f t="shared" si="21"/>
        <v>-24.518270140303226</v>
      </c>
      <c r="AE55">
        <f t="shared" si="22"/>
        <v>-0.25640398737184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52471.751119551001</v>
      </c>
      <c r="AK55">
        <f t="shared" si="26"/>
        <v>1799.98</v>
      </c>
      <c r="AL55">
        <f t="shared" si="27"/>
        <v>1499.0953953994199</v>
      </c>
      <c r="AM55">
        <f t="shared" si="28"/>
        <v>0.83284002899999998</v>
      </c>
      <c r="AN55">
        <f t="shared" si="29"/>
        <v>0.15339734663999999</v>
      </c>
      <c r="AO55">
        <v>32.4</v>
      </c>
      <c r="AP55">
        <v>0.5</v>
      </c>
      <c r="AQ55" t="s">
        <v>331</v>
      </c>
      <c r="AR55">
        <v>2</v>
      </c>
      <c r="AS55">
        <v>1690227195.0999999</v>
      </c>
      <c r="AT55">
        <v>791.73099999999999</v>
      </c>
      <c r="AU55">
        <v>800.02499999999998</v>
      </c>
      <c r="AV55">
        <v>22.648</v>
      </c>
      <c r="AW55">
        <v>20.067399999999999</v>
      </c>
      <c r="AX55">
        <v>792.16399999999999</v>
      </c>
      <c r="AY55">
        <v>22.338000000000001</v>
      </c>
      <c r="AZ55">
        <v>300.19</v>
      </c>
      <c r="BA55">
        <v>99.073700000000002</v>
      </c>
      <c r="BB55">
        <v>0.10004200000000001</v>
      </c>
      <c r="BC55">
        <v>26.338000000000001</v>
      </c>
      <c r="BD55">
        <v>26.9618</v>
      </c>
      <c r="BE55">
        <v>28.205400000000001</v>
      </c>
      <c r="BF55">
        <v>0</v>
      </c>
      <c r="BG55">
        <v>0</v>
      </c>
      <c r="BH55">
        <v>9993.75</v>
      </c>
      <c r="BI55">
        <v>1069.6600000000001</v>
      </c>
      <c r="BJ55">
        <v>1.5137799999999999</v>
      </c>
      <c r="BK55">
        <v>-8.2938200000000002</v>
      </c>
      <c r="BL55">
        <v>810.077</v>
      </c>
      <c r="BM55">
        <v>816.40800000000002</v>
      </c>
      <c r="BN55">
        <v>2.5805699999999998</v>
      </c>
      <c r="BO55">
        <v>800.02499999999998</v>
      </c>
      <c r="BP55">
        <v>20.067399999999999</v>
      </c>
      <c r="BQ55">
        <v>2.2438199999999999</v>
      </c>
      <c r="BR55">
        <v>1.9881500000000001</v>
      </c>
      <c r="BS55">
        <v>19.278700000000001</v>
      </c>
      <c r="BT55">
        <v>17.350300000000001</v>
      </c>
      <c r="BU55">
        <v>1799.98</v>
      </c>
      <c r="BV55">
        <v>0.91000099999999995</v>
      </c>
      <c r="BW55">
        <v>3.4004699999999999E-2</v>
      </c>
      <c r="BX55">
        <v>2.1997699999999999E-2</v>
      </c>
      <c r="BY55">
        <v>3.3997199999999998E-2</v>
      </c>
      <c r="BZ55">
        <v>25.666699999999999</v>
      </c>
      <c r="CA55">
        <v>33528.1</v>
      </c>
      <c r="CB55">
        <v>1690226183.5999999</v>
      </c>
      <c r="CC55" t="s">
        <v>332</v>
      </c>
      <c r="CD55">
        <v>1690226177.5999999</v>
      </c>
      <c r="CE55">
        <v>1690226183.5999999</v>
      </c>
      <c r="CF55">
        <v>12</v>
      </c>
      <c r="CG55">
        <v>-0.255</v>
      </c>
      <c r="CH55">
        <v>0.113</v>
      </c>
      <c r="CI55">
        <v>-0.439</v>
      </c>
      <c r="CJ55">
        <v>0.31</v>
      </c>
      <c r="CK55">
        <v>800</v>
      </c>
      <c r="CL55">
        <v>25</v>
      </c>
      <c r="CM55">
        <v>0.02</v>
      </c>
      <c r="CN55">
        <v>0.03</v>
      </c>
      <c r="CO55">
        <v>-7.9057527500000004</v>
      </c>
      <c r="CP55">
        <v>-2.2234357598499179</v>
      </c>
      <c r="CQ55">
        <v>0.2175106841052584</v>
      </c>
      <c r="CR55">
        <v>-1</v>
      </c>
      <c r="CS55">
        <v>2.5772560000000002</v>
      </c>
      <c r="CT55">
        <v>1.7792645403373171E-2</v>
      </c>
      <c r="CU55">
        <v>1.913384174701982E-3</v>
      </c>
      <c r="CV55">
        <v>-1</v>
      </c>
      <c r="CW55">
        <v>0</v>
      </c>
      <c r="CX55">
        <v>0</v>
      </c>
      <c r="CY55" t="s">
        <v>333</v>
      </c>
      <c r="CZ55">
        <v>2.3641399999999999</v>
      </c>
      <c r="DA55">
        <v>2.7138300000000002</v>
      </c>
      <c r="DB55">
        <v>0.14568200000000001</v>
      </c>
      <c r="DC55">
        <v>0.14629900000000001</v>
      </c>
      <c r="DD55">
        <v>0.108832</v>
      </c>
      <c r="DE55">
        <v>9.8874199999999995E-2</v>
      </c>
      <c r="DF55">
        <v>31186.400000000001</v>
      </c>
      <c r="DG55">
        <v>27507.4</v>
      </c>
      <c r="DH55">
        <v>31164.799999999999</v>
      </c>
      <c r="DI55">
        <v>28076.9</v>
      </c>
      <c r="DJ55">
        <v>37709.699999999997</v>
      </c>
      <c r="DK55">
        <v>35978.1</v>
      </c>
      <c r="DL55">
        <v>44351.4</v>
      </c>
      <c r="DM55">
        <v>42558.7</v>
      </c>
      <c r="DN55">
        <v>1.47183</v>
      </c>
      <c r="DO55">
        <v>2.0534300000000001</v>
      </c>
      <c r="DP55">
        <v>9.0748099999999998E-2</v>
      </c>
      <c r="DQ55">
        <v>0.184923</v>
      </c>
      <c r="DR55">
        <v>25.4758</v>
      </c>
      <c r="DS55">
        <v>25.1797</v>
      </c>
      <c r="DT55">
        <v>57.3</v>
      </c>
      <c r="DU55">
        <v>29.3</v>
      </c>
      <c r="DV55">
        <v>23.666599999999999</v>
      </c>
      <c r="DW55">
        <v>61.682400000000001</v>
      </c>
      <c r="DX55">
        <v>35.308500000000002</v>
      </c>
      <c r="DY55">
        <v>1</v>
      </c>
      <c r="DZ55">
        <v>-6.8701700000000004E-2</v>
      </c>
      <c r="EA55">
        <v>0.57716000000000001</v>
      </c>
      <c r="EB55">
        <v>20.188300000000002</v>
      </c>
      <c r="EC55">
        <v>5.2408000000000001</v>
      </c>
      <c r="ED55">
        <v>12.039899999999999</v>
      </c>
      <c r="EE55">
        <v>5.0171000000000001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1.8689100000000001</v>
      </c>
      <c r="EL55">
        <v>1.8646400000000001</v>
      </c>
      <c r="EM55">
        <v>1.8692</v>
      </c>
      <c r="EN55">
        <v>1.86724</v>
      </c>
      <c r="EO55">
        <v>1.8633999999999999</v>
      </c>
      <c r="EP55">
        <v>1.8645499999999999</v>
      </c>
      <c r="EQ55">
        <v>1.8701399999999999</v>
      </c>
      <c r="ER55">
        <v>1.8694500000000001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-0.433</v>
      </c>
      <c r="FG55">
        <v>0.31</v>
      </c>
      <c r="FH55">
        <v>0.1121710645629533</v>
      </c>
      <c r="FI55">
        <v>-6.1462078757559423E-4</v>
      </c>
      <c r="FJ55">
        <v>-1.8861989874597051E-7</v>
      </c>
      <c r="FK55">
        <v>1.1980462299894961E-10</v>
      </c>
      <c r="FL55">
        <v>0.30996499999999833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17</v>
      </c>
      <c r="FU55">
        <v>16.899999999999999</v>
      </c>
      <c r="FV55">
        <v>1.79321</v>
      </c>
      <c r="FW55">
        <v>2.5830099999999998</v>
      </c>
      <c r="FX55">
        <v>1.5490699999999999</v>
      </c>
      <c r="FY55">
        <v>2.3290999999999999</v>
      </c>
      <c r="FZ55">
        <v>1.50146</v>
      </c>
      <c r="GA55">
        <v>2.4328599999999998</v>
      </c>
      <c r="GB55">
        <v>33.963900000000002</v>
      </c>
      <c r="GC55">
        <v>23.991199999999999</v>
      </c>
      <c r="GD55">
        <v>19</v>
      </c>
      <c r="GE55">
        <v>282.06400000000002</v>
      </c>
      <c r="GF55">
        <v>599.76400000000001</v>
      </c>
      <c r="GG55">
        <v>23.640499999999999</v>
      </c>
      <c r="GH55">
        <v>26.544499999999999</v>
      </c>
      <c r="GI55">
        <v>30</v>
      </c>
      <c r="GJ55">
        <v>26.59</v>
      </c>
      <c r="GK55">
        <v>26.544699999999999</v>
      </c>
      <c r="GL55">
        <v>35.857199999999999</v>
      </c>
      <c r="GM55">
        <v>25.8245</v>
      </c>
      <c r="GN55">
        <v>100</v>
      </c>
      <c r="GO55">
        <v>23.638300000000001</v>
      </c>
      <c r="GP55">
        <v>800</v>
      </c>
      <c r="GQ55">
        <v>20.058399999999999</v>
      </c>
      <c r="GR55">
        <v>99.715299999999999</v>
      </c>
      <c r="GS55">
        <v>99.556100000000001</v>
      </c>
    </row>
    <row r="56" spans="1:201" x14ac:dyDescent="0.25">
      <c r="A56">
        <v>40</v>
      </c>
      <c r="B56">
        <v>1690227205.0999999</v>
      </c>
      <c r="C56">
        <v>635.5</v>
      </c>
      <c r="D56" t="s">
        <v>411</v>
      </c>
      <c r="E56" t="s">
        <v>412</v>
      </c>
      <c r="F56" t="s">
        <v>330</v>
      </c>
      <c r="H56">
        <v>1690227205.0999999</v>
      </c>
      <c r="I56">
        <f t="shared" si="0"/>
        <v>2.4407636473736526E-4</v>
      </c>
      <c r="J56">
        <f t="shared" si="1"/>
        <v>0.24407636473736524</v>
      </c>
      <c r="K56">
        <f t="shared" si="2"/>
        <v>0.61119605914919428</v>
      </c>
      <c r="L56">
        <f t="shared" si="3"/>
        <v>791.34400000000005</v>
      </c>
      <c r="M56">
        <f t="shared" si="4"/>
        <v>702.17528541065553</v>
      </c>
      <c r="N56">
        <f t="shared" si="5"/>
        <v>69.641553394046014</v>
      </c>
      <c r="O56">
        <f t="shared" si="6"/>
        <v>78.485282199625615</v>
      </c>
      <c r="P56">
        <f t="shared" si="7"/>
        <v>1.4282850426856692E-2</v>
      </c>
      <c r="Q56">
        <f t="shared" si="8"/>
        <v>2.1326526783777968</v>
      </c>
      <c r="R56">
        <f t="shared" si="9"/>
        <v>1.4229921164741675E-2</v>
      </c>
      <c r="S56">
        <f t="shared" si="10"/>
        <v>8.8984397916632221E-3</v>
      </c>
      <c r="T56">
        <f t="shared" si="11"/>
        <v>276.1132382350433</v>
      </c>
      <c r="U56">
        <f t="shared" si="12"/>
        <v>28.440657204237592</v>
      </c>
      <c r="V56">
        <f t="shared" si="13"/>
        <v>28.440657204237592</v>
      </c>
      <c r="W56">
        <f t="shared" si="14"/>
        <v>3.8934238942736981</v>
      </c>
      <c r="X56">
        <f t="shared" si="15"/>
        <v>65.192946411229173</v>
      </c>
      <c r="Y56">
        <f t="shared" si="16"/>
        <v>2.2449033757807801</v>
      </c>
      <c r="Z56">
        <f t="shared" si="17"/>
        <v>3.4434758656560831</v>
      </c>
      <c r="AA56">
        <f t="shared" si="18"/>
        <v>1.6485205184929179</v>
      </c>
      <c r="AB56">
        <f t="shared" si="19"/>
        <v>-10.763767684917807</v>
      </c>
      <c r="AC56">
        <f t="shared" si="20"/>
        <v>-241.11034988938005</v>
      </c>
      <c r="AD56">
        <f t="shared" si="21"/>
        <v>-24.495023756218643</v>
      </c>
      <c r="AE56">
        <f t="shared" si="22"/>
        <v>-0.25590309547320089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52581.00028003921</v>
      </c>
      <c r="AK56">
        <f t="shared" si="26"/>
        <v>1799.99</v>
      </c>
      <c r="AL56">
        <f t="shared" si="27"/>
        <v>1499.10376519948</v>
      </c>
      <c r="AM56">
        <f t="shared" si="28"/>
        <v>0.832840052</v>
      </c>
      <c r="AN56">
        <f t="shared" si="29"/>
        <v>0.15339709566999998</v>
      </c>
      <c r="AO56">
        <v>32.4</v>
      </c>
      <c r="AP56">
        <v>0.5</v>
      </c>
      <c r="AQ56" t="s">
        <v>331</v>
      </c>
      <c r="AR56">
        <v>2</v>
      </c>
      <c r="AS56">
        <v>1690227205.0999999</v>
      </c>
      <c r="AT56">
        <v>791.34400000000005</v>
      </c>
      <c r="AU56">
        <v>800.02599999999995</v>
      </c>
      <c r="AV56">
        <v>22.634699999999999</v>
      </c>
      <c r="AW56">
        <v>20.059799999999999</v>
      </c>
      <c r="AX56">
        <v>791.77700000000004</v>
      </c>
      <c r="AY56">
        <v>22.3247</v>
      </c>
      <c r="AZ56">
        <v>300.17</v>
      </c>
      <c r="BA56">
        <v>99.079800000000006</v>
      </c>
      <c r="BB56">
        <v>9.99274E-2</v>
      </c>
      <c r="BC56">
        <v>26.343599999999999</v>
      </c>
      <c r="BD56">
        <v>26.9924</v>
      </c>
      <c r="BE56">
        <v>28.219000000000001</v>
      </c>
      <c r="BF56">
        <v>0</v>
      </c>
      <c r="BG56">
        <v>0</v>
      </c>
      <c r="BH56">
        <v>10015</v>
      </c>
      <c r="BI56">
        <v>1069.69</v>
      </c>
      <c r="BJ56">
        <v>1.2166300000000001</v>
      </c>
      <c r="BK56">
        <v>-8.6825600000000005</v>
      </c>
      <c r="BL56">
        <v>809.67</v>
      </c>
      <c r="BM56">
        <v>816.40300000000002</v>
      </c>
      <c r="BN56">
        <v>2.5748899999999999</v>
      </c>
      <c r="BO56">
        <v>800.02599999999995</v>
      </c>
      <c r="BP56">
        <v>20.059799999999999</v>
      </c>
      <c r="BQ56">
        <v>2.2426400000000002</v>
      </c>
      <c r="BR56">
        <v>1.98752</v>
      </c>
      <c r="BS56">
        <v>19.270199999999999</v>
      </c>
      <c r="BT56">
        <v>17.345300000000002</v>
      </c>
      <c r="BU56">
        <v>1799.99</v>
      </c>
      <c r="BV56">
        <v>0.91000700000000001</v>
      </c>
      <c r="BW56">
        <v>3.4002200000000003E-2</v>
      </c>
      <c r="BX56">
        <v>2.1996100000000001E-2</v>
      </c>
      <c r="BY56">
        <v>3.3994700000000003E-2</v>
      </c>
      <c r="BZ56">
        <v>25.666699999999999</v>
      </c>
      <c r="CA56">
        <v>33528.199999999997</v>
      </c>
      <c r="CB56">
        <v>1690226183.5999999</v>
      </c>
      <c r="CC56" t="s">
        <v>332</v>
      </c>
      <c r="CD56">
        <v>1690226177.5999999</v>
      </c>
      <c r="CE56">
        <v>1690226183.5999999</v>
      </c>
      <c r="CF56">
        <v>12</v>
      </c>
      <c r="CG56">
        <v>-0.255</v>
      </c>
      <c r="CH56">
        <v>0.113</v>
      </c>
      <c r="CI56">
        <v>-0.439</v>
      </c>
      <c r="CJ56">
        <v>0.31</v>
      </c>
      <c r="CK56">
        <v>800</v>
      </c>
      <c r="CL56">
        <v>25</v>
      </c>
      <c r="CM56">
        <v>0.02</v>
      </c>
      <c r="CN56">
        <v>0.03</v>
      </c>
      <c r="CO56">
        <v>-8.2355468292682925</v>
      </c>
      <c r="CP56">
        <v>-1.8804955400696859</v>
      </c>
      <c r="CQ56">
        <v>0.1875566540806976</v>
      </c>
      <c r="CR56">
        <v>-1</v>
      </c>
      <c r="CS56">
        <v>2.5789670731707321</v>
      </c>
      <c r="CT56">
        <v>5.6406271777025884E-3</v>
      </c>
      <c r="CU56">
        <v>1.3906784515557991E-3</v>
      </c>
      <c r="CV56">
        <v>-1</v>
      </c>
      <c r="CW56">
        <v>0</v>
      </c>
      <c r="CX56">
        <v>0</v>
      </c>
      <c r="CY56" t="s">
        <v>333</v>
      </c>
      <c r="CZ56">
        <v>2.3640599999999998</v>
      </c>
      <c r="DA56">
        <v>2.71373</v>
      </c>
      <c r="DB56">
        <v>0.14564199999999999</v>
      </c>
      <c r="DC56">
        <v>0.14630699999999999</v>
      </c>
      <c r="DD56">
        <v>0.108793</v>
      </c>
      <c r="DE56">
        <v>9.8852999999999996E-2</v>
      </c>
      <c r="DF56">
        <v>31187.9</v>
      </c>
      <c r="DG56">
        <v>27507</v>
      </c>
      <c r="DH56">
        <v>31164.799999999999</v>
      </c>
      <c r="DI56">
        <v>28076.799999999999</v>
      </c>
      <c r="DJ56">
        <v>37711.300000000003</v>
      </c>
      <c r="DK56">
        <v>35978.9</v>
      </c>
      <c r="DL56">
        <v>44351.4</v>
      </c>
      <c r="DM56">
        <v>42558.7</v>
      </c>
      <c r="DN56">
        <v>1.47187</v>
      </c>
      <c r="DO56">
        <v>2.0533000000000001</v>
      </c>
      <c r="DP56">
        <v>9.3057799999999996E-2</v>
      </c>
      <c r="DQ56">
        <v>0.186116</v>
      </c>
      <c r="DR56">
        <v>25.468699999999998</v>
      </c>
      <c r="DS56">
        <v>25.1737</v>
      </c>
      <c r="DT56">
        <v>57.3</v>
      </c>
      <c r="DU56">
        <v>29.3</v>
      </c>
      <c r="DV56">
        <v>23.6663</v>
      </c>
      <c r="DW56">
        <v>61.822400000000002</v>
      </c>
      <c r="DX56">
        <v>36.430300000000003</v>
      </c>
      <c r="DY56">
        <v>1</v>
      </c>
      <c r="DZ56">
        <v>-6.8600099999999997E-2</v>
      </c>
      <c r="EA56">
        <v>0.53214600000000001</v>
      </c>
      <c r="EB56">
        <v>20.188300000000002</v>
      </c>
      <c r="EC56">
        <v>5.2406499999999996</v>
      </c>
      <c r="ED56">
        <v>12.039899999999999</v>
      </c>
      <c r="EE56">
        <v>5.0170500000000002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1.8689100000000001</v>
      </c>
      <c r="EL56">
        <v>1.86463</v>
      </c>
      <c r="EM56">
        <v>1.8691899999999999</v>
      </c>
      <c r="EN56">
        <v>1.8672500000000001</v>
      </c>
      <c r="EO56">
        <v>1.8633999999999999</v>
      </c>
      <c r="EP56">
        <v>1.86452</v>
      </c>
      <c r="EQ56">
        <v>1.87012</v>
      </c>
      <c r="ER56">
        <v>1.8694299999999999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-0.433</v>
      </c>
      <c r="FG56">
        <v>0.31</v>
      </c>
      <c r="FH56">
        <v>0.1121710645629533</v>
      </c>
      <c r="FI56">
        <v>-6.1462078757559423E-4</v>
      </c>
      <c r="FJ56">
        <v>-1.8861989874597051E-7</v>
      </c>
      <c r="FK56">
        <v>1.1980462299894961E-10</v>
      </c>
      <c r="FL56">
        <v>0.30996499999999833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17.100000000000001</v>
      </c>
      <c r="FU56">
        <v>17</v>
      </c>
      <c r="FV56">
        <v>1.79321</v>
      </c>
      <c r="FW56">
        <v>2.5903299999999998</v>
      </c>
      <c r="FX56">
        <v>1.5490699999999999</v>
      </c>
      <c r="FY56">
        <v>2.3290999999999999</v>
      </c>
      <c r="FZ56">
        <v>1.50146</v>
      </c>
      <c r="GA56">
        <v>2.3156699999999999</v>
      </c>
      <c r="GB56">
        <v>33.963900000000002</v>
      </c>
      <c r="GC56">
        <v>23.982399999999998</v>
      </c>
      <c r="GD56">
        <v>19</v>
      </c>
      <c r="GE56">
        <v>282.08800000000002</v>
      </c>
      <c r="GF56">
        <v>599.68399999999997</v>
      </c>
      <c r="GG56">
        <v>23.6859</v>
      </c>
      <c r="GH56">
        <v>26.540600000000001</v>
      </c>
      <c r="GI56">
        <v>30.0001</v>
      </c>
      <c r="GJ56">
        <v>26.590599999999998</v>
      </c>
      <c r="GK56">
        <v>26.546800000000001</v>
      </c>
      <c r="GL56">
        <v>35.8566</v>
      </c>
      <c r="GM56">
        <v>25.8245</v>
      </c>
      <c r="GN56">
        <v>100</v>
      </c>
      <c r="GO56">
        <v>23.690799999999999</v>
      </c>
      <c r="GP56">
        <v>800</v>
      </c>
      <c r="GQ56">
        <v>20.054400000000001</v>
      </c>
      <c r="GR56">
        <v>99.715199999999996</v>
      </c>
      <c r="GS56">
        <v>99.555899999999994</v>
      </c>
    </row>
    <row r="57" spans="1:201" x14ac:dyDescent="0.25">
      <c r="A57">
        <v>41</v>
      </c>
      <c r="B57">
        <v>1690227215.0999999</v>
      </c>
      <c r="C57">
        <v>645.5</v>
      </c>
      <c r="D57" t="s">
        <v>413</v>
      </c>
      <c r="E57" t="s">
        <v>414</v>
      </c>
      <c r="F57" t="s">
        <v>330</v>
      </c>
      <c r="H57">
        <v>1690227215.0999999</v>
      </c>
      <c r="I57">
        <f t="shared" si="0"/>
        <v>2.4465890837526138E-4</v>
      </c>
      <c r="J57">
        <f t="shared" si="1"/>
        <v>0.24465890837526136</v>
      </c>
      <c r="K57">
        <f t="shared" si="2"/>
        <v>0.64817199761002264</v>
      </c>
      <c r="L57">
        <f t="shared" si="3"/>
        <v>790.94100000000003</v>
      </c>
      <c r="M57">
        <f t="shared" si="4"/>
        <v>697.76103844798752</v>
      </c>
      <c r="N57">
        <f t="shared" si="5"/>
        <v>69.201997226540357</v>
      </c>
      <c r="O57">
        <f t="shared" si="6"/>
        <v>78.443326400255998</v>
      </c>
      <c r="P57">
        <f t="shared" si="7"/>
        <v>1.4302364142168521E-2</v>
      </c>
      <c r="Q57">
        <f t="shared" si="8"/>
        <v>2.1315274537954729</v>
      </c>
      <c r="R57">
        <f t="shared" si="9"/>
        <v>1.4249262538750826E-2</v>
      </c>
      <c r="S57">
        <f t="shared" si="10"/>
        <v>8.910543550266643E-3</v>
      </c>
      <c r="T57">
        <f t="shared" si="11"/>
        <v>276.11297934248159</v>
      </c>
      <c r="U57">
        <f t="shared" si="12"/>
        <v>28.445350391235795</v>
      </c>
      <c r="V57">
        <f t="shared" si="13"/>
        <v>28.445350391235795</v>
      </c>
      <c r="W57">
        <f t="shared" si="14"/>
        <v>3.8944857666293125</v>
      </c>
      <c r="X57">
        <f t="shared" si="15"/>
        <v>65.161030362064722</v>
      </c>
      <c r="Y57">
        <f t="shared" si="16"/>
        <v>2.2443208917504003</v>
      </c>
      <c r="Z57">
        <f t="shared" si="17"/>
        <v>3.4442685747599739</v>
      </c>
      <c r="AA57">
        <f t="shared" si="18"/>
        <v>1.6501648748789122</v>
      </c>
      <c r="AB57">
        <f t="shared" si="19"/>
        <v>-10.789457859349026</v>
      </c>
      <c r="AC57">
        <f t="shared" si="20"/>
        <v>-241.07428489337929</v>
      </c>
      <c r="AD57">
        <f t="shared" si="21"/>
        <v>-24.505340415920305</v>
      </c>
      <c r="AE57">
        <f t="shared" si="22"/>
        <v>-0.25610382616702054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52531.613670203929</v>
      </c>
      <c r="AK57">
        <f t="shared" si="26"/>
        <v>1799.99</v>
      </c>
      <c r="AL57">
        <f t="shared" si="27"/>
        <v>1499.1053167908601</v>
      </c>
      <c r="AM57">
        <f t="shared" si="28"/>
        <v>0.83284091400000004</v>
      </c>
      <c r="AN57">
        <f t="shared" si="29"/>
        <v>0.15339695183999999</v>
      </c>
      <c r="AO57">
        <v>32.4</v>
      </c>
      <c r="AP57">
        <v>0.5</v>
      </c>
      <c r="AQ57" t="s">
        <v>331</v>
      </c>
      <c r="AR57">
        <v>2</v>
      </c>
      <c r="AS57">
        <v>1690227215.0999999</v>
      </c>
      <c r="AT57">
        <v>790.94100000000003</v>
      </c>
      <c r="AU57">
        <v>800.02300000000002</v>
      </c>
      <c r="AV57">
        <v>22.6294</v>
      </c>
      <c r="AW57">
        <v>20.049199999999999</v>
      </c>
      <c r="AX57">
        <v>791.37400000000002</v>
      </c>
      <c r="AY57">
        <v>22.319400000000002</v>
      </c>
      <c r="AZ57">
        <v>300.27</v>
      </c>
      <c r="BA57">
        <v>99.077200000000005</v>
      </c>
      <c r="BB57">
        <v>0.10001599999999999</v>
      </c>
      <c r="BC57">
        <v>26.3475</v>
      </c>
      <c r="BD57">
        <v>26.976199999999999</v>
      </c>
      <c r="BE57">
        <v>28.210599999999999</v>
      </c>
      <c r="BF57">
        <v>0</v>
      </c>
      <c r="BG57">
        <v>0</v>
      </c>
      <c r="BH57">
        <v>10005.6</v>
      </c>
      <c r="BI57">
        <v>1069.6400000000001</v>
      </c>
      <c r="BJ57">
        <v>1.1773899999999999</v>
      </c>
      <c r="BK57">
        <v>-9.0813000000000006</v>
      </c>
      <c r="BL57">
        <v>809.25400000000002</v>
      </c>
      <c r="BM57">
        <v>816.39099999999996</v>
      </c>
      <c r="BN57">
        <v>2.5802</v>
      </c>
      <c r="BO57">
        <v>800.02300000000002</v>
      </c>
      <c r="BP57">
        <v>20.049199999999999</v>
      </c>
      <c r="BQ57">
        <v>2.2420499999999999</v>
      </c>
      <c r="BR57">
        <v>1.9864200000000001</v>
      </c>
      <c r="BS57">
        <v>19.265999999999998</v>
      </c>
      <c r="BT57">
        <v>17.336500000000001</v>
      </c>
      <c r="BU57">
        <v>1799.99</v>
      </c>
      <c r="BV57">
        <v>0.91001500000000002</v>
      </c>
      <c r="BW57">
        <v>3.3999300000000003E-2</v>
      </c>
      <c r="BX57">
        <v>2.1994199999999998E-2</v>
      </c>
      <c r="BY57">
        <v>3.3991800000000003E-2</v>
      </c>
      <c r="BZ57">
        <v>25.666699999999999</v>
      </c>
      <c r="CA57">
        <v>33528.300000000003</v>
      </c>
      <c r="CB57">
        <v>1690226183.5999999</v>
      </c>
      <c r="CC57" t="s">
        <v>332</v>
      </c>
      <c r="CD57">
        <v>1690226177.5999999</v>
      </c>
      <c r="CE57">
        <v>1690226183.5999999</v>
      </c>
      <c r="CF57">
        <v>12</v>
      </c>
      <c r="CG57">
        <v>-0.255</v>
      </c>
      <c r="CH57">
        <v>0.113</v>
      </c>
      <c r="CI57">
        <v>-0.439</v>
      </c>
      <c r="CJ57">
        <v>0.31</v>
      </c>
      <c r="CK57">
        <v>800</v>
      </c>
      <c r="CL57">
        <v>25</v>
      </c>
      <c r="CM57">
        <v>0.02</v>
      </c>
      <c r="CN57">
        <v>0.03</v>
      </c>
      <c r="CO57">
        <v>-8.6538114634146339</v>
      </c>
      <c r="CP57">
        <v>-2.5842089895470508</v>
      </c>
      <c r="CQ57">
        <v>0.25657850383850311</v>
      </c>
      <c r="CR57">
        <v>-1</v>
      </c>
      <c r="CS57">
        <v>2.57849756097561</v>
      </c>
      <c r="CT57">
        <v>-3.9079442508761723E-3</v>
      </c>
      <c r="CU57">
        <v>1.820011766898201E-3</v>
      </c>
      <c r="CV57">
        <v>-1</v>
      </c>
      <c r="CW57">
        <v>0</v>
      </c>
      <c r="CX57">
        <v>0</v>
      </c>
      <c r="CY57" t="s">
        <v>333</v>
      </c>
      <c r="CZ57">
        <v>2.3643800000000001</v>
      </c>
      <c r="DA57">
        <v>2.7138100000000001</v>
      </c>
      <c r="DB57">
        <v>0.145589</v>
      </c>
      <c r="DC57">
        <v>0.14630199999999999</v>
      </c>
      <c r="DD57">
        <v>0.10877199999999999</v>
      </c>
      <c r="DE57">
        <v>9.8812800000000006E-2</v>
      </c>
      <c r="DF57">
        <v>31190</v>
      </c>
      <c r="DG57">
        <v>27507.3</v>
      </c>
      <c r="DH57">
        <v>31164.9</v>
      </c>
      <c r="DI57">
        <v>28076.9</v>
      </c>
      <c r="DJ57">
        <v>37712.400000000001</v>
      </c>
      <c r="DK57">
        <v>35980.5</v>
      </c>
      <c r="DL57">
        <v>44351.6</v>
      </c>
      <c r="DM57">
        <v>42558.7</v>
      </c>
      <c r="DN57">
        <v>1.47193</v>
      </c>
      <c r="DO57">
        <v>2.0532300000000001</v>
      </c>
      <c r="DP57">
        <v>9.2387200000000003E-2</v>
      </c>
      <c r="DQ57">
        <v>0.185892</v>
      </c>
      <c r="DR57">
        <v>25.4634</v>
      </c>
      <c r="DS57">
        <v>25.168900000000001</v>
      </c>
      <c r="DT57">
        <v>57.3</v>
      </c>
      <c r="DU57">
        <v>29.3</v>
      </c>
      <c r="DV57">
        <v>23.667300000000001</v>
      </c>
      <c r="DW57">
        <v>61.812399999999997</v>
      </c>
      <c r="DX57">
        <v>35.448700000000002</v>
      </c>
      <c r="DY57">
        <v>1</v>
      </c>
      <c r="DZ57">
        <v>-6.8638199999999996E-2</v>
      </c>
      <c r="EA57">
        <v>0.54283000000000003</v>
      </c>
      <c r="EB57">
        <v>20.188199999999998</v>
      </c>
      <c r="EC57">
        <v>5.2406499999999996</v>
      </c>
      <c r="ED57">
        <v>12.039899999999999</v>
      </c>
      <c r="EE57">
        <v>5.0167999999999999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1.8689100000000001</v>
      </c>
      <c r="EL57">
        <v>1.8646199999999999</v>
      </c>
      <c r="EM57">
        <v>1.8692</v>
      </c>
      <c r="EN57">
        <v>1.86724</v>
      </c>
      <c r="EO57">
        <v>1.8633999999999999</v>
      </c>
      <c r="EP57">
        <v>1.86452</v>
      </c>
      <c r="EQ57">
        <v>1.8701300000000001</v>
      </c>
      <c r="ER57">
        <v>1.8694299999999999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-0.433</v>
      </c>
      <c r="FG57">
        <v>0.31</v>
      </c>
      <c r="FH57">
        <v>0.1121710645629533</v>
      </c>
      <c r="FI57">
        <v>-6.1462078757559423E-4</v>
      </c>
      <c r="FJ57">
        <v>-1.8861989874597051E-7</v>
      </c>
      <c r="FK57">
        <v>1.1980462299894961E-10</v>
      </c>
      <c r="FL57">
        <v>0.30996499999999833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17.3</v>
      </c>
      <c r="FU57">
        <v>17.2</v>
      </c>
      <c r="FV57">
        <v>1.79321</v>
      </c>
      <c r="FW57">
        <v>2.5805699999999998</v>
      </c>
      <c r="FX57">
        <v>1.5490699999999999</v>
      </c>
      <c r="FY57">
        <v>2.3290999999999999</v>
      </c>
      <c r="FZ57">
        <v>1.50146</v>
      </c>
      <c r="GA57">
        <v>2.3889200000000002</v>
      </c>
      <c r="GB57">
        <v>33.963900000000002</v>
      </c>
      <c r="GC57">
        <v>23.991199999999999</v>
      </c>
      <c r="GD57">
        <v>19</v>
      </c>
      <c r="GE57">
        <v>282.10899999999998</v>
      </c>
      <c r="GF57">
        <v>599.64700000000005</v>
      </c>
      <c r="GG57">
        <v>23.7133</v>
      </c>
      <c r="GH57">
        <v>26.535599999999999</v>
      </c>
      <c r="GI57">
        <v>30.0001</v>
      </c>
      <c r="GJ57">
        <v>26.590599999999998</v>
      </c>
      <c r="GK57">
        <v>26.549099999999999</v>
      </c>
      <c r="GL57">
        <v>35.855699999999999</v>
      </c>
      <c r="GM57">
        <v>25.8245</v>
      </c>
      <c r="GN57">
        <v>100</v>
      </c>
      <c r="GO57">
        <v>23.718399999999999</v>
      </c>
      <c r="GP57">
        <v>800</v>
      </c>
      <c r="GQ57">
        <v>20.045999999999999</v>
      </c>
      <c r="GR57">
        <v>99.715699999999998</v>
      </c>
      <c r="GS57">
        <v>99.556100000000001</v>
      </c>
    </row>
    <row r="58" spans="1:201" x14ac:dyDescent="0.25">
      <c r="A58">
        <v>42</v>
      </c>
      <c r="B58">
        <v>1690227225.0999999</v>
      </c>
      <c r="C58">
        <v>655.5</v>
      </c>
      <c r="D58" t="s">
        <v>415</v>
      </c>
      <c r="E58" t="s">
        <v>416</v>
      </c>
      <c r="F58" t="s">
        <v>330</v>
      </c>
      <c r="H58">
        <v>1690227225.0999999</v>
      </c>
      <c r="I58">
        <f t="shared" si="0"/>
        <v>2.445992496107384E-4</v>
      </c>
      <c r="J58">
        <f t="shared" si="1"/>
        <v>0.2445992496107384</v>
      </c>
      <c r="K58">
        <f t="shared" si="2"/>
        <v>0.6867481828301385</v>
      </c>
      <c r="L58">
        <f t="shared" si="3"/>
        <v>790.52700000000004</v>
      </c>
      <c r="M58">
        <f t="shared" si="4"/>
        <v>692.9310125290375</v>
      </c>
      <c r="N58">
        <f t="shared" si="5"/>
        <v>68.721766328798125</v>
      </c>
      <c r="O58">
        <f t="shared" si="6"/>
        <v>78.4008953103816</v>
      </c>
      <c r="P58">
        <f t="shared" si="7"/>
        <v>1.4278253417702958E-2</v>
      </c>
      <c r="Q58">
        <f t="shared" si="8"/>
        <v>2.1335445724076472</v>
      </c>
      <c r="R58">
        <f t="shared" si="9"/>
        <v>1.422538017672538E-2</v>
      </c>
      <c r="S58">
        <f t="shared" si="10"/>
        <v>8.895596670255166E-3</v>
      </c>
      <c r="T58">
        <f t="shared" si="11"/>
        <v>276.11246702932783</v>
      </c>
      <c r="U58">
        <f t="shared" si="12"/>
        <v>28.452447798143147</v>
      </c>
      <c r="V58">
        <f t="shared" si="13"/>
        <v>28.452447798143147</v>
      </c>
      <c r="W58">
        <f t="shared" si="14"/>
        <v>3.8960920934774874</v>
      </c>
      <c r="X58">
        <f t="shared" si="15"/>
        <v>65.105815970203395</v>
      </c>
      <c r="Y58">
        <f t="shared" si="16"/>
        <v>2.2435973143979999</v>
      </c>
      <c r="Z58">
        <f t="shared" si="17"/>
        <v>3.4460781743751037</v>
      </c>
      <c r="AA58">
        <f t="shared" si="18"/>
        <v>1.6524947790794875</v>
      </c>
      <c r="AB58">
        <f t="shared" si="19"/>
        <v>-10.786826907833564</v>
      </c>
      <c r="AC58">
        <f t="shared" si="20"/>
        <v>-241.09507877122206</v>
      </c>
      <c r="AD58">
        <f t="shared" si="21"/>
        <v>-24.486239389425112</v>
      </c>
      <c r="AE58">
        <f t="shared" si="22"/>
        <v>-0.25567803915291165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52617.235073179232</v>
      </c>
      <c r="AK58">
        <f t="shared" si="26"/>
        <v>1799.99</v>
      </c>
      <c r="AL58">
        <f t="shared" si="27"/>
        <v>1499.1057721883301</v>
      </c>
      <c r="AM58">
        <f t="shared" si="28"/>
        <v>0.83284116699999999</v>
      </c>
      <c r="AN58">
        <f t="shared" si="29"/>
        <v>0.15339666722</v>
      </c>
      <c r="AO58">
        <v>32.4</v>
      </c>
      <c r="AP58">
        <v>0.5</v>
      </c>
      <c r="AQ58" t="s">
        <v>331</v>
      </c>
      <c r="AR58">
        <v>2</v>
      </c>
      <c r="AS58">
        <v>1690227225.0999999</v>
      </c>
      <c r="AT58">
        <v>790.52700000000004</v>
      </c>
      <c r="AU58">
        <v>800.02700000000004</v>
      </c>
      <c r="AV58">
        <v>22.622499999999999</v>
      </c>
      <c r="AW58">
        <v>20.042000000000002</v>
      </c>
      <c r="AX58">
        <v>790.95899999999995</v>
      </c>
      <c r="AY58">
        <v>22.3125</v>
      </c>
      <c r="AZ58">
        <v>300.16399999999999</v>
      </c>
      <c r="BA58">
        <v>99.075500000000005</v>
      </c>
      <c r="BB58">
        <v>9.9980799999999995E-2</v>
      </c>
      <c r="BC58">
        <v>26.356400000000001</v>
      </c>
      <c r="BD58">
        <v>26.972000000000001</v>
      </c>
      <c r="BE58">
        <v>28.238399999999999</v>
      </c>
      <c r="BF58">
        <v>0</v>
      </c>
      <c r="BG58">
        <v>0</v>
      </c>
      <c r="BH58">
        <v>10023.1</v>
      </c>
      <c r="BI58">
        <v>1069.52</v>
      </c>
      <c r="BJ58">
        <v>1.26709</v>
      </c>
      <c r="BK58">
        <v>-9.5004899999999992</v>
      </c>
      <c r="BL58">
        <v>808.82399999999996</v>
      </c>
      <c r="BM58">
        <v>816.38900000000001</v>
      </c>
      <c r="BN58">
        <v>2.5804800000000001</v>
      </c>
      <c r="BO58">
        <v>800.02700000000004</v>
      </c>
      <c r="BP58">
        <v>20.042000000000002</v>
      </c>
      <c r="BQ58">
        <v>2.2413400000000001</v>
      </c>
      <c r="BR58">
        <v>1.98567</v>
      </c>
      <c r="BS58">
        <v>19.260899999999999</v>
      </c>
      <c r="BT58">
        <v>17.330500000000001</v>
      </c>
      <c r="BU58">
        <v>1799.99</v>
      </c>
      <c r="BV58">
        <v>0.91002300000000003</v>
      </c>
      <c r="BW58">
        <v>3.3996100000000001E-2</v>
      </c>
      <c r="BX58">
        <v>2.1992100000000001E-2</v>
      </c>
      <c r="BY58">
        <v>3.3988600000000001E-2</v>
      </c>
      <c r="BZ58">
        <v>25.875</v>
      </c>
      <c r="CA58">
        <v>33528.400000000001</v>
      </c>
      <c r="CB58">
        <v>1690226183.5999999</v>
      </c>
      <c r="CC58" t="s">
        <v>332</v>
      </c>
      <c r="CD58">
        <v>1690226177.5999999</v>
      </c>
      <c r="CE58">
        <v>1690226183.5999999</v>
      </c>
      <c r="CF58">
        <v>12</v>
      </c>
      <c r="CG58">
        <v>-0.255</v>
      </c>
      <c r="CH58">
        <v>0.113</v>
      </c>
      <c r="CI58">
        <v>-0.439</v>
      </c>
      <c r="CJ58">
        <v>0.31</v>
      </c>
      <c r="CK58">
        <v>800</v>
      </c>
      <c r="CL58">
        <v>25</v>
      </c>
      <c r="CM58">
        <v>0.02</v>
      </c>
      <c r="CN58">
        <v>0.03</v>
      </c>
      <c r="CO58">
        <v>-9.075601951219511</v>
      </c>
      <c r="CP58">
        <v>-2.5101091986062731</v>
      </c>
      <c r="CQ58">
        <v>0.24964759664052019</v>
      </c>
      <c r="CR58">
        <v>-1</v>
      </c>
      <c r="CS58">
        <v>2.5785207317073171</v>
      </c>
      <c r="CT58">
        <v>1.252829268292671E-2</v>
      </c>
      <c r="CU58">
        <v>1.674797971425902E-3</v>
      </c>
      <c r="CV58">
        <v>-1</v>
      </c>
      <c r="CW58">
        <v>0</v>
      </c>
      <c r="CX58">
        <v>0</v>
      </c>
      <c r="CY58" t="s">
        <v>333</v>
      </c>
      <c r="CZ58">
        <v>2.3640400000000001</v>
      </c>
      <c r="DA58">
        <v>2.7137899999999999</v>
      </c>
      <c r="DB58">
        <v>0.145535</v>
      </c>
      <c r="DC58">
        <v>0.14630000000000001</v>
      </c>
      <c r="DD58">
        <v>0.108746</v>
      </c>
      <c r="DE58">
        <v>9.8785999999999999E-2</v>
      </c>
      <c r="DF58">
        <v>31191.599999999999</v>
      </c>
      <c r="DG58">
        <v>27507.7</v>
      </c>
      <c r="DH58">
        <v>31164.6</v>
      </c>
      <c r="DI58">
        <v>28077.200000000001</v>
      </c>
      <c r="DJ58">
        <v>37713</v>
      </c>
      <c r="DK58">
        <v>35982</v>
      </c>
      <c r="DL58">
        <v>44351.1</v>
      </c>
      <c r="DM58">
        <v>42559.199999999997</v>
      </c>
      <c r="DN58">
        <v>1.4716</v>
      </c>
      <c r="DO58">
        <v>2.0532699999999999</v>
      </c>
      <c r="DP58">
        <v>9.2461699999999994E-2</v>
      </c>
      <c r="DQ58">
        <v>0.187829</v>
      </c>
      <c r="DR58">
        <v>25.457999999999998</v>
      </c>
      <c r="DS58">
        <v>25.165099999999999</v>
      </c>
      <c r="DT58">
        <v>57.3</v>
      </c>
      <c r="DU58">
        <v>29.3</v>
      </c>
      <c r="DV58">
        <v>23.665600000000001</v>
      </c>
      <c r="DW58">
        <v>61.622399999999999</v>
      </c>
      <c r="DX58">
        <v>35.568899999999999</v>
      </c>
      <c r="DY58">
        <v>1</v>
      </c>
      <c r="DZ58">
        <v>-6.8168199999999998E-2</v>
      </c>
      <c r="EA58">
        <v>0.52950699999999995</v>
      </c>
      <c r="EB58">
        <v>20.188300000000002</v>
      </c>
      <c r="EC58">
        <v>5.2408000000000001</v>
      </c>
      <c r="ED58">
        <v>12.039899999999999</v>
      </c>
      <c r="EE58">
        <v>5.0167000000000002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1.8691899999999999</v>
      </c>
      <c r="EN58">
        <v>1.8672299999999999</v>
      </c>
      <c r="EO58">
        <v>1.8633999999999999</v>
      </c>
      <c r="EP58">
        <v>1.8645</v>
      </c>
      <c r="EQ58">
        <v>1.8701300000000001</v>
      </c>
      <c r="ER58">
        <v>1.8694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-0.432</v>
      </c>
      <c r="FG58">
        <v>0.31</v>
      </c>
      <c r="FH58">
        <v>0.1121710645629533</v>
      </c>
      <c r="FI58">
        <v>-6.1462078757559423E-4</v>
      </c>
      <c r="FJ58">
        <v>-1.8861989874597051E-7</v>
      </c>
      <c r="FK58">
        <v>1.1980462299894961E-10</v>
      </c>
      <c r="FL58">
        <v>0.30996499999999833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17.5</v>
      </c>
      <c r="FU58">
        <v>17.399999999999999</v>
      </c>
      <c r="FV58">
        <v>1.79321</v>
      </c>
      <c r="FW58">
        <v>2.5805699999999998</v>
      </c>
      <c r="FX58">
        <v>1.5490699999999999</v>
      </c>
      <c r="FY58">
        <v>2.3290999999999999</v>
      </c>
      <c r="FZ58">
        <v>1.50146</v>
      </c>
      <c r="GA58">
        <v>2.4108900000000002</v>
      </c>
      <c r="GB58">
        <v>33.963900000000002</v>
      </c>
      <c r="GC58">
        <v>23.991199999999999</v>
      </c>
      <c r="GD58">
        <v>19</v>
      </c>
      <c r="GE58">
        <v>281.971</v>
      </c>
      <c r="GF58">
        <v>599.69399999999996</v>
      </c>
      <c r="GG58">
        <v>23.7471</v>
      </c>
      <c r="GH58">
        <v>26.531099999999999</v>
      </c>
      <c r="GI58">
        <v>30.000499999999999</v>
      </c>
      <c r="GJ58">
        <v>26.590599999999998</v>
      </c>
      <c r="GK58">
        <v>26.549499999999998</v>
      </c>
      <c r="GL58">
        <v>35.852600000000002</v>
      </c>
      <c r="GM58">
        <v>25.8245</v>
      </c>
      <c r="GN58">
        <v>100</v>
      </c>
      <c r="GO58">
        <v>23.7502</v>
      </c>
      <c r="GP58">
        <v>800</v>
      </c>
      <c r="GQ58">
        <v>20.0411</v>
      </c>
      <c r="GR58">
        <v>99.714600000000004</v>
      </c>
      <c r="GS58">
        <v>99.557199999999995</v>
      </c>
    </row>
    <row r="59" spans="1:201" x14ac:dyDescent="0.25">
      <c r="A59">
        <v>43</v>
      </c>
      <c r="B59">
        <v>1690227235.0999999</v>
      </c>
      <c r="C59">
        <v>665.5</v>
      </c>
      <c r="D59" t="s">
        <v>417</v>
      </c>
      <c r="E59" t="s">
        <v>418</v>
      </c>
      <c r="F59" t="s">
        <v>330</v>
      </c>
      <c r="H59">
        <v>1690227235.0999999</v>
      </c>
      <c r="I59">
        <f t="shared" si="0"/>
        <v>2.4481287135138608E-4</v>
      </c>
      <c r="J59">
        <f t="shared" si="1"/>
        <v>0.24481287135138607</v>
      </c>
      <c r="K59">
        <f t="shared" si="2"/>
        <v>0.73561988366509468</v>
      </c>
      <c r="L59">
        <f t="shared" si="3"/>
        <v>789.96600000000001</v>
      </c>
      <c r="M59">
        <f t="shared" si="4"/>
        <v>686.889075640736</v>
      </c>
      <c r="N59">
        <f t="shared" si="5"/>
        <v>68.125084763603311</v>
      </c>
      <c r="O59">
        <f t="shared" si="6"/>
        <v>78.348168021400198</v>
      </c>
      <c r="P59">
        <f t="shared" si="7"/>
        <v>1.4270036606991608E-2</v>
      </c>
      <c r="Q59">
        <f t="shared" si="8"/>
        <v>2.1274692343387249</v>
      </c>
      <c r="R59">
        <f t="shared" si="9"/>
        <v>1.421707387114134E-2</v>
      </c>
      <c r="S59">
        <f t="shared" si="10"/>
        <v>8.8904132052856823E-3</v>
      </c>
      <c r="T59">
        <f t="shared" si="11"/>
        <v>276.11217066097424</v>
      </c>
      <c r="U59">
        <f t="shared" si="12"/>
        <v>28.461700876878449</v>
      </c>
      <c r="V59">
        <f t="shared" si="13"/>
        <v>28.461700876878449</v>
      </c>
      <c r="W59">
        <f t="shared" si="14"/>
        <v>3.898187172462992</v>
      </c>
      <c r="X59">
        <f t="shared" si="15"/>
        <v>65.080302761183191</v>
      </c>
      <c r="Y59">
        <f t="shared" si="16"/>
        <v>2.2432343471845999</v>
      </c>
      <c r="Z59">
        <f t="shared" si="17"/>
        <v>3.4468714065702928</v>
      </c>
      <c r="AA59">
        <f t="shared" si="18"/>
        <v>1.654952825278392</v>
      </c>
      <c r="AB59">
        <f t="shared" si="19"/>
        <v>-10.796247626596125</v>
      </c>
      <c r="AC59">
        <f t="shared" si="20"/>
        <v>-241.02253000396917</v>
      </c>
      <c r="AD59">
        <f t="shared" si="21"/>
        <v>-24.550388425648382</v>
      </c>
      <c r="AE59">
        <f t="shared" si="22"/>
        <v>-0.25699539523941439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52354.22032581627</v>
      </c>
      <c r="AK59">
        <f t="shared" si="26"/>
        <v>1799.99</v>
      </c>
      <c r="AL59">
        <f t="shared" si="27"/>
        <v>1499.1064921843299</v>
      </c>
      <c r="AM59">
        <f t="shared" si="28"/>
        <v>0.83284156699999989</v>
      </c>
      <c r="AN59">
        <f t="shared" si="29"/>
        <v>0.15339650256999998</v>
      </c>
      <c r="AO59">
        <v>32.4</v>
      </c>
      <c r="AP59">
        <v>0.5</v>
      </c>
      <c r="AQ59" t="s">
        <v>331</v>
      </c>
      <c r="AR59">
        <v>2</v>
      </c>
      <c r="AS59">
        <v>1690227235.0999999</v>
      </c>
      <c r="AT59">
        <v>789.96600000000001</v>
      </c>
      <c r="AU59">
        <v>799.99400000000003</v>
      </c>
      <c r="AV59">
        <v>22.617999999999999</v>
      </c>
      <c r="AW59">
        <v>20.0352</v>
      </c>
      <c r="AX59">
        <v>790.39800000000002</v>
      </c>
      <c r="AY59">
        <v>22.308</v>
      </c>
      <c r="AZ59">
        <v>300.16000000000003</v>
      </c>
      <c r="BA59">
        <v>99.0792</v>
      </c>
      <c r="BB59">
        <v>9.9964700000000004E-2</v>
      </c>
      <c r="BC59">
        <v>26.360299999999999</v>
      </c>
      <c r="BD59">
        <v>26.9893</v>
      </c>
      <c r="BE59">
        <v>28.221499999999999</v>
      </c>
      <c r="BF59">
        <v>0</v>
      </c>
      <c r="BG59">
        <v>0</v>
      </c>
      <c r="BH59">
        <v>9970.6200000000008</v>
      </c>
      <c r="BI59">
        <v>1069.46</v>
      </c>
      <c r="BJ59">
        <v>1.5278</v>
      </c>
      <c r="BK59">
        <v>-10.027799999999999</v>
      </c>
      <c r="BL59">
        <v>808.24699999999996</v>
      </c>
      <c r="BM59">
        <v>816.35</v>
      </c>
      <c r="BN59">
        <v>2.5827200000000001</v>
      </c>
      <c r="BO59">
        <v>799.99400000000003</v>
      </c>
      <c r="BP59">
        <v>20.0352</v>
      </c>
      <c r="BQ59">
        <v>2.2409699999999999</v>
      </c>
      <c r="BR59">
        <v>1.98508</v>
      </c>
      <c r="BS59">
        <v>19.258199999999999</v>
      </c>
      <c r="BT59">
        <v>17.325800000000001</v>
      </c>
      <c r="BU59">
        <v>1799.99</v>
      </c>
      <c r="BV59">
        <v>0.91002899999999998</v>
      </c>
      <c r="BW59">
        <v>3.3993799999999998E-2</v>
      </c>
      <c r="BX59">
        <v>2.1990599999999999E-2</v>
      </c>
      <c r="BY59">
        <v>3.3986299999999997E-2</v>
      </c>
      <c r="BZ59">
        <v>26</v>
      </c>
      <c r="CA59">
        <v>33528.5</v>
      </c>
      <c r="CB59">
        <v>1690226183.5999999</v>
      </c>
      <c r="CC59" t="s">
        <v>332</v>
      </c>
      <c r="CD59">
        <v>1690226177.5999999</v>
      </c>
      <c r="CE59">
        <v>1690226183.5999999</v>
      </c>
      <c r="CF59">
        <v>12</v>
      </c>
      <c r="CG59">
        <v>-0.255</v>
      </c>
      <c r="CH59">
        <v>0.113</v>
      </c>
      <c r="CI59">
        <v>-0.439</v>
      </c>
      <c r="CJ59">
        <v>0.31</v>
      </c>
      <c r="CK59">
        <v>800</v>
      </c>
      <c r="CL59">
        <v>25</v>
      </c>
      <c r="CM59">
        <v>0.02</v>
      </c>
      <c r="CN59">
        <v>0.03</v>
      </c>
      <c r="CO59">
        <v>-9.512878780487803</v>
      </c>
      <c r="CP59">
        <v>-2.7616128919860761</v>
      </c>
      <c r="CQ59">
        <v>0.27376480655531471</v>
      </c>
      <c r="CR59">
        <v>-1</v>
      </c>
      <c r="CS59">
        <v>2.5807763414634151</v>
      </c>
      <c r="CT59">
        <v>1.7177560975610479E-2</v>
      </c>
      <c r="CU59">
        <v>1.8903396985953721E-3</v>
      </c>
      <c r="CV59">
        <v>-1</v>
      </c>
      <c r="CW59">
        <v>0</v>
      </c>
      <c r="CX59">
        <v>0</v>
      </c>
      <c r="CY59" t="s">
        <v>333</v>
      </c>
      <c r="CZ59">
        <v>2.3640699999999999</v>
      </c>
      <c r="DA59">
        <v>2.71373</v>
      </c>
      <c r="DB59">
        <v>0.14547199999999999</v>
      </c>
      <c r="DC59">
        <v>0.14630000000000001</v>
      </c>
      <c r="DD59">
        <v>0.108735</v>
      </c>
      <c r="DE59">
        <v>9.8765599999999995E-2</v>
      </c>
      <c r="DF59">
        <v>31194.6</v>
      </c>
      <c r="DG59">
        <v>27508.3</v>
      </c>
      <c r="DH59">
        <v>31165.200000000001</v>
      </c>
      <c r="DI59">
        <v>28077.9</v>
      </c>
      <c r="DJ59">
        <v>37714.400000000001</v>
      </c>
      <c r="DK59">
        <v>35983.800000000003</v>
      </c>
      <c r="DL59">
        <v>44352.1</v>
      </c>
      <c r="DM59">
        <v>42560.4</v>
      </c>
      <c r="DN59">
        <v>1.4712799999999999</v>
      </c>
      <c r="DO59">
        <v>2.0535000000000001</v>
      </c>
      <c r="DP59">
        <v>9.3914600000000001E-2</v>
      </c>
      <c r="DQ59">
        <v>0.18704699999999999</v>
      </c>
      <c r="DR59">
        <v>25.451499999999999</v>
      </c>
      <c r="DS59">
        <v>25.161000000000001</v>
      </c>
      <c r="DT59">
        <v>57.3</v>
      </c>
      <c r="DU59">
        <v>29.3</v>
      </c>
      <c r="DV59">
        <v>23.667200000000001</v>
      </c>
      <c r="DW59">
        <v>62.242400000000004</v>
      </c>
      <c r="DX59">
        <v>36.350200000000001</v>
      </c>
      <c r="DY59">
        <v>1</v>
      </c>
      <c r="DZ59">
        <v>-6.6089899999999993E-2</v>
      </c>
      <c r="EA59">
        <v>2.5924299999999998</v>
      </c>
      <c r="EB59">
        <v>20.162800000000001</v>
      </c>
      <c r="EC59">
        <v>5.2408000000000001</v>
      </c>
      <c r="ED59">
        <v>12.039899999999999</v>
      </c>
      <c r="EE59">
        <v>5.01715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1.8689199999999999</v>
      </c>
      <c r="EL59">
        <v>1.8646199999999999</v>
      </c>
      <c r="EM59">
        <v>1.8692</v>
      </c>
      <c r="EN59">
        <v>1.8672299999999999</v>
      </c>
      <c r="EO59">
        <v>1.8633999999999999</v>
      </c>
      <c r="EP59">
        <v>1.86449</v>
      </c>
      <c r="EQ59">
        <v>1.87015</v>
      </c>
      <c r="ER59">
        <v>1.86941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-0.432</v>
      </c>
      <c r="FG59">
        <v>0.31</v>
      </c>
      <c r="FH59">
        <v>0.1121710645629533</v>
      </c>
      <c r="FI59">
        <v>-6.1462078757559423E-4</v>
      </c>
      <c r="FJ59">
        <v>-1.8861989874597051E-7</v>
      </c>
      <c r="FK59">
        <v>1.1980462299894961E-10</v>
      </c>
      <c r="FL59">
        <v>0.30996499999999833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17.600000000000001</v>
      </c>
      <c r="FU59">
        <v>17.5</v>
      </c>
      <c r="FV59">
        <v>1.79321</v>
      </c>
      <c r="FW59">
        <v>2.5842299999999998</v>
      </c>
      <c r="FX59">
        <v>1.5490699999999999</v>
      </c>
      <c r="FY59">
        <v>2.3290999999999999</v>
      </c>
      <c r="FZ59">
        <v>1.50146</v>
      </c>
      <c r="GA59">
        <v>2.2985799999999998</v>
      </c>
      <c r="GB59">
        <v>33.963900000000002</v>
      </c>
      <c r="GC59">
        <v>23.973700000000001</v>
      </c>
      <c r="GD59">
        <v>19</v>
      </c>
      <c r="GE59">
        <v>281.82299999999998</v>
      </c>
      <c r="GF59">
        <v>599.904</v>
      </c>
      <c r="GG59">
        <v>23.595199999999998</v>
      </c>
      <c r="GH59">
        <v>26.526599999999998</v>
      </c>
      <c r="GI59">
        <v>30.0015</v>
      </c>
      <c r="GJ59">
        <v>26.5884</v>
      </c>
      <c r="GK59">
        <v>26.551300000000001</v>
      </c>
      <c r="GL59">
        <v>35.854799999999997</v>
      </c>
      <c r="GM59">
        <v>25.8245</v>
      </c>
      <c r="GN59">
        <v>100</v>
      </c>
      <c r="GO59">
        <v>23.303899999999999</v>
      </c>
      <c r="GP59">
        <v>800</v>
      </c>
      <c r="GQ59">
        <v>20.034199999999998</v>
      </c>
      <c r="GR59">
        <v>99.716800000000006</v>
      </c>
      <c r="GS59">
        <v>99.559799999999996</v>
      </c>
    </row>
    <row r="60" spans="1:201" x14ac:dyDescent="0.25">
      <c r="A60">
        <v>44</v>
      </c>
      <c r="B60">
        <v>1690227245.5</v>
      </c>
      <c r="C60">
        <v>675.90000009536743</v>
      </c>
      <c r="D60" t="s">
        <v>419</v>
      </c>
      <c r="E60" t="s">
        <v>420</v>
      </c>
      <c r="F60" t="s">
        <v>330</v>
      </c>
      <c r="H60">
        <v>1690227245.5</v>
      </c>
      <c r="I60">
        <f t="shared" si="0"/>
        <v>2.3894631986464321E-4</v>
      </c>
      <c r="J60">
        <f t="shared" si="1"/>
        <v>0.23894631986464321</v>
      </c>
      <c r="K60">
        <f t="shared" si="2"/>
        <v>0.7904616061779256</v>
      </c>
      <c r="L60">
        <f t="shared" si="3"/>
        <v>789.45</v>
      </c>
      <c r="M60">
        <f t="shared" si="4"/>
        <v>678.31207568063439</v>
      </c>
      <c r="N60">
        <f t="shared" si="5"/>
        <v>67.271856100604268</v>
      </c>
      <c r="O60">
        <f t="shared" si="6"/>
        <v>78.294001688430015</v>
      </c>
      <c r="P60">
        <f t="shared" si="7"/>
        <v>1.3947613536723052E-2</v>
      </c>
      <c r="Q60">
        <f t="shared" si="8"/>
        <v>2.1367379595931961</v>
      </c>
      <c r="R60">
        <f t="shared" si="9"/>
        <v>1.3897231146421739E-2</v>
      </c>
      <c r="S60">
        <f t="shared" si="10"/>
        <v>8.690280885694214E-3</v>
      </c>
      <c r="T60">
        <f t="shared" si="11"/>
        <v>276.116434524</v>
      </c>
      <c r="U60">
        <f t="shared" si="12"/>
        <v>28.42025906372907</v>
      </c>
      <c r="V60">
        <f t="shared" si="13"/>
        <v>28.42025906372907</v>
      </c>
      <c r="W60">
        <f t="shared" si="14"/>
        <v>3.8888115799325838</v>
      </c>
      <c r="X60">
        <f t="shared" si="15"/>
        <v>65.013448159227224</v>
      </c>
      <c r="Y60">
        <f t="shared" si="16"/>
        <v>2.2362659148416402</v>
      </c>
      <c r="Z60">
        <f t="shared" si="17"/>
        <v>3.4396974443882828</v>
      </c>
      <c r="AA60">
        <f t="shared" si="18"/>
        <v>1.6525456650909436</v>
      </c>
      <c r="AB60">
        <f t="shared" si="19"/>
        <v>-10.537532706030765</v>
      </c>
      <c r="AC60">
        <f t="shared" si="20"/>
        <v>-241.36507941644132</v>
      </c>
      <c r="AD60">
        <f t="shared" si="21"/>
        <v>-24.469254138540524</v>
      </c>
      <c r="AE60">
        <f t="shared" si="22"/>
        <v>-0.25543173701260002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52761.043705096832</v>
      </c>
      <c r="AK60">
        <f t="shared" si="26"/>
        <v>1800</v>
      </c>
      <c r="AL60">
        <f t="shared" si="27"/>
        <v>1499.1125543999999</v>
      </c>
      <c r="AM60">
        <f t="shared" si="28"/>
        <v>0.83284030799999997</v>
      </c>
      <c r="AN60">
        <f t="shared" si="29"/>
        <v>0.15339801918000001</v>
      </c>
      <c r="AO60">
        <v>32.4</v>
      </c>
      <c r="AP60">
        <v>0.5</v>
      </c>
      <c r="AQ60" t="s">
        <v>331</v>
      </c>
      <c r="AR60">
        <v>2</v>
      </c>
      <c r="AS60">
        <v>1690227245.5</v>
      </c>
      <c r="AT60">
        <v>789.45</v>
      </c>
      <c r="AU60">
        <v>800.01700000000005</v>
      </c>
      <c r="AV60">
        <v>22.5486</v>
      </c>
      <c r="AW60">
        <v>20.027899999999999</v>
      </c>
      <c r="AX60">
        <v>789.88199999999995</v>
      </c>
      <c r="AY60">
        <v>22.238600000000002</v>
      </c>
      <c r="AZ60">
        <v>300.20600000000002</v>
      </c>
      <c r="BA60">
        <v>99.075400000000002</v>
      </c>
      <c r="BB60">
        <v>9.9977399999999994E-2</v>
      </c>
      <c r="BC60">
        <v>26.324999999999999</v>
      </c>
      <c r="BD60">
        <v>26.988399999999999</v>
      </c>
      <c r="BE60">
        <v>28.180399999999999</v>
      </c>
      <c r="BF60">
        <v>0</v>
      </c>
      <c r="BG60">
        <v>0</v>
      </c>
      <c r="BH60">
        <v>10050.6</v>
      </c>
      <c r="BI60">
        <v>1069.3699999999999</v>
      </c>
      <c r="BJ60">
        <v>1.56985</v>
      </c>
      <c r="BK60">
        <v>-10.5663</v>
      </c>
      <c r="BL60">
        <v>807.66200000000003</v>
      </c>
      <c r="BM60">
        <v>816.36699999999996</v>
      </c>
      <c r="BN60">
        <v>2.5207299999999999</v>
      </c>
      <c r="BO60">
        <v>800.01700000000005</v>
      </c>
      <c r="BP60">
        <v>20.027899999999999</v>
      </c>
      <c r="BQ60">
        <v>2.2340100000000001</v>
      </c>
      <c r="BR60">
        <v>1.98427</v>
      </c>
      <c r="BS60">
        <v>19.208300000000001</v>
      </c>
      <c r="BT60">
        <v>17.319400000000002</v>
      </c>
      <c r="BU60">
        <v>1800</v>
      </c>
      <c r="BV60">
        <v>0.90998900000000005</v>
      </c>
      <c r="BW60">
        <v>3.3990600000000003E-2</v>
      </c>
      <c r="BX60">
        <v>2.2009399999999998E-2</v>
      </c>
      <c r="BY60">
        <v>3.4010600000000002E-2</v>
      </c>
      <c r="BZ60">
        <v>26</v>
      </c>
      <c r="CA60">
        <v>33528.199999999997</v>
      </c>
      <c r="CB60">
        <v>1690226183.5999999</v>
      </c>
      <c r="CC60" t="s">
        <v>332</v>
      </c>
      <c r="CD60">
        <v>1690226177.5999999</v>
      </c>
      <c r="CE60">
        <v>1690226183.5999999</v>
      </c>
      <c r="CF60">
        <v>12</v>
      </c>
      <c r="CG60">
        <v>-0.255</v>
      </c>
      <c r="CH60">
        <v>0.113</v>
      </c>
      <c r="CI60">
        <v>-0.439</v>
      </c>
      <c r="CJ60">
        <v>0.31</v>
      </c>
      <c r="CK60">
        <v>800</v>
      </c>
      <c r="CL60">
        <v>25</v>
      </c>
      <c r="CM60">
        <v>0.02</v>
      </c>
      <c r="CN60">
        <v>0.03</v>
      </c>
      <c r="CO60">
        <v>-9.9709117073170717</v>
      </c>
      <c r="CP60">
        <v>-3.0417525450353611</v>
      </c>
      <c r="CQ60">
        <v>0.30012384516820462</v>
      </c>
      <c r="CR60">
        <v>-1</v>
      </c>
      <c r="CS60">
        <v>2.5694202439024392</v>
      </c>
      <c r="CT60">
        <v>-0.15984355815528289</v>
      </c>
      <c r="CU60">
        <v>1.950571129467581E-2</v>
      </c>
      <c r="CV60">
        <v>-1</v>
      </c>
      <c r="CW60">
        <v>0</v>
      </c>
      <c r="CX60">
        <v>0</v>
      </c>
      <c r="CY60" t="s">
        <v>333</v>
      </c>
      <c r="CZ60">
        <v>2.3642099999999999</v>
      </c>
      <c r="DA60">
        <v>2.7138100000000001</v>
      </c>
      <c r="DB60">
        <v>0.145402</v>
      </c>
      <c r="DC60">
        <v>0.14629800000000001</v>
      </c>
      <c r="DD60">
        <v>0.10849200000000001</v>
      </c>
      <c r="DE60">
        <v>9.8736000000000004E-2</v>
      </c>
      <c r="DF60">
        <v>31197.9</v>
      </c>
      <c r="DG60">
        <v>27508.7</v>
      </c>
      <c r="DH60">
        <v>31165.9</v>
      </c>
      <c r="DI60">
        <v>28078.2</v>
      </c>
      <c r="DJ60">
        <v>37725.599999999999</v>
      </c>
      <c r="DK60">
        <v>35985.300000000003</v>
      </c>
      <c r="DL60">
        <v>44353.2</v>
      </c>
      <c r="DM60">
        <v>42560.800000000003</v>
      </c>
      <c r="DN60">
        <v>1.47187</v>
      </c>
      <c r="DO60">
        <v>2.0537299999999998</v>
      </c>
      <c r="DP60">
        <v>9.4231200000000001E-2</v>
      </c>
      <c r="DQ60">
        <v>0.18473700000000001</v>
      </c>
      <c r="DR60">
        <v>25.445399999999999</v>
      </c>
      <c r="DS60">
        <v>25.157499999999999</v>
      </c>
      <c r="DT60">
        <v>57.3</v>
      </c>
      <c r="DU60">
        <v>29.3</v>
      </c>
      <c r="DV60">
        <v>23.6663</v>
      </c>
      <c r="DW60">
        <v>61.362400000000001</v>
      </c>
      <c r="DX60">
        <v>35.761200000000002</v>
      </c>
      <c r="DY60">
        <v>1</v>
      </c>
      <c r="DZ60">
        <v>-6.8244399999999997E-2</v>
      </c>
      <c r="EA60">
        <v>0.89396799999999998</v>
      </c>
      <c r="EB60">
        <v>20.1861</v>
      </c>
      <c r="EC60">
        <v>5.2409499999999998</v>
      </c>
      <c r="ED60">
        <v>12.039899999999999</v>
      </c>
      <c r="EE60">
        <v>5.0170500000000002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1.86463</v>
      </c>
      <c r="EM60">
        <v>1.8691899999999999</v>
      </c>
      <c r="EN60">
        <v>1.8672200000000001</v>
      </c>
      <c r="EO60">
        <v>1.8633999999999999</v>
      </c>
      <c r="EP60">
        <v>1.86452</v>
      </c>
      <c r="EQ60">
        <v>1.8701399999999999</v>
      </c>
      <c r="ER60">
        <v>1.8694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-0.432</v>
      </c>
      <c r="FG60">
        <v>0.31</v>
      </c>
      <c r="FH60">
        <v>0.1121710645629533</v>
      </c>
      <c r="FI60">
        <v>-6.1462078757559423E-4</v>
      </c>
      <c r="FJ60">
        <v>-1.8861989874597051E-7</v>
      </c>
      <c r="FK60">
        <v>1.1980462299894961E-10</v>
      </c>
      <c r="FL60">
        <v>0.30996499999999833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17.8</v>
      </c>
      <c r="FU60">
        <v>17.7</v>
      </c>
      <c r="FV60">
        <v>1.79321</v>
      </c>
      <c r="FW60">
        <v>2.5842299999999998</v>
      </c>
      <c r="FX60">
        <v>1.5490699999999999</v>
      </c>
      <c r="FY60">
        <v>2.3290999999999999</v>
      </c>
      <c r="FZ60">
        <v>1.50146</v>
      </c>
      <c r="GA60">
        <v>2.3803700000000001</v>
      </c>
      <c r="GB60">
        <v>33.963900000000002</v>
      </c>
      <c r="GC60">
        <v>23.982399999999998</v>
      </c>
      <c r="GD60">
        <v>19</v>
      </c>
      <c r="GE60">
        <v>282.07799999999997</v>
      </c>
      <c r="GF60">
        <v>600.096</v>
      </c>
      <c r="GG60">
        <v>23.347799999999999</v>
      </c>
      <c r="GH60">
        <v>26.521799999999999</v>
      </c>
      <c r="GI60">
        <v>29.999199999999998</v>
      </c>
      <c r="GJ60">
        <v>26.5884</v>
      </c>
      <c r="GK60">
        <v>26.551400000000001</v>
      </c>
      <c r="GL60">
        <v>35.853000000000002</v>
      </c>
      <c r="GM60">
        <v>25.8245</v>
      </c>
      <c r="GN60">
        <v>100</v>
      </c>
      <c r="GO60">
        <v>23.410599999999999</v>
      </c>
      <c r="GP60">
        <v>800</v>
      </c>
      <c r="GQ60">
        <v>20.068200000000001</v>
      </c>
      <c r="GR60">
        <v>99.719099999999997</v>
      </c>
      <c r="GS60">
        <v>99.560699999999997</v>
      </c>
    </row>
    <row r="61" spans="1:201" x14ac:dyDescent="0.25">
      <c r="A61">
        <v>45</v>
      </c>
      <c r="B61">
        <v>1690227255.5</v>
      </c>
      <c r="C61">
        <v>685.90000009536743</v>
      </c>
      <c r="D61" t="s">
        <v>421</v>
      </c>
      <c r="E61" t="s">
        <v>422</v>
      </c>
      <c r="F61" t="s">
        <v>330</v>
      </c>
      <c r="H61">
        <v>1690227255.5</v>
      </c>
      <c r="I61">
        <f t="shared" si="0"/>
        <v>2.3959641094574999E-4</v>
      </c>
      <c r="J61">
        <f t="shared" si="1"/>
        <v>0.23959641094574999</v>
      </c>
      <c r="K61">
        <f t="shared" si="2"/>
        <v>0.84128263518497992</v>
      </c>
      <c r="L61">
        <f t="shared" si="3"/>
        <v>788.88</v>
      </c>
      <c r="M61">
        <f t="shared" si="4"/>
        <v>672.51102889180311</v>
      </c>
      <c r="N61">
        <f t="shared" si="5"/>
        <v>66.694351116440544</v>
      </c>
      <c r="O61">
        <f t="shared" si="6"/>
        <v>78.234909835512013</v>
      </c>
      <c r="P61">
        <f t="shared" si="7"/>
        <v>1.4017973036074405E-2</v>
      </c>
      <c r="Q61">
        <f t="shared" si="8"/>
        <v>2.1300138707053886</v>
      </c>
      <c r="R61">
        <f t="shared" si="9"/>
        <v>1.396692202888177E-2</v>
      </c>
      <c r="S61">
        <f t="shared" si="10"/>
        <v>8.7338974321204306E-3</v>
      </c>
      <c r="T61">
        <f t="shared" si="11"/>
        <v>276.1150376130467</v>
      </c>
      <c r="U61">
        <f t="shared" si="12"/>
        <v>28.403873510082935</v>
      </c>
      <c r="V61">
        <f t="shared" si="13"/>
        <v>28.403873510082935</v>
      </c>
      <c r="W61">
        <f t="shared" si="14"/>
        <v>3.8851100220398913</v>
      </c>
      <c r="X61">
        <f t="shared" si="15"/>
        <v>65.101484410127568</v>
      </c>
      <c r="Y61">
        <f t="shared" si="16"/>
        <v>2.2363612808839699</v>
      </c>
      <c r="Z61">
        <f t="shared" si="17"/>
        <v>3.4351924555134539</v>
      </c>
      <c r="AA61">
        <f t="shared" si="18"/>
        <v>1.6487487411559214</v>
      </c>
      <c r="AB61">
        <f t="shared" si="19"/>
        <v>-10.566201722707575</v>
      </c>
      <c r="AC61">
        <f t="shared" si="20"/>
        <v>-241.27322108846192</v>
      </c>
      <c r="AD61">
        <f t="shared" si="21"/>
        <v>-24.532431489675496</v>
      </c>
      <c r="AE61">
        <f t="shared" si="22"/>
        <v>-0.25681668779830602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52473.954176239466</v>
      </c>
      <c r="AK61">
        <f t="shared" si="26"/>
        <v>1799.99</v>
      </c>
      <c r="AL61">
        <f t="shared" si="27"/>
        <v>1499.1003740183198</v>
      </c>
      <c r="AM61">
        <f t="shared" si="28"/>
        <v>0.83283816799999988</v>
      </c>
      <c r="AN61">
        <f t="shared" si="29"/>
        <v>0.15339809532999998</v>
      </c>
      <c r="AO61">
        <v>32.4</v>
      </c>
      <c r="AP61">
        <v>0.5</v>
      </c>
      <c r="AQ61" t="s">
        <v>331</v>
      </c>
      <c r="AR61">
        <v>2</v>
      </c>
      <c r="AS61">
        <v>1690227255.5</v>
      </c>
      <c r="AT61">
        <v>788.88</v>
      </c>
      <c r="AU61">
        <v>799.99800000000005</v>
      </c>
      <c r="AV61">
        <v>22.5503</v>
      </c>
      <c r="AW61">
        <v>20.023099999999999</v>
      </c>
      <c r="AX61">
        <v>789.31200000000001</v>
      </c>
      <c r="AY61">
        <v>22.240400000000001</v>
      </c>
      <c r="AZ61">
        <v>300.24799999999999</v>
      </c>
      <c r="BA61">
        <v>99.072199999999995</v>
      </c>
      <c r="BB61">
        <v>9.9929900000000002E-2</v>
      </c>
      <c r="BC61">
        <v>26.302800000000001</v>
      </c>
      <c r="BD61">
        <v>26.9788</v>
      </c>
      <c r="BE61">
        <v>28.169699999999999</v>
      </c>
      <c r="BF61">
        <v>0</v>
      </c>
      <c r="BG61">
        <v>0</v>
      </c>
      <c r="BH61">
        <v>9993.1200000000008</v>
      </c>
      <c r="BI61">
        <v>1069.42</v>
      </c>
      <c r="BJ61">
        <v>1.5516300000000001</v>
      </c>
      <c r="BK61">
        <v>-11.117900000000001</v>
      </c>
      <c r="BL61">
        <v>807.08</v>
      </c>
      <c r="BM61">
        <v>816.34400000000005</v>
      </c>
      <c r="BN61">
        <v>2.5272199999999998</v>
      </c>
      <c r="BO61">
        <v>799.99800000000005</v>
      </c>
      <c r="BP61">
        <v>20.023099999999999</v>
      </c>
      <c r="BQ61">
        <v>2.2341099999999998</v>
      </c>
      <c r="BR61">
        <v>1.98373</v>
      </c>
      <c r="BS61">
        <v>19.209</v>
      </c>
      <c r="BT61">
        <v>17.315100000000001</v>
      </c>
      <c r="BU61">
        <v>1799.99</v>
      </c>
      <c r="BV61">
        <v>0.90997399999999995</v>
      </c>
      <c r="BW61">
        <v>3.4005800000000003E-2</v>
      </c>
      <c r="BX61">
        <v>2.20079E-2</v>
      </c>
      <c r="BY61">
        <v>3.4012100000000003E-2</v>
      </c>
      <c r="BZ61">
        <v>26</v>
      </c>
      <c r="CA61">
        <v>33528</v>
      </c>
      <c r="CB61">
        <v>1690226183.5999999</v>
      </c>
      <c r="CC61" t="s">
        <v>332</v>
      </c>
      <c r="CD61">
        <v>1690226177.5999999</v>
      </c>
      <c r="CE61">
        <v>1690226183.5999999</v>
      </c>
      <c r="CF61">
        <v>12</v>
      </c>
      <c r="CG61">
        <v>-0.255</v>
      </c>
      <c r="CH61">
        <v>0.113</v>
      </c>
      <c r="CI61">
        <v>-0.439</v>
      </c>
      <c r="CJ61">
        <v>0.31</v>
      </c>
      <c r="CK61">
        <v>800</v>
      </c>
      <c r="CL61">
        <v>25</v>
      </c>
      <c r="CM61">
        <v>0.02</v>
      </c>
      <c r="CN61">
        <v>0.03</v>
      </c>
      <c r="CO61">
        <v>-10.52369390243903</v>
      </c>
      <c r="CP61">
        <v>-3.315524385406329</v>
      </c>
      <c r="CQ61">
        <v>0.32589936726660129</v>
      </c>
      <c r="CR61">
        <v>-1</v>
      </c>
      <c r="CS61">
        <v>2.5377143902439019</v>
      </c>
      <c r="CT61">
        <v>-0.20698725284453739</v>
      </c>
      <c r="CU61">
        <v>2.3136383979623691E-2</v>
      </c>
      <c r="CV61">
        <v>-1</v>
      </c>
      <c r="CW61">
        <v>0</v>
      </c>
      <c r="CX61">
        <v>0</v>
      </c>
      <c r="CY61" t="s">
        <v>333</v>
      </c>
      <c r="CZ61">
        <v>2.36435</v>
      </c>
      <c r="DA61">
        <v>2.7137199999999999</v>
      </c>
      <c r="DB61">
        <v>0.14532700000000001</v>
      </c>
      <c r="DC61">
        <v>0.14629</v>
      </c>
      <c r="DD61">
        <v>0.10849499999999999</v>
      </c>
      <c r="DE61">
        <v>9.8715800000000006E-2</v>
      </c>
      <c r="DF61">
        <v>31201</v>
      </c>
      <c r="DG61">
        <v>27510</v>
      </c>
      <c r="DH61">
        <v>31166.3</v>
      </c>
      <c r="DI61">
        <v>28079.200000000001</v>
      </c>
      <c r="DJ61">
        <v>37725.9</v>
      </c>
      <c r="DK61">
        <v>35987.599999999999</v>
      </c>
      <c r="DL61">
        <v>44353.599999999999</v>
      </c>
      <c r="DM61">
        <v>42562.5</v>
      </c>
      <c r="DN61">
        <v>1.4718</v>
      </c>
      <c r="DO61">
        <v>2.0533800000000002</v>
      </c>
      <c r="DP61">
        <v>9.40077E-2</v>
      </c>
      <c r="DQ61">
        <v>0.18438299999999999</v>
      </c>
      <c r="DR61">
        <v>25.439499999999999</v>
      </c>
      <c r="DS61">
        <v>25.1526</v>
      </c>
      <c r="DT61">
        <v>57.3</v>
      </c>
      <c r="DU61">
        <v>29.3</v>
      </c>
      <c r="DV61">
        <v>23.6691</v>
      </c>
      <c r="DW61">
        <v>61.982500000000002</v>
      </c>
      <c r="DX61">
        <v>36.157899999999998</v>
      </c>
      <c r="DY61">
        <v>1</v>
      </c>
      <c r="DZ61">
        <v>-6.8912600000000004E-2</v>
      </c>
      <c r="EA61">
        <v>0.87399000000000004</v>
      </c>
      <c r="EB61">
        <v>20.186699999999998</v>
      </c>
      <c r="EC61">
        <v>5.2411000000000003</v>
      </c>
      <c r="ED61">
        <v>12.039899999999999</v>
      </c>
      <c r="EE61">
        <v>5.01715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1.86463</v>
      </c>
      <c r="EM61">
        <v>1.8691800000000001</v>
      </c>
      <c r="EN61">
        <v>1.8672200000000001</v>
      </c>
      <c r="EO61">
        <v>1.8633900000000001</v>
      </c>
      <c r="EP61">
        <v>1.8645400000000001</v>
      </c>
      <c r="EQ61">
        <v>1.8701399999999999</v>
      </c>
      <c r="ER61">
        <v>1.8694500000000001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-0.432</v>
      </c>
      <c r="FG61">
        <v>0.30990000000000001</v>
      </c>
      <c r="FH61">
        <v>0.1121710645629533</v>
      </c>
      <c r="FI61">
        <v>-6.1462078757559423E-4</v>
      </c>
      <c r="FJ61">
        <v>-1.8861989874597051E-7</v>
      </c>
      <c r="FK61">
        <v>1.1980462299894961E-10</v>
      </c>
      <c r="FL61">
        <v>0.30996499999999833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18</v>
      </c>
      <c r="FU61">
        <v>17.899999999999999</v>
      </c>
      <c r="FV61">
        <v>1.79321</v>
      </c>
      <c r="FW61">
        <v>2.5830099999999998</v>
      </c>
      <c r="FX61">
        <v>1.5490699999999999</v>
      </c>
      <c r="FY61">
        <v>2.3290999999999999</v>
      </c>
      <c r="FZ61">
        <v>1.50146</v>
      </c>
      <c r="GA61">
        <v>2.33521</v>
      </c>
      <c r="GB61">
        <v>33.963900000000002</v>
      </c>
      <c r="GC61">
        <v>23.982399999999998</v>
      </c>
      <c r="GD61">
        <v>19</v>
      </c>
      <c r="GE61">
        <v>282.04599999999999</v>
      </c>
      <c r="GF61">
        <v>599.82500000000005</v>
      </c>
      <c r="GG61">
        <v>23.397200000000002</v>
      </c>
      <c r="GH61">
        <v>26.517299999999999</v>
      </c>
      <c r="GI61">
        <v>30</v>
      </c>
      <c r="GJ61">
        <v>26.5884</v>
      </c>
      <c r="GK61">
        <v>26.5535</v>
      </c>
      <c r="GL61">
        <v>35.855699999999999</v>
      </c>
      <c r="GM61">
        <v>25.8245</v>
      </c>
      <c r="GN61">
        <v>100</v>
      </c>
      <c r="GO61">
        <v>23.393899999999999</v>
      </c>
      <c r="GP61">
        <v>800</v>
      </c>
      <c r="GQ61">
        <v>20.068200000000001</v>
      </c>
      <c r="GR61">
        <v>99.720200000000006</v>
      </c>
      <c r="GS61">
        <v>99.564599999999999</v>
      </c>
    </row>
    <row r="62" spans="1:201" x14ac:dyDescent="0.25">
      <c r="A62">
        <v>46</v>
      </c>
      <c r="B62">
        <v>1690227265.5</v>
      </c>
      <c r="C62">
        <v>695.90000009536743</v>
      </c>
      <c r="D62" t="s">
        <v>423</v>
      </c>
      <c r="E62" t="s">
        <v>424</v>
      </c>
      <c r="F62" t="s">
        <v>330</v>
      </c>
      <c r="H62">
        <v>1690227265.5</v>
      </c>
      <c r="I62">
        <f t="shared" si="0"/>
        <v>2.4113445631342021E-4</v>
      </c>
      <c r="J62">
        <f t="shared" si="1"/>
        <v>0.2411344563134202</v>
      </c>
      <c r="K62">
        <f t="shared" si="2"/>
        <v>0.89137144487783337</v>
      </c>
      <c r="L62">
        <f t="shared" si="3"/>
        <v>788.26300000000003</v>
      </c>
      <c r="M62">
        <f t="shared" si="4"/>
        <v>666.9562375782134</v>
      </c>
      <c r="N62">
        <f t="shared" si="5"/>
        <v>66.146535361329143</v>
      </c>
      <c r="O62">
        <f t="shared" si="6"/>
        <v>78.177342778675012</v>
      </c>
      <c r="P62">
        <f t="shared" si="7"/>
        <v>1.4115507292250955E-2</v>
      </c>
      <c r="Q62">
        <f t="shared" si="8"/>
        <v>2.1261254780810579</v>
      </c>
      <c r="R62">
        <f t="shared" si="9"/>
        <v>1.4063650533182663E-2</v>
      </c>
      <c r="S62">
        <f t="shared" si="10"/>
        <v>8.7944247576535739E-3</v>
      </c>
      <c r="T62">
        <f t="shared" si="11"/>
        <v>276.11500073125154</v>
      </c>
      <c r="U62">
        <f t="shared" si="12"/>
        <v>28.404830238300047</v>
      </c>
      <c r="V62">
        <f t="shared" si="13"/>
        <v>28.404830238300047</v>
      </c>
      <c r="W62">
        <f t="shared" si="14"/>
        <v>3.8853260660112192</v>
      </c>
      <c r="X62">
        <f t="shared" si="15"/>
        <v>65.137598115851873</v>
      </c>
      <c r="Y62">
        <f t="shared" si="16"/>
        <v>2.2373376569475005</v>
      </c>
      <c r="Z62">
        <f t="shared" si="17"/>
        <v>3.4347868537741224</v>
      </c>
      <c r="AA62">
        <f t="shared" si="18"/>
        <v>1.6479884090637187</v>
      </c>
      <c r="AB62">
        <f t="shared" si="19"/>
        <v>-10.634029523421832</v>
      </c>
      <c r="AC62">
        <f t="shared" si="20"/>
        <v>-241.17168195827074</v>
      </c>
      <c r="AD62">
        <f t="shared" si="21"/>
        <v>-24.566827514986453</v>
      </c>
      <c r="AE62">
        <f t="shared" si="22"/>
        <v>-0.2575382654274847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52306.638675687136</v>
      </c>
      <c r="AK62">
        <f t="shared" si="26"/>
        <v>1799.99</v>
      </c>
      <c r="AL62">
        <f t="shared" si="27"/>
        <v>1499.10122181361</v>
      </c>
      <c r="AM62">
        <f t="shared" si="28"/>
        <v>0.83283863899999999</v>
      </c>
      <c r="AN62">
        <f t="shared" si="29"/>
        <v>0.15339807483999998</v>
      </c>
      <c r="AO62">
        <v>32.4</v>
      </c>
      <c r="AP62">
        <v>0.5</v>
      </c>
      <c r="AQ62" t="s">
        <v>331</v>
      </c>
      <c r="AR62">
        <v>2</v>
      </c>
      <c r="AS62">
        <v>1690227265.5</v>
      </c>
      <c r="AT62">
        <v>788.26300000000003</v>
      </c>
      <c r="AU62">
        <v>799.93299999999999</v>
      </c>
      <c r="AV62">
        <v>22.559100000000001</v>
      </c>
      <c r="AW62">
        <v>20.015699999999999</v>
      </c>
      <c r="AX62">
        <v>788.69500000000005</v>
      </c>
      <c r="AY62">
        <v>22.249099999999999</v>
      </c>
      <c r="AZ62">
        <v>300.24799999999999</v>
      </c>
      <c r="BA62">
        <v>99.076700000000002</v>
      </c>
      <c r="BB62">
        <v>0.100025</v>
      </c>
      <c r="BC62">
        <v>26.300799999999999</v>
      </c>
      <c r="BD62">
        <v>26.926300000000001</v>
      </c>
      <c r="BE62">
        <v>28.155899999999999</v>
      </c>
      <c r="BF62">
        <v>0</v>
      </c>
      <c r="BG62">
        <v>0</v>
      </c>
      <c r="BH62">
        <v>9959.3799999999992</v>
      </c>
      <c r="BI62">
        <v>1069.3699999999999</v>
      </c>
      <c r="BJ62">
        <v>1.5376099999999999</v>
      </c>
      <c r="BK62">
        <v>-11.6699</v>
      </c>
      <c r="BL62">
        <v>806.45600000000002</v>
      </c>
      <c r="BM62">
        <v>816.27200000000005</v>
      </c>
      <c r="BN62">
        <v>2.54338</v>
      </c>
      <c r="BO62">
        <v>799.93299999999999</v>
      </c>
      <c r="BP62">
        <v>20.015699999999999</v>
      </c>
      <c r="BQ62">
        <v>2.23508</v>
      </c>
      <c r="BR62">
        <v>1.98309</v>
      </c>
      <c r="BS62">
        <v>19.216000000000001</v>
      </c>
      <c r="BT62">
        <v>17.309899999999999</v>
      </c>
      <c r="BU62">
        <v>1799.99</v>
      </c>
      <c r="BV62">
        <v>0.90997700000000004</v>
      </c>
      <c r="BW62">
        <v>3.4006399999999999E-2</v>
      </c>
      <c r="BX62">
        <v>2.2006700000000001E-2</v>
      </c>
      <c r="BY62">
        <v>3.4010199999999997E-2</v>
      </c>
      <c r="BZ62">
        <v>25.916699999999999</v>
      </c>
      <c r="CA62">
        <v>33528</v>
      </c>
      <c r="CB62">
        <v>1690226183.5999999</v>
      </c>
      <c r="CC62" t="s">
        <v>332</v>
      </c>
      <c r="CD62">
        <v>1690226177.5999999</v>
      </c>
      <c r="CE62">
        <v>1690226183.5999999</v>
      </c>
      <c r="CF62">
        <v>12</v>
      </c>
      <c r="CG62">
        <v>-0.255</v>
      </c>
      <c r="CH62">
        <v>0.113</v>
      </c>
      <c r="CI62">
        <v>-0.439</v>
      </c>
      <c r="CJ62">
        <v>0.31</v>
      </c>
      <c r="CK62">
        <v>800</v>
      </c>
      <c r="CL62">
        <v>25</v>
      </c>
      <c r="CM62">
        <v>0.02</v>
      </c>
      <c r="CN62">
        <v>0.03</v>
      </c>
      <c r="CO62">
        <v>-11.1064243902439</v>
      </c>
      <c r="CP62">
        <v>-3.5169449477352011</v>
      </c>
      <c r="CQ62">
        <v>0.34924813233817209</v>
      </c>
      <c r="CR62">
        <v>-1</v>
      </c>
      <c r="CS62">
        <v>2.5277763414634151</v>
      </c>
      <c r="CT62">
        <v>8.1448013937286012E-2</v>
      </c>
      <c r="CU62">
        <v>8.4067588244330759E-3</v>
      </c>
      <c r="CV62">
        <v>-1</v>
      </c>
      <c r="CW62">
        <v>0</v>
      </c>
      <c r="CX62">
        <v>0</v>
      </c>
      <c r="CY62" t="s">
        <v>333</v>
      </c>
      <c r="CZ62">
        <v>2.36436</v>
      </c>
      <c r="DA62">
        <v>2.7137799999999999</v>
      </c>
      <c r="DB62">
        <v>0.145258</v>
      </c>
      <c r="DC62">
        <v>0.146288</v>
      </c>
      <c r="DD62">
        <v>0.10853</v>
      </c>
      <c r="DE62">
        <v>9.8694199999999996E-2</v>
      </c>
      <c r="DF62">
        <v>31203.7</v>
      </c>
      <c r="DG62">
        <v>27510.2</v>
      </c>
      <c r="DH62">
        <v>31166.400000000001</v>
      </c>
      <c r="DI62">
        <v>28079.3</v>
      </c>
      <c r="DJ62">
        <v>37724.300000000003</v>
      </c>
      <c r="DK62">
        <v>35988.300000000003</v>
      </c>
      <c r="DL62">
        <v>44353.599999999999</v>
      </c>
      <c r="DM62">
        <v>42562.400000000001</v>
      </c>
      <c r="DN62">
        <v>1.47187</v>
      </c>
      <c r="DO62">
        <v>2.0534300000000001</v>
      </c>
      <c r="DP62">
        <v>9.1362700000000005E-2</v>
      </c>
      <c r="DQ62">
        <v>0.18401100000000001</v>
      </c>
      <c r="DR62">
        <v>25.430199999999999</v>
      </c>
      <c r="DS62">
        <v>25.1448</v>
      </c>
      <c r="DT62">
        <v>57.3</v>
      </c>
      <c r="DU62">
        <v>29.3</v>
      </c>
      <c r="DV62">
        <v>23.664300000000001</v>
      </c>
      <c r="DW62">
        <v>61.582500000000003</v>
      </c>
      <c r="DX62">
        <v>35.068100000000001</v>
      </c>
      <c r="DY62">
        <v>1</v>
      </c>
      <c r="DZ62">
        <v>-6.9611300000000001E-2</v>
      </c>
      <c r="EA62">
        <v>0.76452299999999995</v>
      </c>
      <c r="EB62">
        <v>20.187200000000001</v>
      </c>
      <c r="EC62">
        <v>5.2409499999999998</v>
      </c>
      <c r="ED62">
        <v>12.039899999999999</v>
      </c>
      <c r="EE62">
        <v>5.0167999999999999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1.86463</v>
      </c>
      <c r="EM62">
        <v>1.8691899999999999</v>
      </c>
      <c r="EN62">
        <v>1.8672200000000001</v>
      </c>
      <c r="EO62">
        <v>1.8633999999999999</v>
      </c>
      <c r="EP62">
        <v>1.8645499999999999</v>
      </c>
      <c r="EQ62">
        <v>1.8701300000000001</v>
      </c>
      <c r="ER62">
        <v>1.86941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-0.432</v>
      </c>
      <c r="FG62">
        <v>0.31</v>
      </c>
      <c r="FH62">
        <v>0.1121710645629533</v>
      </c>
      <c r="FI62">
        <v>-6.1462078757559423E-4</v>
      </c>
      <c r="FJ62">
        <v>-1.8861989874597051E-7</v>
      </c>
      <c r="FK62">
        <v>1.1980462299894961E-10</v>
      </c>
      <c r="FL62">
        <v>0.30996499999999833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18.100000000000001</v>
      </c>
      <c r="FU62">
        <v>18</v>
      </c>
      <c r="FV62">
        <v>1.79321</v>
      </c>
      <c r="FW62">
        <v>2.5793499999999998</v>
      </c>
      <c r="FX62">
        <v>1.5490699999999999</v>
      </c>
      <c r="FY62">
        <v>2.3290999999999999</v>
      </c>
      <c r="FZ62">
        <v>1.50146</v>
      </c>
      <c r="GA62">
        <v>2.3864700000000001</v>
      </c>
      <c r="GB62">
        <v>33.963900000000002</v>
      </c>
      <c r="GC62">
        <v>23.991199999999999</v>
      </c>
      <c r="GD62">
        <v>19</v>
      </c>
      <c r="GE62">
        <v>282.07</v>
      </c>
      <c r="GF62">
        <v>599.86699999999996</v>
      </c>
      <c r="GG62">
        <v>23.398299999999999</v>
      </c>
      <c r="GH62">
        <v>26.512899999999998</v>
      </c>
      <c r="GI62">
        <v>29.999600000000001</v>
      </c>
      <c r="GJ62">
        <v>26.586400000000001</v>
      </c>
      <c r="GK62">
        <v>26.5535</v>
      </c>
      <c r="GL62">
        <v>35.855600000000003</v>
      </c>
      <c r="GM62">
        <v>25.8245</v>
      </c>
      <c r="GN62">
        <v>100</v>
      </c>
      <c r="GO62">
        <v>23.407800000000002</v>
      </c>
      <c r="GP62">
        <v>800</v>
      </c>
      <c r="GQ62">
        <v>20.068200000000001</v>
      </c>
      <c r="GR62">
        <v>99.720399999999998</v>
      </c>
      <c r="GS62">
        <v>99.564599999999999</v>
      </c>
    </row>
    <row r="63" spans="1:201" x14ac:dyDescent="0.25">
      <c r="A63">
        <v>47</v>
      </c>
      <c r="B63">
        <v>1690227275.5</v>
      </c>
      <c r="C63">
        <v>705.90000009536743</v>
      </c>
      <c r="D63" t="s">
        <v>425</v>
      </c>
      <c r="E63" t="s">
        <v>426</v>
      </c>
      <c r="F63" t="s">
        <v>330</v>
      </c>
      <c r="H63">
        <v>1690227275.5</v>
      </c>
      <c r="I63">
        <f t="shared" si="0"/>
        <v>2.43367897046175E-4</v>
      </c>
      <c r="J63">
        <f t="shared" si="1"/>
        <v>0.24336789704617501</v>
      </c>
      <c r="K63">
        <f t="shared" si="2"/>
        <v>0.95427848592614051</v>
      </c>
      <c r="L63">
        <f t="shared" si="3"/>
        <v>787.649</v>
      </c>
      <c r="M63">
        <f t="shared" si="4"/>
        <v>660.59988123288815</v>
      </c>
      <c r="N63">
        <f t="shared" si="5"/>
        <v>65.515480083384148</v>
      </c>
      <c r="O63">
        <f t="shared" si="6"/>
        <v>78.115670072313009</v>
      </c>
      <c r="P63">
        <f t="shared" si="7"/>
        <v>1.4282397325327914E-2</v>
      </c>
      <c r="Q63">
        <f t="shared" si="8"/>
        <v>2.1350000042204798</v>
      </c>
      <c r="R63">
        <f t="shared" si="9"/>
        <v>1.4229529371502082E-2</v>
      </c>
      <c r="S63">
        <f t="shared" si="10"/>
        <v>8.898189449947979E-3</v>
      </c>
      <c r="T63">
        <f t="shared" si="11"/>
        <v>276.1145677256572</v>
      </c>
      <c r="U63">
        <f t="shared" si="12"/>
        <v>28.394703851226726</v>
      </c>
      <c r="V63">
        <f t="shared" si="13"/>
        <v>28.394703851226726</v>
      </c>
      <c r="W63">
        <f t="shared" si="14"/>
        <v>3.8830399032374001</v>
      </c>
      <c r="X63">
        <f t="shared" si="15"/>
        <v>65.196909647001192</v>
      </c>
      <c r="Y63">
        <f t="shared" si="16"/>
        <v>2.2391897899860003</v>
      </c>
      <c r="Z63">
        <f t="shared" si="17"/>
        <v>3.4345029574403987</v>
      </c>
      <c r="AA63">
        <f t="shared" si="18"/>
        <v>1.6438501132513998</v>
      </c>
      <c r="AB63">
        <f t="shared" si="19"/>
        <v>-10.732524259736318</v>
      </c>
      <c r="AC63">
        <f t="shared" si="20"/>
        <v>-241.17391579711489</v>
      </c>
      <c r="AD63">
        <f t="shared" si="21"/>
        <v>-24.463526761250531</v>
      </c>
      <c r="AE63">
        <f t="shared" si="22"/>
        <v>-0.25539909244454861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52690.264069001336</v>
      </c>
      <c r="AK63">
        <f t="shared" si="26"/>
        <v>1799.99</v>
      </c>
      <c r="AL63">
        <f t="shared" si="27"/>
        <v>1499.10167901107</v>
      </c>
      <c r="AM63">
        <f t="shared" si="28"/>
        <v>0.83283889300000002</v>
      </c>
      <c r="AN63">
        <f t="shared" si="29"/>
        <v>0.15339783428000001</v>
      </c>
      <c r="AO63">
        <v>32.4</v>
      </c>
      <c r="AP63">
        <v>0.5</v>
      </c>
      <c r="AQ63" t="s">
        <v>331</v>
      </c>
      <c r="AR63">
        <v>2</v>
      </c>
      <c r="AS63">
        <v>1690227275.5</v>
      </c>
      <c r="AT63">
        <v>787.649</v>
      </c>
      <c r="AU63">
        <v>800.02</v>
      </c>
      <c r="AV63">
        <v>22.577999999999999</v>
      </c>
      <c r="AW63">
        <v>20.010100000000001</v>
      </c>
      <c r="AX63">
        <v>788.08</v>
      </c>
      <c r="AY63">
        <v>22.268000000000001</v>
      </c>
      <c r="AZ63">
        <v>300.13200000000001</v>
      </c>
      <c r="BA63">
        <v>99.075699999999998</v>
      </c>
      <c r="BB63">
        <v>0.100037</v>
      </c>
      <c r="BC63">
        <v>26.299399999999999</v>
      </c>
      <c r="BD63">
        <v>26.9267</v>
      </c>
      <c r="BE63">
        <v>28.1462</v>
      </c>
      <c r="BF63">
        <v>0</v>
      </c>
      <c r="BG63">
        <v>0</v>
      </c>
      <c r="BH63">
        <v>10035.6</v>
      </c>
      <c r="BI63">
        <v>1069.3900000000001</v>
      </c>
      <c r="BJ63">
        <v>1.5320100000000001</v>
      </c>
      <c r="BK63">
        <v>-12.371</v>
      </c>
      <c r="BL63">
        <v>805.84400000000005</v>
      </c>
      <c r="BM63">
        <v>816.35599999999999</v>
      </c>
      <c r="BN63">
        <v>2.5678999999999998</v>
      </c>
      <c r="BO63">
        <v>800.02</v>
      </c>
      <c r="BP63">
        <v>20.010100000000001</v>
      </c>
      <c r="BQ63">
        <v>2.2369300000000001</v>
      </c>
      <c r="BR63">
        <v>1.9825200000000001</v>
      </c>
      <c r="BS63">
        <v>19.229299999999999</v>
      </c>
      <c r="BT63">
        <v>17.305399999999999</v>
      </c>
      <c r="BU63">
        <v>1799.99</v>
      </c>
      <c r="BV63">
        <v>0.90998400000000002</v>
      </c>
      <c r="BW63">
        <v>3.4003600000000002E-2</v>
      </c>
      <c r="BX63">
        <v>2.2004900000000001E-2</v>
      </c>
      <c r="BY63">
        <v>3.40074E-2</v>
      </c>
      <c r="BZ63">
        <v>26</v>
      </c>
      <c r="CA63">
        <v>33528.199999999997</v>
      </c>
      <c r="CB63">
        <v>1690226183.5999999</v>
      </c>
      <c r="CC63" t="s">
        <v>332</v>
      </c>
      <c r="CD63">
        <v>1690226177.5999999</v>
      </c>
      <c r="CE63">
        <v>1690226183.5999999</v>
      </c>
      <c r="CF63">
        <v>12</v>
      </c>
      <c r="CG63">
        <v>-0.255</v>
      </c>
      <c r="CH63">
        <v>0.113</v>
      </c>
      <c r="CI63">
        <v>-0.439</v>
      </c>
      <c r="CJ63">
        <v>0.31</v>
      </c>
      <c r="CK63">
        <v>800</v>
      </c>
      <c r="CL63">
        <v>25</v>
      </c>
      <c r="CM63">
        <v>0.02</v>
      </c>
      <c r="CN63">
        <v>0.03</v>
      </c>
      <c r="CO63">
        <v>-11.62837317073171</v>
      </c>
      <c r="CP63">
        <v>-3.6376912891985991</v>
      </c>
      <c r="CQ63">
        <v>0.36160906530320641</v>
      </c>
      <c r="CR63">
        <v>-1</v>
      </c>
      <c r="CS63">
        <v>2.5414190243902439</v>
      </c>
      <c r="CT63">
        <v>0.1011848780487772</v>
      </c>
      <c r="CU63">
        <v>1.005079873173006E-2</v>
      </c>
      <c r="CV63">
        <v>-1</v>
      </c>
      <c r="CW63">
        <v>0</v>
      </c>
      <c r="CX63">
        <v>0</v>
      </c>
      <c r="CY63" t="s">
        <v>333</v>
      </c>
      <c r="CZ63">
        <v>2.3639700000000001</v>
      </c>
      <c r="DA63">
        <v>2.7138599999999999</v>
      </c>
      <c r="DB63">
        <v>0.145181</v>
      </c>
      <c r="DC63">
        <v>0.14629700000000001</v>
      </c>
      <c r="DD63">
        <v>0.108594</v>
      </c>
      <c r="DE63">
        <v>9.8673700000000003E-2</v>
      </c>
      <c r="DF63">
        <v>31206.6</v>
      </c>
      <c r="DG63">
        <v>27509.8</v>
      </c>
      <c r="DH63">
        <v>31166.5</v>
      </c>
      <c r="DI63">
        <v>28079.200000000001</v>
      </c>
      <c r="DJ63">
        <v>37721.699999999997</v>
      </c>
      <c r="DK63">
        <v>35989.1</v>
      </c>
      <c r="DL63">
        <v>44353.8</v>
      </c>
      <c r="DM63">
        <v>42562.3</v>
      </c>
      <c r="DN63">
        <v>1.4718500000000001</v>
      </c>
      <c r="DO63">
        <v>2.0537000000000001</v>
      </c>
      <c r="DP63">
        <v>9.19402E-2</v>
      </c>
      <c r="DQ63">
        <v>0.18389900000000001</v>
      </c>
      <c r="DR63">
        <v>25.421099999999999</v>
      </c>
      <c r="DS63">
        <v>25.136900000000001</v>
      </c>
      <c r="DT63">
        <v>57.3</v>
      </c>
      <c r="DU63">
        <v>29.3</v>
      </c>
      <c r="DV63">
        <v>23.668299999999999</v>
      </c>
      <c r="DW63">
        <v>61.272399999999998</v>
      </c>
      <c r="DX63">
        <v>36.446300000000001</v>
      </c>
      <c r="DY63">
        <v>1</v>
      </c>
      <c r="DZ63">
        <v>-7.0126999999999995E-2</v>
      </c>
      <c r="EA63">
        <v>0.59081399999999995</v>
      </c>
      <c r="EB63">
        <v>20.188099999999999</v>
      </c>
      <c r="EC63">
        <v>5.2404999999999999</v>
      </c>
      <c r="ED63">
        <v>12.039899999999999</v>
      </c>
      <c r="EE63">
        <v>5.0171000000000001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1.8689100000000001</v>
      </c>
      <c r="EL63">
        <v>1.86463</v>
      </c>
      <c r="EM63">
        <v>1.8692</v>
      </c>
      <c r="EN63">
        <v>1.8672200000000001</v>
      </c>
      <c r="EO63">
        <v>1.8633999999999999</v>
      </c>
      <c r="EP63">
        <v>1.86453</v>
      </c>
      <c r="EQ63">
        <v>1.8701300000000001</v>
      </c>
      <c r="ER63">
        <v>1.86948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-0.43099999999999999</v>
      </c>
      <c r="FG63">
        <v>0.31</v>
      </c>
      <c r="FH63">
        <v>0.1121710645629533</v>
      </c>
      <c r="FI63">
        <v>-6.1462078757559423E-4</v>
      </c>
      <c r="FJ63">
        <v>-1.8861989874597051E-7</v>
      </c>
      <c r="FK63">
        <v>1.1980462299894961E-10</v>
      </c>
      <c r="FL63">
        <v>0.30996499999999833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18.3</v>
      </c>
      <c r="FU63">
        <v>18.2</v>
      </c>
      <c r="FV63">
        <v>1.79321</v>
      </c>
      <c r="FW63">
        <v>2.5891099999999998</v>
      </c>
      <c r="FX63">
        <v>1.5490699999999999</v>
      </c>
      <c r="FY63">
        <v>2.3290999999999999</v>
      </c>
      <c r="FZ63">
        <v>1.50146</v>
      </c>
      <c r="GA63">
        <v>2.3059099999999999</v>
      </c>
      <c r="GB63">
        <v>33.963900000000002</v>
      </c>
      <c r="GC63">
        <v>23.973700000000001</v>
      </c>
      <c r="GD63">
        <v>19</v>
      </c>
      <c r="GE63">
        <v>282.05799999999999</v>
      </c>
      <c r="GF63">
        <v>600.09900000000005</v>
      </c>
      <c r="GG63">
        <v>23.468399999999999</v>
      </c>
      <c r="GH63">
        <v>26.508400000000002</v>
      </c>
      <c r="GI63">
        <v>29.9998</v>
      </c>
      <c r="GJ63">
        <v>26.586099999999998</v>
      </c>
      <c r="GK63">
        <v>26.5535</v>
      </c>
      <c r="GL63">
        <v>35.853200000000001</v>
      </c>
      <c r="GM63">
        <v>25.8245</v>
      </c>
      <c r="GN63">
        <v>100</v>
      </c>
      <c r="GO63">
        <v>23.479800000000001</v>
      </c>
      <c r="GP63">
        <v>800</v>
      </c>
      <c r="GQ63">
        <v>20.0519</v>
      </c>
      <c r="GR63">
        <v>99.720699999999994</v>
      </c>
      <c r="GS63">
        <v>99.564400000000006</v>
      </c>
    </row>
    <row r="64" spans="1:201" x14ac:dyDescent="0.25">
      <c r="A64">
        <v>48</v>
      </c>
      <c r="B64">
        <v>1690227285.5</v>
      </c>
      <c r="C64">
        <v>715.90000009536743</v>
      </c>
      <c r="D64" t="s">
        <v>427</v>
      </c>
      <c r="E64" t="s">
        <v>428</v>
      </c>
      <c r="F64" t="s">
        <v>330</v>
      </c>
      <c r="H64">
        <v>1690227285.5</v>
      </c>
      <c r="I64">
        <f t="shared" si="0"/>
        <v>2.4651588729046901E-4</v>
      </c>
      <c r="J64">
        <f t="shared" si="1"/>
        <v>0.24651588729046903</v>
      </c>
      <c r="K64">
        <f t="shared" si="2"/>
        <v>1.0109952453130029</v>
      </c>
      <c r="L64">
        <f t="shared" si="3"/>
        <v>786.97400000000005</v>
      </c>
      <c r="M64">
        <f t="shared" si="4"/>
        <v>655.34332927148932</v>
      </c>
      <c r="N64">
        <f t="shared" si="5"/>
        <v>64.994613787490806</v>
      </c>
      <c r="O64">
        <f t="shared" si="6"/>
        <v>78.049274183742</v>
      </c>
      <c r="P64">
        <f t="shared" si="7"/>
        <v>1.4496476118286923E-2</v>
      </c>
      <c r="Q64">
        <f t="shared" si="8"/>
        <v>2.1338459122925348</v>
      </c>
      <c r="R64">
        <f t="shared" si="9"/>
        <v>1.4441985337720398E-2</v>
      </c>
      <c r="S64">
        <f t="shared" si="10"/>
        <v>9.0311194710444541E-3</v>
      </c>
      <c r="T64">
        <f t="shared" si="11"/>
        <v>276.11430033714271</v>
      </c>
      <c r="U64">
        <f t="shared" si="12"/>
        <v>28.39164067821967</v>
      </c>
      <c r="V64">
        <f t="shared" si="13"/>
        <v>28.39164067821967</v>
      </c>
      <c r="W64">
        <f t="shared" si="14"/>
        <v>3.8823485835290503</v>
      </c>
      <c r="X64">
        <f t="shared" si="15"/>
        <v>65.282564378885326</v>
      </c>
      <c r="Y64">
        <f t="shared" si="16"/>
        <v>2.2417345033155001</v>
      </c>
      <c r="Z64">
        <f t="shared" si="17"/>
        <v>3.4338946771529644</v>
      </c>
      <c r="AA64">
        <f t="shared" si="18"/>
        <v>1.6406140802135503</v>
      </c>
      <c r="AB64">
        <f t="shared" si="19"/>
        <v>-10.871350629509683</v>
      </c>
      <c r="AC64">
        <f t="shared" si="20"/>
        <v>-241.03627982378555</v>
      </c>
      <c r="AD64">
        <f t="shared" si="21"/>
        <v>-24.462048432492534</v>
      </c>
      <c r="AE64">
        <f t="shared" si="22"/>
        <v>-0.25537854864506926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52640.843796104091</v>
      </c>
      <c r="AK64">
        <f t="shared" si="26"/>
        <v>1799.99</v>
      </c>
      <c r="AL64">
        <f t="shared" si="27"/>
        <v>1499.1025250063699</v>
      </c>
      <c r="AM64">
        <f t="shared" si="28"/>
        <v>0.83283936299999994</v>
      </c>
      <c r="AN64">
        <f t="shared" si="29"/>
        <v>0.15339768573000001</v>
      </c>
      <c r="AO64">
        <v>32.4</v>
      </c>
      <c r="AP64">
        <v>0.5</v>
      </c>
      <c r="AQ64" t="s">
        <v>331</v>
      </c>
      <c r="AR64">
        <v>2</v>
      </c>
      <c r="AS64">
        <v>1690227285.5</v>
      </c>
      <c r="AT64">
        <v>786.97400000000005</v>
      </c>
      <c r="AU64">
        <v>799.97699999999998</v>
      </c>
      <c r="AV64">
        <v>22.6035</v>
      </c>
      <c r="AW64">
        <v>20.003499999999999</v>
      </c>
      <c r="AX64">
        <v>787.404</v>
      </c>
      <c r="AY64">
        <v>22.293500000000002</v>
      </c>
      <c r="AZ64">
        <v>300.25299999999999</v>
      </c>
      <c r="BA64">
        <v>99.076400000000007</v>
      </c>
      <c r="BB64">
        <v>0.100033</v>
      </c>
      <c r="BC64">
        <v>26.296399999999998</v>
      </c>
      <c r="BD64">
        <v>26.934699999999999</v>
      </c>
      <c r="BE64">
        <v>28.177900000000001</v>
      </c>
      <c r="BF64">
        <v>0</v>
      </c>
      <c r="BG64">
        <v>0</v>
      </c>
      <c r="BH64">
        <v>10025.6</v>
      </c>
      <c r="BI64">
        <v>1069.3599999999999</v>
      </c>
      <c r="BJ64">
        <v>1.5137799999999999</v>
      </c>
      <c r="BK64">
        <v>-13.003500000000001</v>
      </c>
      <c r="BL64">
        <v>805.17399999999998</v>
      </c>
      <c r="BM64">
        <v>816.30600000000004</v>
      </c>
      <c r="BN64">
        <v>2.59998</v>
      </c>
      <c r="BO64">
        <v>799.97699999999998</v>
      </c>
      <c r="BP64">
        <v>20.003499999999999</v>
      </c>
      <c r="BQ64">
        <v>2.2394699999999998</v>
      </c>
      <c r="BR64">
        <v>1.9818800000000001</v>
      </c>
      <c r="BS64">
        <v>19.247499999999999</v>
      </c>
      <c r="BT64">
        <v>17.3003</v>
      </c>
      <c r="BU64">
        <v>1799.99</v>
      </c>
      <c r="BV64">
        <v>0.90998999999999997</v>
      </c>
      <c r="BW64">
        <v>3.4001400000000001E-2</v>
      </c>
      <c r="BX64">
        <v>2.2003399999999999E-2</v>
      </c>
      <c r="BY64">
        <v>3.4005100000000003E-2</v>
      </c>
      <c r="BZ64">
        <v>25.875</v>
      </c>
      <c r="CA64">
        <v>33528.199999999997</v>
      </c>
      <c r="CB64">
        <v>1690226183.5999999</v>
      </c>
      <c r="CC64" t="s">
        <v>332</v>
      </c>
      <c r="CD64">
        <v>1690226177.5999999</v>
      </c>
      <c r="CE64">
        <v>1690226183.5999999</v>
      </c>
      <c r="CF64">
        <v>12</v>
      </c>
      <c r="CG64">
        <v>-0.255</v>
      </c>
      <c r="CH64">
        <v>0.113</v>
      </c>
      <c r="CI64">
        <v>-0.439</v>
      </c>
      <c r="CJ64">
        <v>0.31</v>
      </c>
      <c r="CK64">
        <v>800</v>
      </c>
      <c r="CL64">
        <v>25</v>
      </c>
      <c r="CM64">
        <v>0.02</v>
      </c>
      <c r="CN64">
        <v>0.03</v>
      </c>
      <c r="CO64">
        <v>-12.28886</v>
      </c>
      <c r="CP64">
        <v>-3.8455789868667472</v>
      </c>
      <c r="CQ64">
        <v>0.37155589000848849</v>
      </c>
      <c r="CR64">
        <v>-1</v>
      </c>
      <c r="CS64">
        <v>2.5658232500000002</v>
      </c>
      <c r="CT64">
        <v>0.17237504690431041</v>
      </c>
      <c r="CU64">
        <v>1.669114905983108E-2</v>
      </c>
      <c r="CV64">
        <v>-1</v>
      </c>
      <c r="CW64">
        <v>0</v>
      </c>
      <c r="CX64">
        <v>0</v>
      </c>
      <c r="CY64" t="s">
        <v>333</v>
      </c>
      <c r="CZ64">
        <v>2.3643700000000001</v>
      </c>
      <c r="DA64">
        <v>2.7138499999999999</v>
      </c>
      <c r="DB64">
        <v>0.14509900000000001</v>
      </c>
      <c r="DC64">
        <v>0.14629200000000001</v>
      </c>
      <c r="DD64">
        <v>0.108683</v>
      </c>
      <c r="DE64">
        <v>9.8651000000000003E-2</v>
      </c>
      <c r="DF64">
        <v>31210.400000000001</v>
      </c>
      <c r="DG64">
        <v>27509.9</v>
      </c>
      <c r="DH64">
        <v>31167.3</v>
      </c>
      <c r="DI64">
        <v>28079.200000000001</v>
      </c>
      <c r="DJ64">
        <v>37718.699999999997</v>
      </c>
      <c r="DK64">
        <v>35990</v>
      </c>
      <c r="DL64">
        <v>44354.7</v>
      </c>
      <c r="DM64">
        <v>42562.3</v>
      </c>
      <c r="DN64">
        <v>1.4719500000000001</v>
      </c>
      <c r="DO64">
        <v>2.0537800000000002</v>
      </c>
      <c r="DP64">
        <v>9.2983200000000002E-2</v>
      </c>
      <c r="DQ64">
        <v>0.186302</v>
      </c>
      <c r="DR64">
        <v>25.411999999999999</v>
      </c>
      <c r="DS64">
        <v>25.129300000000001</v>
      </c>
      <c r="DT64">
        <v>57.3</v>
      </c>
      <c r="DU64">
        <v>29.3</v>
      </c>
      <c r="DV64">
        <v>23.665500000000002</v>
      </c>
      <c r="DW64">
        <v>61.412399999999998</v>
      </c>
      <c r="DX64">
        <v>35.3125</v>
      </c>
      <c r="DY64">
        <v>1</v>
      </c>
      <c r="DZ64">
        <v>-7.0589399999999997E-2</v>
      </c>
      <c r="EA64">
        <v>0.51291699999999996</v>
      </c>
      <c r="EB64">
        <v>20.188700000000001</v>
      </c>
      <c r="EC64">
        <v>5.2408000000000001</v>
      </c>
      <c r="ED64">
        <v>12.039899999999999</v>
      </c>
      <c r="EE64">
        <v>5.0166500000000003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1.86463</v>
      </c>
      <c r="EM64">
        <v>1.8691899999999999</v>
      </c>
      <c r="EN64">
        <v>1.8672299999999999</v>
      </c>
      <c r="EO64">
        <v>1.8633999999999999</v>
      </c>
      <c r="EP64">
        <v>1.8645099999999999</v>
      </c>
      <c r="EQ64">
        <v>1.8701399999999999</v>
      </c>
      <c r="ER64">
        <v>1.8694500000000001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-0.43</v>
      </c>
      <c r="FG64">
        <v>0.31</v>
      </c>
      <c r="FH64">
        <v>0.1121710645629533</v>
      </c>
      <c r="FI64">
        <v>-6.1462078757559423E-4</v>
      </c>
      <c r="FJ64">
        <v>-1.8861989874597051E-7</v>
      </c>
      <c r="FK64">
        <v>1.1980462299894961E-10</v>
      </c>
      <c r="FL64">
        <v>0.30996499999999833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18.5</v>
      </c>
      <c r="FU64">
        <v>18.399999999999999</v>
      </c>
      <c r="FV64">
        <v>1.79321</v>
      </c>
      <c r="FW64">
        <v>2.5805699999999998</v>
      </c>
      <c r="FX64">
        <v>1.5490699999999999</v>
      </c>
      <c r="FY64">
        <v>2.3290999999999999</v>
      </c>
      <c r="FZ64">
        <v>1.50146</v>
      </c>
      <c r="GA64">
        <v>2.3986800000000001</v>
      </c>
      <c r="GB64">
        <v>33.963900000000002</v>
      </c>
      <c r="GC64">
        <v>23.991199999999999</v>
      </c>
      <c r="GD64">
        <v>19</v>
      </c>
      <c r="GE64">
        <v>282.101</v>
      </c>
      <c r="GF64">
        <v>600.18200000000002</v>
      </c>
      <c r="GG64">
        <v>23.555599999999998</v>
      </c>
      <c r="GH64">
        <v>26.503900000000002</v>
      </c>
      <c r="GI64">
        <v>30</v>
      </c>
      <c r="GJ64">
        <v>26.586099999999998</v>
      </c>
      <c r="GK64">
        <v>26.555199999999999</v>
      </c>
      <c r="GL64">
        <v>35.854399999999998</v>
      </c>
      <c r="GM64">
        <v>25.8245</v>
      </c>
      <c r="GN64">
        <v>100</v>
      </c>
      <c r="GO64">
        <v>23.5596</v>
      </c>
      <c r="GP64">
        <v>800</v>
      </c>
      <c r="GQ64">
        <v>20.028500000000001</v>
      </c>
      <c r="GR64">
        <v>99.722899999999996</v>
      </c>
      <c r="GS64">
        <v>99.564300000000003</v>
      </c>
    </row>
    <row r="65" spans="1:201" x14ac:dyDescent="0.25">
      <c r="A65">
        <v>49</v>
      </c>
      <c r="B65">
        <v>1690227295.5</v>
      </c>
      <c r="C65">
        <v>725.90000009536743</v>
      </c>
      <c r="D65" t="s">
        <v>429</v>
      </c>
      <c r="E65" t="s">
        <v>430</v>
      </c>
      <c r="F65" t="s">
        <v>330</v>
      </c>
      <c r="H65">
        <v>1690227295.5</v>
      </c>
      <c r="I65">
        <f t="shared" si="0"/>
        <v>2.4933821939940261E-4</v>
      </c>
      <c r="J65">
        <f t="shared" si="1"/>
        <v>0.24933821939940259</v>
      </c>
      <c r="K65">
        <f t="shared" si="2"/>
        <v>1.0749132803302943</v>
      </c>
      <c r="L65">
        <f t="shared" si="3"/>
        <v>786.245</v>
      </c>
      <c r="M65">
        <f t="shared" si="4"/>
        <v>648.84907827365475</v>
      </c>
      <c r="N65">
        <f t="shared" si="5"/>
        <v>64.350280972902766</v>
      </c>
      <c r="O65">
        <f t="shared" si="6"/>
        <v>77.976664154558989</v>
      </c>
      <c r="P65">
        <f t="shared" si="7"/>
        <v>1.4648680043219254E-2</v>
      </c>
      <c r="Q65">
        <f t="shared" si="8"/>
        <v>2.1341330648390442</v>
      </c>
      <c r="R65">
        <f t="shared" si="9"/>
        <v>1.45930488437555E-2</v>
      </c>
      <c r="S65">
        <f t="shared" si="10"/>
        <v>9.1256360862097367E-3</v>
      </c>
      <c r="T65">
        <f t="shared" si="11"/>
        <v>276.11398523089332</v>
      </c>
      <c r="U65">
        <f t="shared" si="12"/>
        <v>28.409462343412912</v>
      </c>
      <c r="V65">
        <f t="shared" si="13"/>
        <v>28.409462343412912</v>
      </c>
      <c r="W65">
        <f t="shared" si="14"/>
        <v>3.8863722149069568</v>
      </c>
      <c r="X65">
        <f t="shared" si="15"/>
        <v>65.281142980266466</v>
      </c>
      <c r="Y65">
        <f t="shared" si="16"/>
        <v>2.2442148980125198</v>
      </c>
      <c r="Z65">
        <f t="shared" si="17"/>
        <v>3.4377690027438907</v>
      </c>
      <c r="AA65">
        <f t="shared" si="18"/>
        <v>1.642157316894437</v>
      </c>
      <c r="AB65">
        <f t="shared" si="19"/>
        <v>-10.995815475513655</v>
      </c>
      <c r="AC65">
        <f t="shared" si="20"/>
        <v>-240.92163687861137</v>
      </c>
      <c r="AD65">
        <f t="shared" si="21"/>
        <v>-24.451631655192379</v>
      </c>
      <c r="AE65">
        <f t="shared" si="22"/>
        <v>-0.25509877842409878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52649.905988375795</v>
      </c>
      <c r="AK65">
        <f t="shared" si="26"/>
        <v>1799.99</v>
      </c>
      <c r="AL65">
        <f t="shared" si="27"/>
        <v>1499.1028292046801</v>
      </c>
      <c r="AM65">
        <f t="shared" si="28"/>
        <v>0.83283953200000005</v>
      </c>
      <c r="AN65">
        <f t="shared" si="29"/>
        <v>0.15339751067000001</v>
      </c>
      <c r="AO65">
        <v>32.4</v>
      </c>
      <c r="AP65">
        <v>0.5</v>
      </c>
      <c r="AQ65" t="s">
        <v>331</v>
      </c>
      <c r="AR65">
        <v>2</v>
      </c>
      <c r="AS65">
        <v>1690227295.5</v>
      </c>
      <c r="AT65">
        <v>786.245</v>
      </c>
      <c r="AU65">
        <v>799.96600000000001</v>
      </c>
      <c r="AV65">
        <v>22.628599999999999</v>
      </c>
      <c r="AW65">
        <v>19.997699999999998</v>
      </c>
      <c r="AX65">
        <v>786.67399999999998</v>
      </c>
      <c r="AY65">
        <v>22.3187</v>
      </c>
      <c r="AZ65">
        <v>300.11599999999999</v>
      </c>
      <c r="BA65">
        <v>99.076099999999997</v>
      </c>
      <c r="BB65">
        <v>9.9938200000000005E-2</v>
      </c>
      <c r="BC65">
        <v>26.3155</v>
      </c>
      <c r="BD65">
        <v>26.9299</v>
      </c>
      <c r="BE65">
        <v>28.178899999999999</v>
      </c>
      <c r="BF65">
        <v>0</v>
      </c>
      <c r="BG65">
        <v>0</v>
      </c>
      <c r="BH65">
        <v>10028.1</v>
      </c>
      <c r="BI65">
        <v>1069.3900000000001</v>
      </c>
      <c r="BJ65">
        <v>1.5137799999999999</v>
      </c>
      <c r="BK65">
        <v>-13.7217</v>
      </c>
      <c r="BL65">
        <v>804.44799999999998</v>
      </c>
      <c r="BM65">
        <v>816.29</v>
      </c>
      <c r="BN65">
        <v>2.6309100000000001</v>
      </c>
      <c r="BO65">
        <v>799.96600000000001</v>
      </c>
      <c r="BP65">
        <v>19.997699999999998</v>
      </c>
      <c r="BQ65">
        <v>2.2419600000000002</v>
      </c>
      <c r="BR65">
        <v>1.9813000000000001</v>
      </c>
      <c r="BS65">
        <v>19.2653</v>
      </c>
      <c r="BT65">
        <v>17.2956</v>
      </c>
      <c r="BU65">
        <v>1799.99</v>
      </c>
      <c r="BV65">
        <v>0.909995</v>
      </c>
      <c r="BW65">
        <v>3.3999399999999999E-2</v>
      </c>
      <c r="BX65">
        <v>2.20021E-2</v>
      </c>
      <c r="BY65">
        <v>3.4003100000000001E-2</v>
      </c>
      <c r="BZ65">
        <v>25.791699999999999</v>
      </c>
      <c r="CA65">
        <v>33528.1</v>
      </c>
      <c r="CB65">
        <v>1690226183.5999999</v>
      </c>
      <c r="CC65" t="s">
        <v>332</v>
      </c>
      <c r="CD65">
        <v>1690226177.5999999</v>
      </c>
      <c r="CE65">
        <v>1690226183.5999999</v>
      </c>
      <c r="CF65">
        <v>12</v>
      </c>
      <c r="CG65">
        <v>-0.255</v>
      </c>
      <c r="CH65">
        <v>0.113</v>
      </c>
      <c r="CI65">
        <v>-0.439</v>
      </c>
      <c r="CJ65">
        <v>0.31</v>
      </c>
      <c r="CK65">
        <v>800</v>
      </c>
      <c r="CL65">
        <v>25</v>
      </c>
      <c r="CM65">
        <v>0.02</v>
      </c>
      <c r="CN65">
        <v>0.03</v>
      </c>
      <c r="CO65">
        <v>-12.9749075</v>
      </c>
      <c r="CP65">
        <v>-4.1911756097560851</v>
      </c>
      <c r="CQ65">
        <v>0.4057340726310153</v>
      </c>
      <c r="CR65">
        <v>-1</v>
      </c>
      <c r="CS65">
        <v>2.5965799999999999</v>
      </c>
      <c r="CT65">
        <v>0.19133448405253489</v>
      </c>
      <c r="CU65">
        <v>1.8420212539490419E-2</v>
      </c>
      <c r="CV65">
        <v>-1</v>
      </c>
      <c r="CW65">
        <v>0</v>
      </c>
      <c r="CX65">
        <v>0</v>
      </c>
      <c r="CY65" t="s">
        <v>333</v>
      </c>
      <c r="CZ65">
        <v>2.3639399999999999</v>
      </c>
      <c r="DA65">
        <v>2.7137500000000001</v>
      </c>
      <c r="DB65">
        <v>0.14501</v>
      </c>
      <c r="DC65">
        <v>0.14629</v>
      </c>
      <c r="DD65">
        <v>0.108769</v>
      </c>
      <c r="DE65">
        <v>9.8630300000000004E-2</v>
      </c>
      <c r="DF65">
        <v>31213.9</v>
      </c>
      <c r="DG65">
        <v>27510.1</v>
      </c>
      <c r="DH65">
        <v>31167.5</v>
      </c>
      <c r="DI65">
        <v>28079.3</v>
      </c>
      <c r="DJ65">
        <v>37715.5</v>
      </c>
      <c r="DK65">
        <v>35990.9</v>
      </c>
      <c r="DL65">
        <v>44355.199999999997</v>
      </c>
      <c r="DM65">
        <v>42562.400000000001</v>
      </c>
      <c r="DN65">
        <v>1.47207</v>
      </c>
      <c r="DO65">
        <v>2.05382</v>
      </c>
      <c r="DP65">
        <v>9.3281299999999998E-2</v>
      </c>
      <c r="DQ65">
        <v>0.186805</v>
      </c>
      <c r="DR65">
        <v>25.4024</v>
      </c>
      <c r="DS65">
        <v>25.1221</v>
      </c>
      <c r="DT65">
        <v>57.3</v>
      </c>
      <c r="DU65">
        <v>29.3</v>
      </c>
      <c r="DV65">
        <v>23.663699999999999</v>
      </c>
      <c r="DW65">
        <v>61.372399999999999</v>
      </c>
      <c r="DX65">
        <v>35.733199999999997</v>
      </c>
      <c r="DY65">
        <v>1</v>
      </c>
      <c r="DZ65">
        <v>-7.0747000000000004E-2</v>
      </c>
      <c r="EA65">
        <v>0.52321899999999999</v>
      </c>
      <c r="EB65">
        <v>20.188300000000002</v>
      </c>
      <c r="EC65">
        <v>5.2408000000000001</v>
      </c>
      <c r="ED65">
        <v>12.039899999999999</v>
      </c>
      <c r="EE65">
        <v>5.01675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1.8689100000000001</v>
      </c>
      <c r="EL65">
        <v>1.86463</v>
      </c>
      <c r="EM65">
        <v>1.8691899999999999</v>
      </c>
      <c r="EN65">
        <v>1.86724</v>
      </c>
      <c r="EO65">
        <v>1.8633999999999999</v>
      </c>
      <c r="EP65">
        <v>1.86449</v>
      </c>
      <c r="EQ65">
        <v>1.87012</v>
      </c>
      <c r="ER65">
        <v>1.8694299999999999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-0.42899999999999999</v>
      </c>
      <c r="FG65">
        <v>0.30990000000000001</v>
      </c>
      <c r="FH65">
        <v>0.1121710645629533</v>
      </c>
      <c r="FI65">
        <v>-6.1462078757559423E-4</v>
      </c>
      <c r="FJ65">
        <v>-1.8861989874597051E-7</v>
      </c>
      <c r="FK65">
        <v>1.1980462299894961E-10</v>
      </c>
      <c r="FL65">
        <v>0.30996499999999833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18.600000000000001</v>
      </c>
      <c r="FU65">
        <v>18.5</v>
      </c>
      <c r="FV65">
        <v>1.79321</v>
      </c>
      <c r="FW65">
        <v>2.5842299999999998</v>
      </c>
      <c r="FX65">
        <v>1.5490699999999999</v>
      </c>
      <c r="FY65">
        <v>2.3290999999999999</v>
      </c>
      <c r="FZ65">
        <v>1.50146</v>
      </c>
      <c r="GA65">
        <v>2.3803700000000001</v>
      </c>
      <c r="GB65">
        <v>33.963900000000002</v>
      </c>
      <c r="GC65">
        <v>23.982399999999998</v>
      </c>
      <c r="GD65">
        <v>19</v>
      </c>
      <c r="GE65">
        <v>282.14800000000002</v>
      </c>
      <c r="GF65">
        <v>600.23099999999999</v>
      </c>
      <c r="GG65">
        <v>23.625900000000001</v>
      </c>
      <c r="GH65">
        <v>26.5</v>
      </c>
      <c r="GI65">
        <v>29.9999</v>
      </c>
      <c r="GJ65">
        <v>26.584700000000002</v>
      </c>
      <c r="GK65">
        <v>26.555800000000001</v>
      </c>
      <c r="GL65">
        <v>35.854199999999999</v>
      </c>
      <c r="GM65">
        <v>25.8245</v>
      </c>
      <c r="GN65">
        <v>100</v>
      </c>
      <c r="GO65">
        <v>23.622299999999999</v>
      </c>
      <c r="GP65">
        <v>800</v>
      </c>
      <c r="GQ65">
        <v>20.000699999999998</v>
      </c>
      <c r="GR65">
        <v>99.724000000000004</v>
      </c>
      <c r="GS65">
        <v>99.564499999999995</v>
      </c>
    </row>
    <row r="66" spans="1:201" x14ac:dyDescent="0.25">
      <c r="A66">
        <v>50</v>
      </c>
      <c r="B66">
        <v>1690227305.5</v>
      </c>
      <c r="C66">
        <v>735.90000009536743</v>
      </c>
      <c r="D66" t="s">
        <v>431</v>
      </c>
      <c r="E66" t="s">
        <v>432</v>
      </c>
      <c r="F66" t="s">
        <v>330</v>
      </c>
      <c r="H66">
        <v>1690227305.5</v>
      </c>
      <c r="I66">
        <f t="shared" si="0"/>
        <v>2.5208436853265905E-4</v>
      </c>
      <c r="J66">
        <f t="shared" si="1"/>
        <v>0.25208436853265903</v>
      </c>
      <c r="K66">
        <f t="shared" si="2"/>
        <v>1.1467827557169445</v>
      </c>
      <c r="L66">
        <f t="shared" si="3"/>
        <v>785.53700000000003</v>
      </c>
      <c r="M66">
        <f t="shared" si="4"/>
        <v>641.74230007667461</v>
      </c>
      <c r="N66">
        <f t="shared" si="5"/>
        <v>63.643658009717669</v>
      </c>
      <c r="O66">
        <f t="shared" si="6"/>
        <v>77.904243145584005</v>
      </c>
      <c r="P66">
        <f t="shared" si="7"/>
        <v>1.4810840260160812E-2</v>
      </c>
      <c r="Q66">
        <f t="shared" si="8"/>
        <v>2.1261568501772552</v>
      </c>
      <c r="R66">
        <f t="shared" si="9"/>
        <v>1.4753760707005736E-2</v>
      </c>
      <c r="S66">
        <f t="shared" si="10"/>
        <v>9.2262104024984377E-3</v>
      </c>
      <c r="T66">
        <f t="shared" si="11"/>
        <v>276.11384423767663</v>
      </c>
      <c r="U66">
        <f t="shared" si="12"/>
        <v>28.418432105747449</v>
      </c>
      <c r="V66">
        <f t="shared" si="13"/>
        <v>28.418432105747449</v>
      </c>
      <c r="W66">
        <f t="shared" si="14"/>
        <v>3.8883987109740117</v>
      </c>
      <c r="X66">
        <f t="shared" si="15"/>
        <v>65.331673528716493</v>
      </c>
      <c r="Y66">
        <f t="shared" si="16"/>
        <v>2.2463232914160001</v>
      </c>
      <c r="Z66">
        <f t="shared" si="17"/>
        <v>3.4383372873934266</v>
      </c>
      <c r="AA66">
        <f t="shared" si="18"/>
        <v>1.6420754195580116</v>
      </c>
      <c r="AB66">
        <f t="shared" si="19"/>
        <v>-11.116920652290265</v>
      </c>
      <c r="AC66">
        <f t="shared" si="20"/>
        <v>-240.7284156941183</v>
      </c>
      <c r="AD66">
        <f t="shared" si="21"/>
        <v>-24.525120469558662</v>
      </c>
      <c r="AE66">
        <f t="shared" si="22"/>
        <v>-0.25661257829059991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52304.858839166191</v>
      </c>
      <c r="AK66">
        <f t="shared" si="26"/>
        <v>1799.99</v>
      </c>
      <c r="AL66">
        <f t="shared" si="27"/>
        <v>1499.10422779691</v>
      </c>
      <c r="AM66">
        <f t="shared" si="28"/>
        <v>0.83284030899999995</v>
      </c>
      <c r="AN66">
        <f t="shared" si="29"/>
        <v>0.15339743234</v>
      </c>
      <c r="AO66">
        <v>32.4</v>
      </c>
      <c r="AP66">
        <v>0.5</v>
      </c>
      <c r="AQ66" t="s">
        <v>331</v>
      </c>
      <c r="AR66">
        <v>2</v>
      </c>
      <c r="AS66">
        <v>1690227305.5</v>
      </c>
      <c r="AT66">
        <v>785.53700000000003</v>
      </c>
      <c r="AU66">
        <v>800.053</v>
      </c>
      <c r="AV66">
        <v>22.650500000000001</v>
      </c>
      <c r="AW66">
        <v>19.991099999999999</v>
      </c>
      <c r="AX66">
        <v>785.96699999999998</v>
      </c>
      <c r="AY66">
        <v>22.340499999999999</v>
      </c>
      <c r="AZ66">
        <v>300.16300000000001</v>
      </c>
      <c r="BA66">
        <v>99.0732</v>
      </c>
      <c r="BB66">
        <v>0.100032</v>
      </c>
      <c r="BC66">
        <v>26.318300000000001</v>
      </c>
      <c r="BD66">
        <v>26.946100000000001</v>
      </c>
      <c r="BE66">
        <v>28.174099999999999</v>
      </c>
      <c r="BF66">
        <v>0</v>
      </c>
      <c r="BG66">
        <v>0</v>
      </c>
      <c r="BH66">
        <v>9960</v>
      </c>
      <c r="BI66">
        <v>1069.46</v>
      </c>
      <c r="BJ66">
        <v>1.5137799999999999</v>
      </c>
      <c r="BK66">
        <v>-14.515700000000001</v>
      </c>
      <c r="BL66">
        <v>803.74300000000005</v>
      </c>
      <c r="BM66">
        <v>816.37300000000005</v>
      </c>
      <c r="BN66">
        <v>2.6593599999999999</v>
      </c>
      <c r="BO66">
        <v>800.053</v>
      </c>
      <c r="BP66">
        <v>19.991099999999999</v>
      </c>
      <c r="BQ66">
        <v>2.2440600000000002</v>
      </c>
      <c r="BR66">
        <v>1.9805900000000001</v>
      </c>
      <c r="BS66">
        <v>19.2804</v>
      </c>
      <c r="BT66">
        <v>17.29</v>
      </c>
      <c r="BU66">
        <v>1799.99</v>
      </c>
      <c r="BV66">
        <v>0.91000099999999995</v>
      </c>
      <c r="BW66">
        <v>3.3997300000000001E-2</v>
      </c>
      <c r="BX66">
        <v>2.2000700000000002E-2</v>
      </c>
      <c r="BY66">
        <v>3.4001000000000003E-2</v>
      </c>
      <c r="BZ66">
        <v>25.666699999999999</v>
      </c>
      <c r="CA66">
        <v>33528.199999999997</v>
      </c>
      <c r="CB66">
        <v>1690226183.5999999</v>
      </c>
      <c r="CC66" t="s">
        <v>332</v>
      </c>
      <c r="CD66">
        <v>1690226177.5999999</v>
      </c>
      <c r="CE66">
        <v>1690226183.5999999</v>
      </c>
      <c r="CF66">
        <v>12</v>
      </c>
      <c r="CG66">
        <v>-0.255</v>
      </c>
      <c r="CH66">
        <v>0.113</v>
      </c>
      <c r="CI66">
        <v>-0.439</v>
      </c>
      <c r="CJ66">
        <v>0.31</v>
      </c>
      <c r="CK66">
        <v>800</v>
      </c>
      <c r="CL66">
        <v>25</v>
      </c>
      <c r="CM66">
        <v>0.02</v>
      </c>
      <c r="CN66">
        <v>0.03</v>
      </c>
      <c r="CO66">
        <v>-13.704102499999999</v>
      </c>
      <c r="CP66">
        <v>-4.3513384615384094</v>
      </c>
      <c r="CQ66">
        <v>0.41949894069443128</v>
      </c>
      <c r="CR66">
        <v>-1</v>
      </c>
      <c r="CS66">
        <v>2.6274424999999999</v>
      </c>
      <c r="CT66">
        <v>0.1782328705440851</v>
      </c>
      <c r="CU66">
        <v>1.717877989701248E-2</v>
      </c>
      <c r="CV66">
        <v>-1</v>
      </c>
      <c r="CW66">
        <v>0</v>
      </c>
      <c r="CX66">
        <v>0</v>
      </c>
      <c r="CY66" t="s">
        <v>333</v>
      </c>
      <c r="CZ66">
        <v>2.3640699999999999</v>
      </c>
      <c r="DA66">
        <v>2.7137899999999999</v>
      </c>
      <c r="DB66">
        <v>0.14491899999999999</v>
      </c>
      <c r="DC66">
        <v>0.14629700000000001</v>
      </c>
      <c r="DD66">
        <v>0.10884199999999999</v>
      </c>
      <c r="DE66">
        <v>9.8604399999999995E-2</v>
      </c>
      <c r="DF66">
        <v>31217.3</v>
      </c>
      <c r="DG66">
        <v>27509.9</v>
      </c>
      <c r="DH66">
        <v>31167.599999999999</v>
      </c>
      <c r="DI66">
        <v>28079.200000000001</v>
      </c>
      <c r="DJ66">
        <v>37712.400000000001</v>
      </c>
      <c r="DK66">
        <v>35991.800000000003</v>
      </c>
      <c r="DL66">
        <v>44355.3</v>
      </c>
      <c r="DM66">
        <v>42562.2</v>
      </c>
      <c r="DN66">
        <v>1.4719</v>
      </c>
      <c r="DO66">
        <v>2.0539499999999999</v>
      </c>
      <c r="DP66">
        <v>9.4827300000000003E-2</v>
      </c>
      <c r="DQ66">
        <v>0.18689800000000001</v>
      </c>
      <c r="DR66">
        <v>25.3932</v>
      </c>
      <c r="DS66">
        <v>25.1157</v>
      </c>
      <c r="DT66">
        <v>57.3</v>
      </c>
      <c r="DU66">
        <v>29.3</v>
      </c>
      <c r="DV66">
        <v>23.667899999999999</v>
      </c>
      <c r="DW66">
        <v>61.782499999999999</v>
      </c>
      <c r="DX66">
        <v>36.253999999999998</v>
      </c>
      <c r="DY66">
        <v>1</v>
      </c>
      <c r="DZ66">
        <v>-7.0607199999999995E-2</v>
      </c>
      <c r="EA66">
        <v>0.47070000000000001</v>
      </c>
      <c r="EB66">
        <v>20.188800000000001</v>
      </c>
      <c r="EC66">
        <v>5.2409499999999998</v>
      </c>
      <c r="ED66">
        <v>12.039899999999999</v>
      </c>
      <c r="EE66">
        <v>5.0168999999999997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1.86893</v>
      </c>
      <c r="EL66">
        <v>1.8646499999999999</v>
      </c>
      <c r="EM66">
        <v>1.8691800000000001</v>
      </c>
      <c r="EN66">
        <v>1.8672500000000001</v>
      </c>
      <c r="EO66">
        <v>1.8633999999999999</v>
      </c>
      <c r="EP66">
        <v>1.86452</v>
      </c>
      <c r="EQ66">
        <v>1.87015</v>
      </c>
      <c r="ER66">
        <v>1.8694200000000001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-0.43</v>
      </c>
      <c r="FG66">
        <v>0.31</v>
      </c>
      <c r="FH66">
        <v>0.1121710645629533</v>
      </c>
      <c r="FI66">
        <v>-6.1462078757559423E-4</v>
      </c>
      <c r="FJ66">
        <v>-1.8861989874597051E-7</v>
      </c>
      <c r="FK66">
        <v>1.1980462299894961E-10</v>
      </c>
      <c r="FL66">
        <v>0.30996499999999833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18.8</v>
      </c>
      <c r="FU66">
        <v>18.7</v>
      </c>
      <c r="FV66">
        <v>1.79321</v>
      </c>
      <c r="FW66">
        <v>2.5866699999999998</v>
      </c>
      <c r="FX66">
        <v>1.5490699999999999</v>
      </c>
      <c r="FY66">
        <v>2.3290999999999999</v>
      </c>
      <c r="FZ66">
        <v>1.50146</v>
      </c>
      <c r="GA66">
        <v>2.3168899999999999</v>
      </c>
      <c r="GB66">
        <v>33.963900000000002</v>
      </c>
      <c r="GC66">
        <v>23.982399999999998</v>
      </c>
      <c r="GD66">
        <v>19</v>
      </c>
      <c r="GE66">
        <v>282.06900000000002</v>
      </c>
      <c r="GF66">
        <v>600.33699999999999</v>
      </c>
      <c r="GG66">
        <v>23.693100000000001</v>
      </c>
      <c r="GH66">
        <v>26.4955</v>
      </c>
      <c r="GI66">
        <v>30.0002</v>
      </c>
      <c r="GJ66">
        <v>26.5839</v>
      </c>
      <c r="GK66">
        <v>26.555800000000001</v>
      </c>
      <c r="GL66">
        <v>35.849400000000003</v>
      </c>
      <c r="GM66">
        <v>25.8245</v>
      </c>
      <c r="GN66">
        <v>100</v>
      </c>
      <c r="GO66">
        <v>23.691700000000001</v>
      </c>
      <c r="GP66">
        <v>800</v>
      </c>
      <c r="GQ66">
        <v>19.970500000000001</v>
      </c>
      <c r="GR66">
        <v>99.724100000000007</v>
      </c>
      <c r="GS66">
        <v>99.5642</v>
      </c>
    </row>
    <row r="67" spans="1:201" x14ac:dyDescent="0.25">
      <c r="A67">
        <v>51</v>
      </c>
      <c r="B67">
        <v>1690227315.5</v>
      </c>
      <c r="C67">
        <v>745.90000009536743</v>
      </c>
      <c r="D67" t="s">
        <v>433</v>
      </c>
      <c r="E67" t="s">
        <v>434</v>
      </c>
      <c r="F67" t="s">
        <v>330</v>
      </c>
      <c r="H67">
        <v>1690227315.5</v>
      </c>
      <c r="I67">
        <f t="shared" si="0"/>
        <v>2.5497745143067825E-4</v>
      </c>
      <c r="J67">
        <f t="shared" si="1"/>
        <v>0.25497745143067824</v>
      </c>
      <c r="K67">
        <f t="shared" si="2"/>
        <v>1.2206041115484976</v>
      </c>
      <c r="L67">
        <f t="shared" si="3"/>
        <v>784.73699999999997</v>
      </c>
      <c r="M67">
        <f t="shared" si="4"/>
        <v>634.77390491573419</v>
      </c>
      <c r="N67">
        <f t="shared" si="5"/>
        <v>62.951790715790239</v>
      </c>
      <c r="O67">
        <f t="shared" si="6"/>
        <v>77.823929131892996</v>
      </c>
      <c r="P67">
        <f t="shared" si="7"/>
        <v>1.5003902514833099E-2</v>
      </c>
      <c r="Q67">
        <f t="shared" si="8"/>
        <v>2.1305222709801903</v>
      </c>
      <c r="R67">
        <f t="shared" si="9"/>
        <v>1.4945447866010415E-2</v>
      </c>
      <c r="S67">
        <f t="shared" si="10"/>
        <v>9.3461377758819447E-3</v>
      </c>
      <c r="T67">
        <f t="shared" si="11"/>
        <v>276.11364591477837</v>
      </c>
      <c r="U67">
        <f t="shared" si="12"/>
        <v>28.417703429834607</v>
      </c>
      <c r="V67">
        <f t="shared" si="13"/>
        <v>28.417703429834607</v>
      </c>
      <c r="W67">
        <f t="shared" si="14"/>
        <v>3.8882340502748054</v>
      </c>
      <c r="X67">
        <f t="shared" si="15"/>
        <v>65.383288401352047</v>
      </c>
      <c r="Y67">
        <f t="shared" si="16"/>
        <v>2.2486554301827</v>
      </c>
      <c r="Z67">
        <f t="shared" si="17"/>
        <v>3.4391898681807516</v>
      </c>
      <c r="AA67">
        <f t="shared" si="18"/>
        <v>1.6395786200921054</v>
      </c>
      <c r="AB67">
        <f t="shared" si="19"/>
        <v>-11.244505608092911</v>
      </c>
      <c r="AC67">
        <f t="shared" si="20"/>
        <v>-240.65656752670645</v>
      </c>
      <c r="AD67">
        <f t="shared" si="21"/>
        <v>-24.46798666436489</v>
      </c>
      <c r="AE67">
        <f t="shared" si="22"/>
        <v>-0.25541388438588797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52492.454934877984</v>
      </c>
      <c r="AK67">
        <f t="shared" si="26"/>
        <v>1799.99</v>
      </c>
      <c r="AL67">
        <f t="shared" si="27"/>
        <v>1499.1053653905899</v>
      </c>
      <c r="AM67">
        <f t="shared" si="28"/>
        <v>0.83284094099999995</v>
      </c>
      <c r="AN67">
        <f t="shared" si="29"/>
        <v>0.15339732215999999</v>
      </c>
      <c r="AO67">
        <v>32.4</v>
      </c>
      <c r="AP67">
        <v>0.5</v>
      </c>
      <c r="AQ67" t="s">
        <v>331</v>
      </c>
      <c r="AR67">
        <v>2</v>
      </c>
      <c r="AS67">
        <v>1690227315.5</v>
      </c>
      <c r="AT67">
        <v>784.73699999999997</v>
      </c>
      <c r="AU67">
        <v>800.06899999999996</v>
      </c>
      <c r="AV67">
        <v>22.674299999999999</v>
      </c>
      <c r="AW67">
        <v>19.984999999999999</v>
      </c>
      <c r="AX67">
        <v>785.16499999999996</v>
      </c>
      <c r="AY67">
        <v>22.3644</v>
      </c>
      <c r="AZ67">
        <v>300.22500000000002</v>
      </c>
      <c r="BA67">
        <v>99.072000000000003</v>
      </c>
      <c r="BB67">
        <v>9.9988999999999995E-2</v>
      </c>
      <c r="BC67">
        <v>26.322500000000002</v>
      </c>
      <c r="BD67">
        <v>26.979700000000001</v>
      </c>
      <c r="BE67">
        <v>28.186399999999999</v>
      </c>
      <c r="BF67">
        <v>0</v>
      </c>
      <c r="BG67">
        <v>0</v>
      </c>
      <c r="BH67">
        <v>9997.5</v>
      </c>
      <c r="BI67">
        <v>1069.45</v>
      </c>
      <c r="BJ67">
        <v>1.5137799999999999</v>
      </c>
      <c r="BK67">
        <v>-15.3322</v>
      </c>
      <c r="BL67">
        <v>802.94299999999998</v>
      </c>
      <c r="BM67">
        <v>816.38400000000001</v>
      </c>
      <c r="BN67">
        <v>2.6892999999999998</v>
      </c>
      <c r="BO67">
        <v>800.06899999999996</v>
      </c>
      <c r="BP67">
        <v>19.984999999999999</v>
      </c>
      <c r="BQ67">
        <v>2.2463899999999999</v>
      </c>
      <c r="BR67">
        <v>1.9799599999999999</v>
      </c>
      <c r="BS67">
        <v>19.2971</v>
      </c>
      <c r="BT67">
        <v>17.285</v>
      </c>
      <c r="BU67">
        <v>1799.99</v>
      </c>
      <c r="BV67">
        <v>0.91000700000000001</v>
      </c>
      <c r="BW67">
        <v>3.39951E-2</v>
      </c>
      <c r="BX67">
        <v>2.1999299999999999E-2</v>
      </c>
      <c r="BY67">
        <v>3.3998800000000003E-2</v>
      </c>
      <c r="BZ67">
        <v>25.666699999999999</v>
      </c>
      <c r="CA67">
        <v>33528.199999999997</v>
      </c>
      <c r="CB67">
        <v>1690226183.5999999</v>
      </c>
      <c r="CC67" t="s">
        <v>332</v>
      </c>
      <c r="CD67">
        <v>1690226177.5999999</v>
      </c>
      <c r="CE67">
        <v>1690226183.5999999</v>
      </c>
      <c r="CF67">
        <v>12</v>
      </c>
      <c r="CG67">
        <v>-0.255</v>
      </c>
      <c r="CH67">
        <v>0.113</v>
      </c>
      <c r="CI67">
        <v>-0.439</v>
      </c>
      <c r="CJ67">
        <v>0.31</v>
      </c>
      <c r="CK67">
        <v>800</v>
      </c>
      <c r="CL67">
        <v>25</v>
      </c>
      <c r="CM67">
        <v>0.02</v>
      </c>
      <c r="CN67">
        <v>0.03</v>
      </c>
      <c r="CO67">
        <v>-14.37965609756098</v>
      </c>
      <c r="CP67">
        <v>-4.5025839721254464</v>
      </c>
      <c r="CQ67">
        <v>0.4449770945317767</v>
      </c>
      <c r="CR67">
        <v>-1</v>
      </c>
      <c r="CS67">
        <v>2.6543546341463422</v>
      </c>
      <c r="CT67">
        <v>0.16631770034843149</v>
      </c>
      <c r="CU67">
        <v>1.6415048583178271E-2</v>
      </c>
      <c r="CV67">
        <v>-1</v>
      </c>
      <c r="CW67">
        <v>0</v>
      </c>
      <c r="CX67">
        <v>0</v>
      </c>
      <c r="CY67" t="s">
        <v>333</v>
      </c>
      <c r="CZ67">
        <v>2.3643100000000001</v>
      </c>
      <c r="DA67">
        <v>2.7137799999999999</v>
      </c>
      <c r="DB67">
        <v>0.144819</v>
      </c>
      <c r="DC67">
        <v>0.14629700000000001</v>
      </c>
      <c r="DD67">
        <v>0.10892300000000001</v>
      </c>
      <c r="DE67">
        <v>9.85819E-2</v>
      </c>
      <c r="DF67">
        <v>31220.9</v>
      </c>
      <c r="DG67">
        <v>27510.3</v>
      </c>
      <c r="DH67">
        <v>31167.599999999999</v>
      </c>
      <c r="DI67">
        <v>28079.599999999999</v>
      </c>
      <c r="DJ67">
        <v>37709</v>
      </c>
      <c r="DK67">
        <v>35993.199999999997</v>
      </c>
      <c r="DL67">
        <v>44355.4</v>
      </c>
      <c r="DM67">
        <v>42562.8</v>
      </c>
      <c r="DN67">
        <v>1.4722500000000001</v>
      </c>
      <c r="DO67">
        <v>2.0537299999999998</v>
      </c>
      <c r="DP67">
        <v>9.7285999999999997E-2</v>
      </c>
      <c r="DQ67">
        <v>0.187941</v>
      </c>
      <c r="DR67">
        <v>25.386600000000001</v>
      </c>
      <c r="DS67">
        <v>25.111000000000001</v>
      </c>
      <c r="DT67">
        <v>57.3</v>
      </c>
      <c r="DU67">
        <v>29.3</v>
      </c>
      <c r="DV67">
        <v>23.6675</v>
      </c>
      <c r="DW67">
        <v>61.472499999999997</v>
      </c>
      <c r="DX67">
        <v>35.144199999999998</v>
      </c>
      <c r="DY67">
        <v>1</v>
      </c>
      <c r="DZ67">
        <v>-7.1384699999999995E-2</v>
      </c>
      <c r="EA67">
        <v>0.35906300000000002</v>
      </c>
      <c r="EB67">
        <v>20.189</v>
      </c>
      <c r="EC67">
        <v>5.2409499999999998</v>
      </c>
      <c r="ED67">
        <v>12.039899999999999</v>
      </c>
      <c r="EE67">
        <v>5.0170500000000002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1.8689100000000001</v>
      </c>
      <c r="EL67">
        <v>1.8646400000000001</v>
      </c>
      <c r="EM67">
        <v>1.8692</v>
      </c>
      <c r="EN67">
        <v>1.8672299999999999</v>
      </c>
      <c r="EO67">
        <v>1.8633999999999999</v>
      </c>
      <c r="EP67">
        <v>1.86452</v>
      </c>
      <c r="EQ67">
        <v>1.87015</v>
      </c>
      <c r="ER67">
        <v>1.8694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-0.42799999999999999</v>
      </c>
      <c r="FG67">
        <v>0.30990000000000001</v>
      </c>
      <c r="FH67">
        <v>0.1121710645629533</v>
      </c>
      <c r="FI67">
        <v>-6.1462078757559423E-4</v>
      </c>
      <c r="FJ67">
        <v>-1.8861989874597051E-7</v>
      </c>
      <c r="FK67">
        <v>1.1980462299894961E-10</v>
      </c>
      <c r="FL67">
        <v>0.30996499999999833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19</v>
      </c>
      <c r="FU67">
        <v>18.899999999999999</v>
      </c>
      <c r="FV67">
        <v>1.79321</v>
      </c>
      <c r="FW67">
        <v>2.5793499999999998</v>
      </c>
      <c r="FX67">
        <v>1.5490699999999999</v>
      </c>
      <c r="FY67">
        <v>2.3290999999999999</v>
      </c>
      <c r="FZ67">
        <v>1.50146</v>
      </c>
      <c r="GA67">
        <v>2.4230999999999998</v>
      </c>
      <c r="GB67">
        <v>33.963900000000002</v>
      </c>
      <c r="GC67">
        <v>23.991199999999999</v>
      </c>
      <c r="GD67">
        <v>19</v>
      </c>
      <c r="GE67">
        <v>282.20999999999998</v>
      </c>
      <c r="GF67">
        <v>600.14700000000005</v>
      </c>
      <c r="GG67">
        <v>23.757100000000001</v>
      </c>
      <c r="GH67">
        <v>26.491099999999999</v>
      </c>
      <c r="GI67">
        <v>29.9999</v>
      </c>
      <c r="GJ67">
        <v>26.581900000000001</v>
      </c>
      <c r="GK67">
        <v>26.555800000000001</v>
      </c>
      <c r="GL67">
        <v>35.849400000000003</v>
      </c>
      <c r="GM67">
        <v>25.8245</v>
      </c>
      <c r="GN67">
        <v>100</v>
      </c>
      <c r="GO67">
        <v>23.767900000000001</v>
      </c>
      <c r="GP67">
        <v>800</v>
      </c>
      <c r="GQ67">
        <v>19.936599999999999</v>
      </c>
      <c r="GR67">
        <v>99.724299999999999</v>
      </c>
      <c r="GS67">
        <v>99.565600000000003</v>
      </c>
    </row>
    <row r="68" spans="1:201" x14ac:dyDescent="0.25">
      <c r="A68">
        <v>52</v>
      </c>
      <c r="B68">
        <v>1690227325.5</v>
      </c>
      <c r="C68">
        <v>755.90000009536743</v>
      </c>
      <c r="D68" t="s">
        <v>435</v>
      </c>
      <c r="E68" t="s">
        <v>436</v>
      </c>
      <c r="F68" t="s">
        <v>330</v>
      </c>
      <c r="H68">
        <v>1690227325.5</v>
      </c>
      <c r="I68">
        <f t="shared" si="0"/>
        <v>2.5761214609124321E-4</v>
      </c>
      <c r="J68">
        <f t="shared" si="1"/>
        <v>0.25761214609124322</v>
      </c>
      <c r="K68">
        <f t="shared" si="2"/>
        <v>1.2861809557368125</v>
      </c>
      <c r="L68">
        <f t="shared" si="3"/>
        <v>783.88</v>
      </c>
      <c r="M68">
        <f t="shared" si="4"/>
        <v>628.37360286149317</v>
      </c>
      <c r="N68">
        <f t="shared" si="5"/>
        <v>62.318011828366622</v>
      </c>
      <c r="O68">
        <f t="shared" si="6"/>
        <v>77.740126080356006</v>
      </c>
      <c r="P68">
        <f t="shared" si="7"/>
        <v>1.5156124565193324E-2</v>
      </c>
      <c r="Q68">
        <f t="shared" si="8"/>
        <v>2.1339641270379697</v>
      </c>
      <c r="R68">
        <f t="shared" si="9"/>
        <v>1.5096576133408712E-2</v>
      </c>
      <c r="S68">
        <f t="shared" si="10"/>
        <v>9.4406906949193389E-3</v>
      </c>
      <c r="T68">
        <f t="shared" si="11"/>
        <v>276.11344759188017</v>
      </c>
      <c r="U68">
        <f t="shared" si="12"/>
        <v>28.428684534598705</v>
      </c>
      <c r="V68">
        <f t="shared" si="13"/>
        <v>28.428684534598705</v>
      </c>
      <c r="W68">
        <f t="shared" si="14"/>
        <v>3.8907161226025915</v>
      </c>
      <c r="X68">
        <f t="shared" si="15"/>
        <v>65.387499655003424</v>
      </c>
      <c r="Y68">
        <f t="shared" si="16"/>
        <v>2.2507922532233495</v>
      </c>
      <c r="Z68">
        <f t="shared" si="17"/>
        <v>3.4422363067848547</v>
      </c>
      <c r="AA68">
        <f t="shared" si="18"/>
        <v>1.6399238693792419</v>
      </c>
      <c r="AB68">
        <f t="shared" si="19"/>
        <v>-11.360695642623826</v>
      </c>
      <c r="AC68">
        <f t="shared" si="20"/>
        <v>-240.58298898728574</v>
      </c>
      <c r="AD68">
        <f t="shared" si="21"/>
        <v>-24.424221113872612</v>
      </c>
      <c r="AE68">
        <f t="shared" si="22"/>
        <v>-0.25445815190201415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52638.669996555749</v>
      </c>
      <c r="AK68">
        <f t="shared" si="26"/>
        <v>1799.99</v>
      </c>
      <c r="AL68">
        <f t="shared" si="27"/>
        <v>1499.10650298427</v>
      </c>
      <c r="AM68">
        <f t="shared" si="28"/>
        <v>0.83284157300000006</v>
      </c>
      <c r="AN68">
        <f t="shared" si="29"/>
        <v>0.15339721197999998</v>
      </c>
      <c r="AO68">
        <v>32.4</v>
      </c>
      <c r="AP68">
        <v>0.5</v>
      </c>
      <c r="AQ68" t="s">
        <v>331</v>
      </c>
      <c r="AR68">
        <v>2</v>
      </c>
      <c r="AS68">
        <v>1690227325.5</v>
      </c>
      <c r="AT68">
        <v>783.88</v>
      </c>
      <c r="AU68">
        <v>799.94299999999998</v>
      </c>
      <c r="AV68">
        <v>22.695499999999999</v>
      </c>
      <c r="AW68">
        <v>19.977900000000002</v>
      </c>
      <c r="AX68">
        <v>784.30799999999999</v>
      </c>
      <c r="AY68">
        <v>22.3856</v>
      </c>
      <c r="AZ68">
        <v>300.16199999999998</v>
      </c>
      <c r="BA68">
        <v>99.073599999999999</v>
      </c>
      <c r="BB68">
        <v>9.9903699999999998E-2</v>
      </c>
      <c r="BC68">
        <v>26.337499999999999</v>
      </c>
      <c r="BD68">
        <v>27.0001</v>
      </c>
      <c r="BE68">
        <v>28.2026</v>
      </c>
      <c r="BF68">
        <v>0</v>
      </c>
      <c r="BG68">
        <v>0</v>
      </c>
      <c r="BH68">
        <v>10026.9</v>
      </c>
      <c r="BI68">
        <v>1069.57</v>
      </c>
      <c r="BJ68">
        <v>1.5137799999999999</v>
      </c>
      <c r="BK68">
        <v>-16.063600000000001</v>
      </c>
      <c r="BL68">
        <v>802.08399999999995</v>
      </c>
      <c r="BM68">
        <v>816.25</v>
      </c>
      <c r="BN68">
        <v>2.71766</v>
      </c>
      <c r="BO68">
        <v>799.94299999999998</v>
      </c>
      <c r="BP68">
        <v>19.977900000000002</v>
      </c>
      <c r="BQ68">
        <v>2.2485300000000001</v>
      </c>
      <c r="BR68">
        <v>1.9792799999999999</v>
      </c>
      <c r="BS68">
        <v>19.3123</v>
      </c>
      <c r="BT68">
        <v>17.279499999999999</v>
      </c>
      <c r="BU68">
        <v>1799.99</v>
      </c>
      <c r="BV68">
        <v>0.91001299999999996</v>
      </c>
      <c r="BW68">
        <v>3.39929E-2</v>
      </c>
      <c r="BX68">
        <v>2.1997900000000001E-2</v>
      </c>
      <c r="BY68">
        <v>3.3996600000000002E-2</v>
      </c>
      <c r="BZ68">
        <v>25.666699999999999</v>
      </c>
      <c r="CA68">
        <v>33528.300000000003</v>
      </c>
      <c r="CB68">
        <v>1690226183.5999999</v>
      </c>
      <c r="CC68" t="s">
        <v>332</v>
      </c>
      <c r="CD68">
        <v>1690226177.5999999</v>
      </c>
      <c r="CE68">
        <v>1690226183.5999999</v>
      </c>
      <c r="CF68">
        <v>12</v>
      </c>
      <c r="CG68">
        <v>-0.255</v>
      </c>
      <c r="CH68">
        <v>0.113</v>
      </c>
      <c r="CI68">
        <v>-0.439</v>
      </c>
      <c r="CJ68">
        <v>0.31</v>
      </c>
      <c r="CK68">
        <v>800</v>
      </c>
      <c r="CL68">
        <v>25</v>
      </c>
      <c r="CM68">
        <v>0.02</v>
      </c>
      <c r="CN68">
        <v>0.03</v>
      </c>
      <c r="CO68">
        <v>-15.171607317073169</v>
      </c>
      <c r="CP68">
        <v>-4.9306933797909407</v>
      </c>
      <c r="CQ68">
        <v>0.48774813041871129</v>
      </c>
      <c r="CR68">
        <v>-1</v>
      </c>
      <c r="CS68">
        <v>2.6833778048780492</v>
      </c>
      <c r="CT68">
        <v>0.17714947735192271</v>
      </c>
      <c r="CU68">
        <v>1.7487669595013682E-2</v>
      </c>
      <c r="CV68">
        <v>-1</v>
      </c>
      <c r="CW68">
        <v>0</v>
      </c>
      <c r="CX68">
        <v>0</v>
      </c>
      <c r="CY68" t="s">
        <v>333</v>
      </c>
      <c r="CZ68">
        <v>2.36408</v>
      </c>
      <c r="DA68">
        <v>2.7137199999999999</v>
      </c>
      <c r="DB68">
        <v>0.14471600000000001</v>
      </c>
      <c r="DC68">
        <v>0.146284</v>
      </c>
      <c r="DD68">
        <v>0.108998</v>
      </c>
      <c r="DE68">
        <v>9.8558900000000005E-2</v>
      </c>
      <c r="DF68">
        <v>31224.9</v>
      </c>
      <c r="DG68">
        <v>27510.9</v>
      </c>
      <c r="DH68">
        <v>31167.7</v>
      </c>
      <c r="DI68">
        <v>28079.8</v>
      </c>
      <c r="DJ68">
        <v>37706</v>
      </c>
      <c r="DK68">
        <v>35994.300000000003</v>
      </c>
      <c r="DL68">
        <v>44355.7</v>
      </c>
      <c r="DM68">
        <v>42563</v>
      </c>
      <c r="DN68">
        <v>1.47193</v>
      </c>
      <c r="DO68">
        <v>2.0541</v>
      </c>
      <c r="DP68">
        <v>9.8869200000000004E-2</v>
      </c>
      <c r="DQ68">
        <v>0.18922600000000001</v>
      </c>
      <c r="DR68">
        <v>25.3811</v>
      </c>
      <c r="DS68">
        <v>25.106200000000001</v>
      </c>
      <c r="DT68">
        <v>57.3</v>
      </c>
      <c r="DU68">
        <v>29.3</v>
      </c>
      <c r="DV68">
        <v>23.6678</v>
      </c>
      <c r="DW68">
        <v>61.732500000000002</v>
      </c>
      <c r="DX68">
        <v>36.306100000000001</v>
      </c>
      <c r="DY68">
        <v>1</v>
      </c>
      <c r="DZ68">
        <v>-7.1346499999999993E-2</v>
      </c>
      <c r="EA68">
        <v>0.38308300000000001</v>
      </c>
      <c r="EB68">
        <v>20.188700000000001</v>
      </c>
      <c r="EC68">
        <v>5.2408000000000001</v>
      </c>
      <c r="ED68">
        <v>12.039899999999999</v>
      </c>
      <c r="EE68">
        <v>5.0168999999999997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1.8646400000000001</v>
      </c>
      <c r="EM68">
        <v>1.8692</v>
      </c>
      <c r="EN68">
        <v>1.8672299999999999</v>
      </c>
      <c r="EO68">
        <v>1.8633999999999999</v>
      </c>
      <c r="EP68">
        <v>1.86449</v>
      </c>
      <c r="EQ68">
        <v>1.8701399999999999</v>
      </c>
      <c r="ER68">
        <v>1.8694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-0.42799999999999999</v>
      </c>
      <c r="FG68">
        <v>0.30990000000000001</v>
      </c>
      <c r="FH68">
        <v>0.1121710645629533</v>
      </c>
      <c r="FI68">
        <v>-6.1462078757559423E-4</v>
      </c>
      <c r="FJ68">
        <v>-1.8861989874597051E-7</v>
      </c>
      <c r="FK68">
        <v>1.1980462299894961E-10</v>
      </c>
      <c r="FL68">
        <v>0.30996499999999833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19.100000000000001</v>
      </c>
      <c r="FU68">
        <v>19</v>
      </c>
      <c r="FV68">
        <v>1.79321</v>
      </c>
      <c r="FW68">
        <v>2.5854499999999998</v>
      </c>
      <c r="FX68">
        <v>1.5490699999999999</v>
      </c>
      <c r="FY68">
        <v>2.3290999999999999</v>
      </c>
      <c r="FZ68">
        <v>1.50146</v>
      </c>
      <c r="GA68">
        <v>2.3913600000000002</v>
      </c>
      <c r="GB68">
        <v>33.963900000000002</v>
      </c>
      <c r="GC68">
        <v>23.982399999999998</v>
      </c>
      <c r="GD68">
        <v>19</v>
      </c>
      <c r="GE68">
        <v>282.07</v>
      </c>
      <c r="GF68">
        <v>600.43799999999999</v>
      </c>
      <c r="GG68">
        <v>23.816700000000001</v>
      </c>
      <c r="GH68">
        <v>26.486799999999999</v>
      </c>
      <c r="GI68">
        <v>30</v>
      </c>
      <c r="GJ68">
        <v>26.581600000000002</v>
      </c>
      <c r="GK68">
        <v>26.5535</v>
      </c>
      <c r="GL68">
        <v>35.851900000000001</v>
      </c>
      <c r="GM68">
        <v>25.8245</v>
      </c>
      <c r="GN68">
        <v>100</v>
      </c>
      <c r="GO68">
        <v>23.8186</v>
      </c>
      <c r="GP68">
        <v>800</v>
      </c>
      <c r="GQ68">
        <v>19.896899999999999</v>
      </c>
      <c r="GR68">
        <v>99.724800000000002</v>
      </c>
      <c r="GS68">
        <v>99.566199999999995</v>
      </c>
    </row>
    <row r="69" spans="1:201" x14ac:dyDescent="0.25">
      <c r="A69">
        <v>53</v>
      </c>
      <c r="B69">
        <v>1690227335.5</v>
      </c>
      <c r="C69">
        <v>765.90000009536743</v>
      </c>
      <c r="D69" t="s">
        <v>437</v>
      </c>
      <c r="E69" t="s">
        <v>438</v>
      </c>
      <c r="F69" t="s">
        <v>330</v>
      </c>
      <c r="H69">
        <v>1690227335.5</v>
      </c>
      <c r="I69">
        <f t="shared" si="0"/>
        <v>2.6183689834129457E-4</v>
      </c>
      <c r="J69">
        <f t="shared" si="1"/>
        <v>0.26183689834129459</v>
      </c>
      <c r="K69">
        <f t="shared" si="2"/>
        <v>1.384041298398988</v>
      </c>
      <c r="L69">
        <f t="shared" si="3"/>
        <v>782.96600000000001</v>
      </c>
      <c r="M69">
        <f t="shared" si="4"/>
        <v>619.67217866598651</v>
      </c>
      <c r="N69">
        <f t="shared" si="5"/>
        <v>61.457097160595715</v>
      </c>
      <c r="O69">
        <f t="shared" si="6"/>
        <v>77.652054089360405</v>
      </c>
      <c r="P69">
        <f t="shared" si="7"/>
        <v>1.5413381293716203E-2</v>
      </c>
      <c r="Q69">
        <f t="shared" si="8"/>
        <v>2.1294846813323698</v>
      </c>
      <c r="R69">
        <f t="shared" si="9"/>
        <v>1.5351669633696753E-2</v>
      </c>
      <c r="S69">
        <f t="shared" si="10"/>
        <v>9.6003173952971827E-3</v>
      </c>
      <c r="T69">
        <f t="shared" si="11"/>
        <v>276.11477411400006</v>
      </c>
      <c r="U69">
        <f t="shared" si="12"/>
        <v>28.426725780763086</v>
      </c>
      <c r="V69">
        <f t="shared" si="13"/>
        <v>28.426725780763086</v>
      </c>
      <c r="W69">
        <f t="shared" si="14"/>
        <v>3.8902732818694679</v>
      </c>
      <c r="X69">
        <f t="shared" si="15"/>
        <v>65.413665062358234</v>
      </c>
      <c r="Y69">
        <f t="shared" si="16"/>
        <v>2.2510949304433203</v>
      </c>
      <c r="Z69">
        <f t="shared" si="17"/>
        <v>3.4413221278724748</v>
      </c>
      <c r="AA69">
        <f t="shared" si="18"/>
        <v>1.6391783514261475</v>
      </c>
      <c r="AB69">
        <f t="shared" si="19"/>
        <v>-11.547007216851091</v>
      </c>
      <c r="AC69">
        <f t="shared" si="20"/>
        <v>-240.36972374648508</v>
      </c>
      <c r="AD69">
        <f t="shared" si="21"/>
        <v>-24.453113913462683</v>
      </c>
      <c r="AE69">
        <f t="shared" si="22"/>
        <v>-0.2550707627987947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52445.909445300822</v>
      </c>
      <c r="AK69">
        <f t="shared" si="26"/>
        <v>1800</v>
      </c>
      <c r="AL69">
        <f t="shared" si="27"/>
        <v>1499.1152723999999</v>
      </c>
      <c r="AM69">
        <f t="shared" si="28"/>
        <v>0.8328418179999999</v>
      </c>
      <c r="AN69">
        <f t="shared" si="29"/>
        <v>0.15339709673000002</v>
      </c>
      <c r="AO69">
        <v>32.4</v>
      </c>
      <c r="AP69">
        <v>0.5</v>
      </c>
      <c r="AQ69" t="s">
        <v>331</v>
      </c>
      <c r="AR69">
        <v>2</v>
      </c>
      <c r="AS69">
        <v>1690227335.5</v>
      </c>
      <c r="AT69">
        <v>782.96600000000001</v>
      </c>
      <c r="AU69">
        <v>800.11500000000001</v>
      </c>
      <c r="AV69">
        <v>22.697800000000001</v>
      </c>
      <c r="AW69">
        <v>19.936199999999999</v>
      </c>
      <c r="AX69">
        <v>783.39300000000003</v>
      </c>
      <c r="AY69">
        <v>22.387799999999999</v>
      </c>
      <c r="AZ69">
        <v>300.22300000000001</v>
      </c>
      <c r="BA69">
        <v>99.076800000000006</v>
      </c>
      <c r="BB69">
        <v>9.9989400000000006E-2</v>
      </c>
      <c r="BC69">
        <v>26.332999999999998</v>
      </c>
      <c r="BD69">
        <v>26.946999999999999</v>
      </c>
      <c r="BE69">
        <v>28.206800000000001</v>
      </c>
      <c r="BF69">
        <v>0</v>
      </c>
      <c r="BG69">
        <v>0</v>
      </c>
      <c r="BH69">
        <v>9988.1200000000008</v>
      </c>
      <c r="BI69">
        <v>1069.6600000000001</v>
      </c>
      <c r="BJ69">
        <v>1.5137799999999999</v>
      </c>
      <c r="BK69">
        <v>-17.1494</v>
      </c>
      <c r="BL69">
        <v>801.15</v>
      </c>
      <c r="BM69">
        <v>816.39099999999996</v>
      </c>
      <c r="BN69">
        <v>2.7615699999999999</v>
      </c>
      <c r="BO69">
        <v>800.11500000000001</v>
      </c>
      <c r="BP69">
        <v>19.936199999999999</v>
      </c>
      <c r="BQ69">
        <v>2.2488199999999998</v>
      </c>
      <c r="BR69">
        <v>1.97522</v>
      </c>
      <c r="BS69">
        <v>19.314399999999999</v>
      </c>
      <c r="BT69">
        <v>17.2471</v>
      </c>
      <c r="BU69">
        <v>1800</v>
      </c>
      <c r="BV69">
        <v>0.91001699999999996</v>
      </c>
      <c r="BW69">
        <v>3.3991300000000002E-2</v>
      </c>
      <c r="BX69">
        <v>2.19969E-2</v>
      </c>
      <c r="BY69">
        <v>3.39951E-2</v>
      </c>
      <c r="BZ69">
        <v>25.666699999999999</v>
      </c>
      <c r="CA69">
        <v>33528.5</v>
      </c>
      <c r="CB69">
        <v>1690226183.5999999</v>
      </c>
      <c r="CC69" t="s">
        <v>332</v>
      </c>
      <c r="CD69">
        <v>1690226177.5999999</v>
      </c>
      <c r="CE69">
        <v>1690226183.5999999</v>
      </c>
      <c r="CF69">
        <v>12</v>
      </c>
      <c r="CG69">
        <v>-0.255</v>
      </c>
      <c r="CH69">
        <v>0.113</v>
      </c>
      <c r="CI69">
        <v>-0.439</v>
      </c>
      <c r="CJ69">
        <v>0.31</v>
      </c>
      <c r="CK69">
        <v>800</v>
      </c>
      <c r="CL69">
        <v>25</v>
      </c>
      <c r="CM69">
        <v>0.02</v>
      </c>
      <c r="CN69">
        <v>0.03</v>
      </c>
      <c r="CO69">
        <v>-16.078510000000001</v>
      </c>
      <c r="CP69">
        <v>-5.1848532833020471</v>
      </c>
      <c r="CQ69">
        <v>0.50150056221304484</v>
      </c>
      <c r="CR69">
        <v>-1</v>
      </c>
      <c r="CS69">
        <v>2.7155367500000001</v>
      </c>
      <c r="CT69">
        <v>0.1818525703564676</v>
      </c>
      <c r="CU69">
        <v>1.761789025216981E-2</v>
      </c>
      <c r="CV69">
        <v>-1</v>
      </c>
      <c r="CW69">
        <v>0</v>
      </c>
      <c r="CX69">
        <v>0</v>
      </c>
      <c r="CY69" t="s">
        <v>333</v>
      </c>
      <c r="CZ69">
        <v>2.3642799999999999</v>
      </c>
      <c r="DA69">
        <v>2.7137699999999998</v>
      </c>
      <c r="DB69">
        <v>0.14460799999999999</v>
      </c>
      <c r="DC69">
        <v>0.14630899999999999</v>
      </c>
      <c r="DD69">
        <v>0.10900899999999999</v>
      </c>
      <c r="DE69">
        <v>9.8416199999999995E-2</v>
      </c>
      <c r="DF69">
        <v>31228.799999999999</v>
      </c>
      <c r="DG69">
        <v>27510.400000000001</v>
      </c>
      <c r="DH69">
        <v>31167.7</v>
      </c>
      <c r="DI69">
        <v>28080.1</v>
      </c>
      <c r="DJ69">
        <v>37705.4</v>
      </c>
      <c r="DK69">
        <v>36000.300000000003</v>
      </c>
      <c r="DL69">
        <v>44355.6</v>
      </c>
      <c r="DM69">
        <v>42563.3</v>
      </c>
      <c r="DN69">
        <v>1.4719</v>
      </c>
      <c r="DO69">
        <v>2.0539999999999998</v>
      </c>
      <c r="DP69">
        <v>9.59449E-2</v>
      </c>
      <c r="DQ69">
        <v>0.189636</v>
      </c>
      <c r="DR69">
        <v>25.375800000000002</v>
      </c>
      <c r="DS69">
        <v>25.1038</v>
      </c>
      <c r="DT69">
        <v>57.3</v>
      </c>
      <c r="DU69">
        <v>29.3</v>
      </c>
      <c r="DV69">
        <v>23.667999999999999</v>
      </c>
      <c r="DW69">
        <v>61.782499999999999</v>
      </c>
      <c r="DX69">
        <v>35.524799999999999</v>
      </c>
      <c r="DY69">
        <v>1</v>
      </c>
      <c r="DZ69">
        <v>-7.1257600000000004E-2</v>
      </c>
      <c r="EA69">
        <v>0.74816400000000005</v>
      </c>
      <c r="EB69">
        <v>20.186800000000002</v>
      </c>
      <c r="EC69">
        <v>5.2409499999999998</v>
      </c>
      <c r="ED69">
        <v>12.039899999999999</v>
      </c>
      <c r="EE69">
        <v>5.0168999999999997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1.8646400000000001</v>
      </c>
      <c r="EM69">
        <v>1.8692</v>
      </c>
      <c r="EN69">
        <v>1.86724</v>
      </c>
      <c r="EO69">
        <v>1.8633999999999999</v>
      </c>
      <c r="EP69">
        <v>1.86449</v>
      </c>
      <c r="EQ69">
        <v>1.8701399999999999</v>
      </c>
      <c r="ER69">
        <v>1.8694299999999999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-0.42699999999999999</v>
      </c>
      <c r="FG69">
        <v>0.31</v>
      </c>
      <c r="FH69">
        <v>0.1121710645629533</v>
      </c>
      <c r="FI69">
        <v>-6.1462078757559423E-4</v>
      </c>
      <c r="FJ69">
        <v>-1.8861989874597051E-7</v>
      </c>
      <c r="FK69">
        <v>1.1980462299894961E-10</v>
      </c>
      <c r="FL69">
        <v>0.30996499999999833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19.3</v>
      </c>
      <c r="FU69">
        <v>19.2</v>
      </c>
      <c r="FV69">
        <v>1.79321</v>
      </c>
      <c r="FW69">
        <v>2.5830099999999998</v>
      </c>
      <c r="FX69">
        <v>1.5490699999999999</v>
      </c>
      <c r="FY69">
        <v>2.3290999999999999</v>
      </c>
      <c r="FZ69">
        <v>1.50146</v>
      </c>
      <c r="GA69">
        <v>2.3889200000000002</v>
      </c>
      <c r="GB69">
        <v>33.963900000000002</v>
      </c>
      <c r="GC69">
        <v>23.991199999999999</v>
      </c>
      <c r="GD69">
        <v>19</v>
      </c>
      <c r="GE69">
        <v>282.05</v>
      </c>
      <c r="GF69">
        <v>600.35299999999995</v>
      </c>
      <c r="GG69">
        <v>23.6249</v>
      </c>
      <c r="GH69">
        <v>26.482399999999998</v>
      </c>
      <c r="GI69">
        <v>30</v>
      </c>
      <c r="GJ69">
        <v>26.5794</v>
      </c>
      <c r="GK69">
        <v>26.5535</v>
      </c>
      <c r="GL69">
        <v>35.845300000000002</v>
      </c>
      <c r="GM69">
        <v>26.110099999999999</v>
      </c>
      <c r="GN69">
        <v>100</v>
      </c>
      <c r="GO69">
        <v>23.654199999999999</v>
      </c>
      <c r="GP69">
        <v>800</v>
      </c>
      <c r="GQ69">
        <v>19.873999999999999</v>
      </c>
      <c r="GR69">
        <v>99.724699999999999</v>
      </c>
      <c r="GS69">
        <v>99.566999999999993</v>
      </c>
    </row>
    <row r="70" spans="1:201" x14ac:dyDescent="0.25">
      <c r="A70">
        <v>54</v>
      </c>
      <c r="B70">
        <v>1690227345.5</v>
      </c>
      <c r="C70">
        <v>775.90000009536743</v>
      </c>
      <c r="D70" t="s">
        <v>439</v>
      </c>
      <c r="E70" t="s">
        <v>440</v>
      </c>
      <c r="F70" t="s">
        <v>330</v>
      </c>
      <c r="H70">
        <v>1690227345.5</v>
      </c>
      <c r="I70">
        <f t="shared" si="0"/>
        <v>2.6322743595802477E-4</v>
      </c>
      <c r="J70">
        <f t="shared" si="1"/>
        <v>0.26322743595802478</v>
      </c>
      <c r="K70">
        <f t="shared" si="2"/>
        <v>1.4667198698152673</v>
      </c>
      <c r="L70">
        <f t="shared" si="3"/>
        <v>781.98699999999997</v>
      </c>
      <c r="M70">
        <f t="shared" si="4"/>
        <v>611.50169841031254</v>
      </c>
      <c r="N70">
        <f t="shared" si="5"/>
        <v>60.64716511561496</v>
      </c>
      <c r="O70">
        <f t="shared" si="6"/>
        <v>77.555458685647693</v>
      </c>
      <c r="P70">
        <f t="shared" si="7"/>
        <v>1.5539901834549672E-2</v>
      </c>
      <c r="Q70">
        <f t="shared" si="8"/>
        <v>2.1372034697898479</v>
      </c>
      <c r="R70">
        <f t="shared" si="9"/>
        <v>1.5477400685242048E-2</v>
      </c>
      <c r="S70">
        <f t="shared" si="10"/>
        <v>9.6789698759262299E-3</v>
      </c>
      <c r="T70">
        <f t="shared" si="11"/>
        <v>276.11479575000004</v>
      </c>
      <c r="U70">
        <f t="shared" si="12"/>
        <v>28.404997284651792</v>
      </c>
      <c r="V70">
        <f t="shared" si="13"/>
        <v>28.404997284651792</v>
      </c>
      <c r="W70">
        <f t="shared" si="14"/>
        <v>3.8853637887256047</v>
      </c>
      <c r="X70">
        <f t="shared" si="15"/>
        <v>65.461059330096148</v>
      </c>
      <c r="Y70">
        <f t="shared" si="16"/>
        <v>2.2508118725490802</v>
      </c>
      <c r="Z70">
        <f t="shared" si="17"/>
        <v>3.438398179899687</v>
      </c>
      <c r="AA70">
        <f t="shared" si="18"/>
        <v>1.6345519161765245</v>
      </c>
      <c r="AB70">
        <f t="shared" si="19"/>
        <v>-11.608329925748892</v>
      </c>
      <c r="AC70">
        <f t="shared" si="20"/>
        <v>-240.39660098494966</v>
      </c>
      <c r="AD70">
        <f t="shared" si="21"/>
        <v>-24.363124679093143</v>
      </c>
      <c r="AE70">
        <f t="shared" si="22"/>
        <v>-0.25325983979166722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52782.398626360904</v>
      </c>
      <c r="AK70">
        <f t="shared" si="26"/>
        <v>1800</v>
      </c>
      <c r="AL70">
        <f t="shared" si="27"/>
        <v>1499.1120989999999</v>
      </c>
      <c r="AM70">
        <f t="shared" si="28"/>
        <v>0.83284005500000002</v>
      </c>
      <c r="AN70">
        <f t="shared" si="29"/>
        <v>0.15339710875000001</v>
      </c>
      <c r="AO70">
        <v>32.4</v>
      </c>
      <c r="AP70">
        <v>0.5</v>
      </c>
      <c r="AQ70" t="s">
        <v>331</v>
      </c>
      <c r="AR70">
        <v>2</v>
      </c>
      <c r="AS70">
        <v>1690227345.5</v>
      </c>
      <c r="AT70">
        <v>781.98699999999997</v>
      </c>
      <c r="AU70">
        <v>800.04</v>
      </c>
      <c r="AV70">
        <v>22.694800000000001</v>
      </c>
      <c r="AW70">
        <v>19.918099999999999</v>
      </c>
      <c r="AX70">
        <v>782.41399999999999</v>
      </c>
      <c r="AY70">
        <v>22.384799999999998</v>
      </c>
      <c r="AZ70">
        <v>300.17700000000002</v>
      </c>
      <c r="BA70">
        <v>99.077500000000001</v>
      </c>
      <c r="BB70">
        <v>9.9927100000000005E-2</v>
      </c>
      <c r="BC70">
        <v>26.3186</v>
      </c>
      <c r="BD70">
        <v>26.996500000000001</v>
      </c>
      <c r="BE70">
        <v>28.184100000000001</v>
      </c>
      <c r="BF70">
        <v>0</v>
      </c>
      <c r="BG70">
        <v>0</v>
      </c>
      <c r="BH70">
        <v>10054.4</v>
      </c>
      <c r="BI70">
        <v>1069.76</v>
      </c>
      <c r="BJ70">
        <v>1.5137799999999999</v>
      </c>
      <c r="BK70">
        <v>-18.052299999999999</v>
      </c>
      <c r="BL70">
        <v>800.14700000000005</v>
      </c>
      <c r="BM70">
        <v>816.29899999999998</v>
      </c>
      <c r="BN70">
        <v>2.7766500000000001</v>
      </c>
      <c r="BO70">
        <v>800.04</v>
      </c>
      <c r="BP70">
        <v>19.918099999999999</v>
      </c>
      <c r="BQ70">
        <v>2.2485400000000002</v>
      </c>
      <c r="BR70">
        <v>1.9734400000000001</v>
      </c>
      <c r="BS70">
        <v>19.3124</v>
      </c>
      <c r="BT70">
        <v>17.232800000000001</v>
      </c>
      <c r="BU70">
        <v>1800</v>
      </c>
      <c r="BV70">
        <v>0.91000700000000001</v>
      </c>
      <c r="BW70">
        <v>3.4003400000000003E-2</v>
      </c>
      <c r="BX70">
        <v>2.1996000000000002E-2</v>
      </c>
      <c r="BY70">
        <v>3.3993700000000002E-2</v>
      </c>
      <c r="BZ70">
        <v>25.666699999999999</v>
      </c>
      <c r="CA70">
        <v>33528.400000000001</v>
      </c>
      <c r="CB70">
        <v>1690226183.5999999</v>
      </c>
      <c r="CC70" t="s">
        <v>332</v>
      </c>
      <c r="CD70">
        <v>1690226177.5999999</v>
      </c>
      <c r="CE70">
        <v>1690226183.5999999</v>
      </c>
      <c r="CF70">
        <v>12</v>
      </c>
      <c r="CG70">
        <v>-0.255</v>
      </c>
      <c r="CH70">
        <v>0.113</v>
      </c>
      <c r="CI70">
        <v>-0.439</v>
      </c>
      <c r="CJ70">
        <v>0.31</v>
      </c>
      <c r="CK70">
        <v>800</v>
      </c>
      <c r="CL70">
        <v>25</v>
      </c>
      <c r="CM70">
        <v>0.02</v>
      </c>
      <c r="CN70">
        <v>0.03</v>
      </c>
      <c r="CO70">
        <v>-16.910919512195129</v>
      </c>
      <c r="CP70">
        <v>-5.7414878048780507</v>
      </c>
      <c r="CQ70">
        <v>0.56741310937662059</v>
      </c>
      <c r="CR70">
        <v>-1</v>
      </c>
      <c r="CS70">
        <v>2.7465446341463409</v>
      </c>
      <c r="CT70">
        <v>0.20368808362369811</v>
      </c>
      <c r="CU70">
        <v>2.0739160447946391E-2</v>
      </c>
      <c r="CV70">
        <v>-1</v>
      </c>
      <c r="CW70">
        <v>0</v>
      </c>
      <c r="CX70">
        <v>0</v>
      </c>
      <c r="CY70" t="s">
        <v>333</v>
      </c>
      <c r="CZ70">
        <v>2.3641399999999999</v>
      </c>
      <c r="DA70">
        <v>2.7137699999999998</v>
      </c>
      <c r="DB70">
        <v>0.14448900000000001</v>
      </c>
      <c r="DC70">
        <v>0.14630099999999999</v>
      </c>
      <c r="DD70">
        <v>0.109</v>
      </c>
      <c r="DE70">
        <v>9.8353399999999994E-2</v>
      </c>
      <c r="DF70">
        <v>31233.1</v>
      </c>
      <c r="DG70">
        <v>27511.3</v>
      </c>
      <c r="DH70">
        <v>31167.599999999999</v>
      </c>
      <c r="DI70">
        <v>28080.799999999999</v>
      </c>
      <c r="DJ70">
        <v>37705.800000000003</v>
      </c>
      <c r="DK70">
        <v>36003.699999999997</v>
      </c>
      <c r="DL70">
        <v>44355.6</v>
      </c>
      <c r="DM70">
        <v>42564.5</v>
      </c>
      <c r="DN70">
        <v>1.4722500000000001</v>
      </c>
      <c r="DO70">
        <v>2.0541299999999998</v>
      </c>
      <c r="DP70">
        <v>9.9334900000000004E-2</v>
      </c>
      <c r="DQ70">
        <v>0.18848100000000001</v>
      </c>
      <c r="DR70">
        <v>25.369900000000001</v>
      </c>
      <c r="DS70">
        <v>25.099900000000002</v>
      </c>
      <c r="DT70">
        <v>57.3</v>
      </c>
      <c r="DU70">
        <v>29.3</v>
      </c>
      <c r="DV70">
        <v>23.6678</v>
      </c>
      <c r="DW70">
        <v>61.202500000000001</v>
      </c>
      <c r="DX70">
        <v>35.520800000000001</v>
      </c>
      <c r="DY70">
        <v>1</v>
      </c>
      <c r="DZ70">
        <v>-7.2063000000000002E-2</v>
      </c>
      <c r="EA70">
        <v>0.418437</v>
      </c>
      <c r="EB70">
        <v>20.188600000000001</v>
      </c>
      <c r="EC70">
        <v>5.2409499999999998</v>
      </c>
      <c r="ED70">
        <v>12.039899999999999</v>
      </c>
      <c r="EE70">
        <v>5.0168499999999998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1.86463</v>
      </c>
      <c r="EM70">
        <v>1.8692</v>
      </c>
      <c r="EN70">
        <v>1.8672200000000001</v>
      </c>
      <c r="EO70">
        <v>1.8633999999999999</v>
      </c>
      <c r="EP70">
        <v>1.8645099999999999</v>
      </c>
      <c r="EQ70">
        <v>1.87015</v>
      </c>
      <c r="ER70">
        <v>1.86941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-0.42699999999999999</v>
      </c>
      <c r="FG70">
        <v>0.31</v>
      </c>
      <c r="FH70">
        <v>0.1121710645629533</v>
      </c>
      <c r="FI70">
        <v>-6.1462078757559423E-4</v>
      </c>
      <c r="FJ70">
        <v>-1.8861989874597051E-7</v>
      </c>
      <c r="FK70">
        <v>1.1980462299894961E-10</v>
      </c>
      <c r="FL70">
        <v>0.30996499999999833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19.5</v>
      </c>
      <c r="FU70">
        <v>19.399999999999999</v>
      </c>
      <c r="FV70">
        <v>1.79321</v>
      </c>
      <c r="FW70">
        <v>2.5830099999999998</v>
      </c>
      <c r="FX70">
        <v>1.5490699999999999</v>
      </c>
      <c r="FY70">
        <v>2.3290999999999999</v>
      </c>
      <c r="FZ70">
        <v>1.50146</v>
      </c>
      <c r="GA70">
        <v>2.3815900000000001</v>
      </c>
      <c r="GB70">
        <v>33.963900000000002</v>
      </c>
      <c r="GC70">
        <v>23.982399999999998</v>
      </c>
      <c r="GD70">
        <v>19</v>
      </c>
      <c r="GE70">
        <v>282.19</v>
      </c>
      <c r="GF70">
        <v>600.45899999999995</v>
      </c>
      <c r="GG70">
        <v>23.694299999999998</v>
      </c>
      <c r="GH70">
        <v>26.477900000000002</v>
      </c>
      <c r="GI70">
        <v>29.999700000000001</v>
      </c>
      <c r="GJ70">
        <v>26.577200000000001</v>
      </c>
      <c r="GK70">
        <v>26.5535</v>
      </c>
      <c r="GL70">
        <v>35.846400000000003</v>
      </c>
      <c r="GM70">
        <v>26.110099999999999</v>
      </c>
      <c r="GN70">
        <v>100</v>
      </c>
      <c r="GO70">
        <v>23.721699999999998</v>
      </c>
      <c r="GP70">
        <v>800</v>
      </c>
      <c r="GQ70">
        <v>19.849399999999999</v>
      </c>
      <c r="GR70">
        <v>99.724599999999995</v>
      </c>
      <c r="GS70">
        <v>99.569599999999994</v>
      </c>
    </row>
    <row r="71" spans="1:201" x14ac:dyDescent="0.25">
      <c r="A71">
        <v>55</v>
      </c>
      <c r="B71">
        <v>1690227355.5</v>
      </c>
      <c r="C71">
        <v>785.90000009536743</v>
      </c>
      <c r="D71" t="s">
        <v>441</v>
      </c>
      <c r="E71" t="s">
        <v>442</v>
      </c>
      <c r="F71" t="s">
        <v>330</v>
      </c>
      <c r="H71">
        <v>1690227355.5</v>
      </c>
      <c r="I71">
        <f t="shared" si="0"/>
        <v>2.6804350770638717E-4</v>
      </c>
      <c r="J71">
        <f t="shared" si="1"/>
        <v>0.26804350770638719</v>
      </c>
      <c r="K71">
        <f t="shared" si="2"/>
        <v>1.5571646857114447</v>
      </c>
      <c r="L71">
        <f t="shared" si="3"/>
        <v>780.93200000000002</v>
      </c>
      <c r="M71">
        <f t="shared" si="4"/>
        <v>603.99427707134521</v>
      </c>
      <c r="N71">
        <f t="shared" si="5"/>
        <v>59.903302761186453</v>
      </c>
      <c r="O71">
        <f t="shared" si="6"/>
        <v>77.451737222955586</v>
      </c>
      <c r="P71">
        <f t="shared" si="7"/>
        <v>1.5815165411395091E-2</v>
      </c>
      <c r="Q71">
        <f t="shared" si="8"/>
        <v>2.1270974744476061</v>
      </c>
      <c r="R71">
        <f t="shared" si="9"/>
        <v>1.5750129249909737E-2</v>
      </c>
      <c r="S71">
        <f t="shared" si="10"/>
        <v>9.8496516484765963E-3</v>
      </c>
      <c r="T71">
        <f t="shared" si="11"/>
        <v>276.11471327399994</v>
      </c>
      <c r="U71">
        <f t="shared" si="12"/>
        <v>28.422000653644862</v>
      </c>
      <c r="V71">
        <f t="shared" si="13"/>
        <v>28.422000653644862</v>
      </c>
      <c r="W71">
        <f t="shared" si="14"/>
        <v>3.8892051924075322</v>
      </c>
      <c r="X71">
        <f t="shared" si="15"/>
        <v>65.504786695175341</v>
      </c>
      <c r="Y71">
        <f t="shared" si="16"/>
        <v>2.2536054219779098</v>
      </c>
      <c r="Z71">
        <f t="shared" si="17"/>
        <v>3.440367545145973</v>
      </c>
      <c r="AA71">
        <f t="shared" si="18"/>
        <v>1.6355997704296223</v>
      </c>
      <c r="AB71">
        <f t="shared" si="19"/>
        <v>-11.820718689851674</v>
      </c>
      <c r="AC71">
        <f t="shared" si="20"/>
        <v>-240.09738164854335</v>
      </c>
      <c r="AD71">
        <f t="shared" si="21"/>
        <v>-24.451669570779934</v>
      </c>
      <c r="AE71">
        <f t="shared" si="22"/>
        <v>-0.25505663517500921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52343.773271187885</v>
      </c>
      <c r="AK71">
        <f t="shared" si="26"/>
        <v>1800</v>
      </c>
      <c r="AL71">
        <f t="shared" si="27"/>
        <v>1499.1110964</v>
      </c>
      <c r="AM71">
        <f t="shared" si="28"/>
        <v>0.83283949800000001</v>
      </c>
      <c r="AN71">
        <f t="shared" si="29"/>
        <v>0.15339706292999997</v>
      </c>
      <c r="AO71">
        <v>32.4</v>
      </c>
      <c r="AP71">
        <v>0.5</v>
      </c>
      <c r="AQ71" t="s">
        <v>331</v>
      </c>
      <c r="AR71">
        <v>2</v>
      </c>
      <c r="AS71">
        <v>1690227355.5</v>
      </c>
      <c r="AT71">
        <v>780.93200000000002</v>
      </c>
      <c r="AU71">
        <v>799.99800000000005</v>
      </c>
      <c r="AV71">
        <v>22.7227</v>
      </c>
      <c r="AW71">
        <v>19.895399999999999</v>
      </c>
      <c r="AX71">
        <v>781.35799999999995</v>
      </c>
      <c r="AY71">
        <v>22.412700000000001</v>
      </c>
      <c r="AZ71">
        <v>300.19</v>
      </c>
      <c r="BA71">
        <v>99.078599999999994</v>
      </c>
      <c r="BB71">
        <v>9.9993299999999993E-2</v>
      </c>
      <c r="BC71">
        <v>26.328299999999999</v>
      </c>
      <c r="BD71">
        <v>26.949400000000001</v>
      </c>
      <c r="BE71">
        <v>28.191700000000001</v>
      </c>
      <c r="BF71">
        <v>0</v>
      </c>
      <c r="BG71">
        <v>0</v>
      </c>
      <c r="BH71">
        <v>9967.5</v>
      </c>
      <c r="BI71">
        <v>1069.8499999999999</v>
      </c>
      <c r="BJ71">
        <v>1.5137799999999999</v>
      </c>
      <c r="BK71">
        <v>-19.065999999999999</v>
      </c>
      <c r="BL71">
        <v>799.08900000000006</v>
      </c>
      <c r="BM71">
        <v>816.23699999999997</v>
      </c>
      <c r="BN71">
        <v>2.8273100000000002</v>
      </c>
      <c r="BO71">
        <v>799.99800000000005</v>
      </c>
      <c r="BP71">
        <v>19.895399999999999</v>
      </c>
      <c r="BQ71">
        <v>2.2513299999999998</v>
      </c>
      <c r="BR71">
        <v>1.9712099999999999</v>
      </c>
      <c r="BS71">
        <v>19.3323</v>
      </c>
      <c r="BT71">
        <v>17.2149</v>
      </c>
      <c r="BU71">
        <v>1800</v>
      </c>
      <c r="BV71">
        <v>0.91000499999999995</v>
      </c>
      <c r="BW71">
        <v>3.4008299999999998E-2</v>
      </c>
      <c r="BX71">
        <v>2.1994900000000001E-2</v>
      </c>
      <c r="BY71">
        <v>3.3991899999999999E-2</v>
      </c>
      <c r="BZ71">
        <v>25.666699999999999</v>
      </c>
      <c r="CA71">
        <v>33528.300000000003</v>
      </c>
      <c r="CB71">
        <v>1690226183.5999999</v>
      </c>
      <c r="CC71" t="s">
        <v>332</v>
      </c>
      <c r="CD71">
        <v>1690226177.5999999</v>
      </c>
      <c r="CE71">
        <v>1690226183.5999999</v>
      </c>
      <c r="CF71">
        <v>12</v>
      </c>
      <c r="CG71">
        <v>-0.255</v>
      </c>
      <c r="CH71">
        <v>0.113</v>
      </c>
      <c r="CI71">
        <v>-0.439</v>
      </c>
      <c r="CJ71">
        <v>0.31</v>
      </c>
      <c r="CK71">
        <v>800</v>
      </c>
      <c r="CL71">
        <v>25</v>
      </c>
      <c r="CM71">
        <v>0.02</v>
      </c>
      <c r="CN71">
        <v>0.03</v>
      </c>
      <c r="CO71">
        <v>-17.98627317073171</v>
      </c>
      <c r="CP71">
        <v>-5.9320996515679596</v>
      </c>
      <c r="CQ71">
        <v>0.58665125886176428</v>
      </c>
      <c r="CR71">
        <v>-1</v>
      </c>
      <c r="CS71">
        <v>2.7809480487804881</v>
      </c>
      <c r="CT71">
        <v>0.15979358885017941</v>
      </c>
      <c r="CU71">
        <v>1.6638377650086199E-2</v>
      </c>
      <c r="CV71">
        <v>-1</v>
      </c>
      <c r="CW71">
        <v>0</v>
      </c>
      <c r="CX71">
        <v>0</v>
      </c>
      <c r="CY71" t="s">
        <v>333</v>
      </c>
      <c r="CZ71">
        <v>2.3641999999999999</v>
      </c>
      <c r="DA71">
        <v>2.7137600000000002</v>
      </c>
      <c r="DB71">
        <v>0.14435999999999999</v>
      </c>
      <c r="DC71">
        <v>0.14629700000000001</v>
      </c>
      <c r="DD71">
        <v>0.109097</v>
      </c>
      <c r="DE71">
        <v>9.8275000000000001E-2</v>
      </c>
      <c r="DF71">
        <v>31238.2</v>
      </c>
      <c r="DG71">
        <v>27511.3</v>
      </c>
      <c r="DH71">
        <v>31168</v>
      </c>
      <c r="DI71">
        <v>28080.7</v>
      </c>
      <c r="DJ71">
        <v>37702.1</v>
      </c>
      <c r="DK71">
        <v>36006.699999999997</v>
      </c>
      <c r="DL71">
        <v>44356.2</v>
      </c>
      <c r="DM71">
        <v>42564.2</v>
      </c>
      <c r="DN71">
        <v>1.4726999999999999</v>
      </c>
      <c r="DO71">
        <v>2.0539999999999998</v>
      </c>
      <c r="DP71">
        <v>9.6615400000000004E-2</v>
      </c>
      <c r="DQ71">
        <v>0.18909599999999999</v>
      </c>
      <c r="DR71">
        <v>25.3672</v>
      </c>
      <c r="DS71">
        <v>25.0974</v>
      </c>
      <c r="DT71">
        <v>57.3</v>
      </c>
      <c r="DU71">
        <v>29.3</v>
      </c>
      <c r="DV71">
        <v>23.665199999999999</v>
      </c>
      <c r="DW71">
        <v>61.702500000000001</v>
      </c>
      <c r="DX71">
        <v>36.410299999999999</v>
      </c>
      <c r="DY71">
        <v>1</v>
      </c>
      <c r="DZ71">
        <v>-7.2428900000000004E-2</v>
      </c>
      <c r="EA71">
        <v>0.39060499999999998</v>
      </c>
      <c r="EB71">
        <v>20.188600000000001</v>
      </c>
      <c r="EC71">
        <v>5.2406499999999996</v>
      </c>
      <c r="ED71">
        <v>12.039899999999999</v>
      </c>
      <c r="EE71">
        <v>5.01675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</v>
      </c>
      <c r="EN71">
        <v>1.8672500000000001</v>
      </c>
      <c r="EO71">
        <v>1.8633999999999999</v>
      </c>
      <c r="EP71">
        <v>1.86453</v>
      </c>
      <c r="EQ71">
        <v>1.87016</v>
      </c>
      <c r="ER71">
        <v>1.8694500000000001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-0.42599999999999999</v>
      </c>
      <c r="FG71">
        <v>0.31</v>
      </c>
      <c r="FH71">
        <v>0.1121710645629533</v>
      </c>
      <c r="FI71">
        <v>-6.1462078757559423E-4</v>
      </c>
      <c r="FJ71">
        <v>-1.8861989874597051E-7</v>
      </c>
      <c r="FK71">
        <v>1.1980462299894961E-10</v>
      </c>
      <c r="FL71">
        <v>0.30996499999999833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19.600000000000001</v>
      </c>
      <c r="FU71">
        <v>19.5</v>
      </c>
      <c r="FV71">
        <v>1.79321</v>
      </c>
      <c r="FW71">
        <v>2.5866699999999998</v>
      </c>
      <c r="FX71">
        <v>1.5490699999999999</v>
      </c>
      <c r="FY71">
        <v>2.3290999999999999</v>
      </c>
      <c r="FZ71">
        <v>1.50146</v>
      </c>
      <c r="GA71">
        <v>2.34009</v>
      </c>
      <c r="GB71">
        <v>33.963900000000002</v>
      </c>
      <c r="GC71">
        <v>23.982399999999998</v>
      </c>
      <c r="GD71">
        <v>19</v>
      </c>
      <c r="GE71">
        <v>282.38</v>
      </c>
      <c r="GF71">
        <v>600.346</v>
      </c>
      <c r="GG71">
        <v>23.7516</v>
      </c>
      <c r="GH71">
        <v>26.473400000000002</v>
      </c>
      <c r="GI71">
        <v>30</v>
      </c>
      <c r="GJ71">
        <v>26.576899999999998</v>
      </c>
      <c r="GK71">
        <v>26.552800000000001</v>
      </c>
      <c r="GL71">
        <v>35.844999999999999</v>
      </c>
      <c r="GM71">
        <v>26.390599999999999</v>
      </c>
      <c r="GN71">
        <v>100</v>
      </c>
      <c r="GO71">
        <v>23.763100000000001</v>
      </c>
      <c r="GP71">
        <v>800</v>
      </c>
      <c r="GQ71">
        <v>19.8033</v>
      </c>
      <c r="GR71">
        <v>99.725999999999999</v>
      </c>
      <c r="GS71">
        <v>99.569100000000006</v>
      </c>
    </row>
    <row r="72" spans="1:201" x14ac:dyDescent="0.25">
      <c r="A72">
        <v>56</v>
      </c>
      <c r="B72">
        <v>1690227365.5</v>
      </c>
      <c r="C72">
        <v>795.90000009536743</v>
      </c>
      <c r="D72" t="s">
        <v>443</v>
      </c>
      <c r="E72" t="s">
        <v>444</v>
      </c>
      <c r="F72" t="s">
        <v>330</v>
      </c>
      <c r="H72">
        <v>1690227365.5</v>
      </c>
      <c r="I72">
        <f t="shared" si="0"/>
        <v>2.7754413738144087E-4</v>
      </c>
      <c r="J72">
        <f t="shared" si="1"/>
        <v>0.27754413738144085</v>
      </c>
      <c r="K72">
        <f t="shared" si="2"/>
        <v>1.6562847631855067</v>
      </c>
      <c r="L72">
        <f t="shared" si="3"/>
        <v>779.923</v>
      </c>
      <c r="M72">
        <f t="shared" si="4"/>
        <v>599.30281128321599</v>
      </c>
      <c r="N72">
        <f t="shared" si="5"/>
        <v>59.436362719888479</v>
      </c>
      <c r="O72">
        <f t="shared" si="6"/>
        <v>77.349522559934996</v>
      </c>
      <c r="P72">
        <f t="shared" si="7"/>
        <v>1.6427403894730977E-2</v>
      </c>
      <c r="Q72">
        <f t="shared" si="8"/>
        <v>2.1328267549683066</v>
      </c>
      <c r="R72">
        <f t="shared" si="9"/>
        <v>1.6357434542107616E-2</v>
      </c>
      <c r="S72">
        <f t="shared" si="10"/>
        <v>1.022965813144021E-2</v>
      </c>
      <c r="T72">
        <f t="shared" si="11"/>
        <v>276.11279450150846</v>
      </c>
      <c r="U72">
        <f t="shared" si="12"/>
        <v>28.410270275353749</v>
      </c>
      <c r="V72">
        <f t="shared" si="13"/>
        <v>28.410270275353749</v>
      </c>
      <c r="W72">
        <f t="shared" si="14"/>
        <v>3.8865547093976067</v>
      </c>
      <c r="X72">
        <f t="shared" si="15"/>
        <v>65.584354285953509</v>
      </c>
      <c r="Y72">
        <f t="shared" si="16"/>
        <v>2.2559033582925001</v>
      </c>
      <c r="Z72">
        <f t="shared" si="17"/>
        <v>3.4396974443882828</v>
      </c>
      <c r="AA72">
        <f t="shared" si="18"/>
        <v>1.6306513511051066</v>
      </c>
      <c r="AB72">
        <f t="shared" si="19"/>
        <v>-12.239696458521543</v>
      </c>
      <c r="AC72">
        <f t="shared" si="20"/>
        <v>-239.77471088854264</v>
      </c>
      <c r="AD72">
        <f t="shared" si="21"/>
        <v>-24.351383620730562</v>
      </c>
      <c r="AE72">
        <f t="shared" si="22"/>
        <v>-0.2529964662862767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52591.708795536993</v>
      </c>
      <c r="AK72">
        <f t="shared" si="26"/>
        <v>1799.99</v>
      </c>
      <c r="AL72">
        <f t="shared" si="27"/>
        <v>1499.1027896049</v>
      </c>
      <c r="AM72">
        <f t="shared" si="28"/>
        <v>0.83283951000000001</v>
      </c>
      <c r="AN72">
        <f t="shared" si="29"/>
        <v>0.15339684914999999</v>
      </c>
      <c r="AO72">
        <v>32.4</v>
      </c>
      <c r="AP72">
        <v>0.5</v>
      </c>
      <c r="AQ72" t="s">
        <v>331</v>
      </c>
      <c r="AR72">
        <v>2</v>
      </c>
      <c r="AS72">
        <v>1690227365.5</v>
      </c>
      <c r="AT72">
        <v>779.923</v>
      </c>
      <c r="AU72">
        <v>800.12800000000004</v>
      </c>
      <c r="AV72">
        <v>22.746500000000001</v>
      </c>
      <c r="AW72">
        <v>19.8202</v>
      </c>
      <c r="AX72">
        <v>780.34799999999996</v>
      </c>
      <c r="AY72">
        <v>22.436499999999999</v>
      </c>
      <c r="AZ72">
        <v>300.30700000000002</v>
      </c>
      <c r="BA72">
        <v>99.075800000000001</v>
      </c>
      <c r="BB72">
        <v>0.100045</v>
      </c>
      <c r="BC72">
        <v>26.324999999999999</v>
      </c>
      <c r="BD72">
        <v>26.9544</v>
      </c>
      <c r="BE72">
        <v>28.186399999999999</v>
      </c>
      <c r="BF72">
        <v>0</v>
      </c>
      <c r="BG72">
        <v>0</v>
      </c>
      <c r="BH72">
        <v>10016.9</v>
      </c>
      <c r="BI72">
        <v>1069.92</v>
      </c>
      <c r="BJ72">
        <v>1.5137799999999999</v>
      </c>
      <c r="BK72">
        <v>-20.205300000000001</v>
      </c>
      <c r="BL72">
        <v>798.07600000000002</v>
      </c>
      <c r="BM72">
        <v>816.30799999999999</v>
      </c>
      <c r="BN72">
        <v>2.92625</v>
      </c>
      <c r="BO72">
        <v>800.12800000000004</v>
      </c>
      <c r="BP72">
        <v>19.8202</v>
      </c>
      <c r="BQ72">
        <v>2.2536299999999998</v>
      </c>
      <c r="BR72">
        <v>1.9637100000000001</v>
      </c>
      <c r="BS72">
        <v>19.348700000000001</v>
      </c>
      <c r="BT72">
        <v>17.154699999999998</v>
      </c>
      <c r="BU72">
        <v>1799.99</v>
      </c>
      <c r="BV72">
        <v>0.91000999999999999</v>
      </c>
      <c r="BW72">
        <v>3.40062E-2</v>
      </c>
      <c r="BX72">
        <v>2.1993499999999999E-2</v>
      </c>
      <c r="BY72">
        <v>3.3989900000000003E-2</v>
      </c>
      <c r="BZ72">
        <v>25.666699999999999</v>
      </c>
      <c r="CA72">
        <v>33528.300000000003</v>
      </c>
      <c r="CB72">
        <v>1690226183.5999999</v>
      </c>
      <c r="CC72" t="s">
        <v>332</v>
      </c>
      <c r="CD72">
        <v>1690226177.5999999</v>
      </c>
      <c r="CE72">
        <v>1690226183.5999999</v>
      </c>
      <c r="CF72">
        <v>12</v>
      </c>
      <c r="CG72">
        <v>-0.255</v>
      </c>
      <c r="CH72">
        <v>0.113</v>
      </c>
      <c r="CI72">
        <v>-0.439</v>
      </c>
      <c r="CJ72">
        <v>0.31</v>
      </c>
      <c r="CK72">
        <v>800</v>
      </c>
      <c r="CL72">
        <v>25</v>
      </c>
      <c r="CM72">
        <v>0.02</v>
      </c>
      <c r="CN72">
        <v>0.03</v>
      </c>
      <c r="CO72">
        <v>-18.911802439024392</v>
      </c>
      <c r="CP72">
        <v>-6.3712411149825927</v>
      </c>
      <c r="CQ72">
        <v>0.62885754154261908</v>
      </c>
      <c r="CR72">
        <v>-1</v>
      </c>
      <c r="CS72">
        <v>2.8205185365853662</v>
      </c>
      <c r="CT72">
        <v>0.35685052264807599</v>
      </c>
      <c r="CU72">
        <v>3.568848291105358E-2</v>
      </c>
      <c r="CV72">
        <v>-1</v>
      </c>
      <c r="CW72">
        <v>0</v>
      </c>
      <c r="CX72">
        <v>0</v>
      </c>
      <c r="CY72" t="s">
        <v>333</v>
      </c>
      <c r="CZ72">
        <v>2.3645800000000001</v>
      </c>
      <c r="DA72">
        <v>2.7138499999999999</v>
      </c>
      <c r="DB72">
        <v>0.144232</v>
      </c>
      <c r="DC72">
        <v>0.14630799999999999</v>
      </c>
      <c r="DD72">
        <v>0.109177</v>
      </c>
      <c r="DE72">
        <v>9.8008999999999999E-2</v>
      </c>
      <c r="DF72">
        <v>31243.4</v>
      </c>
      <c r="DG72">
        <v>27510.6</v>
      </c>
      <c r="DH72">
        <v>31168.5</v>
      </c>
      <c r="DI72">
        <v>28080.2</v>
      </c>
      <c r="DJ72">
        <v>37699.4</v>
      </c>
      <c r="DK72">
        <v>36016.9</v>
      </c>
      <c r="DL72">
        <v>44357</v>
      </c>
      <c r="DM72">
        <v>42563.7</v>
      </c>
      <c r="DN72">
        <v>1.4725699999999999</v>
      </c>
      <c r="DO72">
        <v>2.0535800000000002</v>
      </c>
      <c r="DP72">
        <v>9.7285999999999997E-2</v>
      </c>
      <c r="DQ72">
        <v>0.18904000000000001</v>
      </c>
      <c r="DR72">
        <v>25.3612</v>
      </c>
      <c r="DS72">
        <v>25.093</v>
      </c>
      <c r="DT72">
        <v>57.3</v>
      </c>
      <c r="DU72">
        <v>29.3</v>
      </c>
      <c r="DV72">
        <v>23.664300000000001</v>
      </c>
      <c r="DW72">
        <v>61.332500000000003</v>
      </c>
      <c r="DX72">
        <v>35.236400000000003</v>
      </c>
      <c r="DY72">
        <v>1</v>
      </c>
      <c r="DZ72">
        <v>-7.2380600000000003E-2</v>
      </c>
      <c r="EA72">
        <v>0.368674</v>
      </c>
      <c r="EB72">
        <v>20.188800000000001</v>
      </c>
      <c r="EC72">
        <v>5.2408000000000001</v>
      </c>
      <c r="ED72">
        <v>12.039899999999999</v>
      </c>
      <c r="EE72">
        <v>5.0166000000000004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1.8691899999999999</v>
      </c>
      <c r="EN72">
        <v>1.86724</v>
      </c>
      <c r="EO72">
        <v>1.8633999999999999</v>
      </c>
      <c r="EP72">
        <v>1.8645</v>
      </c>
      <c r="EQ72">
        <v>1.87015</v>
      </c>
      <c r="ER72">
        <v>1.86944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-0.42499999999999999</v>
      </c>
      <c r="FG72">
        <v>0.31</v>
      </c>
      <c r="FH72">
        <v>0.1121710645629533</v>
      </c>
      <c r="FI72">
        <v>-6.1462078757559423E-4</v>
      </c>
      <c r="FJ72">
        <v>-1.8861989874597051E-7</v>
      </c>
      <c r="FK72">
        <v>1.1980462299894961E-10</v>
      </c>
      <c r="FL72">
        <v>0.30996499999999833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19.8</v>
      </c>
      <c r="FU72">
        <v>19.7</v>
      </c>
      <c r="FV72">
        <v>1.79199</v>
      </c>
      <c r="FW72">
        <v>2.5830099999999998</v>
      </c>
      <c r="FX72">
        <v>1.5490699999999999</v>
      </c>
      <c r="FY72">
        <v>2.3290999999999999</v>
      </c>
      <c r="FZ72">
        <v>1.50146</v>
      </c>
      <c r="GA72">
        <v>2.4157700000000002</v>
      </c>
      <c r="GB72">
        <v>33.963900000000002</v>
      </c>
      <c r="GC72">
        <v>23.991199999999999</v>
      </c>
      <c r="GD72">
        <v>19</v>
      </c>
      <c r="GE72">
        <v>282.31900000000002</v>
      </c>
      <c r="GF72">
        <v>599.96799999999996</v>
      </c>
      <c r="GG72">
        <v>23.831399999999999</v>
      </c>
      <c r="GH72">
        <v>26.469000000000001</v>
      </c>
      <c r="GI72">
        <v>30.0002</v>
      </c>
      <c r="GJ72">
        <v>26.574999999999999</v>
      </c>
      <c r="GK72">
        <v>26.551300000000001</v>
      </c>
      <c r="GL72">
        <v>35.839599999999997</v>
      </c>
      <c r="GM72">
        <v>26.6739</v>
      </c>
      <c r="GN72">
        <v>100</v>
      </c>
      <c r="GO72">
        <v>23.8294</v>
      </c>
      <c r="GP72">
        <v>800</v>
      </c>
      <c r="GQ72">
        <v>19.754000000000001</v>
      </c>
      <c r="GR72">
        <v>99.727599999999995</v>
      </c>
      <c r="GS72">
        <v>99.567800000000005</v>
      </c>
    </row>
    <row r="73" spans="1:201" x14ac:dyDescent="0.25">
      <c r="A73">
        <v>57</v>
      </c>
      <c r="B73">
        <v>1690227375.5</v>
      </c>
      <c r="C73">
        <v>805.90000009536743</v>
      </c>
      <c r="D73" t="s">
        <v>445</v>
      </c>
      <c r="E73" t="s">
        <v>446</v>
      </c>
      <c r="F73" t="s">
        <v>330</v>
      </c>
      <c r="H73">
        <v>1690227375.5</v>
      </c>
      <c r="I73">
        <f t="shared" si="0"/>
        <v>2.8192412540204651E-4</v>
      </c>
      <c r="J73">
        <f t="shared" si="1"/>
        <v>0.28192412540204653</v>
      </c>
      <c r="K73">
        <f t="shared" si="2"/>
        <v>1.7446883961235076</v>
      </c>
      <c r="L73">
        <f t="shared" si="3"/>
        <v>778.77200000000005</v>
      </c>
      <c r="M73">
        <f t="shared" si="4"/>
        <v>591.92608973665256</v>
      </c>
      <c r="N73">
        <f t="shared" si="5"/>
        <v>58.705244851902314</v>
      </c>
      <c r="O73">
        <f t="shared" si="6"/>
        <v>77.235995737484004</v>
      </c>
      <c r="P73">
        <f t="shared" si="7"/>
        <v>1.6656473055119022E-2</v>
      </c>
      <c r="Q73">
        <f t="shared" si="8"/>
        <v>2.1271464329456666</v>
      </c>
      <c r="R73">
        <f t="shared" si="9"/>
        <v>1.6584352174570008E-2</v>
      </c>
      <c r="S73">
        <f t="shared" si="10"/>
        <v>1.0371673768303424E-2</v>
      </c>
      <c r="T73">
        <f t="shared" si="11"/>
        <v>276.11415</v>
      </c>
      <c r="U73">
        <f t="shared" si="12"/>
        <v>28.430178156658297</v>
      </c>
      <c r="V73">
        <f t="shared" si="13"/>
        <v>28.430178156658297</v>
      </c>
      <c r="W73">
        <f t="shared" si="14"/>
        <v>3.8910538345453629</v>
      </c>
      <c r="X73">
        <f t="shared" si="15"/>
        <v>65.563482996735672</v>
      </c>
      <c r="Y73">
        <f t="shared" si="16"/>
        <v>2.2573695800317002</v>
      </c>
      <c r="Z73">
        <f t="shared" si="17"/>
        <v>3.4430287667055337</v>
      </c>
      <c r="AA73">
        <f t="shared" si="18"/>
        <v>1.6336842545136627</v>
      </c>
      <c r="AB73">
        <f t="shared" si="19"/>
        <v>-12.432853930230252</v>
      </c>
      <c r="AC73">
        <f t="shared" si="20"/>
        <v>-239.53840222167489</v>
      </c>
      <c r="AD73">
        <f t="shared" si="21"/>
        <v>-24.396771955262214</v>
      </c>
      <c r="AE73">
        <f t="shared" si="22"/>
        <v>-0.25387810716736681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52343.551142422577</v>
      </c>
      <c r="AK73">
        <f t="shared" si="26"/>
        <v>1800</v>
      </c>
      <c r="AL73">
        <f t="shared" si="27"/>
        <v>1499.1116849999999</v>
      </c>
      <c r="AM73">
        <f t="shared" si="28"/>
        <v>0.83283982499999998</v>
      </c>
      <c r="AN73">
        <f t="shared" si="29"/>
        <v>0.15339675</v>
      </c>
      <c r="AO73">
        <v>32.4</v>
      </c>
      <c r="AP73">
        <v>0.5</v>
      </c>
      <c r="AQ73" t="s">
        <v>331</v>
      </c>
      <c r="AR73">
        <v>2</v>
      </c>
      <c r="AS73">
        <v>1690227375.5</v>
      </c>
      <c r="AT73">
        <v>778.77200000000005</v>
      </c>
      <c r="AU73">
        <v>799.976</v>
      </c>
      <c r="AV73">
        <v>22.761099999999999</v>
      </c>
      <c r="AW73">
        <v>19.786999999999999</v>
      </c>
      <c r="AX73">
        <v>779.197</v>
      </c>
      <c r="AY73">
        <v>22.4512</v>
      </c>
      <c r="AZ73">
        <v>300.13900000000001</v>
      </c>
      <c r="BA73">
        <v>99.076599999999999</v>
      </c>
      <c r="BB73">
        <v>0.100047</v>
      </c>
      <c r="BC73">
        <v>26.3414</v>
      </c>
      <c r="BD73">
        <v>26.998699999999999</v>
      </c>
      <c r="BE73">
        <v>28.202100000000002</v>
      </c>
      <c r="BF73">
        <v>0</v>
      </c>
      <c r="BG73">
        <v>0</v>
      </c>
      <c r="BH73">
        <v>9968.1200000000008</v>
      </c>
      <c r="BI73">
        <v>1070.01</v>
      </c>
      <c r="BJ73">
        <v>1.5137799999999999</v>
      </c>
      <c r="BK73">
        <v>-21.203900000000001</v>
      </c>
      <c r="BL73">
        <v>796.91099999999994</v>
      </c>
      <c r="BM73">
        <v>816.125</v>
      </c>
      <c r="BN73">
        <v>2.97417</v>
      </c>
      <c r="BO73">
        <v>799.976</v>
      </c>
      <c r="BP73">
        <v>19.786999999999999</v>
      </c>
      <c r="BQ73">
        <v>2.2551000000000001</v>
      </c>
      <c r="BR73">
        <v>1.9604299999999999</v>
      </c>
      <c r="BS73">
        <v>19.359200000000001</v>
      </c>
      <c r="BT73">
        <v>17.128299999999999</v>
      </c>
      <c r="BU73">
        <v>1800</v>
      </c>
      <c r="BV73">
        <v>0.91001399999999999</v>
      </c>
      <c r="BW73">
        <v>3.4004699999999999E-2</v>
      </c>
      <c r="BX73">
        <v>2.1992500000000002E-2</v>
      </c>
      <c r="BY73">
        <v>3.3988400000000002E-2</v>
      </c>
      <c r="BZ73">
        <v>25.625</v>
      </c>
      <c r="CA73">
        <v>33528.5</v>
      </c>
      <c r="CB73">
        <v>1690226183.5999999</v>
      </c>
      <c r="CC73" t="s">
        <v>332</v>
      </c>
      <c r="CD73">
        <v>1690226177.5999999</v>
      </c>
      <c r="CE73">
        <v>1690226183.5999999</v>
      </c>
      <c r="CF73">
        <v>12</v>
      </c>
      <c r="CG73">
        <v>-0.255</v>
      </c>
      <c r="CH73">
        <v>0.113</v>
      </c>
      <c r="CI73">
        <v>-0.439</v>
      </c>
      <c r="CJ73">
        <v>0.31</v>
      </c>
      <c r="CK73">
        <v>800</v>
      </c>
      <c r="CL73">
        <v>25</v>
      </c>
      <c r="CM73">
        <v>0.02</v>
      </c>
      <c r="CN73">
        <v>0.03</v>
      </c>
      <c r="CO73">
        <v>-20.0753925</v>
      </c>
      <c r="CP73">
        <v>-6.5722750469042603</v>
      </c>
      <c r="CQ73">
        <v>0.63263816332383083</v>
      </c>
      <c r="CR73">
        <v>-1</v>
      </c>
      <c r="CS73">
        <v>2.9062885000000001</v>
      </c>
      <c r="CT73">
        <v>0.52885373358347865</v>
      </c>
      <c r="CU73">
        <v>5.2151482699440067E-2</v>
      </c>
      <c r="CV73">
        <v>-1</v>
      </c>
      <c r="CW73">
        <v>0</v>
      </c>
      <c r="CX73">
        <v>0</v>
      </c>
      <c r="CY73" t="s">
        <v>333</v>
      </c>
      <c r="CZ73">
        <v>2.3640300000000001</v>
      </c>
      <c r="DA73">
        <v>2.7138100000000001</v>
      </c>
      <c r="DB73">
        <v>0.144092</v>
      </c>
      <c r="DC73">
        <v>0.14629</v>
      </c>
      <c r="DD73">
        <v>0.10922800000000001</v>
      </c>
      <c r="DE73">
        <v>9.7893400000000005E-2</v>
      </c>
      <c r="DF73">
        <v>31248.7</v>
      </c>
      <c r="DG73">
        <v>27511.7</v>
      </c>
      <c r="DH73">
        <v>31168.6</v>
      </c>
      <c r="DI73">
        <v>28080.799999999999</v>
      </c>
      <c r="DJ73">
        <v>37697.4</v>
      </c>
      <c r="DK73">
        <v>36022.199999999997</v>
      </c>
      <c r="DL73">
        <v>44357.3</v>
      </c>
      <c r="DM73">
        <v>42564.5</v>
      </c>
      <c r="DN73">
        <v>1.47238</v>
      </c>
      <c r="DO73">
        <v>2.0541700000000001</v>
      </c>
      <c r="DP73">
        <v>0.100378</v>
      </c>
      <c r="DQ73">
        <v>0.19028800000000001</v>
      </c>
      <c r="DR73">
        <v>25.355</v>
      </c>
      <c r="DS73">
        <v>25.0883</v>
      </c>
      <c r="DT73">
        <v>57.3</v>
      </c>
      <c r="DU73">
        <v>29.3</v>
      </c>
      <c r="DV73">
        <v>23.6662</v>
      </c>
      <c r="DW73">
        <v>61.952500000000001</v>
      </c>
      <c r="DX73">
        <v>36.277999999999999</v>
      </c>
      <c r="DY73">
        <v>1</v>
      </c>
      <c r="DZ73">
        <v>-7.3277400000000006E-2</v>
      </c>
      <c r="EA73">
        <v>0.37121999999999999</v>
      </c>
      <c r="EB73">
        <v>20.189</v>
      </c>
      <c r="EC73">
        <v>5.2403500000000003</v>
      </c>
      <c r="ED73">
        <v>12.039899999999999</v>
      </c>
      <c r="EE73">
        <v>5.0165499999999996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1.8646400000000001</v>
      </c>
      <c r="EM73">
        <v>1.8692</v>
      </c>
      <c r="EN73">
        <v>1.86724</v>
      </c>
      <c r="EO73">
        <v>1.8633999999999999</v>
      </c>
      <c r="EP73">
        <v>1.8645099999999999</v>
      </c>
      <c r="EQ73">
        <v>1.87015</v>
      </c>
      <c r="ER73">
        <v>1.8694299999999999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-0.42499999999999999</v>
      </c>
      <c r="FG73">
        <v>0.30990000000000001</v>
      </c>
      <c r="FH73">
        <v>0.1121710645629533</v>
      </c>
      <c r="FI73">
        <v>-6.1462078757559423E-4</v>
      </c>
      <c r="FJ73">
        <v>-1.8861989874597051E-7</v>
      </c>
      <c r="FK73">
        <v>1.1980462299894961E-10</v>
      </c>
      <c r="FL73">
        <v>0.30996499999999833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20</v>
      </c>
      <c r="FU73">
        <v>19.899999999999999</v>
      </c>
      <c r="FV73">
        <v>1.79321</v>
      </c>
      <c r="FW73">
        <v>2.5878899999999998</v>
      </c>
      <c r="FX73">
        <v>1.5490699999999999</v>
      </c>
      <c r="FY73">
        <v>2.3290999999999999</v>
      </c>
      <c r="FZ73">
        <v>1.50146</v>
      </c>
      <c r="GA73">
        <v>2.3327599999999999</v>
      </c>
      <c r="GB73">
        <v>33.963900000000002</v>
      </c>
      <c r="GC73">
        <v>23.973700000000001</v>
      </c>
      <c r="GD73">
        <v>19</v>
      </c>
      <c r="GE73">
        <v>282.22300000000001</v>
      </c>
      <c r="GF73">
        <v>600.45000000000005</v>
      </c>
      <c r="GG73">
        <v>23.875800000000002</v>
      </c>
      <c r="GH73">
        <v>26.464500000000001</v>
      </c>
      <c r="GI73">
        <v>29.999600000000001</v>
      </c>
      <c r="GJ73">
        <v>26.572700000000001</v>
      </c>
      <c r="GK73">
        <v>26.549099999999999</v>
      </c>
      <c r="GL73">
        <v>35.8386</v>
      </c>
      <c r="GM73">
        <v>26.6739</v>
      </c>
      <c r="GN73">
        <v>100</v>
      </c>
      <c r="GO73">
        <v>23.874700000000001</v>
      </c>
      <c r="GP73">
        <v>800</v>
      </c>
      <c r="GQ73">
        <v>19.709099999999999</v>
      </c>
      <c r="GR73">
        <v>99.728099999999998</v>
      </c>
      <c r="GS73">
        <v>99.569599999999994</v>
      </c>
    </row>
    <row r="74" spans="1:201" x14ac:dyDescent="0.25">
      <c r="A74">
        <v>58</v>
      </c>
      <c r="B74">
        <v>1690227385.5</v>
      </c>
      <c r="C74">
        <v>815.90000009536743</v>
      </c>
      <c r="D74" t="s">
        <v>447</v>
      </c>
      <c r="E74" t="s">
        <v>448</v>
      </c>
      <c r="F74" t="s">
        <v>330</v>
      </c>
      <c r="H74">
        <v>1690227385.5</v>
      </c>
      <c r="I74">
        <f t="shared" si="0"/>
        <v>2.8699724752630744E-4</v>
      </c>
      <c r="J74">
        <f t="shared" si="1"/>
        <v>0.28699724752630745</v>
      </c>
      <c r="K74">
        <f t="shared" si="2"/>
        <v>1.8561444160516178</v>
      </c>
      <c r="L74">
        <f t="shared" si="3"/>
        <v>777.56399999999996</v>
      </c>
      <c r="M74">
        <f t="shared" si="4"/>
        <v>583.4686431572726</v>
      </c>
      <c r="N74">
        <f t="shared" si="5"/>
        <v>57.866115910666466</v>
      </c>
      <c r="O74">
        <f t="shared" si="6"/>
        <v>77.115726919763986</v>
      </c>
      <c r="P74">
        <f t="shared" si="7"/>
        <v>1.6974950893230929E-2</v>
      </c>
      <c r="Q74">
        <f t="shared" si="8"/>
        <v>2.1302778283135897</v>
      </c>
      <c r="R74">
        <f t="shared" si="9"/>
        <v>1.6900161958002917E-2</v>
      </c>
      <c r="S74">
        <f t="shared" si="10"/>
        <v>1.0569293158844986E-2</v>
      </c>
      <c r="T74">
        <f t="shared" si="11"/>
        <v>276.11421534000004</v>
      </c>
      <c r="U74">
        <f t="shared" si="12"/>
        <v>28.426717041100197</v>
      </c>
      <c r="V74">
        <f t="shared" si="13"/>
        <v>28.426717041100197</v>
      </c>
      <c r="W74">
        <f t="shared" si="14"/>
        <v>3.8902713060797249</v>
      </c>
      <c r="X74">
        <f t="shared" si="15"/>
        <v>65.585619306323821</v>
      </c>
      <c r="Y74">
        <f t="shared" si="16"/>
        <v>2.2582783516903997</v>
      </c>
      <c r="Z74">
        <f t="shared" si="17"/>
        <v>3.4432523098438663</v>
      </c>
      <c r="AA74">
        <f t="shared" si="18"/>
        <v>1.6319929543893252</v>
      </c>
      <c r="AB74">
        <f t="shared" si="19"/>
        <v>-12.656578615910158</v>
      </c>
      <c r="AC74">
        <f t="shared" si="20"/>
        <v>-239.36719641167116</v>
      </c>
      <c r="AD74">
        <f t="shared" si="21"/>
        <v>-24.343210167922326</v>
      </c>
      <c r="AE74">
        <f t="shared" si="22"/>
        <v>-0.25276985550360109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52478.47617495546</v>
      </c>
      <c r="AK74">
        <f t="shared" si="26"/>
        <v>1800</v>
      </c>
      <c r="AL74">
        <f t="shared" si="27"/>
        <v>1499.1136289999999</v>
      </c>
      <c r="AM74">
        <f t="shared" si="28"/>
        <v>0.83284090499999996</v>
      </c>
      <c r="AN74">
        <f t="shared" si="29"/>
        <v>0.15339678630000003</v>
      </c>
      <c r="AO74">
        <v>32.4</v>
      </c>
      <c r="AP74">
        <v>0.5</v>
      </c>
      <c r="AQ74" t="s">
        <v>331</v>
      </c>
      <c r="AR74">
        <v>2</v>
      </c>
      <c r="AS74">
        <v>1690227385.5</v>
      </c>
      <c r="AT74">
        <v>777.56399999999996</v>
      </c>
      <c r="AU74">
        <v>800.00199999999995</v>
      </c>
      <c r="AV74">
        <v>22.770399999999999</v>
      </c>
      <c r="AW74">
        <v>19.7439</v>
      </c>
      <c r="AX74">
        <v>777.98800000000006</v>
      </c>
      <c r="AY74">
        <v>22.4605</v>
      </c>
      <c r="AZ74">
        <v>300.24700000000001</v>
      </c>
      <c r="BA74">
        <v>99.075999999999993</v>
      </c>
      <c r="BB74">
        <v>0.100051</v>
      </c>
      <c r="BC74">
        <v>26.342500000000001</v>
      </c>
      <c r="BD74">
        <v>26.9847</v>
      </c>
      <c r="BE74">
        <v>28.223700000000001</v>
      </c>
      <c r="BF74">
        <v>0</v>
      </c>
      <c r="BG74">
        <v>0</v>
      </c>
      <c r="BH74">
        <v>9995</v>
      </c>
      <c r="BI74">
        <v>1070.1300000000001</v>
      </c>
      <c r="BJ74">
        <v>1.5137799999999999</v>
      </c>
      <c r="BK74">
        <v>-22.4376</v>
      </c>
      <c r="BL74">
        <v>795.68200000000002</v>
      </c>
      <c r="BM74">
        <v>816.11500000000001</v>
      </c>
      <c r="BN74">
        <v>3.0264899999999999</v>
      </c>
      <c r="BO74">
        <v>800.00199999999995</v>
      </c>
      <c r="BP74">
        <v>19.7439</v>
      </c>
      <c r="BQ74">
        <v>2.2559999999999998</v>
      </c>
      <c r="BR74">
        <v>1.9561500000000001</v>
      </c>
      <c r="BS74">
        <v>19.3657</v>
      </c>
      <c r="BT74">
        <v>17.093800000000002</v>
      </c>
      <c r="BU74">
        <v>1800</v>
      </c>
      <c r="BV74">
        <v>0.91001900000000002</v>
      </c>
      <c r="BW74">
        <v>3.4003199999999997E-2</v>
      </c>
      <c r="BX74">
        <v>2.1991500000000001E-2</v>
      </c>
      <c r="BY74">
        <v>3.3986799999999998E-2</v>
      </c>
      <c r="BZ74">
        <v>25.375</v>
      </c>
      <c r="CA74">
        <v>33528.5</v>
      </c>
      <c r="CB74">
        <v>1690226183.5999999</v>
      </c>
      <c r="CC74" t="s">
        <v>332</v>
      </c>
      <c r="CD74">
        <v>1690226177.5999999</v>
      </c>
      <c r="CE74">
        <v>1690226183.5999999</v>
      </c>
      <c r="CF74">
        <v>12</v>
      </c>
      <c r="CG74">
        <v>-0.255</v>
      </c>
      <c r="CH74">
        <v>0.113</v>
      </c>
      <c r="CI74">
        <v>-0.439</v>
      </c>
      <c r="CJ74">
        <v>0.31</v>
      </c>
      <c r="CK74">
        <v>800</v>
      </c>
      <c r="CL74">
        <v>25</v>
      </c>
      <c r="CM74">
        <v>0.02</v>
      </c>
      <c r="CN74">
        <v>0.03</v>
      </c>
      <c r="CO74">
        <v>-21.223273170731709</v>
      </c>
      <c r="CP74">
        <v>-6.8623358885017236</v>
      </c>
      <c r="CQ74">
        <v>0.67812946279053554</v>
      </c>
      <c r="CR74">
        <v>-1</v>
      </c>
      <c r="CS74">
        <v>2.9721821951219511</v>
      </c>
      <c r="CT74">
        <v>0.2165088501742187</v>
      </c>
      <c r="CU74">
        <v>2.2390317976390559E-2</v>
      </c>
      <c r="CV74">
        <v>-1</v>
      </c>
      <c r="CW74">
        <v>0</v>
      </c>
      <c r="CX74">
        <v>0</v>
      </c>
      <c r="CY74" t="s">
        <v>333</v>
      </c>
      <c r="CZ74">
        <v>2.3643999999999998</v>
      </c>
      <c r="DA74">
        <v>2.7138399999999998</v>
      </c>
      <c r="DB74">
        <v>0.14394199999999999</v>
      </c>
      <c r="DC74">
        <v>0.14629200000000001</v>
      </c>
      <c r="DD74">
        <v>0.109261</v>
      </c>
      <c r="DE74">
        <v>9.7741900000000007E-2</v>
      </c>
      <c r="DF74">
        <v>31253.9</v>
      </c>
      <c r="DG74">
        <v>27512.2</v>
      </c>
      <c r="DH74">
        <v>31168.400000000001</v>
      </c>
      <c r="DI74">
        <v>28081.3</v>
      </c>
      <c r="DJ74">
        <v>37695.699999999997</v>
      </c>
      <c r="DK74">
        <v>36028.9</v>
      </c>
      <c r="DL74">
        <v>44357</v>
      </c>
      <c r="DM74">
        <v>42565.3</v>
      </c>
      <c r="DN74">
        <v>1.4725699999999999</v>
      </c>
      <c r="DO74">
        <v>2.0539999999999998</v>
      </c>
      <c r="DP74">
        <v>9.9781900000000007E-2</v>
      </c>
      <c r="DQ74">
        <v>0.19187100000000001</v>
      </c>
      <c r="DR74">
        <v>25.3506</v>
      </c>
      <c r="DS74">
        <v>25.084</v>
      </c>
      <c r="DT74">
        <v>57.3</v>
      </c>
      <c r="DU74">
        <v>29.3</v>
      </c>
      <c r="DV74">
        <v>23.6647</v>
      </c>
      <c r="DW74">
        <v>61.642499999999998</v>
      </c>
      <c r="DX74">
        <v>35.628999999999998</v>
      </c>
      <c r="DY74">
        <v>1</v>
      </c>
      <c r="DZ74">
        <v>-7.3699200000000006E-2</v>
      </c>
      <c r="EA74">
        <v>0.40687600000000002</v>
      </c>
      <c r="EB74">
        <v>20.188800000000001</v>
      </c>
      <c r="EC74">
        <v>5.2400500000000001</v>
      </c>
      <c r="ED74">
        <v>12.039899999999999</v>
      </c>
      <c r="EE74">
        <v>5.0163500000000001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1.86463</v>
      </c>
      <c r="EM74">
        <v>1.8691899999999999</v>
      </c>
      <c r="EN74">
        <v>1.8672500000000001</v>
      </c>
      <c r="EO74">
        <v>1.8633999999999999</v>
      </c>
      <c r="EP74">
        <v>1.86449</v>
      </c>
      <c r="EQ74">
        <v>1.8701300000000001</v>
      </c>
      <c r="ER74">
        <v>1.86941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-0.42399999999999999</v>
      </c>
      <c r="FG74">
        <v>0.30990000000000001</v>
      </c>
      <c r="FH74">
        <v>0.1121710645629533</v>
      </c>
      <c r="FI74">
        <v>-6.1462078757559423E-4</v>
      </c>
      <c r="FJ74">
        <v>-1.8861989874597051E-7</v>
      </c>
      <c r="FK74">
        <v>1.1980462299894961E-10</v>
      </c>
      <c r="FL74">
        <v>0.30996499999999833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20.100000000000001</v>
      </c>
      <c r="FU74">
        <v>20</v>
      </c>
      <c r="FV74">
        <v>1.79199</v>
      </c>
      <c r="FW74">
        <v>2.5878899999999998</v>
      </c>
      <c r="FX74">
        <v>1.5490699999999999</v>
      </c>
      <c r="FY74">
        <v>2.3290999999999999</v>
      </c>
      <c r="FZ74">
        <v>1.50146</v>
      </c>
      <c r="GA74">
        <v>2.2790499999999998</v>
      </c>
      <c r="GB74">
        <v>33.963900000000002</v>
      </c>
      <c r="GC74">
        <v>23.973700000000001</v>
      </c>
      <c r="GD74">
        <v>19</v>
      </c>
      <c r="GE74">
        <v>282.298</v>
      </c>
      <c r="GF74">
        <v>600.30100000000004</v>
      </c>
      <c r="GG74">
        <v>23.891999999999999</v>
      </c>
      <c r="GH74">
        <v>26.46</v>
      </c>
      <c r="GI74">
        <v>29.9998</v>
      </c>
      <c r="GJ74">
        <v>26.5702</v>
      </c>
      <c r="GK74">
        <v>26.5489</v>
      </c>
      <c r="GL74">
        <v>35.837800000000001</v>
      </c>
      <c r="GM74">
        <v>26.9573</v>
      </c>
      <c r="GN74">
        <v>100</v>
      </c>
      <c r="GO74">
        <v>23.892099999999999</v>
      </c>
      <c r="GP74">
        <v>800</v>
      </c>
      <c r="GQ74">
        <v>19.6647</v>
      </c>
      <c r="GR74">
        <v>99.727400000000003</v>
      </c>
      <c r="GS74">
        <v>99.571600000000004</v>
      </c>
    </row>
    <row r="75" spans="1:201" x14ac:dyDescent="0.25">
      <c r="A75">
        <v>59</v>
      </c>
      <c r="B75">
        <v>1690227395.5</v>
      </c>
      <c r="C75">
        <v>825.90000009536743</v>
      </c>
      <c r="D75" t="s">
        <v>449</v>
      </c>
      <c r="E75" t="s">
        <v>450</v>
      </c>
      <c r="F75" t="s">
        <v>330</v>
      </c>
      <c r="H75">
        <v>1690227395.5</v>
      </c>
      <c r="I75">
        <f t="shared" si="0"/>
        <v>2.9357363546145038E-4</v>
      </c>
      <c r="J75">
        <f t="shared" si="1"/>
        <v>0.29357363546145038</v>
      </c>
      <c r="K75">
        <f t="shared" si="2"/>
        <v>1.9740095962380004</v>
      </c>
      <c r="L75">
        <f t="shared" si="3"/>
        <v>776.26300000000003</v>
      </c>
      <c r="M75">
        <f t="shared" si="4"/>
        <v>575.32803037432768</v>
      </c>
      <c r="N75">
        <f t="shared" si="5"/>
        <v>57.05957962326503</v>
      </c>
      <c r="O75">
        <f t="shared" si="6"/>
        <v>76.987801947136006</v>
      </c>
      <c r="P75">
        <f t="shared" si="7"/>
        <v>1.7365381841893089E-2</v>
      </c>
      <c r="Q75">
        <f t="shared" si="8"/>
        <v>2.1319025541885024</v>
      </c>
      <c r="R75">
        <f t="shared" si="9"/>
        <v>1.7287180901813286E-2</v>
      </c>
      <c r="S75">
        <f t="shared" si="10"/>
        <v>1.0811484663456427E-2</v>
      </c>
      <c r="T75">
        <f t="shared" si="11"/>
        <v>276.11237580583463</v>
      </c>
      <c r="U75">
        <f t="shared" si="12"/>
        <v>28.43184954429482</v>
      </c>
      <c r="V75">
        <f t="shared" si="13"/>
        <v>28.43184954429482</v>
      </c>
      <c r="W75">
        <f t="shared" si="14"/>
        <v>3.8914317700742629</v>
      </c>
      <c r="X75">
        <f t="shared" si="15"/>
        <v>65.584072029240374</v>
      </c>
      <c r="Y75">
        <f t="shared" si="16"/>
        <v>2.2594115783679998</v>
      </c>
      <c r="Z75">
        <f t="shared" si="17"/>
        <v>3.4450614432123863</v>
      </c>
      <c r="AA75">
        <f t="shared" si="18"/>
        <v>1.6320201917062631</v>
      </c>
      <c r="AB75">
        <f t="shared" si="19"/>
        <v>-12.946597323849961</v>
      </c>
      <c r="AC75">
        <f t="shared" si="20"/>
        <v>-239.11673987512512</v>
      </c>
      <c r="AD75">
        <f t="shared" si="21"/>
        <v>-24.300908289691254</v>
      </c>
      <c r="AE75">
        <f t="shared" si="22"/>
        <v>-0.25186968283171041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52547.146142977646</v>
      </c>
      <c r="AK75">
        <f t="shared" si="26"/>
        <v>1799.99</v>
      </c>
      <c r="AL75">
        <f t="shared" si="27"/>
        <v>1499.1042997965098</v>
      </c>
      <c r="AM75">
        <f t="shared" si="28"/>
        <v>0.83284034899999992</v>
      </c>
      <c r="AN75">
        <f t="shared" si="29"/>
        <v>0.15339661654</v>
      </c>
      <c r="AO75">
        <v>32.4</v>
      </c>
      <c r="AP75">
        <v>0.5</v>
      </c>
      <c r="AQ75" t="s">
        <v>331</v>
      </c>
      <c r="AR75">
        <v>2</v>
      </c>
      <c r="AS75">
        <v>1690227395.5</v>
      </c>
      <c r="AT75">
        <v>776.26300000000003</v>
      </c>
      <c r="AU75">
        <v>800.02</v>
      </c>
      <c r="AV75">
        <v>22.781500000000001</v>
      </c>
      <c r="AW75">
        <v>19.686199999999999</v>
      </c>
      <c r="AX75">
        <v>776.68600000000004</v>
      </c>
      <c r="AY75">
        <v>22.471499999999999</v>
      </c>
      <c r="AZ75">
        <v>300.29700000000003</v>
      </c>
      <c r="BA75">
        <v>99.077399999999997</v>
      </c>
      <c r="BB75">
        <v>0.10007199999999999</v>
      </c>
      <c r="BC75">
        <v>26.351400000000002</v>
      </c>
      <c r="BD75">
        <v>26.9846</v>
      </c>
      <c r="BE75">
        <v>28.218800000000002</v>
      </c>
      <c r="BF75">
        <v>0</v>
      </c>
      <c r="BG75">
        <v>0</v>
      </c>
      <c r="BH75">
        <v>10008.799999999999</v>
      </c>
      <c r="BI75">
        <v>1070.21</v>
      </c>
      <c r="BJ75">
        <v>1.5137799999999999</v>
      </c>
      <c r="BK75">
        <v>-23.757300000000001</v>
      </c>
      <c r="BL75">
        <v>794.36</v>
      </c>
      <c r="BM75">
        <v>816.08600000000001</v>
      </c>
      <c r="BN75">
        <v>3.0952500000000001</v>
      </c>
      <c r="BO75">
        <v>800.02</v>
      </c>
      <c r="BP75">
        <v>19.686199999999999</v>
      </c>
      <c r="BQ75">
        <v>2.2571300000000001</v>
      </c>
      <c r="BR75">
        <v>1.9504600000000001</v>
      </c>
      <c r="BS75">
        <v>19.373699999999999</v>
      </c>
      <c r="BT75">
        <v>17.047799999999999</v>
      </c>
      <c r="BU75">
        <v>1799.99</v>
      </c>
      <c r="BV75">
        <v>0.91001900000000002</v>
      </c>
      <c r="BW75">
        <v>3.4001900000000002E-2</v>
      </c>
      <c r="BX75">
        <v>2.1990699999999998E-2</v>
      </c>
      <c r="BY75">
        <v>3.3988200000000003E-2</v>
      </c>
      <c r="BZ75">
        <v>25.375</v>
      </c>
      <c r="CA75">
        <v>33528.400000000001</v>
      </c>
      <c r="CB75">
        <v>1690226183.5999999</v>
      </c>
      <c r="CC75" t="s">
        <v>332</v>
      </c>
      <c r="CD75">
        <v>1690226177.5999999</v>
      </c>
      <c r="CE75">
        <v>1690226183.5999999</v>
      </c>
      <c r="CF75">
        <v>12</v>
      </c>
      <c r="CG75">
        <v>-0.255</v>
      </c>
      <c r="CH75">
        <v>0.113</v>
      </c>
      <c r="CI75">
        <v>-0.439</v>
      </c>
      <c r="CJ75">
        <v>0.31</v>
      </c>
      <c r="CK75">
        <v>800</v>
      </c>
      <c r="CL75">
        <v>25</v>
      </c>
      <c r="CM75">
        <v>0.02</v>
      </c>
      <c r="CN75">
        <v>0.03</v>
      </c>
      <c r="CO75">
        <v>-22.28803414634146</v>
      </c>
      <c r="CP75">
        <v>-7.5411533101045771</v>
      </c>
      <c r="CQ75">
        <v>0.74398702146093942</v>
      </c>
      <c r="CR75">
        <v>-1</v>
      </c>
      <c r="CS75">
        <v>3.010459024390244</v>
      </c>
      <c r="CT75">
        <v>0.29291059233450117</v>
      </c>
      <c r="CU75">
        <v>2.9545835892057289E-2</v>
      </c>
      <c r="CV75">
        <v>-1</v>
      </c>
      <c r="CW75">
        <v>0</v>
      </c>
      <c r="CX75">
        <v>0</v>
      </c>
      <c r="CY75" t="s">
        <v>333</v>
      </c>
      <c r="CZ75">
        <v>2.3645499999999999</v>
      </c>
      <c r="DA75">
        <v>2.71387</v>
      </c>
      <c r="DB75">
        <v>0.14378299999999999</v>
      </c>
      <c r="DC75">
        <v>0.14629600000000001</v>
      </c>
      <c r="DD75">
        <v>0.10929999999999999</v>
      </c>
      <c r="DE75">
        <v>9.7540299999999996E-2</v>
      </c>
      <c r="DF75">
        <v>31260.3</v>
      </c>
      <c r="DG75">
        <v>27511.8</v>
      </c>
      <c r="DH75">
        <v>31169</v>
      </c>
      <c r="DI75">
        <v>28081</v>
      </c>
      <c r="DJ75">
        <v>37694.5</v>
      </c>
      <c r="DK75">
        <v>36036.699999999997</v>
      </c>
      <c r="DL75">
        <v>44357.599999999999</v>
      </c>
      <c r="DM75">
        <v>42565</v>
      </c>
      <c r="DN75">
        <v>1.47268</v>
      </c>
      <c r="DO75">
        <v>2.0539499999999999</v>
      </c>
      <c r="DP75">
        <v>0.100005</v>
      </c>
      <c r="DQ75">
        <v>0.19192699999999999</v>
      </c>
      <c r="DR75">
        <v>25.346900000000002</v>
      </c>
      <c r="DS75">
        <v>25.078199999999999</v>
      </c>
      <c r="DT75">
        <v>57.3</v>
      </c>
      <c r="DU75">
        <v>29.3</v>
      </c>
      <c r="DV75">
        <v>23.6677</v>
      </c>
      <c r="DW75">
        <v>61.392499999999998</v>
      </c>
      <c r="DX75">
        <v>35.252400000000002</v>
      </c>
      <c r="DY75">
        <v>1</v>
      </c>
      <c r="DZ75">
        <v>-7.3440000000000005E-2</v>
      </c>
      <c r="EA75">
        <v>0.96237499999999998</v>
      </c>
      <c r="EB75">
        <v>20.185700000000001</v>
      </c>
      <c r="EC75">
        <v>5.2400500000000001</v>
      </c>
      <c r="ED75">
        <v>12.039899999999999</v>
      </c>
      <c r="EE75">
        <v>5.0166500000000003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1.8646199999999999</v>
      </c>
      <c r="EM75">
        <v>1.8692</v>
      </c>
      <c r="EN75">
        <v>1.86724</v>
      </c>
      <c r="EO75">
        <v>1.8633999999999999</v>
      </c>
      <c r="EP75">
        <v>1.86449</v>
      </c>
      <c r="EQ75">
        <v>1.8701399999999999</v>
      </c>
      <c r="ER75">
        <v>1.8694500000000001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-0.42299999999999999</v>
      </c>
      <c r="FG75">
        <v>0.31</v>
      </c>
      <c r="FH75">
        <v>0.1121710645629533</v>
      </c>
      <c r="FI75">
        <v>-6.1462078757559423E-4</v>
      </c>
      <c r="FJ75">
        <v>-1.8861989874597051E-7</v>
      </c>
      <c r="FK75">
        <v>1.1980462299894961E-10</v>
      </c>
      <c r="FL75">
        <v>0.30996499999999833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20.3</v>
      </c>
      <c r="FU75">
        <v>20.2</v>
      </c>
      <c r="FV75">
        <v>1.79199</v>
      </c>
      <c r="FW75">
        <v>2.5830099999999998</v>
      </c>
      <c r="FX75">
        <v>1.5490699999999999</v>
      </c>
      <c r="FY75">
        <v>2.3290999999999999</v>
      </c>
      <c r="FZ75">
        <v>1.50146</v>
      </c>
      <c r="GA75">
        <v>2.3962400000000001</v>
      </c>
      <c r="GB75">
        <v>33.963900000000002</v>
      </c>
      <c r="GC75">
        <v>23.982399999999998</v>
      </c>
      <c r="GD75">
        <v>19</v>
      </c>
      <c r="GE75">
        <v>282.33</v>
      </c>
      <c r="GF75">
        <v>600.23400000000004</v>
      </c>
      <c r="GG75">
        <v>23.860600000000002</v>
      </c>
      <c r="GH75">
        <v>26.455300000000001</v>
      </c>
      <c r="GI75">
        <v>30.0002</v>
      </c>
      <c r="GJ75">
        <v>26.568000000000001</v>
      </c>
      <c r="GK75">
        <v>26.546800000000001</v>
      </c>
      <c r="GL75">
        <v>35.836399999999998</v>
      </c>
      <c r="GM75">
        <v>27.246600000000001</v>
      </c>
      <c r="GN75">
        <v>100</v>
      </c>
      <c r="GO75">
        <v>23.786100000000001</v>
      </c>
      <c r="GP75">
        <v>800</v>
      </c>
      <c r="GQ75">
        <v>19.620899999999999</v>
      </c>
      <c r="GR75">
        <v>99.728999999999999</v>
      </c>
      <c r="GS75">
        <v>99.570700000000002</v>
      </c>
    </row>
    <row r="76" spans="1:201" x14ac:dyDescent="0.25">
      <c r="A76">
        <v>60</v>
      </c>
      <c r="B76">
        <v>1690227405.5</v>
      </c>
      <c r="C76">
        <v>835.90000009536743</v>
      </c>
      <c r="D76" t="s">
        <v>451</v>
      </c>
      <c r="E76" t="s">
        <v>452</v>
      </c>
      <c r="F76" t="s">
        <v>330</v>
      </c>
      <c r="H76">
        <v>1690227405.5</v>
      </c>
      <c r="I76">
        <f t="shared" si="0"/>
        <v>2.9615632948675825E-4</v>
      </c>
      <c r="J76">
        <f t="shared" si="1"/>
        <v>0.29615632948675824</v>
      </c>
      <c r="K76">
        <f t="shared" si="2"/>
        <v>2.0931621240727418</v>
      </c>
      <c r="L76">
        <f t="shared" si="3"/>
        <v>774.93899999999996</v>
      </c>
      <c r="M76">
        <f t="shared" si="4"/>
        <v>565.00397650261812</v>
      </c>
      <c r="N76">
        <f t="shared" si="5"/>
        <v>56.03498624669254</v>
      </c>
      <c r="O76">
        <f t="shared" si="6"/>
        <v>76.855558567603197</v>
      </c>
      <c r="P76">
        <f t="shared" si="7"/>
        <v>1.7533323056242642E-2</v>
      </c>
      <c r="Q76">
        <f t="shared" si="8"/>
        <v>2.1329024639763792</v>
      </c>
      <c r="R76">
        <f t="shared" si="9"/>
        <v>1.7453643170001476E-2</v>
      </c>
      <c r="S76">
        <f t="shared" si="10"/>
        <v>1.0915655628669365E-2</v>
      </c>
      <c r="T76">
        <f t="shared" si="11"/>
        <v>276.11302641222011</v>
      </c>
      <c r="U76">
        <f t="shared" si="12"/>
        <v>28.419488601468501</v>
      </c>
      <c r="V76">
        <f t="shared" si="13"/>
        <v>28.419488601468501</v>
      </c>
      <c r="W76">
        <f t="shared" si="14"/>
        <v>3.8886374607288281</v>
      </c>
      <c r="X76">
        <f t="shared" si="15"/>
        <v>65.582550358692032</v>
      </c>
      <c r="Y76">
        <f t="shared" si="16"/>
        <v>2.2579461117696003</v>
      </c>
      <c r="Z76">
        <f t="shared" si="17"/>
        <v>3.4429068394262923</v>
      </c>
      <c r="AA76">
        <f t="shared" si="18"/>
        <v>1.6306913489592278</v>
      </c>
      <c r="AB76">
        <f t="shared" si="19"/>
        <v>-13.060494130366038</v>
      </c>
      <c r="AC76">
        <f t="shared" si="20"/>
        <v>-239.02640183172372</v>
      </c>
      <c r="AD76">
        <f t="shared" si="21"/>
        <v>-24.277555185669115</v>
      </c>
      <c r="AE76">
        <f t="shared" si="22"/>
        <v>-0.25142473553876243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52592.218234569125</v>
      </c>
      <c r="AK76">
        <f t="shared" si="26"/>
        <v>1799.99</v>
      </c>
      <c r="AL76">
        <f t="shared" si="27"/>
        <v>1499.10212180861</v>
      </c>
      <c r="AM76">
        <f t="shared" si="28"/>
        <v>0.83283913900000006</v>
      </c>
      <c r="AN76">
        <f t="shared" si="29"/>
        <v>0.15339697799000002</v>
      </c>
      <c r="AO76">
        <v>32.4</v>
      </c>
      <c r="AP76">
        <v>0.5</v>
      </c>
      <c r="AQ76" t="s">
        <v>331</v>
      </c>
      <c r="AR76">
        <v>2</v>
      </c>
      <c r="AS76">
        <v>1690227405.5</v>
      </c>
      <c r="AT76">
        <v>774.93899999999996</v>
      </c>
      <c r="AU76">
        <v>800.01199999999994</v>
      </c>
      <c r="AV76">
        <v>22.766999999999999</v>
      </c>
      <c r="AW76">
        <v>19.642800000000001</v>
      </c>
      <c r="AX76">
        <v>775.36099999999999</v>
      </c>
      <c r="AY76">
        <v>22.457100000000001</v>
      </c>
      <c r="AZ76">
        <v>300.14100000000002</v>
      </c>
      <c r="BA76">
        <v>99.076300000000003</v>
      </c>
      <c r="BB76">
        <v>9.9968799999999997E-2</v>
      </c>
      <c r="BC76">
        <v>26.340800000000002</v>
      </c>
      <c r="BD76">
        <v>26.988700000000001</v>
      </c>
      <c r="BE76">
        <v>28.201899999999998</v>
      </c>
      <c r="BF76">
        <v>0</v>
      </c>
      <c r="BG76">
        <v>0</v>
      </c>
      <c r="BH76">
        <v>10017.5</v>
      </c>
      <c r="BI76">
        <v>1070.45</v>
      </c>
      <c r="BJ76">
        <v>1.5137799999999999</v>
      </c>
      <c r="BK76">
        <v>-25.072900000000001</v>
      </c>
      <c r="BL76">
        <v>792.99300000000005</v>
      </c>
      <c r="BM76">
        <v>816.04100000000005</v>
      </c>
      <c r="BN76">
        <v>3.12419</v>
      </c>
      <c r="BO76">
        <v>800.01199999999994</v>
      </c>
      <c r="BP76">
        <v>19.642800000000001</v>
      </c>
      <c r="BQ76">
        <v>2.2556699999999998</v>
      </c>
      <c r="BR76">
        <v>1.94614</v>
      </c>
      <c r="BS76">
        <v>19.363299999999999</v>
      </c>
      <c r="BT76">
        <v>17.012799999999999</v>
      </c>
      <c r="BU76">
        <v>1799.99</v>
      </c>
      <c r="BV76">
        <v>0.90999799999999997</v>
      </c>
      <c r="BW76">
        <v>3.4000299999999997E-2</v>
      </c>
      <c r="BX76">
        <v>2.1993200000000001E-2</v>
      </c>
      <c r="BY76">
        <v>3.4008700000000003E-2</v>
      </c>
      <c r="BZ76">
        <v>25</v>
      </c>
      <c r="CA76">
        <v>33528.300000000003</v>
      </c>
      <c r="CB76">
        <v>1690226183.5999999</v>
      </c>
      <c r="CC76" t="s">
        <v>332</v>
      </c>
      <c r="CD76">
        <v>1690226177.5999999</v>
      </c>
      <c r="CE76">
        <v>1690226183.5999999</v>
      </c>
      <c r="CF76">
        <v>12</v>
      </c>
      <c r="CG76">
        <v>-0.255</v>
      </c>
      <c r="CH76">
        <v>0.113</v>
      </c>
      <c r="CI76">
        <v>-0.439</v>
      </c>
      <c r="CJ76">
        <v>0.31</v>
      </c>
      <c r="CK76">
        <v>800</v>
      </c>
      <c r="CL76">
        <v>25</v>
      </c>
      <c r="CM76">
        <v>0.02</v>
      </c>
      <c r="CN76">
        <v>0.03</v>
      </c>
      <c r="CO76">
        <v>-23.656152500000001</v>
      </c>
      <c r="CP76">
        <v>-7.8176476547842304</v>
      </c>
      <c r="CQ76">
        <v>0.75226571103151441</v>
      </c>
      <c r="CR76">
        <v>-1</v>
      </c>
      <c r="CS76">
        <v>3.0797405000000002</v>
      </c>
      <c r="CT76">
        <v>0.39551257035646697</v>
      </c>
      <c r="CU76">
        <v>4.0173722503024298E-2</v>
      </c>
      <c r="CV76">
        <v>-1</v>
      </c>
      <c r="CW76">
        <v>0</v>
      </c>
      <c r="CX76">
        <v>0</v>
      </c>
      <c r="CY76" t="s">
        <v>333</v>
      </c>
      <c r="CZ76">
        <v>2.3640500000000002</v>
      </c>
      <c r="DA76">
        <v>2.7137699999999998</v>
      </c>
      <c r="DB76">
        <v>0.14361699999999999</v>
      </c>
      <c r="DC76">
        <v>0.14629300000000001</v>
      </c>
      <c r="DD76">
        <v>0.10925</v>
      </c>
      <c r="DE76">
        <v>9.7386899999999998E-2</v>
      </c>
      <c r="DF76">
        <v>31266.2</v>
      </c>
      <c r="DG76">
        <v>27512.2</v>
      </c>
      <c r="DH76">
        <v>31168.799999999999</v>
      </c>
      <c r="DI76">
        <v>28081.3</v>
      </c>
      <c r="DJ76">
        <v>37696.6</v>
      </c>
      <c r="DK76">
        <v>36043.199999999997</v>
      </c>
      <c r="DL76">
        <v>44357.599999999999</v>
      </c>
      <c r="DM76">
        <v>42565.4</v>
      </c>
      <c r="DN76">
        <v>1.4726300000000001</v>
      </c>
      <c r="DO76">
        <v>2.05402</v>
      </c>
      <c r="DP76">
        <v>0.100546</v>
      </c>
      <c r="DQ76">
        <v>0.19118199999999999</v>
      </c>
      <c r="DR76">
        <v>25.342099999999999</v>
      </c>
      <c r="DS76">
        <v>25.073399999999999</v>
      </c>
      <c r="DT76">
        <v>57.3</v>
      </c>
      <c r="DU76">
        <v>29.3</v>
      </c>
      <c r="DV76">
        <v>23.668900000000001</v>
      </c>
      <c r="DW76">
        <v>61.592500000000001</v>
      </c>
      <c r="DX76">
        <v>36.490400000000001</v>
      </c>
      <c r="DY76">
        <v>1</v>
      </c>
      <c r="DZ76">
        <v>-7.3902399999999993E-2</v>
      </c>
      <c r="EA76">
        <v>0.43639699999999998</v>
      </c>
      <c r="EB76">
        <v>20.188400000000001</v>
      </c>
      <c r="EC76">
        <v>5.2400500000000001</v>
      </c>
      <c r="ED76">
        <v>12.039899999999999</v>
      </c>
      <c r="EE76">
        <v>5.0170500000000002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</v>
      </c>
      <c r="EL76">
        <v>1.8646400000000001</v>
      </c>
      <c r="EM76">
        <v>1.8691899999999999</v>
      </c>
      <c r="EN76">
        <v>1.8672200000000001</v>
      </c>
      <c r="EO76">
        <v>1.8633999999999999</v>
      </c>
      <c r="EP76">
        <v>1.86449</v>
      </c>
      <c r="EQ76">
        <v>1.8701300000000001</v>
      </c>
      <c r="ER76">
        <v>1.86944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-0.42199999999999999</v>
      </c>
      <c r="FG76">
        <v>0.30990000000000001</v>
      </c>
      <c r="FH76">
        <v>0.1121710645629533</v>
      </c>
      <c r="FI76">
        <v>-6.1462078757559423E-4</v>
      </c>
      <c r="FJ76">
        <v>-1.8861989874597051E-7</v>
      </c>
      <c r="FK76">
        <v>1.1980462299894961E-10</v>
      </c>
      <c r="FL76">
        <v>0.30996499999999833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20.5</v>
      </c>
      <c r="FU76">
        <v>20.399999999999999</v>
      </c>
      <c r="FV76">
        <v>1.79199</v>
      </c>
      <c r="FW76">
        <v>2.5891099999999998</v>
      </c>
      <c r="FX76">
        <v>1.5490699999999999</v>
      </c>
      <c r="FY76">
        <v>2.3290999999999999</v>
      </c>
      <c r="FZ76">
        <v>1.50146</v>
      </c>
      <c r="GA76">
        <v>2.2863799999999999</v>
      </c>
      <c r="GB76">
        <v>33.963900000000002</v>
      </c>
      <c r="GC76">
        <v>23.982399999999998</v>
      </c>
      <c r="GD76">
        <v>19</v>
      </c>
      <c r="GE76">
        <v>282.29199999999997</v>
      </c>
      <c r="GF76">
        <v>600.27200000000005</v>
      </c>
      <c r="GG76">
        <v>23.8139</v>
      </c>
      <c r="GH76">
        <v>26.450299999999999</v>
      </c>
      <c r="GI76">
        <v>29.9999</v>
      </c>
      <c r="GJ76">
        <v>26.5641</v>
      </c>
      <c r="GK76">
        <v>26.544699999999999</v>
      </c>
      <c r="GL76">
        <v>35.832999999999998</v>
      </c>
      <c r="GM76">
        <v>27.246600000000001</v>
      </c>
      <c r="GN76">
        <v>100</v>
      </c>
      <c r="GO76">
        <v>23.838799999999999</v>
      </c>
      <c r="GP76">
        <v>800</v>
      </c>
      <c r="GQ76">
        <v>19.593499999999999</v>
      </c>
      <c r="GR76">
        <v>99.728800000000007</v>
      </c>
      <c r="GS76">
        <v>99.571600000000004</v>
      </c>
    </row>
    <row r="77" spans="1:201" x14ac:dyDescent="0.25">
      <c r="A77">
        <v>61</v>
      </c>
      <c r="B77">
        <v>1690227415.5</v>
      </c>
      <c r="C77">
        <v>845.90000009536743</v>
      </c>
      <c r="D77" t="s">
        <v>453</v>
      </c>
      <c r="E77" t="s">
        <v>454</v>
      </c>
      <c r="F77" t="s">
        <v>330</v>
      </c>
      <c r="H77">
        <v>1690227415.5</v>
      </c>
      <c r="I77">
        <f t="shared" si="0"/>
        <v>2.979882387495078E-4</v>
      </c>
      <c r="J77">
        <f t="shared" si="1"/>
        <v>0.29798823874950781</v>
      </c>
      <c r="K77">
        <f t="shared" si="2"/>
        <v>2.2203623989452734</v>
      </c>
      <c r="L77">
        <f t="shared" si="3"/>
        <v>773.54100000000005</v>
      </c>
      <c r="M77">
        <f t="shared" si="4"/>
        <v>553.38954405698144</v>
      </c>
      <c r="N77">
        <f t="shared" si="5"/>
        <v>54.884612182405114</v>
      </c>
      <c r="O77">
        <f t="shared" si="6"/>
        <v>76.719009688803013</v>
      </c>
      <c r="P77">
        <f t="shared" si="7"/>
        <v>1.7642970733615745E-2</v>
      </c>
      <c r="Q77">
        <f t="shared" si="8"/>
        <v>2.1330028782946169</v>
      </c>
      <c r="R77">
        <f t="shared" si="9"/>
        <v>1.7562297401528038E-2</v>
      </c>
      <c r="S77">
        <f t="shared" si="10"/>
        <v>1.0983653214877535E-2</v>
      </c>
      <c r="T77">
        <f t="shared" si="11"/>
        <v>276.11607830400004</v>
      </c>
      <c r="U77">
        <f t="shared" si="12"/>
        <v>28.423775919096428</v>
      </c>
      <c r="V77">
        <f t="shared" si="13"/>
        <v>28.423775919096428</v>
      </c>
      <c r="W77">
        <f t="shared" si="14"/>
        <v>3.8896064515723952</v>
      </c>
      <c r="X77">
        <f t="shared" si="15"/>
        <v>65.592351985246395</v>
      </c>
      <c r="Y77">
        <f t="shared" si="16"/>
        <v>2.2589501062994999</v>
      </c>
      <c r="Z77">
        <f t="shared" si="17"/>
        <v>3.4439230153045934</v>
      </c>
      <c r="AA77">
        <f t="shared" si="18"/>
        <v>1.6306563452728953</v>
      </c>
      <c r="AB77">
        <f t="shared" si="19"/>
        <v>-13.141281328853294</v>
      </c>
      <c r="AC77">
        <f t="shared" si="20"/>
        <v>-238.95570037056905</v>
      </c>
      <c r="AD77">
        <f t="shared" si="21"/>
        <v>-24.270356942612825</v>
      </c>
      <c r="AE77">
        <f t="shared" si="22"/>
        <v>-0.25126033803513792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52595.739852147351</v>
      </c>
      <c r="AK77">
        <f t="shared" si="26"/>
        <v>1800</v>
      </c>
      <c r="AL77">
        <f t="shared" si="27"/>
        <v>1499.1104303999998</v>
      </c>
      <c r="AM77">
        <f t="shared" si="28"/>
        <v>0.83283912799999993</v>
      </c>
      <c r="AN77">
        <f t="shared" si="29"/>
        <v>0.15339782128000001</v>
      </c>
      <c r="AO77">
        <v>32.4</v>
      </c>
      <c r="AP77">
        <v>0.5</v>
      </c>
      <c r="AQ77" t="s">
        <v>331</v>
      </c>
      <c r="AR77">
        <v>2</v>
      </c>
      <c r="AS77">
        <v>1690227415.5</v>
      </c>
      <c r="AT77">
        <v>773.54100000000005</v>
      </c>
      <c r="AU77">
        <v>799.98199999999997</v>
      </c>
      <c r="AV77">
        <v>22.776499999999999</v>
      </c>
      <c r="AW77">
        <v>19.634899999999998</v>
      </c>
      <c r="AX77">
        <v>773.96199999999999</v>
      </c>
      <c r="AY77">
        <v>22.4665</v>
      </c>
      <c r="AZ77">
        <v>300.322</v>
      </c>
      <c r="BA77">
        <v>99.078900000000004</v>
      </c>
      <c r="BB77">
        <v>0.10008300000000001</v>
      </c>
      <c r="BC77">
        <v>26.345800000000001</v>
      </c>
      <c r="BD77">
        <v>26.987100000000002</v>
      </c>
      <c r="BE77">
        <v>28.220600000000001</v>
      </c>
      <c r="BF77">
        <v>0</v>
      </c>
      <c r="BG77">
        <v>0</v>
      </c>
      <c r="BH77">
        <v>10018.1</v>
      </c>
      <c r="BI77">
        <v>1070.5</v>
      </c>
      <c r="BJ77">
        <v>1.5137799999999999</v>
      </c>
      <c r="BK77">
        <v>-26.440100000000001</v>
      </c>
      <c r="BL77">
        <v>791.57100000000003</v>
      </c>
      <c r="BM77">
        <v>816.00400000000002</v>
      </c>
      <c r="BN77">
        <v>3.1415999999999999</v>
      </c>
      <c r="BO77">
        <v>799.98199999999997</v>
      </c>
      <c r="BP77">
        <v>19.634899999999998</v>
      </c>
      <c r="BQ77">
        <v>2.2566700000000002</v>
      </c>
      <c r="BR77">
        <v>1.9454100000000001</v>
      </c>
      <c r="BS77">
        <v>19.3704</v>
      </c>
      <c r="BT77">
        <v>17.006900000000002</v>
      </c>
      <c r="BU77">
        <v>1800</v>
      </c>
      <c r="BV77">
        <v>0.90998299999999999</v>
      </c>
      <c r="BW77">
        <v>3.3998899999999999E-2</v>
      </c>
      <c r="BX77">
        <v>2.20044E-2</v>
      </c>
      <c r="BY77">
        <v>3.4013799999999997E-2</v>
      </c>
      <c r="BZ77">
        <v>25</v>
      </c>
      <c r="CA77">
        <v>33528.300000000003</v>
      </c>
      <c r="CB77">
        <v>1690226183.5999999</v>
      </c>
      <c r="CC77" t="s">
        <v>332</v>
      </c>
      <c r="CD77">
        <v>1690226177.5999999</v>
      </c>
      <c r="CE77">
        <v>1690226183.5999999</v>
      </c>
      <c r="CF77">
        <v>12</v>
      </c>
      <c r="CG77">
        <v>-0.255</v>
      </c>
      <c r="CH77">
        <v>0.113</v>
      </c>
      <c r="CI77">
        <v>-0.439</v>
      </c>
      <c r="CJ77">
        <v>0.31</v>
      </c>
      <c r="CK77">
        <v>800</v>
      </c>
      <c r="CL77">
        <v>25</v>
      </c>
      <c r="CM77">
        <v>0.02</v>
      </c>
      <c r="CN77">
        <v>0.03</v>
      </c>
      <c r="CO77">
        <v>-24.884470731707321</v>
      </c>
      <c r="CP77">
        <v>-7.9978055749129249</v>
      </c>
      <c r="CQ77">
        <v>0.78938297553861414</v>
      </c>
      <c r="CR77">
        <v>-1</v>
      </c>
      <c r="CS77">
        <v>3.1213517073170731</v>
      </c>
      <c r="CT77">
        <v>0.11676731707316559</v>
      </c>
      <c r="CU77">
        <v>1.497233805526599E-2</v>
      </c>
      <c r="CV77">
        <v>-1</v>
      </c>
      <c r="CW77">
        <v>0</v>
      </c>
      <c r="CX77">
        <v>0</v>
      </c>
      <c r="CY77" t="s">
        <v>333</v>
      </c>
      <c r="CZ77">
        <v>2.3646400000000001</v>
      </c>
      <c r="DA77">
        <v>2.7138900000000001</v>
      </c>
      <c r="DB77">
        <v>0.14344799999999999</v>
      </c>
      <c r="DC77">
        <v>0.14629300000000001</v>
      </c>
      <c r="DD77">
        <v>0.10928599999999999</v>
      </c>
      <c r="DE77">
        <v>9.7361799999999998E-2</v>
      </c>
      <c r="DF77">
        <v>31272.6</v>
      </c>
      <c r="DG77">
        <v>27512.3</v>
      </c>
      <c r="DH77">
        <v>31169</v>
      </c>
      <c r="DI77">
        <v>28081.4</v>
      </c>
      <c r="DJ77">
        <v>37695.199999999997</v>
      </c>
      <c r="DK77">
        <v>36044.300000000003</v>
      </c>
      <c r="DL77">
        <v>44357.7</v>
      </c>
      <c r="DM77">
        <v>42565.5</v>
      </c>
      <c r="DN77">
        <v>1.47285</v>
      </c>
      <c r="DO77">
        <v>2.0539000000000001</v>
      </c>
      <c r="DP77">
        <v>0.100881</v>
      </c>
      <c r="DQ77">
        <v>0.192747</v>
      </c>
      <c r="DR77">
        <v>25.335000000000001</v>
      </c>
      <c r="DS77">
        <v>25.066600000000001</v>
      </c>
      <c r="DT77">
        <v>57.3</v>
      </c>
      <c r="DU77">
        <v>29.3</v>
      </c>
      <c r="DV77">
        <v>23.663799999999998</v>
      </c>
      <c r="DW77">
        <v>61.552500000000002</v>
      </c>
      <c r="DX77">
        <v>35.220399999999998</v>
      </c>
      <c r="DY77">
        <v>1</v>
      </c>
      <c r="DZ77">
        <v>-7.4209899999999995E-2</v>
      </c>
      <c r="EA77">
        <v>0.390343</v>
      </c>
      <c r="EB77">
        <v>20.1889</v>
      </c>
      <c r="EC77">
        <v>5.2398999999999996</v>
      </c>
      <c r="ED77">
        <v>12.039899999999999</v>
      </c>
      <c r="EE77">
        <v>5.01675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1.8646199999999999</v>
      </c>
      <c r="EM77">
        <v>1.8691899999999999</v>
      </c>
      <c r="EN77">
        <v>1.8672299999999999</v>
      </c>
      <c r="EO77">
        <v>1.8633999999999999</v>
      </c>
      <c r="EP77">
        <v>1.8645</v>
      </c>
      <c r="EQ77">
        <v>1.8701399999999999</v>
      </c>
      <c r="ER77">
        <v>1.8694299999999999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-0.42099999999999999</v>
      </c>
      <c r="FG77">
        <v>0.31</v>
      </c>
      <c r="FH77">
        <v>0.1121710645629533</v>
      </c>
      <c r="FI77">
        <v>-6.1462078757559423E-4</v>
      </c>
      <c r="FJ77">
        <v>-1.8861989874597051E-7</v>
      </c>
      <c r="FK77">
        <v>1.1980462299894961E-10</v>
      </c>
      <c r="FL77">
        <v>0.30996499999999833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20.6</v>
      </c>
      <c r="FU77">
        <v>20.5</v>
      </c>
      <c r="FV77">
        <v>1.79199</v>
      </c>
      <c r="FW77">
        <v>2.5830099999999998</v>
      </c>
      <c r="FX77">
        <v>1.5490699999999999</v>
      </c>
      <c r="FY77">
        <v>2.3290999999999999</v>
      </c>
      <c r="FZ77">
        <v>1.50146</v>
      </c>
      <c r="GA77">
        <v>2.33521</v>
      </c>
      <c r="GB77">
        <v>33.963900000000002</v>
      </c>
      <c r="GC77">
        <v>23.982399999999998</v>
      </c>
      <c r="GD77">
        <v>19</v>
      </c>
      <c r="GE77">
        <v>282.37900000000002</v>
      </c>
      <c r="GF77">
        <v>600.15200000000004</v>
      </c>
      <c r="GG77">
        <v>23.853899999999999</v>
      </c>
      <c r="GH77">
        <v>26.445799999999998</v>
      </c>
      <c r="GI77">
        <v>30.0002</v>
      </c>
      <c r="GJ77">
        <v>26.561800000000002</v>
      </c>
      <c r="GK77">
        <v>26.543399999999998</v>
      </c>
      <c r="GL77">
        <v>35.834099999999999</v>
      </c>
      <c r="GM77">
        <v>27.246600000000001</v>
      </c>
      <c r="GN77">
        <v>100</v>
      </c>
      <c r="GO77">
        <v>23.861699999999999</v>
      </c>
      <c r="GP77">
        <v>800</v>
      </c>
      <c r="GQ77">
        <v>19.546600000000002</v>
      </c>
      <c r="GR77">
        <v>99.729200000000006</v>
      </c>
      <c r="GS77">
        <v>99.572000000000003</v>
      </c>
    </row>
    <row r="78" spans="1:201" x14ac:dyDescent="0.25">
      <c r="A78">
        <v>62</v>
      </c>
      <c r="B78">
        <v>1690227425.5</v>
      </c>
      <c r="C78">
        <v>855.90000009536743</v>
      </c>
      <c r="D78" t="s">
        <v>455</v>
      </c>
      <c r="E78" t="s">
        <v>456</v>
      </c>
      <c r="F78" t="s">
        <v>330</v>
      </c>
      <c r="H78">
        <v>1690227425.5</v>
      </c>
      <c r="I78">
        <f t="shared" si="0"/>
        <v>3.0370241683414379E-4</v>
      </c>
      <c r="J78">
        <f t="shared" si="1"/>
        <v>0.30370241683414378</v>
      </c>
      <c r="K78">
        <f t="shared" si="2"/>
        <v>2.3486066257074727</v>
      </c>
      <c r="L78">
        <f t="shared" si="3"/>
        <v>772.11300000000006</v>
      </c>
      <c r="M78">
        <f t="shared" si="4"/>
        <v>545.1844956550899</v>
      </c>
      <c r="N78">
        <f t="shared" si="5"/>
        <v>54.068602518459649</v>
      </c>
      <c r="O78">
        <f t="shared" si="6"/>
        <v>76.574207867324702</v>
      </c>
      <c r="P78">
        <f t="shared" si="7"/>
        <v>1.8041853638719161E-2</v>
      </c>
      <c r="Q78">
        <f t="shared" si="8"/>
        <v>2.1349905897302719</v>
      </c>
      <c r="R78">
        <f t="shared" si="9"/>
        <v>1.7957578799342545E-2</v>
      </c>
      <c r="S78">
        <f t="shared" si="10"/>
        <v>1.1231025602644371E-2</v>
      </c>
      <c r="T78">
        <f t="shared" si="11"/>
        <v>276.11510354668036</v>
      </c>
      <c r="U78">
        <f t="shared" si="12"/>
        <v>28.409241100056935</v>
      </c>
      <c r="V78">
        <f t="shared" si="13"/>
        <v>28.409241100056935</v>
      </c>
      <c r="W78">
        <f t="shared" si="14"/>
        <v>3.8863222420834442</v>
      </c>
      <c r="X78">
        <f t="shared" si="15"/>
        <v>65.694850144369838</v>
      </c>
      <c r="Y78">
        <f t="shared" si="16"/>
        <v>2.26103831701215</v>
      </c>
      <c r="Z78">
        <f t="shared" si="17"/>
        <v>3.4417284034339559</v>
      </c>
      <c r="AA78">
        <f t="shared" si="18"/>
        <v>1.6252839250712943</v>
      </c>
      <c r="AB78">
        <f t="shared" si="19"/>
        <v>-13.393276582385742</v>
      </c>
      <c r="AC78">
        <f t="shared" si="20"/>
        <v>-238.74849569028748</v>
      </c>
      <c r="AD78">
        <f t="shared" si="21"/>
        <v>-24.223669122666966</v>
      </c>
      <c r="AE78">
        <f t="shared" si="22"/>
        <v>-0.25033784865982511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52683.572196336361</v>
      </c>
      <c r="AK78">
        <f t="shared" si="26"/>
        <v>1799.99</v>
      </c>
      <c r="AL78">
        <f t="shared" si="27"/>
        <v>1499.1028364046401</v>
      </c>
      <c r="AM78">
        <f t="shared" si="28"/>
        <v>0.83283953600000005</v>
      </c>
      <c r="AN78">
        <f t="shared" si="29"/>
        <v>0.15339813195999999</v>
      </c>
      <c r="AO78">
        <v>32.4</v>
      </c>
      <c r="AP78">
        <v>0.5</v>
      </c>
      <c r="AQ78" t="s">
        <v>331</v>
      </c>
      <c r="AR78">
        <v>2</v>
      </c>
      <c r="AS78">
        <v>1690227425.5</v>
      </c>
      <c r="AT78">
        <v>772.11300000000006</v>
      </c>
      <c r="AU78">
        <v>799.99300000000005</v>
      </c>
      <c r="AV78">
        <v>22.798500000000001</v>
      </c>
      <c r="AW78">
        <v>19.595300000000002</v>
      </c>
      <c r="AX78">
        <v>772.53300000000002</v>
      </c>
      <c r="AY78">
        <v>22.488499999999998</v>
      </c>
      <c r="AZ78">
        <v>300.18799999999999</v>
      </c>
      <c r="BA78">
        <v>99.0749</v>
      </c>
      <c r="BB78">
        <v>9.9971900000000002E-2</v>
      </c>
      <c r="BC78">
        <v>26.335000000000001</v>
      </c>
      <c r="BD78">
        <v>26.9648</v>
      </c>
      <c r="BE78">
        <v>28.212800000000001</v>
      </c>
      <c r="BF78">
        <v>0</v>
      </c>
      <c r="BG78">
        <v>0</v>
      </c>
      <c r="BH78">
        <v>10035.6</v>
      </c>
      <c r="BI78">
        <v>1070.5</v>
      </c>
      <c r="BJ78">
        <v>1.5137799999999999</v>
      </c>
      <c r="BK78">
        <v>-27.880099999999999</v>
      </c>
      <c r="BL78">
        <v>790.12699999999995</v>
      </c>
      <c r="BM78">
        <v>815.98299999999995</v>
      </c>
      <c r="BN78">
        <v>3.2031999999999998</v>
      </c>
      <c r="BO78">
        <v>799.99300000000005</v>
      </c>
      <c r="BP78">
        <v>19.595300000000002</v>
      </c>
      <c r="BQ78">
        <v>2.2587600000000001</v>
      </c>
      <c r="BR78">
        <v>1.9414</v>
      </c>
      <c r="BS78">
        <v>19.385300000000001</v>
      </c>
      <c r="BT78">
        <v>16.974299999999999</v>
      </c>
      <c r="BU78">
        <v>1799.99</v>
      </c>
      <c r="BV78">
        <v>0.90998100000000004</v>
      </c>
      <c r="BW78">
        <v>3.3997699999999999E-2</v>
      </c>
      <c r="BX78">
        <v>2.2008799999999999E-2</v>
      </c>
      <c r="BY78">
        <v>3.4012599999999997E-2</v>
      </c>
      <c r="BZ78">
        <v>25</v>
      </c>
      <c r="CA78">
        <v>33528</v>
      </c>
      <c r="CB78">
        <v>1690226183.5999999</v>
      </c>
      <c r="CC78" t="s">
        <v>332</v>
      </c>
      <c r="CD78">
        <v>1690226177.5999999</v>
      </c>
      <c r="CE78">
        <v>1690226183.5999999</v>
      </c>
      <c r="CF78">
        <v>12</v>
      </c>
      <c r="CG78">
        <v>-0.255</v>
      </c>
      <c r="CH78">
        <v>0.113</v>
      </c>
      <c r="CI78">
        <v>-0.439</v>
      </c>
      <c r="CJ78">
        <v>0.31</v>
      </c>
      <c r="CK78">
        <v>800</v>
      </c>
      <c r="CL78">
        <v>25</v>
      </c>
      <c r="CM78">
        <v>0.02</v>
      </c>
      <c r="CN78">
        <v>0.03</v>
      </c>
      <c r="CO78">
        <v>-26.265090243902439</v>
      </c>
      <c r="CP78">
        <v>-8.4753094076654989</v>
      </c>
      <c r="CQ78">
        <v>0.83690576087618462</v>
      </c>
      <c r="CR78">
        <v>-1</v>
      </c>
      <c r="CS78">
        <v>3.1455312195121952</v>
      </c>
      <c r="CT78">
        <v>0.20415428571429281</v>
      </c>
      <c r="CU78">
        <v>2.185225982566559E-2</v>
      </c>
      <c r="CV78">
        <v>-1</v>
      </c>
      <c r="CW78">
        <v>0</v>
      </c>
      <c r="CX78">
        <v>0</v>
      </c>
      <c r="CY78" t="s">
        <v>333</v>
      </c>
      <c r="CZ78">
        <v>2.36422</v>
      </c>
      <c r="DA78">
        <v>2.7137899999999999</v>
      </c>
      <c r="DB78">
        <v>0.143266</v>
      </c>
      <c r="DC78">
        <v>0.146289</v>
      </c>
      <c r="DD78">
        <v>0.109358</v>
      </c>
      <c r="DE78">
        <v>9.7218700000000005E-2</v>
      </c>
      <c r="DF78">
        <v>31279.200000000001</v>
      </c>
      <c r="DG78">
        <v>27512.3</v>
      </c>
      <c r="DH78">
        <v>31169</v>
      </c>
      <c r="DI78">
        <v>28081.200000000001</v>
      </c>
      <c r="DJ78">
        <v>37691.9</v>
      </c>
      <c r="DK78">
        <v>36050</v>
      </c>
      <c r="DL78">
        <v>44357.5</v>
      </c>
      <c r="DM78">
        <v>42565.5</v>
      </c>
      <c r="DN78">
        <v>1.47285</v>
      </c>
      <c r="DO78">
        <v>2.05402</v>
      </c>
      <c r="DP78">
        <v>0.100173</v>
      </c>
      <c r="DQ78">
        <v>0.19278400000000001</v>
      </c>
      <c r="DR78">
        <v>25.324300000000001</v>
      </c>
      <c r="DS78">
        <v>25.0581</v>
      </c>
      <c r="DT78">
        <v>57.3</v>
      </c>
      <c r="DU78">
        <v>29.3</v>
      </c>
      <c r="DV78">
        <v>23.665600000000001</v>
      </c>
      <c r="DW78">
        <v>61.302500000000002</v>
      </c>
      <c r="DX78">
        <v>36.069699999999997</v>
      </c>
      <c r="DY78">
        <v>1</v>
      </c>
      <c r="DZ78">
        <v>-7.4756100000000006E-2</v>
      </c>
      <c r="EA78">
        <v>0.354101</v>
      </c>
      <c r="EB78">
        <v>20.1889</v>
      </c>
      <c r="EC78">
        <v>5.2403500000000003</v>
      </c>
      <c r="ED78">
        <v>12.039899999999999</v>
      </c>
      <c r="EE78">
        <v>5.01675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1.8689100000000001</v>
      </c>
      <c r="EL78">
        <v>1.8646199999999999</v>
      </c>
      <c r="EM78">
        <v>1.8692</v>
      </c>
      <c r="EN78">
        <v>1.8672200000000001</v>
      </c>
      <c r="EO78">
        <v>1.8633999999999999</v>
      </c>
      <c r="EP78">
        <v>1.8645099999999999</v>
      </c>
      <c r="EQ78">
        <v>1.8701399999999999</v>
      </c>
      <c r="ER78">
        <v>1.86941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-0.42</v>
      </c>
      <c r="FG78">
        <v>0.31</v>
      </c>
      <c r="FH78">
        <v>0.1121710645629533</v>
      </c>
      <c r="FI78">
        <v>-6.1462078757559423E-4</v>
      </c>
      <c r="FJ78">
        <v>-1.8861989874597051E-7</v>
      </c>
      <c r="FK78">
        <v>1.1980462299894961E-10</v>
      </c>
      <c r="FL78">
        <v>0.30996499999999833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20.8</v>
      </c>
      <c r="FU78">
        <v>20.7</v>
      </c>
      <c r="FV78">
        <v>1.79199</v>
      </c>
      <c r="FW78">
        <v>2.5854499999999998</v>
      </c>
      <c r="FX78">
        <v>1.5490699999999999</v>
      </c>
      <c r="FY78">
        <v>2.3290999999999999</v>
      </c>
      <c r="FZ78">
        <v>1.50146</v>
      </c>
      <c r="GA78">
        <v>2.33643</v>
      </c>
      <c r="GB78">
        <v>33.963900000000002</v>
      </c>
      <c r="GC78">
        <v>23.982399999999998</v>
      </c>
      <c r="GD78">
        <v>19</v>
      </c>
      <c r="GE78">
        <v>282.36900000000003</v>
      </c>
      <c r="GF78">
        <v>600.23800000000006</v>
      </c>
      <c r="GG78">
        <v>23.884899999999998</v>
      </c>
      <c r="GH78">
        <v>26.440200000000001</v>
      </c>
      <c r="GI78">
        <v>29.999700000000001</v>
      </c>
      <c r="GJ78">
        <v>26.5596</v>
      </c>
      <c r="GK78">
        <v>26.541699999999999</v>
      </c>
      <c r="GL78">
        <v>35.829300000000003</v>
      </c>
      <c r="GM78">
        <v>27.822600000000001</v>
      </c>
      <c r="GN78">
        <v>100</v>
      </c>
      <c r="GO78">
        <v>23.892199999999999</v>
      </c>
      <c r="GP78">
        <v>800</v>
      </c>
      <c r="GQ78">
        <v>19.4879</v>
      </c>
      <c r="GR78">
        <v>99.728899999999996</v>
      </c>
      <c r="GS78">
        <v>99.571700000000007</v>
      </c>
    </row>
    <row r="79" spans="1:201" x14ac:dyDescent="0.25">
      <c r="A79">
        <v>63</v>
      </c>
      <c r="B79">
        <v>1690227435.5</v>
      </c>
      <c r="C79">
        <v>865.90000009536743</v>
      </c>
      <c r="D79" t="s">
        <v>457</v>
      </c>
      <c r="E79" t="s">
        <v>458</v>
      </c>
      <c r="F79" t="s">
        <v>330</v>
      </c>
      <c r="H79">
        <v>1690227435.5</v>
      </c>
      <c r="I79">
        <f t="shared" si="0"/>
        <v>3.1424964238637988E-4</v>
      </c>
      <c r="J79">
        <f t="shared" si="1"/>
        <v>0.31424964238637987</v>
      </c>
      <c r="K79">
        <f t="shared" si="2"/>
        <v>2.4903501194203188</v>
      </c>
      <c r="L79">
        <f t="shared" si="3"/>
        <v>770.57600000000002</v>
      </c>
      <c r="M79">
        <f t="shared" si="4"/>
        <v>538.57447119724145</v>
      </c>
      <c r="N79">
        <f t="shared" si="5"/>
        <v>53.414203561375636</v>
      </c>
      <c r="O79">
        <f t="shared" si="6"/>
        <v>76.423420575455992</v>
      </c>
      <c r="P79">
        <f t="shared" si="7"/>
        <v>1.867078291526451E-2</v>
      </c>
      <c r="Q79">
        <f t="shared" si="8"/>
        <v>2.1313153822635402</v>
      </c>
      <c r="R79">
        <f t="shared" si="9"/>
        <v>1.8580391186622854E-2</v>
      </c>
      <c r="S79">
        <f t="shared" si="10"/>
        <v>1.162082925502734E-2</v>
      </c>
      <c r="T79">
        <f t="shared" si="11"/>
        <v>276.1149941432883</v>
      </c>
      <c r="U79">
        <f t="shared" si="12"/>
        <v>28.417096296545179</v>
      </c>
      <c r="V79">
        <f t="shared" si="13"/>
        <v>28.417096296545179</v>
      </c>
      <c r="W79">
        <f t="shared" si="14"/>
        <v>3.8880968595079604</v>
      </c>
      <c r="X79">
        <f t="shared" si="15"/>
        <v>65.71189876415724</v>
      </c>
      <c r="Y79">
        <f t="shared" si="16"/>
        <v>2.2627333095906002</v>
      </c>
      <c r="Z79">
        <f t="shared" si="17"/>
        <v>3.4434148946321654</v>
      </c>
      <c r="AA79">
        <f t="shared" si="18"/>
        <v>1.6253635499173602</v>
      </c>
      <c r="AB79">
        <f t="shared" si="19"/>
        <v>-13.858409229239353</v>
      </c>
      <c r="AC79">
        <f t="shared" si="20"/>
        <v>-238.28640068413407</v>
      </c>
      <c r="AD79">
        <f t="shared" si="21"/>
        <v>-24.22042832181835</v>
      </c>
      <c r="AE79">
        <f t="shared" si="22"/>
        <v>-0.25024409190348251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52523.181475039761</v>
      </c>
      <c r="AK79">
        <f t="shared" si="26"/>
        <v>1799.99</v>
      </c>
      <c r="AL79">
        <f t="shared" si="27"/>
        <v>1499.10369499987</v>
      </c>
      <c r="AM79">
        <f t="shared" si="28"/>
        <v>0.83284001299999999</v>
      </c>
      <c r="AN79">
        <f t="shared" si="29"/>
        <v>0.15339807118000004</v>
      </c>
      <c r="AO79">
        <v>32.4</v>
      </c>
      <c r="AP79">
        <v>0.5</v>
      </c>
      <c r="AQ79" t="s">
        <v>331</v>
      </c>
      <c r="AR79">
        <v>2</v>
      </c>
      <c r="AS79">
        <v>1690227435.5</v>
      </c>
      <c r="AT79">
        <v>770.57600000000002</v>
      </c>
      <c r="AU79">
        <v>800.06600000000003</v>
      </c>
      <c r="AV79">
        <v>22.815100000000001</v>
      </c>
      <c r="AW79">
        <v>19.501000000000001</v>
      </c>
      <c r="AX79">
        <v>770.995</v>
      </c>
      <c r="AY79">
        <v>22.505199999999999</v>
      </c>
      <c r="AZ79">
        <v>300.214</v>
      </c>
      <c r="BA79">
        <v>99.076999999999998</v>
      </c>
      <c r="BB79">
        <v>0.100006</v>
      </c>
      <c r="BC79">
        <v>26.343299999999999</v>
      </c>
      <c r="BD79">
        <v>26.976500000000001</v>
      </c>
      <c r="BE79">
        <v>28.218399999999999</v>
      </c>
      <c r="BF79">
        <v>0</v>
      </c>
      <c r="BG79">
        <v>0</v>
      </c>
      <c r="BH79">
        <v>10003.799999999999</v>
      </c>
      <c r="BI79">
        <v>1070.52</v>
      </c>
      <c r="BJ79">
        <v>1.5137799999999999</v>
      </c>
      <c r="BK79">
        <v>-29.489899999999999</v>
      </c>
      <c r="BL79">
        <v>788.56700000000001</v>
      </c>
      <c r="BM79">
        <v>815.97799999999995</v>
      </c>
      <c r="BN79">
        <v>3.3141699999999998</v>
      </c>
      <c r="BO79">
        <v>800.06600000000003</v>
      </c>
      <c r="BP79">
        <v>19.501000000000001</v>
      </c>
      <c r="BQ79">
        <v>2.2604600000000001</v>
      </c>
      <c r="BR79">
        <v>1.9320999999999999</v>
      </c>
      <c r="BS79">
        <v>19.397300000000001</v>
      </c>
      <c r="BT79">
        <v>16.898599999999998</v>
      </c>
      <c r="BU79">
        <v>1799.99</v>
      </c>
      <c r="BV79">
        <v>0.90998500000000004</v>
      </c>
      <c r="BW79">
        <v>3.3996199999999997E-2</v>
      </c>
      <c r="BX79">
        <v>2.20079E-2</v>
      </c>
      <c r="BY79">
        <v>3.4011199999999998E-2</v>
      </c>
      <c r="BZ79">
        <v>25.041699999999999</v>
      </c>
      <c r="CA79">
        <v>33528.199999999997</v>
      </c>
      <c r="CB79">
        <v>1690226183.5999999</v>
      </c>
      <c r="CC79" t="s">
        <v>332</v>
      </c>
      <c r="CD79">
        <v>1690226177.5999999</v>
      </c>
      <c r="CE79">
        <v>1690226183.5999999</v>
      </c>
      <c r="CF79">
        <v>12</v>
      </c>
      <c r="CG79">
        <v>-0.255</v>
      </c>
      <c r="CH79">
        <v>0.113</v>
      </c>
      <c r="CI79">
        <v>-0.439</v>
      </c>
      <c r="CJ79">
        <v>0.31</v>
      </c>
      <c r="CK79">
        <v>800</v>
      </c>
      <c r="CL79">
        <v>25</v>
      </c>
      <c r="CM79">
        <v>0.02</v>
      </c>
      <c r="CN79">
        <v>0.03</v>
      </c>
      <c r="CO79">
        <v>-27.813224999999999</v>
      </c>
      <c r="CP79">
        <v>-8.8110911819886795</v>
      </c>
      <c r="CQ79">
        <v>0.84841307384728559</v>
      </c>
      <c r="CR79">
        <v>-1</v>
      </c>
      <c r="CS79">
        <v>3.2135804999999991</v>
      </c>
      <c r="CT79">
        <v>0.58819452157597785</v>
      </c>
      <c r="CU79">
        <v>5.7824184773760542E-2</v>
      </c>
      <c r="CV79">
        <v>-1</v>
      </c>
      <c r="CW79">
        <v>0</v>
      </c>
      <c r="CX79">
        <v>0</v>
      </c>
      <c r="CY79" t="s">
        <v>333</v>
      </c>
      <c r="CZ79">
        <v>2.3643200000000002</v>
      </c>
      <c r="DA79">
        <v>2.7138</v>
      </c>
      <c r="DB79">
        <v>0.14307800000000001</v>
      </c>
      <c r="DC79">
        <v>0.14629900000000001</v>
      </c>
      <c r="DD79">
        <v>0.109418</v>
      </c>
      <c r="DE79">
        <v>9.6888100000000005E-2</v>
      </c>
      <c r="DF79">
        <v>31286.400000000001</v>
      </c>
      <c r="DG79">
        <v>27512.400000000001</v>
      </c>
      <c r="DH79">
        <v>31169.3</v>
      </c>
      <c r="DI79">
        <v>28081.7</v>
      </c>
      <c r="DJ79">
        <v>37689.800000000003</v>
      </c>
      <c r="DK79">
        <v>36063.800000000003</v>
      </c>
      <c r="DL79">
        <v>44358.1</v>
      </c>
      <c r="DM79">
        <v>42566.1</v>
      </c>
      <c r="DN79">
        <v>1.4727699999999999</v>
      </c>
      <c r="DO79">
        <v>2.0541</v>
      </c>
      <c r="DP79">
        <v>0.101365</v>
      </c>
      <c r="DQ79">
        <v>0.19358500000000001</v>
      </c>
      <c r="DR79">
        <v>25.316500000000001</v>
      </c>
      <c r="DS79">
        <v>25.050599999999999</v>
      </c>
      <c r="DT79">
        <v>57.3</v>
      </c>
      <c r="DU79">
        <v>29.3</v>
      </c>
      <c r="DV79">
        <v>23.662099999999999</v>
      </c>
      <c r="DW79">
        <v>61.262500000000003</v>
      </c>
      <c r="DX79">
        <v>36.001600000000003</v>
      </c>
      <c r="DY79">
        <v>1</v>
      </c>
      <c r="DZ79">
        <v>-7.5894299999999998E-2</v>
      </c>
      <c r="EA79">
        <v>0.33288400000000001</v>
      </c>
      <c r="EB79">
        <v>20.1891</v>
      </c>
      <c r="EC79">
        <v>5.2408000000000001</v>
      </c>
      <c r="ED79">
        <v>12.039899999999999</v>
      </c>
      <c r="EE79">
        <v>5.01675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1.86463</v>
      </c>
      <c r="EM79">
        <v>1.8691899999999999</v>
      </c>
      <c r="EN79">
        <v>1.8672299999999999</v>
      </c>
      <c r="EO79">
        <v>1.8633900000000001</v>
      </c>
      <c r="EP79">
        <v>1.8645</v>
      </c>
      <c r="EQ79">
        <v>1.87015</v>
      </c>
      <c r="ER79">
        <v>1.86941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-0.41899999999999998</v>
      </c>
      <c r="FG79">
        <v>0.30990000000000001</v>
      </c>
      <c r="FH79">
        <v>0.1121710645629533</v>
      </c>
      <c r="FI79">
        <v>-6.1462078757559423E-4</v>
      </c>
      <c r="FJ79">
        <v>-1.8861989874597051E-7</v>
      </c>
      <c r="FK79">
        <v>1.1980462299894961E-10</v>
      </c>
      <c r="FL79">
        <v>0.30996499999999833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21</v>
      </c>
      <c r="FU79">
        <v>20.9</v>
      </c>
      <c r="FV79">
        <v>1.79199</v>
      </c>
      <c r="FW79">
        <v>2.5805699999999998</v>
      </c>
      <c r="FX79">
        <v>1.5490699999999999</v>
      </c>
      <c r="FY79">
        <v>2.3290999999999999</v>
      </c>
      <c r="FZ79">
        <v>1.50024</v>
      </c>
      <c r="GA79">
        <v>2.3754900000000001</v>
      </c>
      <c r="GB79">
        <v>33.963900000000002</v>
      </c>
      <c r="GC79">
        <v>23.991199999999999</v>
      </c>
      <c r="GD79">
        <v>19</v>
      </c>
      <c r="GE79">
        <v>282.32499999999999</v>
      </c>
      <c r="GF79">
        <v>600.28200000000004</v>
      </c>
      <c r="GG79">
        <v>23.927199999999999</v>
      </c>
      <c r="GH79">
        <v>26.4358</v>
      </c>
      <c r="GI79">
        <v>29.999400000000001</v>
      </c>
      <c r="GJ79">
        <v>26.557099999999998</v>
      </c>
      <c r="GK79">
        <v>26.54</v>
      </c>
      <c r="GL79">
        <v>35.826700000000002</v>
      </c>
      <c r="GM79">
        <v>27.822600000000001</v>
      </c>
      <c r="GN79">
        <v>100</v>
      </c>
      <c r="GO79">
        <v>23.9299</v>
      </c>
      <c r="GP79">
        <v>800</v>
      </c>
      <c r="GQ79">
        <v>19.4331</v>
      </c>
      <c r="GR79">
        <v>99.73</v>
      </c>
      <c r="GS79">
        <v>99.573300000000003</v>
      </c>
    </row>
    <row r="80" spans="1:201" x14ac:dyDescent="0.25">
      <c r="A80">
        <v>64</v>
      </c>
      <c r="B80">
        <v>1690227445.5</v>
      </c>
      <c r="C80">
        <v>875.90000009536743</v>
      </c>
      <c r="D80" t="s">
        <v>459</v>
      </c>
      <c r="E80" t="s">
        <v>460</v>
      </c>
      <c r="F80" t="s">
        <v>330</v>
      </c>
      <c r="H80">
        <v>1690227445.5</v>
      </c>
      <c r="I80">
        <f t="shared" si="0"/>
        <v>3.1819082118160702E-4</v>
      </c>
      <c r="J80">
        <f t="shared" si="1"/>
        <v>0.31819082118160702</v>
      </c>
      <c r="K80">
        <f t="shared" si="2"/>
        <v>2.6288663352832233</v>
      </c>
      <c r="L80">
        <f t="shared" si="3"/>
        <v>769.01199999999994</v>
      </c>
      <c r="M80">
        <f t="shared" si="4"/>
        <v>527.90061323935095</v>
      </c>
      <c r="N80">
        <f t="shared" si="5"/>
        <v>52.354601914980705</v>
      </c>
      <c r="O80">
        <f t="shared" si="6"/>
        <v>76.266850460331995</v>
      </c>
      <c r="P80">
        <f t="shared" si="7"/>
        <v>1.8893613583935015E-2</v>
      </c>
      <c r="Q80">
        <f t="shared" si="8"/>
        <v>2.1286627868820802</v>
      </c>
      <c r="R80">
        <f t="shared" si="9"/>
        <v>1.8800942425028482E-2</v>
      </c>
      <c r="S80">
        <f t="shared" si="10"/>
        <v>1.1758877164940494E-2</v>
      </c>
      <c r="T80">
        <f t="shared" si="11"/>
        <v>276.11628271199993</v>
      </c>
      <c r="U80">
        <f t="shared" si="12"/>
        <v>28.428358730931215</v>
      </c>
      <c r="V80">
        <f t="shared" si="13"/>
        <v>28.428358730931215</v>
      </c>
      <c r="W80">
        <f t="shared" si="14"/>
        <v>3.8906424609186083</v>
      </c>
      <c r="X80">
        <f t="shared" si="15"/>
        <v>65.71647639431994</v>
      </c>
      <c r="Y80">
        <f t="shared" si="16"/>
        <v>2.2642669592409996</v>
      </c>
      <c r="Z80">
        <f t="shared" si="17"/>
        <v>3.445508772647321</v>
      </c>
      <c r="AA80">
        <f t="shared" si="18"/>
        <v>1.6263755016776087</v>
      </c>
      <c r="AB80">
        <f t="shared" si="19"/>
        <v>-14.03221521410887</v>
      </c>
      <c r="AC80">
        <f t="shared" si="20"/>
        <v>-238.10028329396462</v>
      </c>
      <c r="AD80">
        <f t="shared" si="21"/>
        <v>-24.234278356726477</v>
      </c>
      <c r="AE80">
        <f t="shared" si="22"/>
        <v>-0.25049415280003018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52406.790950098242</v>
      </c>
      <c r="AK80">
        <f t="shared" si="26"/>
        <v>1800</v>
      </c>
      <c r="AL80">
        <f t="shared" si="27"/>
        <v>1499.1126101999998</v>
      </c>
      <c r="AM80">
        <f t="shared" si="28"/>
        <v>0.83284033899999987</v>
      </c>
      <c r="AN80">
        <f t="shared" si="29"/>
        <v>0.15339793483999997</v>
      </c>
      <c r="AO80">
        <v>32.4</v>
      </c>
      <c r="AP80">
        <v>0.5</v>
      </c>
      <c r="AQ80" t="s">
        <v>331</v>
      </c>
      <c r="AR80">
        <v>2</v>
      </c>
      <c r="AS80">
        <v>1690227445.5</v>
      </c>
      <c r="AT80">
        <v>769.01199999999994</v>
      </c>
      <c r="AU80">
        <v>800.02700000000004</v>
      </c>
      <c r="AV80">
        <v>22.831</v>
      </c>
      <c r="AW80">
        <v>19.475100000000001</v>
      </c>
      <c r="AX80">
        <v>769.43</v>
      </c>
      <c r="AY80">
        <v>22.521100000000001</v>
      </c>
      <c r="AZ80">
        <v>300.18799999999999</v>
      </c>
      <c r="BA80">
        <v>99.075100000000006</v>
      </c>
      <c r="BB80">
        <v>0.100011</v>
      </c>
      <c r="BC80">
        <v>26.3536</v>
      </c>
      <c r="BD80">
        <v>26.977</v>
      </c>
      <c r="BE80">
        <v>28.2271</v>
      </c>
      <c r="BF80">
        <v>0</v>
      </c>
      <c r="BG80">
        <v>0</v>
      </c>
      <c r="BH80">
        <v>9981.25</v>
      </c>
      <c r="BI80">
        <v>1070.46</v>
      </c>
      <c r="BJ80">
        <v>1.5137799999999999</v>
      </c>
      <c r="BK80">
        <v>-31.0152</v>
      </c>
      <c r="BL80">
        <v>786.97900000000004</v>
      </c>
      <c r="BM80">
        <v>815.91700000000003</v>
      </c>
      <c r="BN80">
        <v>3.3559100000000002</v>
      </c>
      <c r="BO80">
        <v>800.02700000000004</v>
      </c>
      <c r="BP80">
        <v>19.475100000000001</v>
      </c>
      <c r="BQ80">
        <v>2.2619899999999999</v>
      </c>
      <c r="BR80">
        <v>1.9295</v>
      </c>
      <c r="BS80">
        <v>19.408200000000001</v>
      </c>
      <c r="BT80">
        <v>16.877400000000002</v>
      </c>
      <c r="BU80">
        <v>1800</v>
      </c>
      <c r="BV80">
        <v>0.90998999999999997</v>
      </c>
      <c r="BW80">
        <v>3.3994299999999998E-2</v>
      </c>
      <c r="BX80">
        <v>2.2006700000000001E-2</v>
      </c>
      <c r="BY80">
        <v>3.4009200000000003E-2</v>
      </c>
      <c r="BZ80">
        <v>25.041699999999999</v>
      </c>
      <c r="CA80">
        <v>33528.199999999997</v>
      </c>
      <c r="CB80">
        <v>1690226183.5999999</v>
      </c>
      <c r="CC80" t="s">
        <v>332</v>
      </c>
      <c r="CD80">
        <v>1690226177.5999999</v>
      </c>
      <c r="CE80">
        <v>1690226183.5999999</v>
      </c>
      <c r="CF80">
        <v>12</v>
      </c>
      <c r="CG80">
        <v>-0.255</v>
      </c>
      <c r="CH80">
        <v>0.113</v>
      </c>
      <c r="CI80">
        <v>-0.439</v>
      </c>
      <c r="CJ80">
        <v>0.31</v>
      </c>
      <c r="CK80">
        <v>800</v>
      </c>
      <c r="CL80">
        <v>25</v>
      </c>
      <c r="CM80">
        <v>0.02</v>
      </c>
      <c r="CN80">
        <v>0.03</v>
      </c>
      <c r="CO80">
        <v>-29.227851219512189</v>
      </c>
      <c r="CP80">
        <v>-9.4407177700349116</v>
      </c>
      <c r="CQ80">
        <v>0.93180875828182053</v>
      </c>
      <c r="CR80">
        <v>-1</v>
      </c>
      <c r="CS80">
        <v>3.2881168292682932</v>
      </c>
      <c r="CT80">
        <v>0.44362829268293091</v>
      </c>
      <c r="CU80">
        <v>4.7074335477818162E-2</v>
      </c>
      <c r="CV80">
        <v>-1</v>
      </c>
      <c r="CW80">
        <v>0</v>
      </c>
      <c r="CX80">
        <v>0</v>
      </c>
      <c r="CY80" t="s">
        <v>333</v>
      </c>
      <c r="CZ80">
        <v>2.3642500000000002</v>
      </c>
      <c r="DA80">
        <v>2.7137899999999999</v>
      </c>
      <c r="DB80">
        <v>0.14288200000000001</v>
      </c>
      <c r="DC80">
        <v>0.14629300000000001</v>
      </c>
      <c r="DD80">
        <v>0.109472</v>
      </c>
      <c r="DE80">
        <v>9.6796099999999996E-2</v>
      </c>
      <c r="DF80">
        <v>31293.4</v>
      </c>
      <c r="DG80">
        <v>27512.7</v>
      </c>
      <c r="DH80">
        <v>31169.1</v>
      </c>
      <c r="DI80">
        <v>28081.8</v>
      </c>
      <c r="DJ80">
        <v>37687.4</v>
      </c>
      <c r="DK80">
        <v>36067.599999999999</v>
      </c>
      <c r="DL80">
        <v>44358</v>
      </c>
      <c r="DM80">
        <v>42566.3</v>
      </c>
      <c r="DN80">
        <v>1.4728699999999999</v>
      </c>
      <c r="DO80">
        <v>2.0539499999999999</v>
      </c>
      <c r="DP80">
        <v>0.101551</v>
      </c>
      <c r="DQ80">
        <v>0.19445999999999999</v>
      </c>
      <c r="DR80">
        <v>25.314</v>
      </c>
      <c r="DS80">
        <v>25.045000000000002</v>
      </c>
      <c r="DT80">
        <v>57.3</v>
      </c>
      <c r="DU80">
        <v>29.3</v>
      </c>
      <c r="DV80">
        <v>23.6709</v>
      </c>
      <c r="DW80">
        <v>61.822499999999998</v>
      </c>
      <c r="DX80">
        <v>35.4848</v>
      </c>
      <c r="DY80">
        <v>1</v>
      </c>
      <c r="DZ80">
        <v>-7.51169E-2</v>
      </c>
      <c r="EA80">
        <v>0.32613799999999998</v>
      </c>
      <c r="EB80">
        <v>20.1891</v>
      </c>
      <c r="EC80">
        <v>5.2403500000000003</v>
      </c>
      <c r="ED80">
        <v>12.039899999999999</v>
      </c>
      <c r="EE80">
        <v>5.0168499999999998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1.8646400000000001</v>
      </c>
      <c r="EM80">
        <v>1.8691899999999999</v>
      </c>
      <c r="EN80">
        <v>1.8672299999999999</v>
      </c>
      <c r="EO80">
        <v>1.8633999999999999</v>
      </c>
      <c r="EP80">
        <v>1.8645099999999999</v>
      </c>
      <c r="EQ80">
        <v>1.87015</v>
      </c>
      <c r="ER80">
        <v>1.8694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-0.41799999999999998</v>
      </c>
      <c r="FG80">
        <v>0.30990000000000001</v>
      </c>
      <c r="FH80">
        <v>0.1121710645629533</v>
      </c>
      <c r="FI80">
        <v>-6.1462078757559423E-4</v>
      </c>
      <c r="FJ80">
        <v>-1.8861989874597051E-7</v>
      </c>
      <c r="FK80">
        <v>1.1980462299894961E-10</v>
      </c>
      <c r="FL80">
        <v>0.30996499999999833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21.1</v>
      </c>
      <c r="FU80">
        <v>21</v>
      </c>
      <c r="FV80">
        <v>1.79199</v>
      </c>
      <c r="FW80">
        <v>2.5793499999999998</v>
      </c>
      <c r="FX80">
        <v>1.5490699999999999</v>
      </c>
      <c r="FY80">
        <v>2.3290999999999999</v>
      </c>
      <c r="FZ80">
        <v>1.50146</v>
      </c>
      <c r="GA80">
        <v>2.3999000000000001</v>
      </c>
      <c r="GB80">
        <v>33.963900000000002</v>
      </c>
      <c r="GC80">
        <v>23.991199999999999</v>
      </c>
      <c r="GD80">
        <v>19</v>
      </c>
      <c r="GE80">
        <v>282.358</v>
      </c>
      <c r="GF80">
        <v>600.13</v>
      </c>
      <c r="GG80">
        <v>23.965599999999998</v>
      </c>
      <c r="GH80">
        <v>26.431000000000001</v>
      </c>
      <c r="GI80">
        <v>30</v>
      </c>
      <c r="GJ80">
        <v>26.5549</v>
      </c>
      <c r="GK80">
        <v>26.538</v>
      </c>
      <c r="GL80">
        <v>35.826300000000003</v>
      </c>
      <c r="GM80">
        <v>28.102599999999999</v>
      </c>
      <c r="GN80">
        <v>100</v>
      </c>
      <c r="GO80">
        <v>23.965199999999999</v>
      </c>
      <c r="GP80">
        <v>800</v>
      </c>
      <c r="GQ80">
        <v>19.3751</v>
      </c>
      <c r="GR80">
        <v>99.729699999999994</v>
      </c>
      <c r="GS80">
        <v>99.573599999999999</v>
      </c>
    </row>
    <row r="81" spans="1:201" x14ac:dyDescent="0.25">
      <c r="A81">
        <v>65</v>
      </c>
      <c r="B81">
        <v>1690227455.5</v>
      </c>
      <c r="C81">
        <v>885.90000009536743</v>
      </c>
      <c r="D81" t="s">
        <v>461</v>
      </c>
      <c r="E81" t="s">
        <v>462</v>
      </c>
      <c r="F81" t="s">
        <v>330</v>
      </c>
      <c r="H81">
        <v>1690227455.5</v>
      </c>
      <c r="I81">
        <f t="shared" ref="I81:I144" si="30">(J81)/1000</f>
        <v>3.2880272261466304E-4</v>
      </c>
      <c r="J81">
        <f t="shared" ref="J81:J144" si="31">1000*AZ81*AH81*(AV81-AW81)/(100*AO81*(1000-AH81*AV81))</f>
        <v>0.32880272261466303</v>
      </c>
      <c r="K81">
        <f t="shared" ref="K81:K144" si="32">AZ81*AH81*(AU81-AT81*(1000-AH81*AW81)/(1000-AH81*AV81))/(100*AO81)</f>
        <v>2.7755725332296812</v>
      </c>
      <c r="L81">
        <f t="shared" ref="L81:L144" si="33">AT81 - IF(AH81&gt;1, K81*AO81*100/(AJ81*BH81), 0)</f>
        <v>767.36599999999999</v>
      </c>
      <c r="M81">
        <f t="shared" ref="M81:M144" si="34">((S81-I81/2)*L81-K81)/(S81+I81/2)</f>
        <v>522.10325805272043</v>
      </c>
      <c r="N81">
        <f t="shared" ref="N81:N144" si="35">M81*(BA81+BB81)/1000</f>
        <v>51.781273356179248</v>
      </c>
      <c r="O81">
        <f t="shared" ref="O81:O144" si="36">(AT81 - IF(AH81&gt;1, K81*AO81*100/(AJ81*BH81), 0))*(BA81+BB81)/1000</f>
        <v>76.105996270617993</v>
      </c>
      <c r="P81">
        <f t="shared" ref="P81:P144" si="37">2/((1/R81-1/Q81)+SIGN(R81)*SQRT((1/R81-1/Q81)*(1/R81-1/Q81) + 4*AP81/((AP81+1)*(AP81+1))*(2*1/R81*1/Q81-1/Q81*1/Q81)))</f>
        <v>1.9574831487172047E-2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2.1313994102852352</v>
      </c>
      <c r="R81">
        <f t="shared" ref="R81:R144" si="39">I81*(1000-(1000*0.61365*EXP(17.502*V81/(240.97+V81))/(BA81+BB81)+AV81)/2)/(1000*0.61365*EXP(17.502*V81/(240.97+V81))/(BA81+BB81)-AV81)</f>
        <v>1.9475503236039939E-2</v>
      </c>
      <c r="S81">
        <f t="shared" ref="S81:S144" si="40">1/((AP81+1)/(P81/1.6)+1/(Q81/1.37)) + AP81/((AP81+1)/(P81/1.6) + AP81/(Q81/1.37))</f>
        <v>1.2181071657674342E-2</v>
      </c>
      <c r="T81">
        <f t="shared" ref="T81:T144" si="41">(AK81*AN81)</f>
        <v>276.11598745800001</v>
      </c>
      <c r="U81">
        <f t="shared" ref="U81:U144" si="42">(BC81+(T81+2*0.95*0.0000000567*(((BC81+$B$7)+273)^4-(BC81+273)^4)-44100*I81)/(1.84*29.3*Q81+8*0.95*0.0000000567*(BC81+273)^3))</f>
        <v>28.418342954045155</v>
      </c>
      <c r="V81">
        <f t="shared" ref="V81:V144" si="43">($C$7*BD81+$D$7*BE81+$E$7*U81)</f>
        <v>28.418342954045155</v>
      </c>
      <c r="W81">
        <f t="shared" ref="W81:W144" si="44">0.61365*EXP(17.502*V81/(240.97+V81))</f>
        <v>3.8883785648166795</v>
      </c>
      <c r="X81">
        <f t="shared" ref="X81:X144" si="45">(Y81/Z81*100)</f>
        <v>65.77944495903381</v>
      </c>
      <c r="Y81">
        <f t="shared" ref="Y81:Y144" si="46">AV81*(BA81+BB81)/1000</f>
        <v>2.2659149430587</v>
      </c>
      <c r="Z81">
        <f t="shared" ref="Z81:Z144" si="47">0.61365*EXP(17.502*BC81/(240.97+BC81))</f>
        <v>3.4447158142940681</v>
      </c>
      <c r="AA81">
        <f t="shared" ref="AA81:AA144" si="48">(W81-AV81*(BA81+BB81)/1000)</f>
        <v>1.6224636217579795</v>
      </c>
      <c r="AB81">
        <f t="shared" ref="AB81:AB144" si="49">(-I81*44100)</f>
        <v>-14.50020006730664</v>
      </c>
      <c r="AC81">
        <f t="shared" ref="AC81:AC144" si="50">2*29.3*Q81*0.92*(BC81-V81)</f>
        <v>-237.70363492173172</v>
      </c>
      <c r="AD81">
        <f t="shared" ref="AD81:AD144" si="51">2*0.95*0.0000000567*(((BC81+$B$7)+273)^4-(V81+273)^4)</f>
        <v>-24.161162171391702</v>
      </c>
      <c r="AE81">
        <f t="shared" ref="AE81:AE144" si="52">T81+AD81+AB81+AC81</f>
        <v>-0.24900970243007237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52525.715776817065</v>
      </c>
      <c r="AK81">
        <f t="shared" ref="AK81:AK144" si="56">$B$11*BI81+$C$11*BJ81+$D$11*BU81</f>
        <v>1800</v>
      </c>
      <c r="AL81">
        <f t="shared" ref="AL81:AL144" si="57">AK81*AM81</f>
        <v>1499.1123438000002</v>
      </c>
      <c r="AM81">
        <f t="shared" ref="AM81:AM144" si="58">($B$11*$D$9+$C$11*$D$9+$D$11*(BV81*$E$9+BW81*$F$9+BX81*$G$9+BY81*$H$9))/($B$11+$C$11+$D$11)</f>
        <v>0.83284019100000006</v>
      </c>
      <c r="AN81">
        <f t="shared" ref="AN81:AN144" si="59">($B$11*$K$9+$C$11*$K$9+$D$11*(BV81*$L$9+BW81*$M$9+BX81*$N$9+BY81*$O$9))/($B$11+$C$11+$D$11)</f>
        <v>0.15339777081</v>
      </c>
      <c r="AO81">
        <v>32.4</v>
      </c>
      <c r="AP81">
        <v>0.5</v>
      </c>
      <c r="AQ81" t="s">
        <v>331</v>
      </c>
      <c r="AR81">
        <v>2</v>
      </c>
      <c r="AS81">
        <v>1690227455.5</v>
      </c>
      <c r="AT81">
        <v>767.36599999999999</v>
      </c>
      <c r="AU81">
        <v>800.04700000000003</v>
      </c>
      <c r="AV81">
        <v>22.846900000000002</v>
      </c>
      <c r="AW81">
        <v>19.379100000000001</v>
      </c>
      <c r="AX81">
        <v>767.78200000000004</v>
      </c>
      <c r="AY81">
        <v>22.536999999999999</v>
      </c>
      <c r="AZ81">
        <v>300.185</v>
      </c>
      <c r="BA81">
        <v>99.078199999999995</v>
      </c>
      <c r="BB81">
        <v>0.100023</v>
      </c>
      <c r="BC81">
        <v>26.349699999999999</v>
      </c>
      <c r="BD81">
        <v>26.988600000000002</v>
      </c>
      <c r="BE81">
        <v>28.224599999999999</v>
      </c>
      <c r="BF81">
        <v>0</v>
      </c>
      <c r="BG81">
        <v>0</v>
      </c>
      <c r="BH81">
        <v>10004.4</v>
      </c>
      <c r="BI81">
        <v>1070.57</v>
      </c>
      <c r="BJ81">
        <v>1.5137799999999999</v>
      </c>
      <c r="BK81">
        <v>-32.681800000000003</v>
      </c>
      <c r="BL81">
        <v>785.30799999999999</v>
      </c>
      <c r="BM81">
        <v>815.85799999999995</v>
      </c>
      <c r="BN81">
        <v>3.4678599999999999</v>
      </c>
      <c r="BO81">
        <v>800.04700000000003</v>
      </c>
      <c r="BP81">
        <v>19.379100000000001</v>
      </c>
      <c r="BQ81">
        <v>2.26363</v>
      </c>
      <c r="BR81">
        <v>1.92004</v>
      </c>
      <c r="BS81">
        <v>19.419899999999998</v>
      </c>
      <c r="BT81">
        <v>16.8</v>
      </c>
      <c r="BU81">
        <v>1800</v>
      </c>
      <c r="BV81">
        <v>0.90999300000000005</v>
      </c>
      <c r="BW81">
        <v>3.3993000000000002E-2</v>
      </c>
      <c r="BX81">
        <v>2.2005799999999999E-2</v>
      </c>
      <c r="BY81">
        <v>3.4007900000000001E-2</v>
      </c>
      <c r="BZ81">
        <v>25</v>
      </c>
      <c r="CA81">
        <v>33528.300000000003</v>
      </c>
      <c r="CB81">
        <v>1690226183.5999999</v>
      </c>
      <c r="CC81" t="s">
        <v>332</v>
      </c>
      <c r="CD81">
        <v>1690226177.5999999</v>
      </c>
      <c r="CE81">
        <v>1690226183.5999999</v>
      </c>
      <c r="CF81">
        <v>12</v>
      </c>
      <c r="CG81">
        <v>-0.255</v>
      </c>
      <c r="CH81">
        <v>0.113</v>
      </c>
      <c r="CI81">
        <v>-0.439</v>
      </c>
      <c r="CJ81">
        <v>0.31</v>
      </c>
      <c r="CK81">
        <v>800</v>
      </c>
      <c r="CL81">
        <v>25</v>
      </c>
      <c r="CM81">
        <v>0.02</v>
      </c>
      <c r="CN81">
        <v>0.03</v>
      </c>
      <c r="CO81">
        <v>-30.815492682926831</v>
      </c>
      <c r="CP81">
        <v>-9.4709351916375564</v>
      </c>
      <c r="CQ81">
        <v>0.93445325957840408</v>
      </c>
      <c r="CR81">
        <v>-1</v>
      </c>
      <c r="CS81">
        <v>3.3552465853658542</v>
      </c>
      <c r="CT81">
        <v>0.35967637630662969</v>
      </c>
      <c r="CU81">
        <v>3.6501602143905708E-2</v>
      </c>
      <c r="CV81">
        <v>-1</v>
      </c>
      <c r="CW81">
        <v>0</v>
      </c>
      <c r="CX81">
        <v>0</v>
      </c>
      <c r="CY81" t="s">
        <v>333</v>
      </c>
      <c r="CZ81">
        <v>2.3642300000000001</v>
      </c>
      <c r="DA81">
        <v>2.7138200000000001</v>
      </c>
      <c r="DB81">
        <v>0.142681</v>
      </c>
      <c r="DC81">
        <v>0.14629800000000001</v>
      </c>
      <c r="DD81">
        <v>0.10953</v>
      </c>
      <c r="DE81">
        <v>9.64589E-2</v>
      </c>
      <c r="DF81">
        <v>31301.1</v>
      </c>
      <c r="DG81">
        <v>27513.200000000001</v>
      </c>
      <c r="DH81">
        <v>31169.4</v>
      </c>
      <c r="DI81">
        <v>28082.400000000001</v>
      </c>
      <c r="DJ81">
        <v>37685.199999999997</v>
      </c>
      <c r="DK81">
        <v>36081.800000000003</v>
      </c>
      <c r="DL81">
        <v>44358.400000000001</v>
      </c>
      <c r="DM81">
        <v>42567.1</v>
      </c>
      <c r="DN81">
        <v>1.4726300000000001</v>
      </c>
      <c r="DO81">
        <v>2.0538699999999999</v>
      </c>
      <c r="DP81">
        <v>0.10238999999999999</v>
      </c>
      <c r="DQ81">
        <v>0.19453500000000001</v>
      </c>
      <c r="DR81">
        <v>25.311800000000002</v>
      </c>
      <c r="DS81">
        <v>25.0413</v>
      </c>
      <c r="DT81">
        <v>57.3</v>
      </c>
      <c r="DU81">
        <v>29.3</v>
      </c>
      <c r="DV81">
        <v>23.663799999999998</v>
      </c>
      <c r="DW81">
        <v>61.692500000000003</v>
      </c>
      <c r="DX81">
        <v>36.5625</v>
      </c>
      <c r="DY81">
        <v>1</v>
      </c>
      <c r="DZ81">
        <v>-7.5515799999999994E-2</v>
      </c>
      <c r="EA81">
        <v>0.31130200000000002</v>
      </c>
      <c r="EB81">
        <v>20.189</v>
      </c>
      <c r="EC81">
        <v>5.2406499999999996</v>
      </c>
      <c r="ED81">
        <v>12.039899999999999</v>
      </c>
      <c r="EE81">
        <v>5.0167999999999999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1.86463</v>
      </c>
      <c r="EM81">
        <v>1.8691899999999999</v>
      </c>
      <c r="EN81">
        <v>1.8672200000000001</v>
      </c>
      <c r="EO81">
        <v>1.8633999999999999</v>
      </c>
      <c r="EP81">
        <v>1.8645099999999999</v>
      </c>
      <c r="EQ81">
        <v>1.87012</v>
      </c>
      <c r="ER81">
        <v>1.8694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-0.41599999999999998</v>
      </c>
      <c r="FG81">
        <v>0.30990000000000001</v>
      </c>
      <c r="FH81">
        <v>0.1121710645629533</v>
      </c>
      <c r="FI81">
        <v>-6.1462078757559423E-4</v>
      </c>
      <c r="FJ81">
        <v>-1.8861989874597051E-7</v>
      </c>
      <c r="FK81">
        <v>1.1980462299894961E-10</v>
      </c>
      <c r="FL81">
        <v>0.30996499999999833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21.3</v>
      </c>
      <c r="FU81">
        <v>21.2</v>
      </c>
      <c r="FV81">
        <v>1.79199</v>
      </c>
      <c r="FW81">
        <v>2.5854499999999998</v>
      </c>
      <c r="FX81">
        <v>1.5490699999999999</v>
      </c>
      <c r="FY81">
        <v>2.3290999999999999</v>
      </c>
      <c r="FZ81">
        <v>1.50146</v>
      </c>
      <c r="GA81">
        <v>2.2729499999999998</v>
      </c>
      <c r="GB81">
        <v>33.963900000000002</v>
      </c>
      <c r="GC81">
        <v>23.982399999999998</v>
      </c>
      <c r="GD81">
        <v>19</v>
      </c>
      <c r="GE81">
        <v>282.238</v>
      </c>
      <c r="GF81">
        <v>600.04</v>
      </c>
      <c r="GG81">
        <v>23.988700000000001</v>
      </c>
      <c r="GH81">
        <v>26.426300000000001</v>
      </c>
      <c r="GI81">
        <v>30</v>
      </c>
      <c r="GJ81">
        <v>26.5518</v>
      </c>
      <c r="GK81">
        <v>26.535599999999999</v>
      </c>
      <c r="GL81">
        <v>35.822499999999998</v>
      </c>
      <c r="GM81">
        <v>28.399899999999999</v>
      </c>
      <c r="GN81">
        <v>100</v>
      </c>
      <c r="GO81">
        <v>23.991499999999998</v>
      </c>
      <c r="GP81">
        <v>800</v>
      </c>
      <c r="GQ81">
        <v>19.3127</v>
      </c>
      <c r="GR81">
        <v>99.730599999999995</v>
      </c>
      <c r="GS81">
        <v>99.575599999999994</v>
      </c>
    </row>
    <row r="82" spans="1:201" x14ac:dyDescent="0.25">
      <c r="A82">
        <v>66</v>
      </c>
      <c r="B82">
        <v>1690227465.5</v>
      </c>
      <c r="C82">
        <v>895.90000009536743</v>
      </c>
      <c r="D82" t="s">
        <v>463</v>
      </c>
      <c r="E82" t="s">
        <v>464</v>
      </c>
      <c r="F82" t="s">
        <v>330</v>
      </c>
      <c r="H82">
        <v>1690227465.5</v>
      </c>
      <c r="I82">
        <f t="shared" si="30"/>
        <v>3.3364073043378844E-4</v>
      </c>
      <c r="J82">
        <f t="shared" si="31"/>
        <v>0.33364073043378845</v>
      </c>
      <c r="K82">
        <f t="shared" si="32"/>
        <v>2.9325042151829384</v>
      </c>
      <c r="L82">
        <f t="shared" si="33"/>
        <v>765.65599999999995</v>
      </c>
      <c r="M82">
        <f t="shared" si="34"/>
        <v>511.07260964128096</v>
      </c>
      <c r="N82">
        <f t="shared" si="35"/>
        <v>50.685792670844783</v>
      </c>
      <c r="O82">
        <f t="shared" si="36"/>
        <v>75.934183403855997</v>
      </c>
      <c r="P82">
        <f t="shared" si="37"/>
        <v>1.9856318825290604E-2</v>
      </c>
      <c r="Q82">
        <f t="shared" si="38"/>
        <v>2.1302695932955769</v>
      </c>
      <c r="R82">
        <f t="shared" si="39"/>
        <v>1.975406749002195E-2</v>
      </c>
      <c r="S82">
        <f t="shared" si="40"/>
        <v>1.2355435064691472E-2</v>
      </c>
      <c r="T82">
        <f t="shared" si="41"/>
        <v>276.11450969397958</v>
      </c>
      <c r="U82">
        <f t="shared" si="42"/>
        <v>28.425425427041667</v>
      </c>
      <c r="V82">
        <f t="shared" si="43"/>
        <v>28.425425427041667</v>
      </c>
      <c r="W82">
        <f t="shared" si="44"/>
        <v>3.8899793184207541</v>
      </c>
      <c r="X82">
        <f t="shared" si="45"/>
        <v>65.778618320211805</v>
      </c>
      <c r="Y82">
        <f t="shared" si="46"/>
        <v>2.2669297666428001</v>
      </c>
      <c r="Z82">
        <f t="shared" si="47"/>
        <v>3.4463018903913953</v>
      </c>
      <c r="AA82">
        <f t="shared" si="48"/>
        <v>1.623049551777954</v>
      </c>
      <c r="AB82">
        <f t="shared" si="49"/>
        <v>-14.71355621213007</v>
      </c>
      <c r="AC82">
        <f t="shared" si="50"/>
        <v>-237.49522655325819</v>
      </c>
      <c r="AD82">
        <f t="shared" si="51"/>
        <v>-24.15457645934875</v>
      </c>
      <c r="AE82">
        <f t="shared" si="52"/>
        <v>-0.24884953075743965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52475.475862797059</v>
      </c>
      <c r="AK82">
        <f t="shared" si="56"/>
        <v>1799.99</v>
      </c>
      <c r="AL82">
        <f t="shared" si="57"/>
        <v>1499.1052627911599</v>
      </c>
      <c r="AM82">
        <f t="shared" si="58"/>
        <v>0.832840884</v>
      </c>
      <c r="AN82">
        <f t="shared" si="59"/>
        <v>0.15339780203999998</v>
      </c>
      <c r="AO82">
        <v>32.4</v>
      </c>
      <c r="AP82">
        <v>0.5</v>
      </c>
      <c r="AQ82" t="s">
        <v>331</v>
      </c>
      <c r="AR82">
        <v>2</v>
      </c>
      <c r="AS82">
        <v>1690227465.5</v>
      </c>
      <c r="AT82">
        <v>765.65599999999995</v>
      </c>
      <c r="AU82">
        <v>800.05899999999997</v>
      </c>
      <c r="AV82">
        <v>22.857800000000001</v>
      </c>
      <c r="AW82">
        <v>19.339600000000001</v>
      </c>
      <c r="AX82">
        <v>766.07100000000003</v>
      </c>
      <c r="AY82">
        <v>22.547799999999999</v>
      </c>
      <c r="AZ82">
        <v>300.23500000000001</v>
      </c>
      <c r="BA82">
        <v>99.075299999999999</v>
      </c>
      <c r="BB82">
        <v>0.100026</v>
      </c>
      <c r="BC82">
        <v>26.357500000000002</v>
      </c>
      <c r="BD82">
        <v>27.0077</v>
      </c>
      <c r="BE82">
        <v>28.201799999999999</v>
      </c>
      <c r="BF82">
        <v>0</v>
      </c>
      <c r="BG82">
        <v>0</v>
      </c>
      <c r="BH82">
        <v>9995</v>
      </c>
      <c r="BI82">
        <v>1070.5</v>
      </c>
      <c r="BJ82">
        <v>1.5137799999999999</v>
      </c>
      <c r="BK82">
        <v>-34.403300000000002</v>
      </c>
      <c r="BL82">
        <v>783.56600000000003</v>
      </c>
      <c r="BM82">
        <v>815.83699999999999</v>
      </c>
      <c r="BN82">
        <v>3.5181800000000001</v>
      </c>
      <c r="BO82">
        <v>800.05899999999997</v>
      </c>
      <c r="BP82">
        <v>19.339600000000001</v>
      </c>
      <c r="BQ82">
        <v>2.26464</v>
      </c>
      <c r="BR82">
        <v>1.91608</v>
      </c>
      <c r="BS82">
        <v>19.427099999999999</v>
      </c>
      <c r="BT82">
        <v>16.767399999999999</v>
      </c>
      <c r="BU82">
        <v>1799.99</v>
      </c>
      <c r="BV82">
        <v>0.90999600000000003</v>
      </c>
      <c r="BW82">
        <v>3.3992099999999997E-2</v>
      </c>
      <c r="BX82">
        <v>2.2005199999999999E-2</v>
      </c>
      <c r="BY82">
        <v>3.4007000000000003E-2</v>
      </c>
      <c r="BZ82">
        <v>25.125</v>
      </c>
      <c r="CA82">
        <v>33528.199999999997</v>
      </c>
      <c r="CB82">
        <v>1690226183.5999999</v>
      </c>
      <c r="CC82" t="s">
        <v>332</v>
      </c>
      <c r="CD82">
        <v>1690226177.5999999</v>
      </c>
      <c r="CE82">
        <v>1690226183.5999999</v>
      </c>
      <c r="CF82">
        <v>12</v>
      </c>
      <c r="CG82">
        <v>-0.255</v>
      </c>
      <c r="CH82">
        <v>0.113</v>
      </c>
      <c r="CI82">
        <v>-0.439</v>
      </c>
      <c r="CJ82">
        <v>0.31</v>
      </c>
      <c r="CK82">
        <v>800</v>
      </c>
      <c r="CL82">
        <v>25</v>
      </c>
      <c r="CM82">
        <v>0.02</v>
      </c>
      <c r="CN82">
        <v>0.03</v>
      </c>
      <c r="CO82">
        <v>-32.58608292682927</v>
      </c>
      <c r="CP82">
        <v>-9.8347651567943775</v>
      </c>
      <c r="CQ82">
        <v>0.97012233699307115</v>
      </c>
      <c r="CR82">
        <v>-1</v>
      </c>
      <c r="CS82">
        <v>3.4476187804878049</v>
      </c>
      <c r="CT82">
        <v>0.56654425087108606</v>
      </c>
      <c r="CU82">
        <v>5.7200616242421613E-2</v>
      </c>
      <c r="CV82">
        <v>-1</v>
      </c>
      <c r="CW82">
        <v>0</v>
      </c>
      <c r="CX82">
        <v>0</v>
      </c>
      <c r="CY82" t="s">
        <v>333</v>
      </c>
      <c r="CZ82">
        <v>2.3643800000000001</v>
      </c>
      <c r="DA82">
        <v>2.7138100000000001</v>
      </c>
      <c r="DB82">
        <v>0.14246400000000001</v>
      </c>
      <c r="DC82">
        <v>0.14629500000000001</v>
      </c>
      <c r="DD82">
        <v>0.109565</v>
      </c>
      <c r="DE82">
        <v>9.6316799999999994E-2</v>
      </c>
      <c r="DF82">
        <v>31309.599999999999</v>
      </c>
      <c r="DG82">
        <v>27513.200000000001</v>
      </c>
      <c r="DH82">
        <v>31169.9</v>
      </c>
      <c r="DI82">
        <v>28082.3</v>
      </c>
      <c r="DJ82">
        <v>37684.6</v>
      </c>
      <c r="DK82">
        <v>36087.5</v>
      </c>
      <c r="DL82">
        <v>44359.5</v>
      </c>
      <c r="DM82">
        <v>42567.1</v>
      </c>
      <c r="DN82">
        <v>1.4730300000000001</v>
      </c>
      <c r="DO82">
        <v>2.0542199999999999</v>
      </c>
      <c r="DP82">
        <v>0.103731</v>
      </c>
      <c r="DQ82">
        <v>0.19336100000000001</v>
      </c>
      <c r="DR82">
        <v>25.309000000000001</v>
      </c>
      <c r="DS82">
        <v>25.037600000000001</v>
      </c>
      <c r="DT82">
        <v>57.3</v>
      </c>
      <c r="DU82">
        <v>29.3</v>
      </c>
      <c r="DV82">
        <v>23.667200000000001</v>
      </c>
      <c r="DW82">
        <v>61.622500000000002</v>
      </c>
      <c r="DX82">
        <v>35.084099999999999</v>
      </c>
      <c r="DY82">
        <v>1</v>
      </c>
      <c r="DZ82">
        <v>-7.5469999999999995E-2</v>
      </c>
      <c r="EA82">
        <v>0.73132900000000001</v>
      </c>
      <c r="EB82">
        <v>20.187200000000001</v>
      </c>
      <c r="EC82">
        <v>5.2403500000000003</v>
      </c>
      <c r="ED82">
        <v>12.039899999999999</v>
      </c>
      <c r="EE82">
        <v>5.0168999999999997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1.8691800000000001</v>
      </c>
      <c r="EN82">
        <v>1.8672200000000001</v>
      </c>
      <c r="EO82">
        <v>1.8633999999999999</v>
      </c>
      <c r="EP82">
        <v>1.8645099999999999</v>
      </c>
      <c r="EQ82">
        <v>1.87012</v>
      </c>
      <c r="ER82">
        <v>1.8693900000000001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-0.41499999999999998</v>
      </c>
      <c r="FG82">
        <v>0.31</v>
      </c>
      <c r="FH82">
        <v>0.1121710645629533</v>
      </c>
      <c r="FI82">
        <v>-6.1462078757559423E-4</v>
      </c>
      <c r="FJ82">
        <v>-1.8861989874597051E-7</v>
      </c>
      <c r="FK82">
        <v>1.1980462299894961E-10</v>
      </c>
      <c r="FL82">
        <v>0.30996499999999833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21.5</v>
      </c>
      <c r="FU82">
        <v>21.4</v>
      </c>
      <c r="FV82">
        <v>1.79199</v>
      </c>
      <c r="FW82">
        <v>2.5805699999999998</v>
      </c>
      <c r="FX82">
        <v>1.5490699999999999</v>
      </c>
      <c r="FY82">
        <v>2.3290999999999999</v>
      </c>
      <c r="FZ82">
        <v>1.50024</v>
      </c>
      <c r="GA82">
        <v>2.4291999999999998</v>
      </c>
      <c r="GB82">
        <v>33.963900000000002</v>
      </c>
      <c r="GC82">
        <v>23.991199999999999</v>
      </c>
      <c r="GD82">
        <v>19</v>
      </c>
      <c r="GE82">
        <v>282.39299999999997</v>
      </c>
      <c r="GF82">
        <v>600.30399999999997</v>
      </c>
      <c r="GG82">
        <v>23.959800000000001</v>
      </c>
      <c r="GH82">
        <v>26.421299999999999</v>
      </c>
      <c r="GI82">
        <v>30.000299999999999</v>
      </c>
      <c r="GJ82">
        <v>26.548200000000001</v>
      </c>
      <c r="GK82">
        <v>26.532800000000002</v>
      </c>
      <c r="GL82">
        <v>35.818600000000004</v>
      </c>
      <c r="GM82">
        <v>28.399899999999999</v>
      </c>
      <c r="GN82">
        <v>100</v>
      </c>
      <c r="GO82">
        <v>23.909600000000001</v>
      </c>
      <c r="GP82">
        <v>800</v>
      </c>
      <c r="GQ82">
        <v>19.254799999999999</v>
      </c>
      <c r="GR82">
        <v>99.732699999999994</v>
      </c>
      <c r="GS82">
        <v>99.575500000000005</v>
      </c>
    </row>
    <row r="83" spans="1:201" x14ac:dyDescent="0.25">
      <c r="A83">
        <v>67</v>
      </c>
      <c r="B83">
        <v>1690227475.5</v>
      </c>
      <c r="C83">
        <v>905.90000009536743</v>
      </c>
      <c r="D83" t="s">
        <v>465</v>
      </c>
      <c r="E83" t="s">
        <v>466</v>
      </c>
      <c r="F83" t="s">
        <v>330</v>
      </c>
      <c r="H83">
        <v>1690227475.5</v>
      </c>
      <c r="I83">
        <f t="shared" si="30"/>
        <v>3.3727522139919504E-4</v>
      </c>
      <c r="J83">
        <f t="shared" si="31"/>
        <v>0.33727522139919502</v>
      </c>
      <c r="K83">
        <f t="shared" si="32"/>
        <v>3.0820324518312066</v>
      </c>
      <c r="L83">
        <f t="shared" si="33"/>
        <v>763.88599999999997</v>
      </c>
      <c r="M83">
        <f t="shared" si="34"/>
        <v>500.51950085164452</v>
      </c>
      <c r="N83">
        <f t="shared" si="35"/>
        <v>49.63863990089439</v>
      </c>
      <c r="O83">
        <f t="shared" si="36"/>
        <v>75.757811663313589</v>
      </c>
      <c r="P83">
        <f t="shared" si="37"/>
        <v>2.0109044466843175E-2</v>
      </c>
      <c r="Q83">
        <f t="shared" si="38"/>
        <v>2.1331698300644328</v>
      </c>
      <c r="R83">
        <f t="shared" si="39"/>
        <v>2.000432290335857E-2</v>
      </c>
      <c r="S83">
        <f t="shared" si="40"/>
        <v>1.2512065069422606E-2</v>
      </c>
      <c r="T83">
        <f t="shared" si="41"/>
        <v>276.11431113708272</v>
      </c>
      <c r="U83">
        <f t="shared" si="42"/>
        <v>28.410723318071796</v>
      </c>
      <c r="V83">
        <f t="shared" si="43"/>
        <v>28.410723318071796</v>
      </c>
      <c r="W83">
        <f t="shared" si="44"/>
        <v>3.8866570452980853</v>
      </c>
      <c r="X83">
        <f t="shared" si="45"/>
        <v>65.806690490993276</v>
      </c>
      <c r="Y83">
        <f t="shared" si="46"/>
        <v>2.2664387692965602</v>
      </c>
      <c r="Z83">
        <f t="shared" si="47"/>
        <v>3.4440856277474694</v>
      </c>
      <c r="AA83">
        <f t="shared" si="48"/>
        <v>1.6202182760015251</v>
      </c>
      <c r="AB83">
        <f t="shared" si="49"/>
        <v>-14.873837263704502</v>
      </c>
      <c r="AC83">
        <f t="shared" si="50"/>
        <v>-237.38130668102281</v>
      </c>
      <c r="AD83">
        <f t="shared" si="51"/>
        <v>-24.10708237945525</v>
      </c>
      <c r="AE83">
        <f t="shared" si="52"/>
        <v>-0.24791518709983507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52602.719748413241</v>
      </c>
      <c r="AK83">
        <f t="shared" si="56"/>
        <v>1799.99</v>
      </c>
      <c r="AL83">
        <f t="shared" si="57"/>
        <v>1499.10444199572</v>
      </c>
      <c r="AM83">
        <f t="shared" si="58"/>
        <v>0.83284042800000002</v>
      </c>
      <c r="AN83">
        <f t="shared" si="59"/>
        <v>0.15339769173000001</v>
      </c>
      <c r="AO83">
        <v>32.4</v>
      </c>
      <c r="AP83">
        <v>0.5</v>
      </c>
      <c r="AQ83" t="s">
        <v>331</v>
      </c>
      <c r="AR83">
        <v>2</v>
      </c>
      <c r="AS83">
        <v>1690227475.5</v>
      </c>
      <c r="AT83">
        <v>763.88599999999997</v>
      </c>
      <c r="AU83">
        <v>799.94100000000003</v>
      </c>
      <c r="AV83">
        <v>22.853100000000001</v>
      </c>
      <c r="AW83">
        <v>19.295100000000001</v>
      </c>
      <c r="AX83">
        <v>764.3</v>
      </c>
      <c r="AY83">
        <v>22.543199999999999</v>
      </c>
      <c r="AZ83">
        <v>300.11200000000002</v>
      </c>
      <c r="BA83">
        <v>99.074299999999994</v>
      </c>
      <c r="BB83">
        <v>9.9937600000000001E-2</v>
      </c>
      <c r="BC83">
        <v>26.346599999999999</v>
      </c>
      <c r="BD83">
        <v>26.973700000000001</v>
      </c>
      <c r="BE83">
        <v>28.226600000000001</v>
      </c>
      <c r="BF83">
        <v>0</v>
      </c>
      <c r="BG83">
        <v>0</v>
      </c>
      <c r="BH83">
        <v>10020</v>
      </c>
      <c r="BI83">
        <v>1070.57</v>
      </c>
      <c r="BJ83">
        <v>1.5137799999999999</v>
      </c>
      <c r="BK83">
        <v>-36.055199999999999</v>
      </c>
      <c r="BL83">
        <v>781.75099999999998</v>
      </c>
      <c r="BM83">
        <v>815.67899999999997</v>
      </c>
      <c r="BN83">
        <v>3.55802</v>
      </c>
      <c r="BO83">
        <v>799.94100000000003</v>
      </c>
      <c r="BP83">
        <v>19.295100000000001</v>
      </c>
      <c r="BQ83">
        <v>2.26416</v>
      </c>
      <c r="BR83">
        <v>1.9116500000000001</v>
      </c>
      <c r="BS83">
        <v>19.4236</v>
      </c>
      <c r="BT83">
        <v>16.730899999999998</v>
      </c>
      <c r="BU83">
        <v>1799.99</v>
      </c>
      <c r="BV83">
        <v>0.90999600000000003</v>
      </c>
      <c r="BW83">
        <v>3.39951E-2</v>
      </c>
      <c r="BX83">
        <v>2.20039E-2</v>
      </c>
      <c r="BY83">
        <v>3.4005100000000003E-2</v>
      </c>
      <c r="BZ83">
        <v>25.083300000000001</v>
      </c>
      <c r="CA83">
        <v>33528.199999999997</v>
      </c>
      <c r="CB83">
        <v>1690226183.5999999</v>
      </c>
      <c r="CC83" t="s">
        <v>332</v>
      </c>
      <c r="CD83">
        <v>1690226177.5999999</v>
      </c>
      <c r="CE83">
        <v>1690226183.5999999</v>
      </c>
      <c r="CF83">
        <v>12</v>
      </c>
      <c r="CG83">
        <v>-0.255</v>
      </c>
      <c r="CH83">
        <v>0.113</v>
      </c>
      <c r="CI83">
        <v>-0.439</v>
      </c>
      <c r="CJ83">
        <v>0.31</v>
      </c>
      <c r="CK83">
        <v>800</v>
      </c>
      <c r="CL83">
        <v>25</v>
      </c>
      <c r="CM83">
        <v>0.02</v>
      </c>
      <c r="CN83">
        <v>0.03</v>
      </c>
      <c r="CO83">
        <v>-34.293053658536579</v>
      </c>
      <c r="CP83">
        <v>-10.51898885017426</v>
      </c>
      <c r="CQ83">
        <v>1.037881807288888</v>
      </c>
      <c r="CR83">
        <v>-1</v>
      </c>
      <c r="CS83">
        <v>3.5150402439024391</v>
      </c>
      <c r="CT83">
        <v>0.21115275261324681</v>
      </c>
      <c r="CU83">
        <v>2.198203828714675E-2</v>
      </c>
      <c r="CV83">
        <v>-1</v>
      </c>
      <c r="CW83">
        <v>0</v>
      </c>
      <c r="CX83">
        <v>0</v>
      </c>
      <c r="CY83" t="s">
        <v>333</v>
      </c>
      <c r="CZ83">
        <v>2.36402</v>
      </c>
      <c r="DA83">
        <v>2.7137500000000001</v>
      </c>
      <c r="DB83">
        <v>0.14224200000000001</v>
      </c>
      <c r="DC83">
        <v>0.14627899999999999</v>
      </c>
      <c r="DD83">
        <v>0.10954800000000001</v>
      </c>
      <c r="DE83">
        <v>9.61587E-2</v>
      </c>
      <c r="DF83">
        <v>31317.9</v>
      </c>
      <c r="DG83">
        <v>27514.400000000001</v>
      </c>
      <c r="DH83">
        <v>31170.2</v>
      </c>
      <c r="DI83">
        <v>28083</v>
      </c>
      <c r="DJ83">
        <v>37685.5</v>
      </c>
      <c r="DK83">
        <v>36094.5</v>
      </c>
      <c r="DL83">
        <v>44359.7</v>
      </c>
      <c r="DM83">
        <v>42568</v>
      </c>
      <c r="DN83">
        <v>1.47285</v>
      </c>
      <c r="DO83">
        <v>2.0542199999999999</v>
      </c>
      <c r="DP83">
        <v>0.101812</v>
      </c>
      <c r="DQ83">
        <v>0.19503799999999999</v>
      </c>
      <c r="DR83">
        <v>25.3063</v>
      </c>
      <c r="DS83">
        <v>25.035</v>
      </c>
      <c r="DT83">
        <v>57.3</v>
      </c>
      <c r="DU83">
        <v>29.3</v>
      </c>
      <c r="DV83">
        <v>23.666799999999999</v>
      </c>
      <c r="DW83">
        <v>61.5824</v>
      </c>
      <c r="DX83">
        <v>36.157899999999998</v>
      </c>
      <c r="DY83">
        <v>1</v>
      </c>
      <c r="DZ83">
        <v>-7.6272900000000005E-2</v>
      </c>
      <c r="EA83">
        <v>0.59234799999999999</v>
      </c>
      <c r="EB83">
        <v>20.187999999999999</v>
      </c>
      <c r="EC83">
        <v>5.2408000000000001</v>
      </c>
      <c r="ED83">
        <v>12.039899999999999</v>
      </c>
      <c r="EE83">
        <v>5.0167999999999999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1.86917</v>
      </c>
      <c r="EN83">
        <v>1.8672299999999999</v>
      </c>
      <c r="EO83">
        <v>1.86338</v>
      </c>
      <c r="EP83">
        <v>1.8644799999999999</v>
      </c>
      <c r="EQ83">
        <v>1.8701300000000001</v>
      </c>
      <c r="ER83">
        <v>1.86937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-0.41399999999999998</v>
      </c>
      <c r="FG83">
        <v>0.30990000000000001</v>
      </c>
      <c r="FH83">
        <v>0.1121710645629533</v>
      </c>
      <c r="FI83">
        <v>-6.1462078757559423E-4</v>
      </c>
      <c r="FJ83">
        <v>-1.8861989874597051E-7</v>
      </c>
      <c r="FK83">
        <v>1.1980462299894961E-10</v>
      </c>
      <c r="FL83">
        <v>0.30996499999999833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21.6</v>
      </c>
      <c r="FU83">
        <v>21.5</v>
      </c>
      <c r="FV83">
        <v>1.79199</v>
      </c>
      <c r="FW83">
        <v>2.5842299999999998</v>
      </c>
      <c r="FX83">
        <v>1.5490699999999999</v>
      </c>
      <c r="FY83">
        <v>2.3290999999999999</v>
      </c>
      <c r="FZ83">
        <v>1.50146</v>
      </c>
      <c r="GA83">
        <v>2.3828100000000001</v>
      </c>
      <c r="GB83">
        <v>33.963900000000002</v>
      </c>
      <c r="GC83">
        <v>23.991199999999999</v>
      </c>
      <c r="GD83">
        <v>19</v>
      </c>
      <c r="GE83">
        <v>282.30500000000001</v>
      </c>
      <c r="GF83">
        <v>600.27200000000005</v>
      </c>
      <c r="GG83">
        <v>23.8752</v>
      </c>
      <c r="GH83">
        <v>26.416799999999999</v>
      </c>
      <c r="GI83">
        <v>29.9999</v>
      </c>
      <c r="GJ83">
        <v>26.545100000000001</v>
      </c>
      <c r="GK83">
        <v>26.530100000000001</v>
      </c>
      <c r="GL83">
        <v>35.817999999999998</v>
      </c>
      <c r="GM83">
        <v>28.676100000000002</v>
      </c>
      <c r="GN83">
        <v>100</v>
      </c>
      <c r="GO83">
        <v>23.874600000000001</v>
      </c>
      <c r="GP83">
        <v>800</v>
      </c>
      <c r="GQ83">
        <v>19.202300000000001</v>
      </c>
      <c r="GR83">
        <v>99.733400000000003</v>
      </c>
      <c r="GS83">
        <v>99.577600000000004</v>
      </c>
    </row>
    <row r="84" spans="1:201" x14ac:dyDescent="0.25">
      <c r="A84">
        <v>68</v>
      </c>
      <c r="B84">
        <v>1690227485.5</v>
      </c>
      <c r="C84">
        <v>915.90000009536743</v>
      </c>
      <c r="D84" t="s">
        <v>467</v>
      </c>
      <c r="E84" t="s">
        <v>468</v>
      </c>
      <c r="F84" t="s">
        <v>330</v>
      </c>
      <c r="H84">
        <v>1690227485.5</v>
      </c>
      <c r="I84">
        <f t="shared" si="30"/>
        <v>3.4765044916215627E-4</v>
      </c>
      <c r="J84">
        <f t="shared" si="31"/>
        <v>0.34765044916215626</v>
      </c>
      <c r="K84">
        <f t="shared" si="32"/>
        <v>3.2484207464086112</v>
      </c>
      <c r="L84">
        <f t="shared" si="33"/>
        <v>762.08699999999999</v>
      </c>
      <c r="M84">
        <f t="shared" si="34"/>
        <v>493.56640099454455</v>
      </c>
      <c r="N84">
        <f t="shared" si="35"/>
        <v>48.949412281853078</v>
      </c>
      <c r="O84">
        <f t="shared" si="36"/>
        <v>75.579923354735996</v>
      </c>
      <c r="P84">
        <f t="shared" si="37"/>
        <v>2.0752227671688439E-2</v>
      </c>
      <c r="Q84">
        <f t="shared" si="38"/>
        <v>2.129389982113342</v>
      </c>
      <c r="R84">
        <f t="shared" si="39"/>
        <v>2.064052324716819E-2</v>
      </c>
      <c r="S84">
        <f t="shared" si="40"/>
        <v>1.2910313002698352E-2</v>
      </c>
      <c r="T84">
        <f t="shared" si="41"/>
        <v>276.11426804532209</v>
      </c>
      <c r="U84">
        <f t="shared" si="42"/>
        <v>28.406039100265343</v>
      </c>
      <c r="V84">
        <f t="shared" si="43"/>
        <v>28.406039100265343</v>
      </c>
      <c r="W84">
        <f t="shared" si="44"/>
        <v>3.8855990606528557</v>
      </c>
      <c r="X84">
        <f t="shared" si="45"/>
        <v>65.840082174519381</v>
      </c>
      <c r="Y84">
        <f t="shared" si="46"/>
        <v>2.2670000091807996</v>
      </c>
      <c r="Z84">
        <f t="shared" si="47"/>
        <v>3.4431913422765228</v>
      </c>
      <c r="AA84">
        <f t="shared" si="48"/>
        <v>1.6185990514720561</v>
      </c>
      <c r="AB84">
        <f t="shared" si="49"/>
        <v>-15.331384808051091</v>
      </c>
      <c r="AC84">
        <f t="shared" si="50"/>
        <v>-236.92805324831491</v>
      </c>
      <c r="AD84">
        <f t="shared" si="51"/>
        <v>-24.102669481828634</v>
      </c>
      <c r="AE84">
        <f t="shared" si="52"/>
        <v>-0.24783949287254359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52440.168586743101</v>
      </c>
      <c r="AK84">
        <f t="shared" si="56"/>
        <v>1799.99</v>
      </c>
      <c r="AL84">
        <f t="shared" si="57"/>
        <v>1499.1009698150099</v>
      </c>
      <c r="AM84">
        <f t="shared" si="58"/>
        <v>0.83283849899999995</v>
      </c>
      <c r="AN84">
        <f t="shared" si="59"/>
        <v>0.15339766779</v>
      </c>
      <c r="AO84">
        <v>32.4</v>
      </c>
      <c r="AP84">
        <v>0.5</v>
      </c>
      <c r="AQ84" t="s">
        <v>331</v>
      </c>
      <c r="AR84">
        <v>2</v>
      </c>
      <c r="AS84">
        <v>1690227485.5</v>
      </c>
      <c r="AT84">
        <v>762.08699999999999</v>
      </c>
      <c r="AU84">
        <v>799.99199999999996</v>
      </c>
      <c r="AV84">
        <v>22.858599999999999</v>
      </c>
      <c r="AW84">
        <v>19.1936</v>
      </c>
      <c r="AX84">
        <v>762.5</v>
      </c>
      <c r="AY84">
        <v>22.5487</v>
      </c>
      <c r="AZ84">
        <v>300.31099999999998</v>
      </c>
      <c r="BA84">
        <v>99.0749</v>
      </c>
      <c r="BB84">
        <v>0.10002800000000001</v>
      </c>
      <c r="BC84">
        <v>26.342199999999998</v>
      </c>
      <c r="BD84">
        <v>27.006900000000002</v>
      </c>
      <c r="BE84">
        <v>28.207999999999998</v>
      </c>
      <c r="BF84">
        <v>0</v>
      </c>
      <c r="BG84">
        <v>0</v>
      </c>
      <c r="BH84">
        <v>9987.5</v>
      </c>
      <c r="BI84">
        <v>1070.6600000000001</v>
      </c>
      <c r="BJ84">
        <v>1.5137799999999999</v>
      </c>
      <c r="BK84">
        <v>-37.905200000000001</v>
      </c>
      <c r="BL84">
        <v>779.91499999999996</v>
      </c>
      <c r="BM84">
        <v>815.64700000000005</v>
      </c>
      <c r="BN84">
        <v>3.6650399999999999</v>
      </c>
      <c r="BO84">
        <v>799.99199999999996</v>
      </c>
      <c r="BP84">
        <v>19.1936</v>
      </c>
      <c r="BQ84">
        <v>2.2647200000000001</v>
      </c>
      <c r="BR84">
        <v>1.9016</v>
      </c>
      <c r="BS84">
        <v>19.427600000000002</v>
      </c>
      <c r="BT84">
        <v>16.648</v>
      </c>
      <c r="BU84">
        <v>1799.99</v>
      </c>
      <c r="BV84">
        <v>0.90998599999999996</v>
      </c>
      <c r="BW84">
        <v>3.4006500000000002E-2</v>
      </c>
      <c r="BX84">
        <v>2.2003200000000001E-2</v>
      </c>
      <c r="BY84">
        <v>3.4003899999999997E-2</v>
      </c>
      <c r="BZ84">
        <v>25.041699999999999</v>
      </c>
      <c r="CA84">
        <v>33528.1</v>
      </c>
      <c r="CB84">
        <v>1690226183.5999999</v>
      </c>
      <c r="CC84" t="s">
        <v>332</v>
      </c>
      <c r="CD84">
        <v>1690226177.5999999</v>
      </c>
      <c r="CE84">
        <v>1690226183.5999999</v>
      </c>
      <c r="CF84">
        <v>12</v>
      </c>
      <c r="CG84">
        <v>-0.255</v>
      </c>
      <c r="CH84">
        <v>0.113</v>
      </c>
      <c r="CI84">
        <v>-0.439</v>
      </c>
      <c r="CJ84">
        <v>0.31</v>
      </c>
      <c r="CK84">
        <v>800</v>
      </c>
      <c r="CL84">
        <v>25</v>
      </c>
      <c r="CM84">
        <v>0.02</v>
      </c>
      <c r="CN84">
        <v>0.03</v>
      </c>
      <c r="CO84">
        <v>-36.064321951219512</v>
      </c>
      <c r="CP84">
        <v>-10.66806271777007</v>
      </c>
      <c r="CQ84">
        <v>1.0528419174675181</v>
      </c>
      <c r="CR84">
        <v>-1</v>
      </c>
      <c r="CS84">
        <v>3.5657029268292688</v>
      </c>
      <c r="CT84">
        <v>0.44343114982578691</v>
      </c>
      <c r="CU84">
        <v>4.6518508786571738E-2</v>
      </c>
      <c r="CV84">
        <v>-1</v>
      </c>
      <c r="CW84">
        <v>0</v>
      </c>
      <c r="CX84">
        <v>0</v>
      </c>
      <c r="CY84" t="s">
        <v>333</v>
      </c>
      <c r="CZ84">
        <v>2.3646699999999998</v>
      </c>
      <c r="DA84">
        <v>2.7138100000000001</v>
      </c>
      <c r="DB84">
        <v>0.14201800000000001</v>
      </c>
      <c r="DC84">
        <v>0.146285</v>
      </c>
      <c r="DD84">
        <v>0.109569</v>
      </c>
      <c r="DE84">
        <v>9.5799300000000004E-2</v>
      </c>
      <c r="DF84">
        <v>31326.400000000001</v>
      </c>
      <c r="DG84">
        <v>27514.5</v>
      </c>
      <c r="DH84">
        <v>31170.5</v>
      </c>
      <c r="DI84">
        <v>28083.3</v>
      </c>
      <c r="DJ84">
        <v>37684.800000000003</v>
      </c>
      <c r="DK84">
        <v>36109.4</v>
      </c>
      <c r="DL84">
        <v>44360</v>
      </c>
      <c r="DM84">
        <v>42568.5</v>
      </c>
      <c r="DN84">
        <v>1.4734</v>
      </c>
      <c r="DO84">
        <v>2.0543</v>
      </c>
      <c r="DP84">
        <v>0.104029</v>
      </c>
      <c r="DQ84">
        <v>0.19395699999999999</v>
      </c>
      <c r="DR84">
        <v>25.3033</v>
      </c>
      <c r="DS84">
        <v>25.034099999999999</v>
      </c>
      <c r="DT84">
        <v>57.3</v>
      </c>
      <c r="DU84">
        <v>29.3</v>
      </c>
      <c r="DV84">
        <v>23.6661</v>
      </c>
      <c r="DW84">
        <v>61.692500000000003</v>
      </c>
      <c r="DX84">
        <v>35.821300000000001</v>
      </c>
      <c r="DY84">
        <v>1</v>
      </c>
      <c r="DZ84">
        <v>-7.6826699999999998E-2</v>
      </c>
      <c r="EA84">
        <v>0.40865699999999999</v>
      </c>
      <c r="EB84">
        <v>20.188800000000001</v>
      </c>
      <c r="EC84">
        <v>5.2406499999999996</v>
      </c>
      <c r="ED84">
        <v>12.039899999999999</v>
      </c>
      <c r="EE84">
        <v>5.0170000000000003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1.8691800000000001</v>
      </c>
      <c r="EN84">
        <v>1.8672200000000001</v>
      </c>
      <c r="EO84">
        <v>1.8633900000000001</v>
      </c>
      <c r="EP84">
        <v>1.8644700000000001</v>
      </c>
      <c r="EQ84">
        <v>1.87012</v>
      </c>
      <c r="ER84">
        <v>1.86938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-0.41299999999999998</v>
      </c>
      <c r="FG84">
        <v>0.30990000000000001</v>
      </c>
      <c r="FH84">
        <v>0.1121710645629533</v>
      </c>
      <c r="FI84">
        <v>-6.1462078757559423E-4</v>
      </c>
      <c r="FJ84">
        <v>-1.8861989874597051E-7</v>
      </c>
      <c r="FK84">
        <v>1.1980462299894961E-10</v>
      </c>
      <c r="FL84">
        <v>0.30996499999999833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21.8</v>
      </c>
      <c r="FU84">
        <v>21.7</v>
      </c>
      <c r="FV84">
        <v>1.79077</v>
      </c>
      <c r="FW84">
        <v>2.5781200000000002</v>
      </c>
      <c r="FX84">
        <v>1.5490699999999999</v>
      </c>
      <c r="FY84">
        <v>2.3290999999999999</v>
      </c>
      <c r="FZ84">
        <v>1.50146</v>
      </c>
      <c r="GA84">
        <v>2.3706100000000001</v>
      </c>
      <c r="GB84">
        <v>33.963900000000002</v>
      </c>
      <c r="GC84">
        <v>23.982399999999998</v>
      </c>
      <c r="GD84">
        <v>19</v>
      </c>
      <c r="GE84">
        <v>282.52300000000002</v>
      </c>
      <c r="GF84">
        <v>600.298</v>
      </c>
      <c r="GG84">
        <v>23.8706</v>
      </c>
      <c r="GH84">
        <v>26.411799999999999</v>
      </c>
      <c r="GI84">
        <v>29.9998</v>
      </c>
      <c r="GJ84">
        <v>26.541499999999999</v>
      </c>
      <c r="GK84">
        <v>26.526900000000001</v>
      </c>
      <c r="GL84">
        <v>35.8127</v>
      </c>
      <c r="GM84">
        <v>28.956099999999999</v>
      </c>
      <c r="GN84">
        <v>100</v>
      </c>
      <c r="GO84">
        <v>23.8858</v>
      </c>
      <c r="GP84">
        <v>800</v>
      </c>
      <c r="GQ84">
        <v>19.144300000000001</v>
      </c>
      <c r="GR84">
        <v>99.734200000000001</v>
      </c>
      <c r="GS84">
        <v>99.578900000000004</v>
      </c>
    </row>
    <row r="85" spans="1:201" x14ac:dyDescent="0.25">
      <c r="A85">
        <v>69</v>
      </c>
      <c r="B85">
        <v>1690227495.5</v>
      </c>
      <c r="C85">
        <v>925.90000009536743</v>
      </c>
      <c r="D85" t="s">
        <v>469</v>
      </c>
      <c r="E85" t="s">
        <v>470</v>
      </c>
      <c r="F85" t="s">
        <v>330</v>
      </c>
      <c r="H85">
        <v>1690227495.5</v>
      </c>
      <c r="I85">
        <f t="shared" si="30"/>
        <v>3.5053924311771229E-4</v>
      </c>
      <c r="J85">
        <f t="shared" si="31"/>
        <v>0.35053924311771228</v>
      </c>
      <c r="K85">
        <f t="shared" si="32"/>
        <v>3.4312607966852879</v>
      </c>
      <c r="L85">
        <f t="shared" si="33"/>
        <v>760.18</v>
      </c>
      <c r="M85">
        <f t="shared" si="34"/>
        <v>480.11649351124174</v>
      </c>
      <c r="N85">
        <f t="shared" si="35"/>
        <v>47.614330387268424</v>
      </c>
      <c r="O85">
        <f t="shared" si="36"/>
        <v>75.388915321539997</v>
      </c>
      <c r="P85">
        <f t="shared" si="37"/>
        <v>2.0942047876082608E-2</v>
      </c>
      <c r="Q85">
        <f t="shared" si="38"/>
        <v>2.1319834770618882</v>
      </c>
      <c r="R85">
        <f t="shared" si="39"/>
        <v>2.0828434199327076E-2</v>
      </c>
      <c r="S85">
        <f t="shared" si="40"/>
        <v>1.3027927627801222E-2</v>
      </c>
      <c r="T85">
        <f t="shared" si="41"/>
        <v>276.11415297196135</v>
      </c>
      <c r="U85">
        <f t="shared" si="42"/>
        <v>28.40744102541132</v>
      </c>
      <c r="V85">
        <f t="shared" si="43"/>
        <v>28.40744102541132</v>
      </c>
      <c r="W85">
        <f t="shared" si="44"/>
        <v>3.8859156752808777</v>
      </c>
      <c r="X85">
        <f t="shared" si="45"/>
        <v>65.869704684333826</v>
      </c>
      <c r="Y85">
        <f t="shared" si="46"/>
        <v>2.2686492003373999</v>
      </c>
      <c r="Z85">
        <f t="shared" si="47"/>
        <v>3.444146609142102</v>
      </c>
      <c r="AA85">
        <f t="shared" si="48"/>
        <v>1.6172664749434777</v>
      </c>
      <c r="AB85">
        <f t="shared" si="49"/>
        <v>-15.458780621491112</v>
      </c>
      <c r="AC85">
        <f t="shared" si="50"/>
        <v>-236.8375412102362</v>
      </c>
      <c r="AD85">
        <f t="shared" si="51"/>
        <v>-24.064885084150088</v>
      </c>
      <c r="AE85">
        <f t="shared" si="52"/>
        <v>-0.24705394391605751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52551.325163579801</v>
      </c>
      <c r="AK85">
        <f t="shared" si="56"/>
        <v>1799.99</v>
      </c>
      <c r="AL85">
        <f t="shared" si="57"/>
        <v>1499.1008294157898</v>
      </c>
      <c r="AM85">
        <f t="shared" si="58"/>
        <v>0.83283842099999994</v>
      </c>
      <c r="AN85">
        <f t="shared" si="59"/>
        <v>0.15339760385999998</v>
      </c>
      <c r="AO85">
        <v>32.4</v>
      </c>
      <c r="AP85">
        <v>0.5</v>
      </c>
      <c r="AQ85" t="s">
        <v>331</v>
      </c>
      <c r="AR85">
        <v>2</v>
      </c>
      <c r="AS85">
        <v>1690227495.5</v>
      </c>
      <c r="AT85">
        <v>760.18</v>
      </c>
      <c r="AU85">
        <v>800.08399999999995</v>
      </c>
      <c r="AV85">
        <v>22.875800000000002</v>
      </c>
      <c r="AW85">
        <v>19.179500000000001</v>
      </c>
      <c r="AX85">
        <v>760.59199999999998</v>
      </c>
      <c r="AY85">
        <v>22.565799999999999</v>
      </c>
      <c r="AZ85">
        <v>300.23700000000002</v>
      </c>
      <c r="BA85">
        <v>99.072400000000002</v>
      </c>
      <c r="BB85">
        <v>0.100053</v>
      </c>
      <c r="BC85">
        <v>26.346900000000002</v>
      </c>
      <c r="BD85">
        <v>26.9314</v>
      </c>
      <c r="BE85">
        <v>28.2302</v>
      </c>
      <c r="BF85">
        <v>0</v>
      </c>
      <c r="BG85">
        <v>0</v>
      </c>
      <c r="BH85">
        <v>10010</v>
      </c>
      <c r="BI85">
        <v>1070.6600000000001</v>
      </c>
      <c r="BJ85">
        <v>1.5137799999999999</v>
      </c>
      <c r="BK85">
        <v>-39.903799999999997</v>
      </c>
      <c r="BL85">
        <v>777.97699999999998</v>
      </c>
      <c r="BM85">
        <v>815.72900000000004</v>
      </c>
      <c r="BN85">
        <v>3.6962700000000002</v>
      </c>
      <c r="BO85">
        <v>800.08399999999995</v>
      </c>
      <c r="BP85">
        <v>19.179500000000001</v>
      </c>
      <c r="BQ85">
        <v>2.2663600000000002</v>
      </c>
      <c r="BR85">
        <v>1.9001600000000001</v>
      </c>
      <c r="BS85">
        <v>19.439299999999999</v>
      </c>
      <c r="BT85">
        <v>16.635999999999999</v>
      </c>
      <c r="BU85">
        <v>1799.99</v>
      </c>
      <c r="BV85">
        <v>0.90998699999999999</v>
      </c>
      <c r="BW85">
        <v>3.4007700000000002E-2</v>
      </c>
      <c r="BX85">
        <v>2.2002299999999999E-2</v>
      </c>
      <c r="BY85">
        <v>3.4002600000000001E-2</v>
      </c>
      <c r="BZ85">
        <v>25.041699999999999</v>
      </c>
      <c r="CA85">
        <v>33528.1</v>
      </c>
      <c r="CB85">
        <v>1690226183.5999999</v>
      </c>
      <c r="CC85" t="s">
        <v>332</v>
      </c>
      <c r="CD85">
        <v>1690226177.5999999</v>
      </c>
      <c r="CE85">
        <v>1690226183.5999999</v>
      </c>
      <c r="CF85">
        <v>12</v>
      </c>
      <c r="CG85">
        <v>-0.255</v>
      </c>
      <c r="CH85">
        <v>0.113</v>
      </c>
      <c r="CI85">
        <v>-0.439</v>
      </c>
      <c r="CJ85">
        <v>0.31</v>
      </c>
      <c r="CK85">
        <v>800</v>
      </c>
      <c r="CL85">
        <v>25</v>
      </c>
      <c r="CM85">
        <v>0.02</v>
      </c>
      <c r="CN85">
        <v>0.03</v>
      </c>
      <c r="CO85">
        <v>-37.656765853658527</v>
      </c>
      <c r="CP85">
        <v>-10.91047944250875</v>
      </c>
      <c r="CQ85">
        <v>1.076730664198003</v>
      </c>
      <c r="CR85">
        <v>-1</v>
      </c>
      <c r="CS85">
        <v>3.6315709756097561</v>
      </c>
      <c r="CT85">
        <v>0.48299979094076989</v>
      </c>
      <c r="CU85">
        <v>5.0152343709302251E-2</v>
      </c>
      <c r="CV85">
        <v>-1</v>
      </c>
      <c r="CW85">
        <v>0</v>
      </c>
      <c r="CX85">
        <v>0</v>
      </c>
      <c r="CY85" t="s">
        <v>333</v>
      </c>
      <c r="CZ85">
        <v>2.36442</v>
      </c>
      <c r="DA85">
        <v>2.7138499999999999</v>
      </c>
      <c r="DB85">
        <v>0.14177600000000001</v>
      </c>
      <c r="DC85">
        <v>0.14629300000000001</v>
      </c>
      <c r="DD85">
        <v>0.109625</v>
      </c>
      <c r="DE85">
        <v>9.5747299999999994E-2</v>
      </c>
      <c r="DF85">
        <v>31335.5</v>
      </c>
      <c r="DG85">
        <v>27514.799999999999</v>
      </c>
      <c r="DH85">
        <v>31170.7</v>
      </c>
      <c r="DI85">
        <v>28083.8</v>
      </c>
      <c r="DJ85">
        <v>37682.800000000003</v>
      </c>
      <c r="DK85">
        <v>36112</v>
      </c>
      <c r="DL85">
        <v>44360.5</v>
      </c>
      <c r="DM85">
        <v>42569.2</v>
      </c>
      <c r="DN85">
        <v>1.4733799999999999</v>
      </c>
      <c r="DO85">
        <v>2.0539499999999999</v>
      </c>
      <c r="DP85">
        <v>9.9521100000000001E-2</v>
      </c>
      <c r="DQ85">
        <v>0.19531699999999999</v>
      </c>
      <c r="DR85">
        <v>25.301600000000001</v>
      </c>
      <c r="DS85">
        <v>25.034099999999999</v>
      </c>
      <c r="DT85">
        <v>57.3</v>
      </c>
      <c r="DU85">
        <v>29.2</v>
      </c>
      <c r="DV85">
        <v>23.533899999999999</v>
      </c>
      <c r="DW85">
        <v>61.5625</v>
      </c>
      <c r="DX85">
        <v>35.264400000000002</v>
      </c>
      <c r="DY85">
        <v>1</v>
      </c>
      <c r="DZ85">
        <v>-7.7347600000000002E-2</v>
      </c>
      <c r="EA85">
        <v>0.444357</v>
      </c>
      <c r="EB85">
        <v>20.189</v>
      </c>
      <c r="EC85">
        <v>5.2404999999999999</v>
      </c>
      <c r="ED85">
        <v>12.039899999999999</v>
      </c>
      <c r="EE85">
        <v>5.0167999999999999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1.8646199999999999</v>
      </c>
      <c r="EM85">
        <v>1.8691899999999999</v>
      </c>
      <c r="EN85">
        <v>1.8672200000000001</v>
      </c>
      <c r="EO85">
        <v>1.8633999999999999</v>
      </c>
      <c r="EP85">
        <v>1.8645</v>
      </c>
      <c r="EQ85">
        <v>1.8701300000000001</v>
      </c>
      <c r="ER85">
        <v>1.86938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-0.41199999999999998</v>
      </c>
      <c r="FG85">
        <v>0.31</v>
      </c>
      <c r="FH85">
        <v>0.1121710645629533</v>
      </c>
      <c r="FI85">
        <v>-6.1462078757559423E-4</v>
      </c>
      <c r="FJ85">
        <v>-1.8861989874597051E-7</v>
      </c>
      <c r="FK85">
        <v>1.1980462299894961E-10</v>
      </c>
      <c r="FL85">
        <v>0.30996499999999833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22</v>
      </c>
      <c r="FU85">
        <v>21.9</v>
      </c>
      <c r="FV85">
        <v>1.79077</v>
      </c>
      <c r="FW85">
        <v>2.5842299999999998</v>
      </c>
      <c r="FX85">
        <v>1.5490699999999999</v>
      </c>
      <c r="FY85">
        <v>2.3290999999999999</v>
      </c>
      <c r="FZ85">
        <v>1.50024</v>
      </c>
      <c r="GA85">
        <v>2.36938</v>
      </c>
      <c r="GB85">
        <v>33.963900000000002</v>
      </c>
      <c r="GC85">
        <v>23.982399999999998</v>
      </c>
      <c r="GD85">
        <v>19</v>
      </c>
      <c r="GE85">
        <v>282.50299999999999</v>
      </c>
      <c r="GF85">
        <v>599.976</v>
      </c>
      <c r="GG85">
        <v>23.8919</v>
      </c>
      <c r="GH85">
        <v>26.406700000000001</v>
      </c>
      <c r="GI85">
        <v>29.999700000000001</v>
      </c>
      <c r="GJ85">
        <v>26.539200000000001</v>
      </c>
      <c r="GK85">
        <v>26.524699999999999</v>
      </c>
      <c r="GL85">
        <v>35.810499999999998</v>
      </c>
      <c r="GM85">
        <v>29.251300000000001</v>
      </c>
      <c r="GN85">
        <v>100</v>
      </c>
      <c r="GO85">
        <v>23.887</v>
      </c>
      <c r="GP85">
        <v>800</v>
      </c>
      <c r="GQ85">
        <v>19.0761</v>
      </c>
      <c r="GR85">
        <v>99.735100000000003</v>
      </c>
      <c r="GS85">
        <v>99.580600000000004</v>
      </c>
    </row>
    <row r="86" spans="1:201" x14ac:dyDescent="0.25">
      <c r="A86">
        <v>70</v>
      </c>
      <c r="B86">
        <v>1690227505.5</v>
      </c>
      <c r="C86">
        <v>935.90000009536743</v>
      </c>
      <c r="D86" t="s">
        <v>471</v>
      </c>
      <c r="E86" t="s">
        <v>472</v>
      </c>
      <c r="F86" t="s">
        <v>330</v>
      </c>
      <c r="H86">
        <v>1690227505.5</v>
      </c>
      <c r="I86">
        <f t="shared" si="30"/>
        <v>3.581096536323439E-4</v>
      </c>
      <c r="J86">
        <f t="shared" si="31"/>
        <v>0.35810965363234387</v>
      </c>
      <c r="K86">
        <f t="shared" si="32"/>
        <v>3.6065176496522264</v>
      </c>
      <c r="L86">
        <f t="shared" si="33"/>
        <v>758.19100000000003</v>
      </c>
      <c r="M86">
        <f t="shared" si="34"/>
        <v>470.99590452349537</v>
      </c>
      <c r="N86">
        <f t="shared" si="35"/>
        <v>46.712751154054487</v>
      </c>
      <c r="O86">
        <f t="shared" si="36"/>
        <v>75.196381051497994</v>
      </c>
      <c r="P86">
        <f t="shared" si="37"/>
        <v>2.1420391006462331E-2</v>
      </c>
      <c r="Q86">
        <f t="shared" si="38"/>
        <v>2.1316138234601043</v>
      </c>
      <c r="R86">
        <f t="shared" si="39"/>
        <v>2.1301523301315184E-2</v>
      </c>
      <c r="S86">
        <f t="shared" si="40"/>
        <v>1.3324076762583299E-2</v>
      </c>
      <c r="T86">
        <f t="shared" si="41"/>
        <v>276.11554919399998</v>
      </c>
      <c r="U86">
        <f t="shared" si="42"/>
        <v>28.40793184033576</v>
      </c>
      <c r="V86">
        <f t="shared" si="43"/>
        <v>28.40793184033576</v>
      </c>
      <c r="W86">
        <f t="shared" si="44"/>
        <v>3.8860265275905976</v>
      </c>
      <c r="X86">
        <f t="shared" si="45"/>
        <v>65.910748248835858</v>
      </c>
      <c r="Y86">
        <f t="shared" si="46"/>
        <v>2.2704379682471996</v>
      </c>
      <c r="Z86">
        <f t="shared" si="47"/>
        <v>3.4447158142940681</v>
      </c>
      <c r="AA86">
        <f t="shared" si="48"/>
        <v>1.6155885593433981</v>
      </c>
      <c r="AB86">
        <f t="shared" si="49"/>
        <v>-15.792635725186367</v>
      </c>
      <c r="AC86">
        <f t="shared" si="50"/>
        <v>-236.53110662929208</v>
      </c>
      <c r="AD86">
        <f t="shared" si="51"/>
        <v>-24.038310696770907</v>
      </c>
      <c r="AE86">
        <f t="shared" si="52"/>
        <v>-0.24650385724936541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52534.990836194447</v>
      </c>
      <c r="AK86">
        <f t="shared" si="56"/>
        <v>1800</v>
      </c>
      <c r="AL86">
        <f t="shared" si="57"/>
        <v>1499.1098813999997</v>
      </c>
      <c r="AM86">
        <f t="shared" si="58"/>
        <v>0.83283882299999989</v>
      </c>
      <c r="AN86">
        <f t="shared" si="59"/>
        <v>0.15339752733000001</v>
      </c>
      <c r="AO86">
        <v>32.4</v>
      </c>
      <c r="AP86">
        <v>0.5</v>
      </c>
      <c r="AQ86" t="s">
        <v>331</v>
      </c>
      <c r="AR86">
        <v>2</v>
      </c>
      <c r="AS86">
        <v>1690227505.5</v>
      </c>
      <c r="AT86">
        <v>758.19100000000003</v>
      </c>
      <c r="AU86">
        <v>800.04</v>
      </c>
      <c r="AV86">
        <v>22.892399999999999</v>
      </c>
      <c r="AW86">
        <v>19.116399999999999</v>
      </c>
      <c r="AX86">
        <v>758.60199999999998</v>
      </c>
      <c r="AY86">
        <v>22.5824</v>
      </c>
      <c r="AZ86">
        <v>300.24200000000002</v>
      </c>
      <c r="BA86">
        <v>99.078599999999994</v>
      </c>
      <c r="BB86">
        <v>0.100078</v>
      </c>
      <c r="BC86">
        <v>26.349699999999999</v>
      </c>
      <c r="BD86">
        <v>26.954499999999999</v>
      </c>
      <c r="BE86">
        <v>28.21</v>
      </c>
      <c r="BF86">
        <v>0</v>
      </c>
      <c r="BG86">
        <v>0</v>
      </c>
      <c r="BH86">
        <v>10006.200000000001</v>
      </c>
      <c r="BI86">
        <v>1070.6099999999999</v>
      </c>
      <c r="BJ86">
        <v>1.46753</v>
      </c>
      <c r="BK86">
        <v>-41.8489</v>
      </c>
      <c r="BL86">
        <v>775.95500000000004</v>
      </c>
      <c r="BM86">
        <v>815.63199999999995</v>
      </c>
      <c r="BN86">
        <v>3.77597</v>
      </c>
      <c r="BO86">
        <v>800.04</v>
      </c>
      <c r="BP86">
        <v>19.116399999999999</v>
      </c>
      <c r="BQ86">
        <v>2.2681399999999998</v>
      </c>
      <c r="BR86">
        <v>1.8940300000000001</v>
      </c>
      <c r="BS86">
        <v>19.451899999999998</v>
      </c>
      <c r="BT86">
        <v>16.5852</v>
      </c>
      <c r="BU86">
        <v>1800</v>
      </c>
      <c r="BV86">
        <v>0.90999099999999999</v>
      </c>
      <c r="BW86">
        <v>3.40062E-2</v>
      </c>
      <c r="BX86">
        <v>2.2001400000000001E-2</v>
      </c>
      <c r="BY86">
        <v>3.4001099999999999E-2</v>
      </c>
      <c r="BZ86">
        <v>25.208300000000001</v>
      </c>
      <c r="CA86">
        <v>33528.199999999997</v>
      </c>
      <c r="CB86">
        <v>1690226183.5999999</v>
      </c>
      <c r="CC86" t="s">
        <v>332</v>
      </c>
      <c r="CD86">
        <v>1690226177.5999999</v>
      </c>
      <c r="CE86">
        <v>1690226183.5999999</v>
      </c>
      <c r="CF86">
        <v>12</v>
      </c>
      <c r="CG86">
        <v>-0.255</v>
      </c>
      <c r="CH86">
        <v>0.113</v>
      </c>
      <c r="CI86">
        <v>-0.439</v>
      </c>
      <c r="CJ86">
        <v>0.31</v>
      </c>
      <c r="CK86">
        <v>800</v>
      </c>
      <c r="CL86">
        <v>25</v>
      </c>
      <c r="CM86">
        <v>0.02</v>
      </c>
      <c r="CN86">
        <v>0.03</v>
      </c>
      <c r="CO86">
        <v>-39.531478048780492</v>
      </c>
      <c r="CP86">
        <v>-11.541919860627241</v>
      </c>
      <c r="CQ86">
        <v>1.138989230234998</v>
      </c>
      <c r="CR86">
        <v>-1</v>
      </c>
      <c r="CS86">
        <v>3.7004824390243911</v>
      </c>
      <c r="CT86">
        <v>0.32699728222996888</v>
      </c>
      <c r="CU86">
        <v>3.4225421929412123E-2</v>
      </c>
      <c r="CV86">
        <v>-1</v>
      </c>
      <c r="CW86">
        <v>0</v>
      </c>
      <c r="CX86">
        <v>0</v>
      </c>
      <c r="CY86" t="s">
        <v>333</v>
      </c>
      <c r="CZ86">
        <v>2.3644599999999998</v>
      </c>
      <c r="DA86">
        <v>2.7138800000000001</v>
      </c>
      <c r="DB86">
        <v>0.141536</v>
      </c>
      <c r="DC86">
        <v>0.14629700000000001</v>
      </c>
      <c r="DD86">
        <v>0.10969</v>
      </c>
      <c r="DE86">
        <v>9.5529199999999995E-2</v>
      </c>
      <c r="DF86">
        <v>31344.9</v>
      </c>
      <c r="DG86">
        <v>27514.6</v>
      </c>
      <c r="DH86">
        <v>31171.4</v>
      </c>
      <c r="DI86">
        <v>28083.8</v>
      </c>
      <c r="DJ86">
        <v>37680.9</v>
      </c>
      <c r="DK86">
        <v>36120.800000000003</v>
      </c>
      <c r="DL86">
        <v>44361.5</v>
      </c>
      <c r="DM86">
        <v>42569.2</v>
      </c>
      <c r="DN86">
        <v>1.4738</v>
      </c>
      <c r="DO86">
        <v>2.05382</v>
      </c>
      <c r="DP86">
        <v>0.101086</v>
      </c>
      <c r="DQ86">
        <v>0.194218</v>
      </c>
      <c r="DR86">
        <v>25.298999999999999</v>
      </c>
      <c r="DS86">
        <v>25.0318</v>
      </c>
      <c r="DT86">
        <v>57.3</v>
      </c>
      <c r="DU86">
        <v>29.3</v>
      </c>
      <c r="DV86">
        <v>23.668199999999999</v>
      </c>
      <c r="DW86">
        <v>61.432499999999997</v>
      </c>
      <c r="DX86">
        <v>36.346200000000003</v>
      </c>
      <c r="DY86">
        <v>1</v>
      </c>
      <c r="DZ86">
        <v>-7.7261200000000002E-2</v>
      </c>
      <c r="EA86">
        <v>0.33704000000000001</v>
      </c>
      <c r="EB86">
        <v>20.1889</v>
      </c>
      <c r="EC86">
        <v>5.2403500000000003</v>
      </c>
      <c r="ED86">
        <v>12.039899999999999</v>
      </c>
      <c r="EE86">
        <v>5.0168499999999998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1.86463</v>
      </c>
      <c r="EM86">
        <v>1.86917</v>
      </c>
      <c r="EN86">
        <v>1.8672299999999999</v>
      </c>
      <c r="EO86">
        <v>1.8633900000000001</v>
      </c>
      <c r="EP86">
        <v>1.86449</v>
      </c>
      <c r="EQ86">
        <v>1.87012</v>
      </c>
      <c r="ER86">
        <v>1.86937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-0.41099999999999998</v>
      </c>
      <c r="FG86">
        <v>0.31</v>
      </c>
      <c r="FH86">
        <v>0.1121710645629533</v>
      </c>
      <c r="FI86">
        <v>-6.1462078757559423E-4</v>
      </c>
      <c r="FJ86">
        <v>-1.8861989874597051E-7</v>
      </c>
      <c r="FK86">
        <v>1.1980462299894961E-10</v>
      </c>
      <c r="FL86">
        <v>0.30996499999999833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22.1</v>
      </c>
      <c r="FU86">
        <v>22</v>
      </c>
      <c r="FV86">
        <v>1.79077</v>
      </c>
      <c r="FW86">
        <v>2.5854499999999998</v>
      </c>
      <c r="FX86">
        <v>1.5490699999999999</v>
      </c>
      <c r="FY86">
        <v>2.3290999999999999</v>
      </c>
      <c r="FZ86">
        <v>1.50146</v>
      </c>
      <c r="GA86">
        <v>2.33765</v>
      </c>
      <c r="GB86">
        <v>33.986499999999999</v>
      </c>
      <c r="GC86">
        <v>23.982399999999998</v>
      </c>
      <c r="GD86">
        <v>19</v>
      </c>
      <c r="GE86">
        <v>282.66899999999998</v>
      </c>
      <c r="GF86">
        <v>599.84400000000005</v>
      </c>
      <c r="GG86">
        <v>23.903400000000001</v>
      </c>
      <c r="GH86">
        <v>26.4023</v>
      </c>
      <c r="GI86">
        <v>30.0001</v>
      </c>
      <c r="GJ86">
        <v>26.535599999999999</v>
      </c>
      <c r="GK86">
        <v>26.522300000000001</v>
      </c>
      <c r="GL86">
        <v>35.809699999999999</v>
      </c>
      <c r="GM86">
        <v>29.55</v>
      </c>
      <c r="GN86">
        <v>100</v>
      </c>
      <c r="GO86">
        <v>23.9148</v>
      </c>
      <c r="GP86">
        <v>800</v>
      </c>
      <c r="GQ86">
        <v>19.006900000000002</v>
      </c>
      <c r="GR86">
        <v>99.737399999999994</v>
      </c>
      <c r="GS86">
        <v>99.580600000000004</v>
      </c>
    </row>
    <row r="87" spans="1:201" x14ac:dyDescent="0.25">
      <c r="A87">
        <v>71</v>
      </c>
      <c r="B87">
        <v>1690227515.5</v>
      </c>
      <c r="C87">
        <v>945.90000009536743</v>
      </c>
      <c r="D87" t="s">
        <v>473</v>
      </c>
      <c r="E87" t="s">
        <v>474</v>
      </c>
      <c r="F87" t="s">
        <v>330</v>
      </c>
      <c r="H87">
        <v>1690227515.5</v>
      </c>
      <c r="I87">
        <f t="shared" si="30"/>
        <v>3.6981998270612271E-4</v>
      </c>
      <c r="J87">
        <f t="shared" si="31"/>
        <v>0.36981998270612271</v>
      </c>
      <c r="K87">
        <f t="shared" si="32"/>
        <v>3.7762529672034018</v>
      </c>
      <c r="L87">
        <f t="shared" si="33"/>
        <v>756.27599999999995</v>
      </c>
      <c r="M87">
        <f t="shared" si="34"/>
        <v>465.98316425024211</v>
      </c>
      <c r="N87">
        <f t="shared" si="35"/>
        <v>46.213630547541726</v>
      </c>
      <c r="O87">
        <f t="shared" si="36"/>
        <v>75.003266936063994</v>
      </c>
      <c r="P87">
        <f t="shared" si="37"/>
        <v>2.2168196753310613E-2</v>
      </c>
      <c r="Q87">
        <f t="shared" si="38"/>
        <v>2.1326601562776064</v>
      </c>
      <c r="R87">
        <f t="shared" si="39"/>
        <v>2.204097328960811E-2</v>
      </c>
      <c r="S87">
        <f t="shared" si="40"/>
        <v>1.3786977857580322E-2</v>
      </c>
      <c r="T87">
        <f t="shared" si="41"/>
        <v>276.11394503711659</v>
      </c>
      <c r="U87">
        <f t="shared" si="42"/>
        <v>28.402121823817829</v>
      </c>
      <c r="V87">
        <f t="shared" si="43"/>
        <v>28.402121823817829</v>
      </c>
      <c r="W87">
        <f t="shared" si="44"/>
        <v>3.8847144914496394</v>
      </c>
      <c r="X87">
        <f t="shared" si="45"/>
        <v>65.969218874755924</v>
      </c>
      <c r="Y87">
        <f t="shared" si="46"/>
        <v>2.2723448238464004</v>
      </c>
      <c r="Z87">
        <f t="shared" si="47"/>
        <v>3.4445531758690349</v>
      </c>
      <c r="AA87">
        <f t="shared" si="48"/>
        <v>1.6123696676032391</v>
      </c>
      <c r="AB87">
        <f t="shared" si="49"/>
        <v>-16.309061237340011</v>
      </c>
      <c r="AC87">
        <f t="shared" si="50"/>
        <v>-236.07117974036214</v>
      </c>
      <c r="AD87">
        <f t="shared" si="51"/>
        <v>-23.97900528732659</v>
      </c>
      <c r="AE87">
        <f t="shared" si="52"/>
        <v>-0.24530122791216513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52580.276705182696</v>
      </c>
      <c r="AK87">
        <f t="shared" si="56"/>
        <v>1799.99</v>
      </c>
      <c r="AL87">
        <f t="shared" si="57"/>
        <v>1499.1022478079099</v>
      </c>
      <c r="AM87">
        <f t="shared" si="58"/>
        <v>0.83283920899999997</v>
      </c>
      <c r="AN87">
        <f t="shared" si="59"/>
        <v>0.15339748834</v>
      </c>
      <c r="AO87">
        <v>32.4</v>
      </c>
      <c r="AP87">
        <v>0.5</v>
      </c>
      <c r="AQ87" t="s">
        <v>331</v>
      </c>
      <c r="AR87">
        <v>2</v>
      </c>
      <c r="AS87">
        <v>1690227515.5</v>
      </c>
      <c r="AT87">
        <v>756.27599999999995</v>
      </c>
      <c r="AU87">
        <v>800.04600000000005</v>
      </c>
      <c r="AV87">
        <v>22.912600000000001</v>
      </c>
      <c r="AW87">
        <v>19.013100000000001</v>
      </c>
      <c r="AX87">
        <v>756.68499999999995</v>
      </c>
      <c r="AY87">
        <v>22.602599999999999</v>
      </c>
      <c r="AZ87">
        <v>300.23399999999998</v>
      </c>
      <c r="BA87">
        <v>99.0745</v>
      </c>
      <c r="BB87">
        <v>9.9963999999999997E-2</v>
      </c>
      <c r="BC87">
        <v>26.3489</v>
      </c>
      <c r="BD87">
        <v>26.946300000000001</v>
      </c>
      <c r="BE87">
        <v>28.219000000000001</v>
      </c>
      <c r="BF87">
        <v>0</v>
      </c>
      <c r="BG87">
        <v>0</v>
      </c>
      <c r="BH87">
        <v>10015.6</v>
      </c>
      <c r="BI87">
        <v>1070.76</v>
      </c>
      <c r="BJ87">
        <v>1.4577199999999999</v>
      </c>
      <c r="BK87">
        <v>-43.770200000000003</v>
      </c>
      <c r="BL87">
        <v>774.01099999999997</v>
      </c>
      <c r="BM87">
        <v>815.55200000000002</v>
      </c>
      <c r="BN87">
        <v>3.8995299999999999</v>
      </c>
      <c r="BO87">
        <v>800.04600000000005</v>
      </c>
      <c r="BP87">
        <v>19.013100000000001</v>
      </c>
      <c r="BQ87">
        <v>2.2700499999999999</v>
      </c>
      <c r="BR87">
        <v>1.88371</v>
      </c>
      <c r="BS87">
        <v>19.465499999999999</v>
      </c>
      <c r="BT87">
        <v>16.499300000000002</v>
      </c>
      <c r="BU87">
        <v>1799.99</v>
      </c>
      <c r="BV87">
        <v>0.90999399999999997</v>
      </c>
      <c r="BW87">
        <v>3.4005199999999999E-2</v>
      </c>
      <c r="BX87">
        <v>2.2000700000000002E-2</v>
      </c>
      <c r="BY87">
        <v>3.4000000000000002E-2</v>
      </c>
      <c r="BZ87">
        <v>25.166699999999999</v>
      </c>
      <c r="CA87">
        <v>33528.199999999997</v>
      </c>
      <c r="CB87">
        <v>1690226183.5999999</v>
      </c>
      <c r="CC87" t="s">
        <v>332</v>
      </c>
      <c r="CD87">
        <v>1690226177.5999999</v>
      </c>
      <c r="CE87">
        <v>1690226183.5999999</v>
      </c>
      <c r="CF87">
        <v>12</v>
      </c>
      <c r="CG87">
        <v>-0.255</v>
      </c>
      <c r="CH87">
        <v>0.113</v>
      </c>
      <c r="CI87">
        <v>-0.439</v>
      </c>
      <c r="CJ87">
        <v>0.31</v>
      </c>
      <c r="CK87">
        <v>800</v>
      </c>
      <c r="CL87">
        <v>25</v>
      </c>
      <c r="CM87">
        <v>0.02</v>
      </c>
      <c r="CN87">
        <v>0.03</v>
      </c>
      <c r="CO87">
        <v>-41.669630000000012</v>
      </c>
      <c r="CP87">
        <v>-11.926995872420219</v>
      </c>
      <c r="CQ87">
        <v>1.1487549443201539</v>
      </c>
      <c r="CR87">
        <v>-1</v>
      </c>
      <c r="CS87">
        <v>3.7889845000000011</v>
      </c>
      <c r="CT87">
        <v>0.69995527204500918</v>
      </c>
      <c r="CU87">
        <v>6.8311958687699736E-2</v>
      </c>
      <c r="CV87">
        <v>-1</v>
      </c>
      <c r="CW87">
        <v>0</v>
      </c>
      <c r="CX87">
        <v>0</v>
      </c>
      <c r="CY87" t="s">
        <v>333</v>
      </c>
      <c r="CZ87">
        <v>2.36442</v>
      </c>
      <c r="DA87">
        <v>2.7137699999999998</v>
      </c>
      <c r="DB87">
        <v>0.14129</v>
      </c>
      <c r="DC87">
        <v>0.14629</v>
      </c>
      <c r="DD87">
        <v>0.10975500000000001</v>
      </c>
      <c r="DE87">
        <v>9.5157500000000006E-2</v>
      </c>
      <c r="DF87">
        <v>31354.1</v>
      </c>
      <c r="DG87">
        <v>27515.7</v>
      </c>
      <c r="DH87">
        <v>31171.5</v>
      </c>
      <c r="DI87">
        <v>28084.7</v>
      </c>
      <c r="DJ87">
        <v>37678.1</v>
      </c>
      <c r="DK87">
        <v>36136.6</v>
      </c>
      <c r="DL87">
        <v>44361.5</v>
      </c>
      <c r="DM87">
        <v>42570.3</v>
      </c>
      <c r="DN87">
        <v>1.4731000000000001</v>
      </c>
      <c r="DO87">
        <v>2.0536799999999999</v>
      </c>
      <c r="DP87">
        <v>0.100713</v>
      </c>
      <c r="DQ87">
        <v>0.19488900000000001</v>
      </c>
      <c r="DR87">
        <v>25.296900000000001</v>
      </c>
      <c r="DS87">
        <v>25.029800000000002</v>
      </c>
      <c r="DT87">
        <v>57.3</v>
      </c>
      <c r="DU87">
        <v>29.2</v>
      </c>
      <c r="DV87">
        <v>23.528700000000001</v>
      </c>
      <c r="DW87">
        <v>61.452500000000001</v>
      </c>
      <c r="DX87">
        <v>35.196300000000001</v>
      </c>
      <c r="DY87">
        <v>1</v>
      </c>
      <c r="DZ87">
        <v>-7.7710899999999999E-2</v>
      </c>
      <c r="EA87">
        <v>0.25890299999999999</v>
      </c>
      <c r="EB87">
        <v>20.189399999999999</v>
      </c>
      <c r="EC87">
        <v>5.2408000000000001</v>
      </c>
      <c r="ED87">
        <v>12.039899999999999</v>
      </c>
      <c r="EE87">
        <v>5.0168999999999997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1.86463</v>
      </c>
      <c r="EM87">
        <v>1.8691599999999999</v>
      </c>
      <c r="EN87">
        <v>1.8672200000000001</v>
      </c>
      <c r="EO87">
        <v>1.8633999999999999</v>
      </c>
      <c r="EP87">
        <v>1.86449</v>
      </c>
      <c r="EQ87">
        <v>1.8701300000000001</v>
      </c>
      <c r="ER87">
        <v>1.8693599999999999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-0.40899999999999997</v>
      </c>
      <c r="FG87">
        <v>0.31</v>
      </c>
      <c r="FH87">
        <v>0.1121710645629533</v>
      </c>
      <c r="FI87">
        <v>-6.1462078757559423E-4</v>
      </c>
      <c r="FJ87">
        <v>-1.8861989874597051E-7</v>
      </c>
      <c r="FK87">
        <v>1.1980462299894961E-10</v>
      </c>
      <c r="FL87">
        <v>0.30996499999999833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22.3</v>
      </c>
      <c r="FU87">
        <v>22.2</v>
      </c>
      <c r="FV87">
        <v>1.79077</v>
      </c>
      <c r="FW87">
        <v>2.5817899999999998</v>
      </c>
      <c r="FX87">
        <v>1.5490699999999999</v>
      </c>
      <c r="FY87">
        <v>2.3290999999999999</v>
      </c>
      <c r="FZ87">
        <v>1.50146</v>
      </c>
      <c r="GA87">
        <v>2.4023400000000001</v>
      </c>
      <c r="GB87">
        <v>33.963900000000002</v>
      </c>
      <c r="GC87">
        <v>23.991199999999999</v>
      </c>
      <c r="GD87">
        <v>19</v>
      </c>
      <c r="GE87">
        <v>282.35599999999999</v>
      </c>
      <c r="GF87">
        <v>599.67200000000003</v>
      </c>
      <c r="GG87">
        <v>23.966100000000001</v>
      </c>
      <c r="GH87">
        <v>26.3978</v>
      </c>
      <c r="GI87">
        <v>30.0002</v>
      </c>
      <c r="GJ87">
        <v>26.532599999999999</v>
      </c>
      <c r="GK87">
        <v>26.5184</v>
      </c>
      <c r="GL87">
        <v>35.8048</v>
      </c>
      <c r="GM87">
        <v>29.55</v>
      </c>
      <c r="GN87">
        <v>99.6066</v>
      </c>
      <c r="GO87">
        <v>23.971499999999999</v>
      </c>
      <c r="GP87">
        <v>800</v>
      </c>
      <c r="GQ87">
        <v>18.929300000000001</v>
      </c>
      <c r="GR87">
        <v>99.7376</v>
      </c>
      <c r="GS87">
        <v>99.583399999999997</v>
      </c>
    </row>
    <row r="88" spans="1:201" x14ac:dyDescent="0.25">
      <c r="A88">
        <v>72</v>
      </c>
      <c r="B88">
        <v>1690227525.5</v>
      </c>
      <c r="C88">
        <v>955.90000009536743</v>
      </c>
      <c r="D88" t="s">
        <v>475</v>
      </c>
      <c r="E88" t="s">
        <v>476</v>
      </c>
      <c r="F88" t="s">
        <v>330</v>
      </c>
      <c r="H88">
        <v>1690227525.5</v>
      </c>
      <c r="I88">
        <f t="shared" si="30"/>
        <v>3.771793830446856E-4</v>
      </c>
      <c r="J88">
        <f t="shared" si="31"/>
        <v>0.37717938304468562</v>
      </c>
      <c r="K88">
        <f t="shared" si="32"/>
        <v>3.960977106605819</v>
      </c>
      <c r="L88">
        <f t="shared" si="33"/>
        <v>754.245</v>
      </c>
      <c r="M88">
        <f t="shared" si="34"/>
        <v>456.44151236016074</v>
      </c>
      <c r="N88">
        <f t="shared" si="35"/>
        <v>45.266223141080019</v>
      </c>
      <c r="O88">
        <f t="shared" si="36"/>
        <v>74.799994190940012</v>
      </c>
      <c r="P88">
        <f t="shared" si="37"/>
        <v>2.2621431768733852E-2</v>
      </c>
      <c r="Q88">
        <f t="shared" si="38"/>
        <v>2.129283514760437</v>
      </c>
      <c r="R88">
        <f t="shared" si="39"/>
        <v>2.2488760930793869E-2</v>
      </c>
      <c r="S88">
        <f t="shared" si="40"/>
        <v>1.4067330559837438E-2</v>
      </c>
      <c r="T88">
        <f t="shared" si="41"/>
        <v>276.115389462</v>
      </c>
      <c r="U88">
        <f t="shared" si="42"/>
        <v>28.408611329128622</v>
      </c>
      <c r="V88">
        <f t="shared" si="43"/>
        <v>28.408611329128622</v>
      </c>
      <c r="W88">
        <f t="shared" si="44"/>
        <v>3.8861799971222415</v>
      </c>
      <c r="X88">
        <f t="shared" si="45"/>
        <v>66.009175276696823</v>
      </c>
      <c r="Y88">
        <f t="shared" si="46"/>
        <v>2.2745398468236004</v>
      </c>
      <c r="Z88">
        <f t="shared" si="47"/>
        <v>3.4457934632408289</v>
      </c>
      <c r="AA88">
        <f t="shared" si="48"/>
        <v>1.611640150298641</v>
      </c>
      <c r="AB88">
        <f t="shared" si="49"/>
        <v>-16.633610792270634</v>
      </c>
      <c r="AC88">
        <f t="shared" si="50"/>
        <v>-235.74212101139972</v>
      </c>
      <c r="AD88">
        <f t="shared" si="51"/>
        <v>-23.985062155501076</v>
      </c>
      <c r="AE88">
        <f t="shared" si="52"/>
        <v>-0.24540449717144952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52433.268331379048</v>
      </c>
      <c r="AK88">
        <f t="shared" si="56"/>
        <v>1800</v>
      </c>
      <c r="AL88">
        <f t="shared" si="57"/>
        <v>1499.1108641999999</v>
      </c>
      <c r="AM88">
        <f t="shared" si="58"/>
        <v>0.832839369</v>
      </c>
      <c r="AN88">
        <f t="shared" si="59"/>
        <v>0.15339743858999999</v>
      </c>
      <c r="AO88">
        <v>32.4</v>
      </c>
      <c r="AP88">
        <v>0.5</v>
      </c>
      <c r="AQ88" t="s">
        <v>331</v>
      </c>
      <c r="AR88">
        <v>2</v>
      </c>
      <c r="AS88">
        <v>1690227525.5</v>
      </c>
      <c r="AT88">
        <v>754.245</v>
      </c>
      <c r="AU88">
        <v>800.07399999999996</v>
      </c>
      <c r="AV88">
        <v>22.935300000000002</v>
      </c>
      <c r="AW88">
        <v>18.957100000000001</v>
      </c>
      <c r="AX88">
        <v>754.65300000000002</v>
      </c>
      <c r="AY88">
        <v>22.625299999999999</v>
      </c>
      <c r="AZ88">
        <v>300.14400000000001</v>
      </c>
      <c r="BA88">
        <v>99.072000000000003</v>
      </c>
      <c r="BB88">
        <v>0.100012</v>
      </c>
      <c r="BC88">
        <v>26.355</v>
      </c>
      <c r="BD88">
        <v>26.991900000000001</v>
      </c>
      <c r="BE88">
        <v>28.2163</v>
      </c>
      <c r="BF88">
        <v>0</v>
      </c>
      <c r="BG88">
        <v>0</v>
      </c>
      <c r="BH88">
        <v>9986.8799999999992</v>
      </c>
      <c r="BI88">
        <v>1070.74</v>
      </c>
      <c r="BJ88">
        <v>1.4577199999999999</v>
      </c>
      <c r="BK88">
        <v>-45.828400000000002</v>
      </c>
      <c r="BL88">
        <v>771.95</v>
      </c>
      <c r="BM88">
        <v>815.53399999999999</v>
      </c>
      <c r="BN88">
        <v>3.9781300000000002</v>
      </c>
      <c r="BO88">
        <v>800.07399999999996</v>
      </c>
      <c r="BP88">
        <v>18.957100000000001</v>
      </c>
      <c r="BQ88">
        <v>2.27224</v>
      </c>
      <c r="BR88">
        <v>1.87812</v>
      </c>
      <c r="BS88">
        <v>19.481000000000002</v>
      </c>
      <c r="BT88">
        <v>16.4526</v>
      </c>
      <c r="BU88">
        <v>1800</v>
      </c>
      <c r="BV88">
        <v>0.90999600000000003</v>
      </c>
      <c r="BW88">
        <v>3.4004399999999997E-2</v>
      </c>
      <c r="BX88">
        <v>2.2000200000000001E-2</v>
      </c>
      <c r="BY88">
        <v>3.3999300000000003E-2</v>
      </c>
      <c r="BZ88">
        <v>25.125</v>
      </c>
      <c r="CA88">
        <v>33528.300000000003</v>
      </c>
      <c r="CB88">
        <v>1690226183.5999999</v>
      </c>
      <c r="CC88" t="s">
        <v>332</v>
      </c>
      <c r="CD88">
        <v>1690226177.5999999</v>
      </c>
      <c r="CE88">
        <v>1690226183.5999999</v>
      </c>
      <c r="CF88">
        <v>12</v>
      </c>
      <c r="CG88">
        <v>-0.255</v>
      </c>
      <c r="CH88">
        <v>0.113</v>
      </c>
      <c r="CI88">
        <v>-0.439</v>
      </c>
      <c r="CJ88">
        <v>0.31</v>
      </c>
      <c r="CK88">
        <v>800</v>
      </c>
      <c r="CL88">
        <v>25</v>
      </c>
      <c r="CM88">
        <v>0.02</v>
      </c>
      <c r="CN88">
        <v>0.03</v>
      </c>
      <c r="CO88">
        <v>-43.708346341463418</v>
      </c>
      <c r="CP88">
        <v>-11.75883135888502</v>
      </c>
      <c r="CQ88">
        <v>1.1605806837364749</v>
      </c>
      <c r="CR88">
        <v>-1</v>
      </c>
      <c r="CS88">
        <v>3.8865514634146341</v>
      </c>
      <c r="CT88">
        <v>0.51647351916376338</v>
      </c>
      <c r="CU88">
        <v>5.3594532600701773E-2</v>
      </c>
      <c r="CV88">
        <v>-1</v>
      </c>
      <c r="CW88">
        <v>0</v>
      </c>
      <c r="CX88">
        <v>0</v>
      </c>
      <c r="CY88" t="s">
        <v>333</v>
      </c>
      <c r="CZ88">
        <v>2.3641399999999999</v>
      </c>
      <c r="DA88">
        <v>2.7137899999999999</v>
      </c>
      <c r="DB88">
        <v>0.14103199999999999</v>
      </c>
      <c r="DC88">
        <v>0.14629</v>
      </c>
      <c r="DD88">
        <v>0.109831</v>
      </c>
      <c r="DE88">
        <v>9.4955899999999996E-2</v>
      </c>
      <c r="DF88">
        <v>31364.2</v>
      </c>
      <c r="DG88">
        <v>27516</v>
      </c>
      <c r="DH88">
        <v>31172.2</v>
      </c>
      <c r="DI88">
        <v>28084.9</v>
      </c>
      <c r="DJ88">
        <v>37675.599999999999</v>
      </c>
      <c r="DK88">
        <v>36145</v>
      </c>
      <c r="DL88">
        <v>44362.6</v>
      </c>
      <c r="DM88">
        <v>42570.7</v>
      </c>
      <c r="DN88">
        <v>1.4736199999999999</v>
      </c>
      <c r="DO88">
        <v>2.0541299999999998</v>
      </c>
      <c r="DP88">
        <v>0.103544</v>
      </c>
      <c r="DQ88">
        <v>0.19472100000000001</v>
      </c>
      <c r="DR88">
        <v>25.296199999999999</v>
      </c>
      <c r="DS88">
        <v>25.029800000000002</v>
      </c>
      <c r="DT88">
        <v>57.3</v>
      </c>
      <c r="DU88">
        <v>29.2</v>
      </c>
      <c r="DV88">
        <v>23.531400000000001</v>
      </c>
      <c r="DW88">
        <v>61.982500000000002</v>
      </c>
      <c r="DX88">
        <v>36.169899999999998</v>
      </c>
      <c r="DY88">
        <v>1</v>
      </c>
      <c r="DZ88">
        <v>-7.9047300000000001E-2</v>
      </c>
      <c r="EA88">
        <v>0.13294400000000001</v>
      </c>
      <c r="EB88">
        <v>20.189599999999999</v>
      </c>
      <c r="EC88">
        <v>5.2406499999999996</v>
      </c>
      <c r="ED88">
        <v>12.039899999999999</v>
      </c>
      <c r="EE88">
        <v>5.0168499999999998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1.8646199999999999</v>
      </c>
      <c r="EM88">
        <v>1.8691800000000001</v>
      </c>
      <c r="EN88">
        <v>1.8672299999999999</v>
      </c>
      <c r="EO88">
        <v>1.8633999999999999</v>
      </c>
      <c r="EP88">
        <v>1.8644799999999999</v>
      </c>
      <c r="EQ88">
        <v>1.8701399999999999</v>
      </c>
      <c r="ER88">
        <v>1.8693599999999999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-0.40799999999999997</v>
      </c>
      <c r="FG88">
        <v>0.31</v>
      </c>
      <c r="FH88">
        <v>0.1121710645629533</v>
      </c>
      <c r="FI88">
        <v>-6.1462078757559423E-4</v>
      </c>
      <c r="FJ88">
        <v>-1.8861989874597051E-7</v>
      </c>
      <c r="FK88">
        <v>1.1980462299894961E-10</v>
      </c>
      <c r="FL88">
        <v>0.30996499999999833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22.5</v>
      </c>
      <c r="FU88">
        <v>22.4</v>
      </c>
      <c r="FV88">
        <v>1.79077</v>
      </c>
      <c r="FW88">
        <v>2.5878899999999998</v>
      </c>
      <c r="FX88">
        <v>1.5490699999999999</v>
      </c>
      <c r="FY88">
        <v>2.3290999999999999</v>
      </c>
      <c r="FZ88">
        <v>1.50146</v>
      </c>
      <c r="GA88">
        <v>2.31812</v>
      </c>
      <c r="GB88">
        <v>33.986499999999999</v>
      </c>
      <c r="GC88">
        <v>23.982399999999998</v>
      </c>
      <c r="GD88">
        <v>19</v>
      </c>
      <c r="GE88">
        <v>282.56400000000002</v>
      </c>
      <c r="GF88">
        <v>600.02099999999996</v>
      </c>
      <c r="GG88">
        <v>24.026800000000001</v>
      </c>
      <c r="GH88">
        <v>26.3934</v>
      </c>
      <c r="GI88">
        <v>29.999400000000001</v>
      </c>
      <c r="GJ88">
        <v>26.5289</v>
      </c>
      <c r="GK88">
        <v>26.515799999999999</v>
      </c>
      <c r="GL88">
        <v>35.800600000000003</v>
      </c>
      <c r="GM88">
        <v>30.103300000000001</v>
      </c>
      <c r="GN88">
        <v>99.6066</v>
      </c>
      <c r="GO88">
        <v>24.042899999999999</v>
      </c>
      <c r="GP88">
        <v>800</v>
      </c>
      <c r="GQ88">
        <v>18.848199999999999</v>
      </c>
      <c r="GR88">
        <v>99.739900000000006</v>
      </c>
      <c r="GS88">
        <v>99.584199999999996</v>
      </c>
    </row>
    <row r="89" spans="1:201" x14ac:dyDescent="0.25">
      <c r="A89">
        <v>73</v>
      </c>
      <c r="B89">
        <v>1690227535.5</v>
      </c>
      <c r="C89">
        <v>965.90000009536743</v>
      </c>
      <c r="D89" t="s">
        <v>477</v>
      </c>
      <c r="E89" t="s">
        <v>478</v>
      </c>
      <c r="F89" t="s">
        <v>330</v>
      </c>
      <c r="H89">
        <v>1690227535.5</v>
      </c>
      <c r="I89">
        <f t="shared" si="30"/>
        <v>3.8976453266374619E-4</v>
      </c>
      <c r="J89">
        <f t="shared" si="31"/>
        <v>0.38976453266374617</v>
      </c>
      <c r="K89">
        <f t="shared" si="32"/>
        <v>4.1489480669544063</v>
      </c>
      <c r="L89">
        <f t="shared" si="33"/>
        <v>752.09500000000003</v>
      </c>
      <c r="M89">
        <f t="shared" si="34"/>
        <v>451.1285857778692</v>
      </c>
      <c r="N89">
        <f t="shared" si="35"/>
        <v>44.73989095183088</v>
      </c>
      <c r="O89">
        <f t="shared" si="36"/>
        <v>74.587710347367505</v>
      </c>
      <c r="P89">
        <f t="shared" si="37"/>
        <v>2.3424990099086229E-2</v>
      </c>
      <c r="Q89">
        <f t="shared" si="38"/>
        <v>2.1321338026282564</v>
      </c>
      <c r="R89">
        <f t="shared" si="39"/>
        <v>2.3282947266208526E-2</v>
      </c>
      <c r="S89">
        <f t="shared" si="40"/>
        <v>1.456453211759213E-2</v>
      </c>
      <c r="T89">
        <f t="shared" si="41"/>
        <v>276.11363842681999</v>
      </c>
      <c r="U89">
        <f t="shared" si="42"/>
        <v>28.405009715897371</v>
      </c>
      <c r="V89">
        <f t="shared" si="43"/>
        <v>28.405009715897371</v>
      </c>
      <c r="W89">
        <f t="shared" si="44"/>
        <v>3.8853665959851167</v>
      </c>
      <c r="X89">
        <f t="shared" si="45"/>
        <v>66.060455135487217</v>
      </c>
      <c r="Y89">
        <f t="shared" si="46"/>
        <v>2.2767502014474501</v>
      </c>
      <c r="Z89">
        <f t="shared" si="47"/>
        <v>3.4464646009143158</v>
      </c>
      <c r="AA89">
        <f t="shared" si="48"/>
        <v>1.6086163945376666</v>
      </c>
      <c r="AB89">
        <f t="shared" si="49"/>
        <v>-17.188615890471208</v>
      </c>
      <c r="AC89">
        <f t="shared" si="50"/>
        <v>-235.26436476004284</v>
      </c>
      <c r="AD89">
        <f t="shared" si="51"/>
        <v>-23.904417193151996</v>
      </c>
      <c r="AE89">
        <f t="shared" si="52"/>
        <v>-0.24375941684604641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52555.841874494829</v>
      </c>
      <c r="AK89">
        <f t="shared" si="56"/>
        <v>1799.99</v>
      </c>
      <c r="AL89">
        <f t="shared" si="57"/>
        <v>1499.1032576022999</v>
      </c>
      <c r="AM89">
        <f t="shared" si="58"/>
        <v>0.83283976999999998</v>
      </c>
      <c r="AN89">
        <f t="shared" si="59"/>
        <v>0.153397318</v>
      </c>
      <c r="AO89">
        <v>32.4</v>
      </c>
      <c r="AP89">
        <v>0.5</v>
      </c>
      <c r="AQ89" t="s">
        <v>331</v>
      </c>
      <c r="AR89">
        <v>2</v>
      </c>
      <c r="AS89">
        <v>1690227535.5</v>
      </c>
      <c r="AT89">
        <v>752.09500000000003</v>
      </c>
      <c r="AU89">
        <v>800.03200000000004</v>
      </c>
      <c r="AV89">
        <v>22.9573</v>
      </c>
      <c r="AW89">
        <v>18.8477</v>
      </c>
      <c r="AX89">
        <v>752.50099999999998</v>
      </c>
      <c r="AY89">
        <v>22.647400000000001</v>
      </c>
      <c r="AZ89">
        <v>300.23500000000001</v>
      </c>
      <c r="BA89">
        <v>99.073300000000003</v>
      </c>
      <c r="BB89">
        <v>9.9956500000000004E-2</v>
      </c>
      <c r="BC89">
        <v>26.3583</v>
      </c>
      <c r="BD89">
        <v>26.954899999999999</v>
      </c>
      <c r="BE89">
        <v>28.22</v>
      </c>
      <c r="BF89">
        <v>0</v>
      </c>
      <c r="BG89">
        <v>0</v>
      </c>
      <c r="BH89">
        <v>10011.200000000001</v>
      </c>
      <c r="BI89">
        <v>1070.73</v>
      </c>
      <c r="BJ89">
        <v>1.4577199999999999</v>
      </c>
      <c r="BK89">
        <v>-47.9373</v>
      </c>
      <c r="BL89">
        <v>769.76700000000005</v>
      </c>
      <c r="BM89">
        <v>815.40099999999995</v>
      </c>
      <c r="BN89">
        <v>4.1096000000000004</v>
      </c>
      <c r="BO89">
        <v>800.03200000000004</v>
      </c>
      <c r="BP89">
        <v>18.8477</v>
      </c>
      <c r="BQ89">
        <v>2.2744599999999999</v>
      </c>
      <c r="BR89">
        <v>1.86731</v>
      </c>
      <c r="BS89">
        <v>19.496600000000001</v>
      </c>
      <c r="BT89">
        <v>16.361899999999999</v>
      </c>
      <c r="BU89">
        <v>1799.99</v>
      </c>
      <c r="BV89">
        <v>0.91000099999999995</v>
      </c>
      <c r="BW89">
        <v>3.4002499999999998E-2</v>
      </c>
      <c r="BX89">
        <v>2.1999000000000001E-2</v>
      </c>
      <c r="BY89">
        <v>3.3997399999999997E-2</v>
      </c>
      <c r="BZ89">
        <v>25.166699999999999</v>
      </c>
      <c r="CA89">
        <v>33528.199999999997</v>
      </c>
      <c r="CB89">
        <v>1690226183.5999999</v>
      </c>
      <c r="CC89" t="s">
        <v>332</v>
      </c>
      <c r="CD89">
        <v>1690226177.5999999</v>
      </c>
      <c r="CE89">
        <v>1690226183.5999999</v>
      </c>
      <c r="CF89">
        <v>12</v>
      </c>
      <c r="CG89">
        <v>-0.255</v>
      </c>
      <c r="CH89">
        <v>0.113</v>
      </c>
      <c r="CI89">
        <v>-0.439</v>
      </c>
      <c r="CJ89">
        <v>0.31</v>
      </c>
      <c r="CK89">
        <v>800</v>
      </c>
      <c r="CL89">
        <v>25</v>
      </c>
      <c r="CM89">
        <v>0.02</v>
      </c>
      <c r="CN89">
        <v>0.03</v>
      </c>
      <c r="CO89">
        <v>-45.52463170731707</v>
      </c>
      <c r="CP89">
        <v>-12.56947526132404</v>
      </c>
      <c r="CQ89">
        <v>1.2396473574956159</v>
      </c>
      <c r="CR89">
        <v>-1</v>
      </c>
      <c r="CS89">
        <v>3.9761453658536592</v>
      </c>
      <c r="CT89">
        <v>0.69347770034843248</v>
      </c>
      <c r="CU89">
        <v>7.0585072114108929E-2</v>
      </c>
      <c r="CV89">
        <v>-1</v>
      </c>
      <c r="CW89">
        <v>0</v>
      </c>
      <c r="CX89">
        <v>0</v>
      </c>
      <c r="CY89" t="s">
        <v>333</v>
      </c>
      <c r="CZ89">
        <v>2.3644500000000002</v>
      </c>
      <c r="DA89">
        <v>2.7137600000000002</v>
      </c>
      <c r="DB89">
        <v>0.140764</v>
      </c>
      <c r="DC89">
        <v>0.146285</v>
      </c>
      <c r="DD89">
        <v>0.10990900000000001</v>
      </c>
      <c r="DE89">
        <v>9.45661E-2</v>
      </c>
      <c r="DF89">
        <v>31374</v>
      </c>
      <c r="DG89">
        <v>27517</v>
      </c>
      <c r="DH89">
        <v>31172.2</v>
      </c>
      <c r="DI89">
        <v>28085.7</v>
      </c>
      <c r="DJ89">
        <v>37672.400000000001</v>
      </c>
      <c r="DK89">
        <v>36161.800000000003</v>
      </c>
      <c r="DL89">
        <v>44362.7</v>
      </c>
      <c r="DM89">
        <v>42572.2</v>
      </c>
      <c r="DN89">
        <v>1.47343</v>
      </c>
      <c r="DO89">
        <v>2.0538500000000002</v>
      </c>
      <c r="DP89">
        <v>0.101477</v>
      </c>
      <c r="DQ89">
        <v>0.195075</v>
      </c>
      <c r="DR89">
        <v>25.292999999999999</v>
      </c>
      <c r="DS89">
        <v>25.027699999999999</v>
      </c>
      <c r="DT89">
        <v>57.3</v>
      </c>
      <c r="DU89">
        <v>29.2</v>
      </c>
      <c r="DV89">
        <v>23.531700000000001</v>
      </c>
      <c r="DW89">
        <v>61.732500000000002</v>
      </c>
      <c r="DX89">
        <v>35.9255</v>
      </c>
      <c r="DY89">
        <v>1</v>
      </c>
      <c r="DZ89">
        <v>-7.8894800000000001E-2</v>
      </c>
      <c r="EA89">
        <v>0.63021000000000005</v>
      </c>
      <c r="EB89">
        <v>20.187899999999999</v>
      </c>
      <c r="EC89">
        <v>5.2408000000000001</v>
      </c>
      <c r="ED89">
        <v>12.039899999999999</v>
      </c>
      <c r="EE89">
        <v>5.0171000000000001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1.8646199999999999</v>
      </c>
      <c r="EM89">
        <v>1.8691599999999999</v>
      </c>
      <c r="EN89">
        <v>1.8672200000000001</v>
      </c>
      <c r="EO89">
        <v>1.8633999999999999</v>
      </c>
      <c r="EP89">
        <v>1.8644700000000001</v>
      </c>
      <c r="EQ89">
        <v>1.87012</v>
      </c>
      <c r="ER89">
        <v>1.8693599999999999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-0.40600000000000003</v>
      </c>
      <c r="FG89">
        <v>0.30990000000000001</v>
      </c>
      <c r="FH89">
        <v>0.1121710645629533</v>
      </c>
      <c r="FI89">
        <v>-6.1462078757559423E-4</v>
      </c>
      <c r="FJ89">
        <v>-1.8861989874597051E-7</v>
      </c>
      <c r="FK89">
        <v>1.1980462299894961E-10</v>
      </c>
      <c r="FL89">
        <v>0.30996499999999833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22.6</v>
      </c>
      <c r="FU89">
        <v>22.5</v>
      </c>
      <c r="FV89">
        <v>1.79077</v>
      </c>
      <c r="FW89">
        <v>2.5793499999999998</v>
      </c>
      <c r="FX89">
        <v>1.5490699999999999</v>
      </c>
      <c r="FY89">
        <v>2.3290999999999999</v>
      </c>
      <c r="FZ89">
        <v>1.50146</v>
      </c>
      <c r="GA89">
        <v>2.3706100000000001</v>
      </c>
      <c r="GB89">
        <v>33.963900000000002</v>
      </c>
      <c r="GC89">
        <v>23.982399999999998</v>
      </c>
      <c r="GD89">
        <v>19</v>
      </c>
      <c r="GE89">
        <v>282.46499999999997</v>
      </c>
      <c r="GF89">
        <v>599.76199999999994</v>
      </c>
      <c r="GG89">
        <v>24.031700000000001</v>
      </c>
      <c r="GH89">
        <v>26.3889</v>
      </c>
      <c r="GI89">
        <v>30.0002</v>
      </c>
      <c r="GJ89">
        <v>26.5259</v>
      </c>
      <c r="GK89">
        <v>26.513400000000001</v>
      </c>
      <c r="GL89">
        <v>35.7971</v>
      </c>
      <c r="GM89">
        <v>30.103300000000001</v>
      </c>
      <c r="GN89">
        <v>99.6066</v>
      </c>
      <c r="GO89">
        <v>23.977599999999999</v>
      </c>
      <c r="GP89">
        <v>800</v>
      </c>
      <c r="GQ89">
        <v>18.7639</v>
      </c>
      <c r="GR89">
        <v>99.74</v>
      </c>
      <c r="GS89">
        <v>99.587500000000006</v>
      </c>
    </row>
    <row r="90" spans="1:201" x14ac:dyDescent="0.25">
      <c r="A90">
        <v>74</v>
      </c>
      <c r="B90">
        <v>1690227545.5</v>
      </c>
      <c r="C90">
        <v>975.90000009536743</v>
      </c>
      <c r="D90" t="s">
        <v>479</v>
      </c>
      <c r="E90" t="s">
        <v>480</v>
      </c>
      <c r="F90" t="s">
        <v>330</v>
      </c>
      <c r="H90">
        <v>1690227545.5</v>
      </c>
      <c r="I90">
        <f t="shared" si="30"/>
        <v>3.957303368788936E-4</v>
      </c>
      <c r="J90">
        <f t="shared" si="31"/>
        <v>0.39573033687889358</v>
      </c>
      <c r="K90">
        <f t="shared" si="32"/>
        <v>4.3498525634352863</v>
      </c>
      <c r="L90">
        <f t="shared" si="33"/>
        <v>749.94500000000005</v>
      </c>
      <c r="M90">
        <f t="shared" si="34"/>
        <v>440.00381096069225</v>
      </c>
      <c r="N90">
        <f t="shared" si="35"/>
        <v>43.636870935635287</v>
      </c>
      <c r="O90">
        <f t="shared" si="36"/>
        <v>74.374931213376499</v>
      </c>
      <c r="P90">
        <f t="shared" si="37"/>
        <v>2.3796043606303417E-2</v>
      </c>
      <c r="Q90">
        <f t="shared" si="38"/>
        <v>2.1344675293816948</v>
      </c>
      <c r="R90">
        <f t="shared" si="39"/>
        <v>2.3649639571579516E-2</v>
      </c>
      <c r="S90">
        <f t="shared" si="40"/>
        <v>1.4794103357359253E-2</v>
      </c>
      <c r="T90">
        <f t="shared" si="41"/>
        <v>276.11500417200006</v>
      </c>
      <c r="U90">
        <f t="shared" si="42"/>
        <v>28.401208867739363</v>
      </c>
      <c r="V90">
        <f t="shared" si="43"/>
        <v>28.401208867739363</v>
      </c>
      <c r="W90">
        <f t="shared" si="44"/>
        <v>3.884508359978736</v>
      </c>
      <c r="X90">
        <f t="shared" si="45"/>
        <v>66.054212128380343</v>
      </c>
      <c r="Y90">
        <f t="shared" si="46"/>
        <v>2.27657534349258</v>
      </c>
      <c r="Z90">
        <f t="shared" si="47"/>
        <v>3.446525619089845</v>
      </c>
      <c r="AA90">
        <f t="shared" si="48"/>
        <v>1.6079330164861561</v>
      </c>
      <c r="AB90">
        <f t="shared" si="49"/>
        <v>-17.451707856359207</v>
      </c>
      <c r="AC90">
        <f t="shared" si="50"/>
        <v>-235.04997474180558</v>
      </c>
      <c r="AD90">
        <f t="shared" si="51"/>
        <v>-23.856103432906849</v>
      </c>
      <c r="AE90">
        <f t="shared" si="52"/>
        <v>-0.24278185907158445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52656.753026011545</v>
      </c>
      <c r="AK90">
        <f t="shared" si="56"/>
        <v>1800</v>
      </c>
      <c r="AL90">
        <f t="shared" si="57"/>
        <v>1499.1118632</v>
      </c>
      <c r="AM90">
        <f t="shared" si="58"/>
        <v>0.83283992399999995</v>
      </c>
      <c r="AN90">
        <f t="shared" si="59"/>
        <v>0.15339722454000002</v>
      </c>
      <c r="AO90">
        <v>32.4</v>
      </c>
      <c r="AP90">
        <v>0.5</v>
      </c>
      <c r="AQ90" t="s">
        <v>331</v>
      </c>
      <c r="AR90">
        <v>2</v>
      </c>
      <c r="AS90">
        <v>1690227545.5</v>
      </c>
      <c r="AT90">
        <v>749.94500000000005</v>
      </c>
      <c r="AU90">
        <v>800.1</v>
      </c>
      <c r="AV90">
        <v>22.955400000000001</v>
      </c>
      <c r="AW90">
        <v>18.782</v>
      </c>
      <c r="AX90">
        <v>750.34900000000005</v>
      </c>
      <c r="AY90">
        <v>22.645399999999999</v>
      </c>
      <c r="AZ90">
        <v>300.17099999999999</v>
      </c>
      <c r="BA90">
        <v>99.073899999999995</v>
      </c>
      <c r="BB90">
        <v>9.99477E-2</v>
      </c>
      <c r="BC90">
        <v>26.358599999999999</v>
      </c>
      <c r="BD90">
        <v>26.979299999999999</v>
      </c>
      <c r="BE90">
        <v>28.213899999999999</v>
      </c>
      <c r="BF90">
        <v>0</v>
      </c>
      <c r="BG90">
        <v>0</v>
      </c>
      <c r="BH90">
        <v>10031.200000000001</v>
      </c>
      <c r="BI90">
        <v>1070.8599999999999</v>
      </c>
      <c r="BJ90">
        <v>1.4577199999999999</v>
      </c>
      <c r="BK90">
        <v>-50.155299999999997</v>
      </c>
      <c r="BL90">
        <v>767.56500000000005</v>
      </c>
      <c r="BM90">
        <v>815.41499999999996</v>
      </c>
      <c r="BN90">
        <v>4.1734400000000003</v>
      </c>
      <c r="BO90">
        <v>800.1</v>
      </c>
      <c r="BP90">
        <v>18.782</v>
      </c>
      <c r="BQ90">
        <v>2.2742800000000001</v>
      </c>
      <c r="BR90">
        <v>1.8608</v>
      </c>
      <c r="BS90">
        <v>19.4954</v>
      </c>
      <c r="BT90">
        <v>16.307099999999998</v>
      </c>
      <c r="BU90">
        <v>1800</v>
      </c>
      <c r="BV90">
        <v>0.91000400000000004</v>
      </c>
      <c r="BW90">
        <v>3.4001400000000001E-2</v>
      </c>
      <c r="BX90">
        <v>2.1998199999999999E-2</v>
      </c>
      <c r="BY90">
        <v>3.3996199999999997E-2</v>
      </c>
      <c r="BZ90">
        <v>25.208300000000001</v>
      </c>
      <c r="CA90">
        <v>33528.400000000001</v>
      </c>
      <c r="CB90">
        <v>1690226183.5999999</v>
      </c>
      <c r="CC90" t="s">
        <v>332</v>
      </c>
      <c r="CD90">
        <v>1690226177.5999999</v>
      </c>
      <c r="CE90">
        <v>1690226183.5999999</v>
      </c>
      <c r="CF90">
        <v>12</v>
      </c>
      <c r="CG90">
        <v>-0.255</v>
      </c>
      <c r="CH90">
        <v>0.113</v>
      </c>
      <c r="CI90">
        <v>-0.439</v>
      </c>
      <c r="CJ90">
        <v>0.31</v>
      </c>
      <c r="CK90">
        <v>800</v>
      </c>
      <c r="CL90">
        <v>25</v>
      </c>
      <c r="CM90">
        <v>0.02</v>
      </c>
      <c r="CN90">
        <v>0.03</v>
      </c>
      <c r="CO90">
        <v>-47.62053902439024</v>
      </c>
      <c r="CP90">
        <v>-12.58832822299653</v>
      </c>
      <c r="CQ90">
        <v>1.2413161407973099</v>
      </c>
      <c r="CR90">
        <v>-1</v>
      </c>
      <c r="CS90">
        <v>4.0776926829268296</v>
      </c>
      <c r="CT90">
        <v>0.56306780487803698</v>
      </c>
      <c r="CU90">
        <v>5.8839111226080487E-2</v>
      </c>
      <c r="CV90">
        <v>-1</v>
      </c>
      <c r="CW90">
        <v>0</v>
      </c>
      <c r="CX90">
        <v>0</v>
      </c>
      <c r="CY90" t="s">
        <v>333</v>
      </c>
      <c r="CZ90">
        <v>2.3642400000000001</v>
      </c>
      <c r="DA90">
        <v>2.7137699999999998</v>
      </c>
      <c r="DB90">
        <v>0.14049400000000001</v>
      </c>
      <c r="DC90">
        <v>0.14629400000000001</v>
      </c>
      <c r="DD90">
        <v>0.109904</v>
      </c>
      <c r="DE90">
        <v>9.4331700000000004E-2</v>
      </c>
      <c r="DF90">
        <v>31383.8</v>
      </c>
      <c r="DG90">
        <v>27516.5</v>
      </c>
      <c r="DH90">
        <v>31172.1</v>
      </c>
      <c r="DI90">
        <v>28085.5</v>
      </c>
      <c r="DJ90">
        <v>37672.300000000003</v>
      </c>
      <c r="DK90">
        <v>36170.9</v>
      </c>
      <c r="DL90">
        <v>44362.400000000001</v>
      </c>
      <c r="DM90">
        <v>42571.8</v>
      </c>
      <c r="DN90">
        <v>1.4732700000000001</v>
      </c>
      <c r="DO90">
        <v>2.05382</v>
      </c>
      <c r="DP90">
        <v>0.103116</v>
      </c>
      <c r="DQ90">
        <v>0.19483300000000001</v>
      </c>
      <c r="DR90">
        <v>25.290500000000002</v>
      </c>
      <c r="DS90">
        <v>25.025600000000001</v>
      </c>
      <c r="DT90">
        <v>57.3</v>
      </c>
      <c r="DU90">
        <v>29.2</v>
      </c>
      <c r="DV90">
        <v>23.5303</v>
      </c>
      <c r="DW90">
        <v>61.302500000000002</v>
      </c>
      <c r="DX90">
        <v>35.368600000000001</v>
      </c>
      <c r="DY90">
        <v>1</v>
      </c>
      <c r="DZ90">
        <v>-7.9204800000000006E-2</v>
      </c>
      <c r="EA90">
        <v>0.298124</v>
      </c>
      <c r="EB90">
        <v>20.1889</v>
      </c>
      <c r="EC90">
        <v>5.2406499999999996</v>
      </c>
      <c r="ED90">
        <v>12.039899999999999</v>
      </c>
      <c r="EE90">
        <v>5.0166500000000003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1.8646199999999999</v>
      </c>
      <c r="EM90">
        <v>1.86917</v>
      </c>
      <c r="EN90">
        <v>1.8672299999999999</v>
      </c>
      <c r="EO90">
        <v>1.8633999999999999</v>
      </c>
      <c r="EP90">
        <v>1.86449</v>
      </c>
      <c r="EQ90">
        <v>1.87012</v>
      </c>
      <c r="ER90">
        <v>1.86938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-0.40400000000000003</v>
      </c>
      <c r="FG90">
        <v>0.31</v>
      </c>
      <c r="FH90">
        <v>0.1121710645629533</v>
      </c>
      <c r="FI90">
        <v>-6.1462078757559423E-4</v>
      </c>
      <c r="FJ90">
        <v>-1.8861989874597051E-7</v>
      </c>
      <c r="FK90">
        <v>1.1980462299894961E-10</v>
      </c>
      <c r="FL90">
        <v>0.30996499999999833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22.8</v>
      </c>
      <c r="FU90">
        <v>22.7</v>
      </c>
      <c r="FV90">
        <v>1.79077</v>
      </c>
      <c r="FW90">
        <v>2.5817899999999998</v>
      </c>
      <c r="FX90">
        <v>1.5490699999999999</v>
      </c>
      <c r="FY90">
        <v>2.3290999999999999</v>
      </c>
      <c r="FZ90">
        <v>1.50146</v>
      </c>
      <c r="GA90">
        <v>2.3877000000000002</v>
      </c>
      <c r="GB90">
        <v>33.963900000000002</v>
      </c>
      <c r="GC90">
        <v>23.991199999999999</v>
      </c>
      <c r="GD90">
        <v>19</v>
      </c>
      <c r="GE90">
        <v>282.38299999999998</v>
      </c>
      <c r="GF90">
        <v>599.702</v>
      </c>
      <c r="GG90">
        <v>24.0063</v>
      </c>
      <c r="GH90">
        <v>26.384499999999999</v>
      </c>
      <c r="GI90">
        <v>29.9999</v>
      </c>
      <c r="GJ90">
        <v>26.521699999999999</v>
      </c>
      <c r="GK90">
        <v>26.510100000000001</v>
      </c>
      <c r="GL90">
        <v>35.793399999999998</v>
      </c>
      <c r="GM90">
        <v>30.374500000000001</v>
      </c>
      <c r="GN90">
        <v>99.6066</v>
      </c>
      <c r="GO90">
        <v>24.021899999999999</v>
      </c>
      <c r="GP90">
        <v>800</v>
      </c>
      <c r="GQ90">
        <v>18.692699999999999</v>
      </c>
      <c r="GR90">
        <v>99.739500000000007</v>
      </c>
      <c r="GS90">
        <v>99.586600000000004</v>
      </c>
    </row>
    <row r="91" spans="1:201" x14ac:dyDescent="0.25">
      <c r="A91">
        <v>75</v>
      </c>
      <c r="B91">
        <v>1690227555.5</v>
      </c>
      <c r="C91">
        <v>985.90000009536743</v>
      </c>
      <c r="D91" t="s">
        <v>481</v>
      </c>
      <c r="E91" t="s">
        <v>482</v>
      </c>
      <c r="F91" t="s">
        <v>330</v>
      </c>
      <c r="H91">
        <v>1690227555.5</v>
      </c>
      <c r="I91">
        <f t="shared" si="30"/>
        <v>4.0338776913837149E-4</v>
      </c>
      <c r="J91">
        <f t="shared" si="31"/>
        <v>0.40338776913837149</v>
      </c>
      <c r="K91">
        <f t="shared" si="32"/>
        <v>4.5465856965381182</v>
      </c>
      <c r="L91">
        <f t="shared" si="33"/>
        <v>747.74800000000005</v>
      </c>
      <c r="M91">
        <f t="shared" si="34"/>
        <v>430.57730555949473</v>
      </c>
      <c r="N91">
        <f t="shared" si="35"/>
        <v>42.701594038438941</v>
      </c>
      <c r="O91">
        <f t="shared" si="36"/>
        <v>74.156327160727997</v>
      </c>
      <c r="P91">
        <f t="shared" si="37"/>
        <v>2.4265054265199971E-2</v>
      </c>
      <c r="Q91">
        <f t="shared" si="38"/>
        <v>2.1348961669656532</v>
      </c>
      <c r="R91">
        <f t="shared" si="39"/>
        <v>2.4112872500047476E-2</v>
      </c>
      <c r="S91">
        <f t="shared" si="40"/>
        <v>1.5084138568167788E-2</v>
      </c>
      <c r="T91">
        <f t="shared" si="41"/>
        <v>276.11344010392185</v>
      </c>
      <c r="U91">
        <f t="shared" si="42"/>
        <v>28.406741597044235</v>
      </c>
      <c r="V91">
        <f t="shared" si="43"/>
        <v>28.406741597044235</v>
      </c>
      <c r="W91">
        <f t="shared" si="44"/>
        <v>3.8857577116433482</v>
      </c>
      <c r="X91">
        <f t="shared" si="45"/>
        <v>66.068949516610104</v>
      </c>
      <c r="Y91">
        <f t="shared" si="46"/>
        <v>2.2782392063464005</v>
      </c>
      <c r="Z91">
        <f t="shared" si="47"/>
        <v>3.4482752079683641</v>
      </c>
      <c r="AA91">
        <f t="shared" si="48"/>
        <v>1.6075185052969476</v>
      </c>
      <c r="AB91">
        <f t="shared" si="49"/>
        <v>-17.789400619002183</v>
      </c>
      <c r="AC91">
        <f t="shared" si="50"/>
        <v>-234.7441446070892</v>
      </c>
      <c r="AD91">
        <f t="shared" si="51"/>
        <v>-23.821960365162063</v>
      </c>
      <c r="AE91">
        <f t="shared" si="52"/>
        <v>-0.24206548733158684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52673.770970887759</v>
      </c>
      <c r="AK91">
        <f t="shared" si="56"/>
        <v>1799.99</v>
      </c>
      <c r="AL91">
        <f t="shared" si="57"/>
        <v>1499.10439519598</v>
      </c>
      <c r="AM91">
        <f t="shared" si="58"/>
        <v>0.83284040199999998</v>
      </c>
      <c r="AN91">
        <f t="shared" si="59"/>
        <v>0.15339720782000002</v>
      </c>
      <c r="AO91">
        <v>32.4</v>
      </c>
      <c r="AP91">
        <v>0.5</v>
      </c>
      <c r="AQ91" t="s">
        <v>331</v>
      </c>
      <c r="AR91">
        <v>2</v>
      </c>
      <c r="AS91">
        <v>1690227555.5</v>
      </c>
      <c r="AT91">
        <v>747.74800000000005</v>
      </c>
      <c r="AU91">
        <v>800.07299999999998</v>
      </c>
      <c r="AV91">
        <v>22.9724</v>
      </c>
      <c r="AW91">
        <v>18.718800000000002</v>
      </c>
      <c r="AX91">
        <v>748.15099999999995</v>
      </c>
      <c r="AY91">
        <v>22.662500000000001</v>
      </c>
      <c r="AZ91">
        <v>300.20499999999998</v>
      </c>
      <c r="BA91">
        <v>99.072800000000001</v>
      </c>
      <c r="BB91">
        <v>0.10008599999999999</v>
      </c>
      <c r="BC91">
        <v>26.3672</v>
      </c>
      <c r="BD91">
        <v>26.989799999999999</v>
      </c>
      <c r="BE91">
        <v>28.196400000000001</v>
      </c>
      <c r="BF91">
        <v>0</v>
      </c>
      <c r="BG91">
        <v>0</v>
      </c>
      <c r="BH91">
        <v>10035</v>
      </c>
      <c r="BI91">
        <v>1070.9100000000001</v>
      </c>
      <c r="BJ91">
        <v>1.4577199999999999</v>
      </c>
      <c r="BK91">
        <v>-52.325000000000003</v>
      </c>
      <c r="BL91">
        <v>765.33</v>
      </c>
      <c r="BM91">
        <v>815.33500000000004</v>
      </c>
      <c r="BN91">
        <v>4.2536500000000004</v>
      </c>
      <c r="BO91">
        <v>800.07299999999998</v>
      </c>
      <c r="BP91">
        <v>18.718800000000002</v>
      </c>
      <c r="BQ91">
        <v>2.2759399999999999</v>
      </c>
      <c r="BR91">
        <v>1.8545199999999999</v>
      </c>
      <c r="BS91">
        <v>19.507100000000001</v>
      </c>
      <c r="BT91">
        <v>16.254100000000001</v>
      </c>
      <c r="BU91">
        <v>1799.99</v>
      </c>
      <c r="BV91">
        <v>0.91000700000000001</v>
      </c>
      <c r="BW91">
        <v>3.4000299999999997E-2</v>
      </c>
      <c r="BX91">
        <v>2.1997599999999999E-2</v>
      </c>
      <c r="BY91">
        <v>3.3995200000000003E-2</v>
      </c>
      <c r="BZ91">
        <v>25.125</v>
      </c>
      <c r="CA91">
        <v>33528.300000000003</v>
      </c>
      <c r="CB91">
        <v>1690226183.5999999</v>
      </c>
      <c r="CC91" t="s">
        <v>332</v>
      </c>
      <c r="CD91">
        <v>1690226177.5999999</v>
      </c>
      <c r="CE91">
        <v>1690226183.5999999</v>
      </c>
      <c r="CF91">
        <v>12</v>
      </c>
      <c r="CG91">
        <v>-0.255</v>
      </c>
      <c r="CH91">
        <v>0.113</v>
      </c>
      <c r="CI91">
        <v>-0.439</v>
      </c>
      <c r="CJ91">
        <v>0.31</v>
      </c>
      <c r="CK91">
        <v>800</v>
      </c>
      <c r="CL91">
        <v>25</v>
      </c>
      <c r="CM91">
        <v>0.02</v>
      </c>
      <c r="CN91">
        <v>0.03</v>
      </c>
      <c r="CO91">
        <v>-49.927025</v>
      </c>
      <c r="CP91">
        <v>-13.118411257035619</v>
      </c>
      <c r="CQ91">
        <v>1.2623659930364881</v>
      </c>
      <c r="CR91">
        <v>-1</v>
      </c>
      <c r="CS91">
        <v>4.1641729999999999</v>
      </c>
      <c r="CT91">
        <v>0.44893215759849031</v>
      </c>
      <c r="CU91">
        <v>4.3982009969986587E-2</v>
      </c>
      <c r="CV91">
        <v>-1</v>
      </c>
      <c r="CW91">
        <v>0</v>
      </c>
      <c r="CX91">
        <v>0</v>
      </c>
      <c r="CY91" t="s">
        <v>333</v>
      </c>
      <c r="CZ91">
        <v>2.36436</v>
      </c>
      <c r="DA91">
        <v>2.7139099999999998</v>
      </c>
      <c r="DB91">
        <v>0.14021600000000001</v>
      </c>
      <c r="DC91">
        <v>0.146289</v>
      </c>
      <c r="DD91">
        <v>0.109962</v>
      </c>
      <c r="DE91">
        <v>9.4104499999999994E-2</v>
      </c>
      <c r="DF91">
        <v>31394.400000000001</v>
      </c>
      <c r="DG91">
        <v>27516.7</v>
      </c>
      <c r="DH91">
        <v>31172.6</v>
      </c>
      <c r="DI91">
        <v>28085.599999999999</v>
      </c>
      <c r="DJ91">
        <v>37670.699999999997</v>
      </c>
      <c r="DK91">
        <v>36180.1</v>
      </c>
      <c r="DL91">
        <v>44363.5</v>
      </c>
      <c r="DM91">
        <v>42571.9</v>
      </c>
      <c r="DN91">
        <v>1.4740500000000001</v>
      </c>
      <c r="DO91">
        <v>2.0536699999999999</v>
      </c>
      <c r="DP91">
        <v>0.10380499999999999</v>
      </c>
      <c r="DQ91">
        <v>0.19386400000000001</v>
      </c>
      <c r="DR91">
        <v>25.2898</v>
      </c>
      <c r="DS91">
        <v>25.023900000000001</v>
      </c>
      <c r="DT91">
        <v>57.3</v>
      </c>
      <c r="DU91">
        <v>29.2</v>
      </c>
      <c r="DV91">
        <v>23.527100000000001</v>
      </c>
      <c r="DW91">
        <v>61.292499999999997</v>
      </c>
      <c r="DX91">
        <v>36.642600000000002</v>
      </c>
      <c r="DY91">
        <v>1</v>
      </c>
      <c r="DZ91">
        <v>-7.9438499999999995E-2</v>
      </c>
      <c r="EA91">
        <v>0.20674799999999999</v>
      </c>
      <c r="EB91">
        <v>20.189499999999999</v>
      </c>
      <c r="EC91">
        <v>5.2406499999999996</v>
      </c>
      <c r="ED91">
        <v>12.039899999999999</v>
      </c>
      <c r="EE91">
        <v>5.0170500000000002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1.86917</v>
      </c>
      <c r="EN91">
        <v>1.8672299999999999</v>
      </c>
      <c r="EO91">
        <v>1.8633900000000001</v>
      </c>
      <c r="EP91">
        <v>1.8644799999999999</v>
      </c>
      <c r="EQ91">
        <v>1.87012</v>
      </c>
      <c r="ER91">
        <v>1.86937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-0.40300000000000002</v>
      </c>
      <c r="FG91">
        <v>0.30990000000000001</v>
      </c>
      <c r="FH91">
        <v>0.1121710645629533</v>
      </c>
      <c r="FI91">
        <v>-6.1462078757559423E-4</v>
      </c>
      <c r="FJ91">
        <v>-1.8861989874597051E-7</v>
      </c>
      <c r="FK91">
        <v>1.1980462299894961E-10</v>
      </c>
      <c r="FL91">
        <v>0.30996499999999833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23</v>
      </c>
      <c r="FU91">
        <v>22.9</v>
      </c>
      <c r="FV91">
        <v>1.78955</v>
      </c>
      <c r="FW91">
        <v>2.5903299999999998</v>
      </c>
      <c r="FX91">
        <v>1.5490699999999999</v>
      </c>
      <c r="FY91">
        <v>2.3290999999999999</v>
      </c>
      <c r="FZ91">
        <v>1.50146</v>
      </c>
      <c r="GA91">
        <v>2.2680699999999998</v>
      </c>
      <c r="GB91">
        <v>33.963900000000002</v>
      </c>
      <c r="GC91">
        <v>23.982399999999998</v>
      </c>
      <c r="GD91">
        <v>19</v>
      </c>
      <c r="GE91">
        <v>282.70299999999997</v>
      </c>
      <c r="GF91">
        <v>599.53800000000001</v>
      </c>
      <c r="GG91">
        <v>24.052099999999999</v>
      </c>
      <c r="GH91">
        <v>26.380600000000001</v>
      </c>
      <c r="GI91">
        <v>29.9998</v>
      </c>
      <c r="GJ91">
        <v>26.519100000000002</v>
      </c>
      <c r="GK91">
        <v>26.506900000000002</v>
      </c>
      <c r="GL91">
        <v>35.789000000000001</v>
      </c>
      <c r="GM91">
        <v>30.9191</v>
      </c>
      <c r="GN91">
        <v>99.6066</v>
      </c>
      <c r="GO91">
        <v>24.063199999999998</v>
      </c>
      <c r="GP91">
        <v>800</v>
      </c>
      <c r="GQ91">
        <v>18.607199999999999</v>
      </c>
      <c r="GR91">
        <v>99.741500000000002</v>
      </c>
      <c r="GS91">
        <v>99.5869</v>
      </c>
    </row>
    <row r="92" spans="1:201" x14ac:dyDescent="0.25">
      <c r="A92">
        <v>76</v>
      </c>
      <c r="B92">
        <v>1690227565.5</v>
      </c>
      <c r="C92">
        <v>995.90000009536743</v>
      </c>
      <c r="D92" t="s">
        <v>483</v>
      </c>
      <c r="E92" t="s">
        <v>484</v>
      </c>
      <c r="F92" t="s">
        <v>330</v>
      </c>
      <c r="H92">
        <v>1690227565.5</v>
      </c>
      <c r="I92">
        <f t="shared" si="30"/>
        <v>4.1542697496993475E-4</v>
      </c>
      <c r="J92">
        <f t="shared" si="31"/>
        <v>0.41542697496993475</v>
      </c>
      <c r="K92">
        <f t="shared" si="32"/>
        <v>4.7511609506742278</v>
      </c>
      <c r="L92">
        <f t="shared" si="33"/>
        <v>745.50400000000002</v>
      </c>
      <c r="M92">
        <f t="shared" si="34"/>
        <v>424.38960595745806</v>
      </c>
      <c r="N92">
        <f t="shared" si="35"/>
        <v>42.087366114508633</v>
      </c>
      <c r="O92">
        <f t="shared" si="36"/>
        <v>73.932771555616014</v>
      </c>
      <c r="P92">
        <f t="shared" si="37"/>
        <v>2.5023237426620326E-2</v>
      </c>
      <c r="Q92">
        <f t="shared" si="38"/>
        <v>2.1288399395962987</v>
      </c>
      <c r="R92">
        <f t="shared" si="39"/>
        <v>2.4860974105549445E-2</v>
      </c>
      <c r="S92">
        <f t="shared" si="40"/>
        <v>1.5552599709661028E-2</v>
      </c>
      <c r="T92">
        <f t="shared" si="41"/>
        <v>276.11485293599998</v>
      </c>
      <c r="U92">
        <f t="shared" si="42"/>
        <v>28.407022801935994</v>
      </c>
      <c r="V92">
        <f t="shared" si="43"/>
        <v>28.407022801935994</v>
      </c>
      <c r="W92">
        <f t="shared" si="44"/>
        <v>3.8858212201865832</v>
      </c>
      <c r="X92">
        <f t="shared" si="45"/>
        <v>66.128399153888168</v>
      </c>
      <c r="Y92">
        <f t="shared" si="46"/>
        <v>2.2801815462267001</v>
      </c>
      <c r="Z92">
        <f t="shared" si="47"/>
        <v>3.4481124228041016</v>
      </c>
      <c r="AA92">
        <f t="shared" si="48"/>
        <v>1.6056396739598831</v>
      </c>
      <c r="AB92">
        <f t="shared" si="49"/>
        <v>-18.320329596174123</v>
      </c>
      <c r="AC92">
        <f t="shared" si="50"/>
        <v>-234.20231738988952</v>
      </c>
      <c r="AD92">
        <f t="shared" si="51"/>
        <v>-23.834527444154844</v>
      </c>
      <c r="AE92">
        <f t="shared" si="52"/>
        <v>-0.24232149421851545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52412.119529251155</v>
      </c>
      <c r="AK92">
        <f t="shared" si="56"/>
        <v>1800</v>
      </c>
      <c r="AL92">
        <f t="shared" si="57"/>
        <v>1499.1135515999999</v>
      </c>
      <c r="AM92">
        <f t="shared" si="58"/>
        <v>0.83284086199999996</v>
      </c>
      <c r="AN92">
        <f t="shared" si="59"/>
        <v>0.15339714052</v>
      </c>
      <c r="AO92">
        <v>32.4</v>
      </c>
      <c r="AP92">
        <v>0.5</v>
      </c>
      <c r="AQ92" t="s">
        <v>331</v>
      </c>
      <c r="AR92">
        <v>2</v>
      </c>
      <c r="AS92">
        <v>1690227565.5</v>
      </c>
      <c r="AT92">
        <v>745.50400000000002</v>
      </c>
      <c r="AU92">
        <v>800.12199999999996</v>
      </c>
      <c r="AV92">
        <v>22.9923</v>
      </c>
      <c r="AW92">
        <v>18.611999999999998</v>
      </c>
      <c r="AX92">
        <v>745.90499999999997</v>
      </c>
      <c r="AY92">
        <v>22.682300000000001</v>
      </c>
      <c r="AZ92">
        <v>300.21600000000001</v>
      </c>
      <c r="BA92">
        <v>99.071600000000004</v>
      </c>
      <c r="BB92">
        <v>9.9929000000000004E-2</v>
      </c>
      <c r="BC92">
        <v>26.366399999999999</v>
      </c>
      <c r="BD92">
        <v>26.962900000000001</v>
      </c>
      <c r="BE92">
        <v>28.221</v>
      </c>
      <c r="BF92">
        <v>0</v>
      </c>
      <c r="BG92">
        <v>0</v>
      </c>
      <c r="BH92">
        <v>9983.1200000000008</v>
      </c>
      <c r="BI92">
        <v>1070.9000000000001</v>
      </c>
      <c r="BJ92">
        <v>1.5137799999999999</v>
      </c>
      <c r="BK92">
        <v>-54.618299999999998</v>
      </c>
      <c r="BL92">
        <v>763.048</v>
      </c>
      <c r="BM92">
        <v>815.29600000000005</v>
      </c>
      <c r="BN92">
        <v>4.3802700000000003</v>
      </c>
      <c r="BO92">
        <v>800.12199999999996</v>
      </c>
      <c r="BP92">
        <v>18.611999999999998</v>
      </c>
      <c r="BQ92">
        <v>2.2778800000000001</v>
      </c>
      <c r="BR92">
        <v>1.84392</v>
      </c>
      <c r="BS92">
        <v>19.520800000000001</v>
      </c>
      <c r="BT92">
        <v>16.164200000000001</v>
      </c>
      <c r="BU92">
        <v>1800</v>
      </c>
      <c r="BV92">
        <v>0.91001100000000001</v>
      </c>
      <c r="BW92">
        <v>3.3998899999999999E-2</v>
      </c>
      <c r="BX92">
        <v>2.1996600000000002E-2</v>
      </c>
      <c r="BY92">
        <v>3.3993799999999998E-2</v>
      </c>
      <c r="BZ92">
        <v>25.083300000000001</v>
      </c>
      <c r="CA92">
        <v>33528.400000000001</v>
      </c>
      <c r="CB92">
        <v>1690226183.5999999</v>
      </c>
      <c r="CC92" t="s">
        <v>332</v>
      </c>
      <c r="CD92">
        <v>1690226177.5999999</v>
      </c>
      <c r="CE92">
        <v>1690226183.5999999</v>
      </c>
      <c r="CF92">
        <v>12</v>
      </c>
      <c r="CG92">
        <v>-0.255</v>
      </c>
      <c r="CH92">
        <v>0.113</v>
      </c>
      <c r="CI92">
        <v>-0.439</v>
      </c>
      <c r="CJ92">
        <v>0.31</v>
      </c>
      <c r="CK92">
        <v>800</v>
      </c>
      <c r="CL92">
        <v>25</v>
      </c>
      <c r="CM92">
        <v>0.02</v>
      </c>
      <c r="CN92">
        <v>0.03</v>
      </c>
      <c r="CO92">
        <v>-52.200056097560982</v>
      </c>
      <c r="CP92">
        <v>-13.388999999999969</v>
      </c>
      <c r="CQ92">
        <v>1.3205541800557901</v>
      </c>
      <c r="CR92">
        <v>-1</v>
      </c>
      <c r="CS92">
        <v>4.2651060975609756</v>
      </c>
      <c r="CT92">
        <v>0.72860006968641966</v>
      </c>
      <c r="CU92">
        <v>7.3150220774821445E-2</v>
      </c>
      <c r="CV92">
        <v>-1</v>
      </c>
      <c r="CW92">
        <v>0</v>
      </c>
      <c r="CX92">
        <v>0</v>
      </c>
      <c r="CY92" t="s">
        <v>333</v>
      </c>
      <c r="CZ92">
        <v>2.3643900000000002</v>
      </c>
      <c r="DA92">
        <v>2.7137099999999998</v>
      </c>
      <c r="DB92">
        <v>0.13993</v>
      </c>
      <c r="DC92">
        <v>0.146291</v>
      </c>
      <c r="DD92">
        <v>0.110029</v>
      </c>
      <c r="DE92">
        <v>9.37196E-2</v>
      </c>
      <c r="DF92">
        <v>31405.200000000001</v>
      </c>
      <c r="DG92">
        <v>27517.1</v>
      </c>
      <c r="DH92">
        <v>31172.9</v>
      </c>
      <c r="DI92">
        <v>28086.1</v>
      </c>
      <c r="DJ92">
        <v>37668.199999999997</v>
      </c>
      <c r="DK92">
        <v>36196.1</v>
      </c>
      <c r="DL92">
        <v>44364</v>
      </c>
      <c r="DM92">
        <v>42572.7</v>
      </c>
      <c r="DN92">
        <v>1.4737499999999999</v>
      </c>
      <c r="DO92">
        <v>2.0539499999999999</v>
      </c>
      <c r="DP92">
        <v>0.102483</v>
      </c>
      <c r="DQ92">
        <v>0.195522</v>
      </c>
      <c r="DR92">
        <v>25.284500000000001</v>
      </c>
      <c r="DS92">
        <v>25.0214</v>
      </c>
      <c r="DT92">
        <v>57.3</v>
      </c>
      <c r="DU92">
        <v>29.2</v>
      </c>
      <c r="DV92">
        <v>23.5306</v>
      </c>
      <c r="DW92">
        <v>61.642499999999998</v>
      </c>
      <c r="DX92">
        <v>35.332500000000003</v>
      </c>
      <c r="DY92">
        <v>1</v>
      </c>
      <c r="DZ92">
        <v>-7.9751000000000002E-2</v>
      </c>
      <c r="EA92">
        <v>0.44972499999999999</v>
      </c>
      <c r="EB92">
        <v>20.188500000000001</v>
      </c>
      <c r="EC92">
        <v>5.2406499999999996</v>
      </c>
      <c r="ED92">
        <v>12.039899999999999</v>
      </c>
      <c r="EE92">
        <v>5.0170000000000003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1.8691599999999999</v>
      </c>
      <c r="EN92">
        <v>1.8672299999999999</v>
      </c>
      <c r="EO92">
        <v>1.8633999999999999</v>
      </c>
      <c r="EP92">
        <v>1.8644799999999999</v>
      </c>
      <c r="EQ92">
        <v>1.8701399999999999</v>
      </c>
      <c r="ER92">
        <v>1.8693900000000001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-0.40100000000000002</v>
      </c>
      <c r="FG92">
        <v>0.31</v>
      </c>
      <c r="FH92">
        <v>0.1121710645629533</v>
      </c>
      <c r="FI92">
        <v>-6.1462078757559423E-4</v>
      </c>
      <c r="FJ92">
        <v>-1.8861989874597051E-7</v>
      </c>
      <c r="FK92">
        <v>1.1980462299894961E-10</v>
      </c>
      <c r="FL92">
        <v>0.30996499999999833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23.1</v>
      </c>
      <c r="FU92">
        <v>23</v>
      </c>
      <c r="FV92">
        <v>1.78955</v>
      </c>
      <c r="FW92">
        <v>2.5805699999999998</v>
      </c>
      <c r="FX92">
        <v>1.5490699999999999</v>
      </c>
      <c r="FY92">
        <v>2.3290999999999999</v>
      </c>
      <c r="FZ92">
        <v>1.50146</v>
      </c>
      <c r="GA92">
        <v>2.36328</v>
      </c>
      <c r="GB92">
        <v>33.963900000000002</v>
      </c>
      <c r="GC92">
        <v>23.991199999999999</v>
      </c>
      <c r="GD92">
        <v>19</v>
      </c>
      <c r="GE92">
        <v>282.56200000000001</v>
      </c>
      <c r="GF92">
        <v>599.745</v>
      </c>
      <c r="GG92">
        <v>24.067900000000002</v>
      </c>
      <c r="GH92">
        <v>26.376100000000001</v>
      </c>
      <c r="GI92">
        <v>30.0001</v>
      </c>
      <c r="GJ92">
        <v>26.516100000000002</v>
      </c>
      <c r="GK92">
        <v>26.5047</v>
      </c>
      <c r="GL92">
        <v>35.783200000000001</v>
      </c>
      <c r="GM92">
        <v>30.9191</v>
      </c>
      <c r="GN92">
        <v>99.236500000000007</v>
      </c>
      <c r="GO92">
        <v>24.040099999999999</v>
      </c>
      <c r="GP92">
        <v>800</v>
      </c>
      <c r="GQ92">
        <v>18.518799999999999</v>
      </c>
      <c r="GR92">
        <v>99.742599999999996</v>
      </c>
      <c r="GS92">
        <v>99.5886</v>
      </c>
    </row>
    <row r="93" spans="1:201" x14ac:dyDescent="0.25">
      <c r="A93">
        <v>77</v>
      </c>
      <c r="B93">
        <v>1690227575.5</v>
      </c>
      <c r="C93">
        <v>1005.900000095367</v>
      </c>
      <c r="D93" t="s">
        <v>485</v>
      </c>
      <c r="E93" t="s">
        <v>486</v>
      </c>
      <c r="F93" t="s">
        <v>330</v>
      </c>
      <c r="H93">
        <v>1690227575.5</v>
      </c>
      <c r="I93">
        <f t="shared" si="30"/>
        <v>4.2223025598753667E-4</v>
      </c>
      <c r="J93">
        <f t="shared" si="31"/>
        <v>0.42223025598753666</v>
      </c>
      <c r="K93">
        <f t="shared" si="32"/>
        <v>4.9515320284888089</v>
      </c>
      <c r="L93">
        <f t="shared" si="33"/>
        <v>743.14800000000002</v>
      </c>
      <c r="M93">
        <f t="shared" si="34"/>
        <v>414.8985712540607</v>
      </c>
      <c r="N93">
        <f t="shared" si="35"/>
        <v>41.146801312014077</v>
      </c>
      <c r="O93">
        <f t="shared" si="36"/>
        <v>73.700333575495193</v>
      </c>
      <c r="P93">
        <f t="shared" si="37"/>
        <v>2.5471053068755065E-2</v>
      </c>
      <c r="Q93">
        <f t="shared" si="38"/>
        <v>2.1314803922860248</v>
      </c>
      <c r="R93">
        <f t="shared" si="39"/>
        <v>2.5303157869053988E-2</v>
      </c>
      <c r="S93">
        <f t="shared" si="40"/>
        <v>1.5829466020559319E-2</v>
      </c>
      <c r="T93">
        <f t="shared" si="41"/>
        <v>276.11449074000001</v>
      </c>
      <c r="U93">
        <f t="shared" si="42"/>
        <v>28.401252941127069</v>
      </c>
      <c r="V93">
        <f t="shared" si="43"/>
        <v>28.401252941127069</v>
      </c>
      <c r="W93">
        <f t="shared" si="44"/>
        <v>3.8845183108540882</v>
      </c>
      <c r="X93">
        <f t="shared" si="45"/>
        <v>66.1585143235001</v>
      </c>
      <c r="Y93">
        <f t="shared" si="46"/>
        <v>2.28107187604166</v>
      </c>
      <c r="Z93">
        <f t="shared" si="47"/>
        <v>3.4478886041602097</v>
      </c>
      <c r="AA93">
        <f t="shared" si="48"/>
        <v>1.6034464348124282</v>
      </c>
      <c r="AB93">
        <f t="shared" si="49"/>
        <v>-18.620354289050368</v>
      </c>
      <c r="AC93">
        <f t="shared" si="50"/>
        <v>-233.95617952390867</v>
      </c>
      <c r="AD93">
        <f t="shared" si="51"/>
        <v>-23.779166335401246</v>
      </c>
      <c r="AE93">
        <f t="shared" si="52"/>
        <v>-0.24120940836027671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52526.369476693675</v>
      </c>
      <c r="AK93">
        <f t="shared" si="56"/>
        <v>1800</v>
      </c>
      <c r="AL93">
        <f t="shared" si="57"/>
        <v>1499.1133049999999</v>
      </c>
      <c r="AM93">
        <f t="shared" si="58"/>
        <v>0.83284072499999995</v>
      </c>
      <c r="AN93">
        <f t="shared" si="59"/>
        <v>0.15339693930000001</v>
      </c>
      <c r="AO93">
        <v>32.4</v>
      </c>
      <c r="AP93">
        <v>0.5</v>
      </c>
      <c r="AQ93" t="s">
        <v>331</v>
      </c>
      <c r="AR93">
        <v>2</v>
      </c>
      <c r="AS93">
        <v>1690227575.5</v>
      </c>
      <c r="AT93">
        <v>743.14800000000002</v>
      </c>
      <c r="AU93">
        <v>799.98400000000004</v>
      </c>
      <c r="AV93">
        <v>23.000900000000001</v>
      </c>
      <c r="AW93">
        <v>18.547999999999998</v>
      </c>
      <c r="AX93">
        <v>743.548</v>
      </c>
      <c r="AY93">
        <v>22.690899999999999</v>
      </c>
      <c r="AZ93">
        <v>300.15499999999997</v>
      </c>
      <c r="BA93">
        <v>99.0732</v>
      </c>
      <c r="BB93">
        <v>9.9957400000000002E-2</v>
      </c>
      <c r="BC93">
        <v>26.365300000000001</v>
      </c>
      <c r="BD93">
        <v>27.018000000000001</v>
      </c>
      <c r="BE93">
        <v>28.211200000000002</v>
      </c>
      <c r="BF93">
        <v>0</v>
      </c>
      <c r="BG93">
        <v>0</v>
      </c>
      <c r="BH93">
        <v>10005.6</v>
      </c>
      <c r="BI93">
        <v>1071.03</v>
      </c>
      <c r="BJ93">
        <v>1.5137799999999999</v>
      </c>
      <c r="BK93">
        <v>-56.835900000000002</v>
      </c>
      <c r="BL93">
        <v>760.64400000000001</v>
      </c>
      <c r="BM93">
        <v>815.10299999999995</v>
      </c>
      <c r="BN93">
        <v>4.4528999999999996</v>
      </c>
      <c r="BO93">
        <v>799.98400000000004</v>
      </c>
      <c r="BP93">
        <v>18.547999999999998</v>
      </c>
      <c r="BQ93">
        <v>2.2787700000000002</v>
      </c>
      <c r="BR93">
        <v>1.83761</v>
      </c>
      <c r="BS93">
        <v>19.527100000000001</v>
      </c>
      <c r="BT93">
        <v>16.110399999999998</v>
      </c>
      <c r="BU93">
        <v>1800</v>
      </c>
      <c r="BV93">
        <v>0.91001500000000002</v>
      </c>
      <c r="BW93">
        <v>3.3997199999999998E-2</v>
      </c>
      <c r="BX93">
        <v>2.1995500000000001E-2</v>
      </c>
      <c r="BY93">
        <v>3.3992000000000001E-2</v>
      </c>
      <c r="BZ93">
        <v>25</v>
      </c>
      <c r="CA93">
        <v>33528.5</v>
      </c>
      <c r="CB93">
        <v>1690226183.5999999</v>
      </c>
      <c r="CC93" t="s">
        <v>332</v>
      </c>
      <c r="CD93">
        <v>1690226177.5999999</v>
      </c>
      <c r="CE93">
        <v>1690226183.5999999</v>
      </c>
      <c r="CF93">
        <v>12</v>
      </c>
      <c r="CG93">
        <v>-0.255</v>
      </c>
      <c r="CH93">
        <v>0.113</v>
      </c>
      <c r="CI93">
        <v>-0.439</v>
      </c>
      <c r="CJ93">
        <v>0.31</v>
      </c>
      <c r="CK93">
        <v>800</v>
      </c>
      <c r="CL93">
        <v>25</v>
      </c>
      <c r="CM93">
        <v>0.02</v>
      </c>
      <c r="CN93">
        <v>0.03</v>
      </c>
      <c r="CO93">
        <v>-54.466800000000013</v>
      </c>
      <c r="CP93">
        <v>-13.7163073170732</v>
      </c>
      <c r="CQ93">
        <v>1.3526089408359201</v>
      </c>
      <c r="CR93">
        <v>-1</v>
      </c>
      <c r="CS93">
        <v>4.3657868292682931</v>
      </c>
      <c r="CT93">
        <v>0.54527289198606133</v>
      </c>
      <c r="CU93">
        <v>5.6564312261829668E-2</v>
      </c>
      <c r="CV93">
        <v>-1</v>
      </c>
      <c r="CW93">
        <v>0</v>
      </c>
      <c r="CX93">
        <v>0</v>
      </c>
      <c r="CY93" t="s">
        <v>333</v>
      </c>
      <c r="CZ93">
        <v>2.3641999999999999</v>
      </c>
      <c r="DA93">
        <v>2.7137500000000001</v>
      </c>
      <c r="DB93">
        <v>0.13963500000000001</v>
      </c>
      <c r="DC93">
        <v>0.14627699999999999</v>
      </c>
      <c r="DD93">
        <v>0.11006100000000001</v>
      </c>
      <c r="DE93">
        <v>9.3491299999999999E-2</v>
      </c>
      <c r="DF93">
        <v>31416.5</v>
      </c>
      <c r="DG93">
        <v>27517.599999999999</v>
      </c>
      <c r="DH93">
        <v>31173.4</v>
      </c>
      <c r="DI93">
        <v>28086.1</v>
      </c>
      <c r="DJ93">
        <v>37667.1</v>
      </c>
      <c r="DK93">
        <v>36205.199999999997</v>
      </c>
      <c r="DL93">
        <v>44364.3</v>
      </c>
      <c r="DM93">
        <v>42572.6</v>
      </c>
      <c r="DN93">
        <v>1.47397</v>
      </c>
      <c r="DO93">
        <v>2.0534500000000002</v>
      </c>
      <c r="DP93">
        <v>0.10613400000000001</v>
      </c>
      <c r="DQ93">
        <v>0.19509299999999999</v>
      </c>
      <c r="DR93">
        <v>25.279900000000001</v>
      </c>
      <c r="DS93">
        <v>25.018599999999999</v>
      </c>
      <c r="DT93">
        <v>57.3</v>
      </c>
      <c r="DU93">
        <v>29.2</v>
      </c>
      <c r="DV93">
        <v>23.5289</v>
      </c>
      <c r="DW93">
        <v>61.572499999999998</v>
      </c>
      <c r="DX93">
        <v>36.165900000000001</v>
      </c>
      <c r="DY93">
        <v>1</v>
      </c>
      <c r="DZ93">
        <v>-8.0640199999999995E-2</v>
      </c>
      <c r="EA93">
        <v>0.29924800000000001</v>
      </c>
      <c r="EB93">
        <v>20.1889</v>
      </c>
      <c r="EC93">
        <v>5.2406499999999996</v>
      </c>
      <c r="ED93">
        <v>12.039899999999999</v>
      </c>
      <c r="EE93">
        <v>5.01675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1.8646199999999999</v>
      </c>
      <c r="EM93">
        <v>1.86917</v>
      </c>
      <c r="EN93">
        <v>1.8672299999999999</v>
      </c>
      <c r="EO93">
        <v>1.8633999999999999</v>
      </c>
      <c r="EP93">
        <v>1.8644799999999999</v>
      </c>
      <c r="EQ93">
        <v>1.87012</v>
      </c>
      <c r="ER93">
        <v>1.86937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-0.4</v>
      </c>
      <c r="FG93">
        <v>0.31</v>
      </c>
      <c r="FH93">
        <v>0.1121710645629533</v>
      </c>
      <c r="FI93">
        <v>-6.1462078757559423E-4</v>
      </c>
      <c r="FJ93">
        <v>-1.8861989874597051E-7</v>
      </c>
      <c r="FK93">
        <v>1.1980462299894961E-10</v>
      </c>
      <c r="FL93">
        <v>0.30996499999999833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23.3</v>
      </c>
      <c r="FU93">
        <v>23.2</v>
      </c>
      <c r="FV93">
        <v>1.78955</v>
      </c>
      <c r="FW93">
        <v>2.5854499999999998</v>
      </c>
      <c r="FX93">
        <v>1.5490699999999999</v>
      </c>
      <c r="FY93">
        <v>2.3290999999999999</v>
      </c>
      <c r="FZ93">
        <v>1.50146</v>
      </c>
      <c r="GA93">
        <v>2.3071299999999999</v>
      </c>
      <c r="GB93">
        <v>33.963900000000002</v>
      </c>
      <c r="GC93">
        <v>23.982399999999998</v>
      </c>
      <c r="GD93">
        <v>19</v>
      </c>
      <c r="GE93">
        <v>282.64100000000002</v>
      </c>
      <c r="GF93">
        <v>599.28899999999999</v>
      </c>
      <c r="GG93">
        <v>24.056699999999999</v>
      </c>
      <c r="GH93">
        <v>26.372199999999999</v>
      </c>
      <c r="GI93">
        <v>29.9998</v>
      </c>
      <c r="GJ93">
        <v>26.512499999999999</v>
      </c>
      <c r="GK93">
        <v>26.501799999999999</v>
      </c>
      <c r="GL93">
        <v>35.785400000000003</v>
      </c>
      <c r="GM93">
        <v>31.4788</v>
      </c>
      <c r="GN93">
        <v>99.236500000000007</v>
      </c>
      <c r="GO93">
        <v>24.063500000000001</v>
      </c>
      <c r="GP93">
        <v>800</v>
      </c>
      <c r="GQ93">
        <v>18.433800000000002</v>
      </c>
      <c r="GR93">
        <v>99.743700000000004</v>
      </c>
      <c r="GS93">
        <v>99.588499999999996</v>
      </c>
    </row>
    <row r="94" spans="1:201" x14ac:dyDescent="0.25">
      <c r="A94">
        <v>78</v>
      </c>
      <c r="B94">
        <v>1690227585.5</v>
      </c>
      <c r="C94">
        <v>1015.900000095367</v>
      </c>
      <c r="D94" t="s">
        <v>487</v>
      </c>
      <c r="E94" t="s">
        <v>488</v>
      </c>
      <c r="F94" t="s">
        <v>330</v>
      </c>
      <c r="H94">
        <v>1690227585.5</v>
      </c>
      <c r="I94">
        <f t="shared" si="30"/>
        <v>4.3388946880835977E-4</v>
      </c>
      <c r="J94">
        <f t="shared" si="31"/>
        <v>0.43388946880835977</v>
      </c>
      <c r="K94">
        <f t="shared" si="32"/>
        <v>5.1687177309738361</v>
      </c>
      <c r="L94">
        <f t="shared" si="33"/>
        <v>740.76099999999997</v>
      </c>
      <c r="M94">
        <f t="shared" si="34"/>
        <v>407.61179425364764</v>
      </c>
      <c r="N94">
        <f t="shared" si="35"/>
        <v>40.42460499177826</v>
      </c>
      <c r="O94">
        <f t="shared" si="36"/>
        <v>73.464436604797001</v>
      </c>
      <c r="P94">
        <f t="shared" si="37"/>
        <v>2.6172162097248323E-2</v>
      </c>
      <c r="Q94">
        <f t="shared" si="38"/>
        <v>2.1287981430562377</v>
      </c>
      <c r="R94">
        <f t="shared" si="39"/>
        <v>2.5994709848082536E-2</v>
      </c>
      <c r="S94">
        <f t="shared" si="40"/>
        <v>1.6262536630344347E-2</v>
      </c>
      <c r="T94">
        <f t="shared" si="41"/>
        <v>276.11430314400002</v>
      </c>
      <c r="U94">
        <f t="shared" si="42"/>
        <v>28.408395254698963</v>
      </c>
      <c r="V94">
        <f t="shared" si="43"/>
        <v>28.408395254698963</v>
      </c>
      <c r="W94">
        <f t="shared" si="44"/>
        <v>3.8861311939169596</v>
      </c>
      <c r="X94">
        <f t="shared" si="45"/>
        <v>66.157872833818047</v>
      </c>
      <c r="Y94">
        <f t="shared" si="46"/>
        <v>2.2822480494624999</v>
      </c>
      <c r="Z94">
        <f t="shared" si="47"/>
        <v>3.4496998644368126</v>
      </c>
      <c r="AA94">
        <f t="shared" si="48"/>
        <v>1.6038831444544597</v>
      </c>
      <c r="AB94">
        <f t="shared" si="49"/>
        <v>-19.134525574448666</v>
      </c>
      <c r="AC94">
        <f t="shared" si="50"/>
        <v>-233.4600439490043</v>
      </c>
      <c r="AD94">
        <f t="shared" si="51"/>
        <v>-23.760540068749059</v>
      </c>
      <c r="AE94">
        <f t="shared" si="52"/>
        <v>-0.24080644820202224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52409.006058314735</v>
      </c>
      <c r="AK94">
        <f t="shared" si="56"/>
        <v>1800</v>
      </c>
      <c r="AL94">
        <f t="shared" si="57"/>
        <v>1499.1131753999998</v>
      </c>
      <c r="AM94">
        <f t="shared" si="58"/>
        <v>0.83284065299999988</v>
      </c>
      <c r="AN94">
        <f t="shared" si="59"/>
        <v>0.15339683508000002</v>
      </c>
      <c r="AO94">
        <v>32.4</v>
      </c>
      <c r="AP94">
        <v>0.5</v>
      </c>
      <c r="AQ94" t="s">
        <v>331</v>
      </c>
      <c r="AR94">
        <v>2</v>
      </c>
      <c r="AS94">
        <v>1690227585.5</v>
      </c>
      <c r="AT94">
        <v>740.76099999999997</v>
      </c>
      <c r="AU94">
        <v>799.99</v>
      </c>
      <c r="AV94">
        <v>23.012499999999999</v>
      </c>
      <c r="AW94">
        <v>18.439299999999999</v>
      </c>
      <c r="AX94">
        <v>741.15899999999999</v>
      </c>
      <c r="AY94">
        <v>22.702500000000001</v>
      </c>
      <c r="AZ94">
        <v>300.32600000000002</v>
      </c>
      <c r="BA94">
        <v>99.074200000000005</v>
      </c>
      <c r="BB94">
        <v>0.100077</v>
      </c>
      <c r="BC94">
        <v>26.374199999999998</v>
      </c>
      <c r="BD94">
        <v>26.969000000000001</v>
      </c>
      <c r="BE94">
        <v>28.2272</v>
      </c>
      <c r="BF94">
        <v>0</v>
      </c>
      <c r="BG94">
        <v>0</v>
      </c>
      <c r="BH94">
        <v>9982.5</v>
      </c>
      <c r="BI94">
        <v>1071.04</v>
      </c>
      <c r="BJ94">
        <v>1.5137799999999999</v>
      </c>
      <c r="BK94">
        <v>-59.229399999999998</v>
      </c>
      <c r="BL94">
        <v>758.20899999999995</v>
      </c>
      <c r="BM94">
        <v>815.01900000000001</v>
      </c>
      <c r="BN94">
        <v>4.5731900000000003</v>
      </c>
      <c r="BO94">
        <v>799.99</v>
      </c>
      <c r="BP94">
        <v>18.439299999999999</v>
      </c>
      <c r="BQ94">
        <v>2.2799499999999999</v>
      </c>
      <c r="BR94">
        <v>1.8268599999999999</v>
      </c>
      <c r="BS94">
        <v>19.535399999999999</v>
      </c>
      <c r="BT94">
        <v>16.0185</v>
      </c>
      <c r="BU94">
        <v>1800</v>
      </c>
      <c r="BV94">
        <v>0.91001699999999996</v>
      </c>
      <c r="BW94">
        <v>3.39963E-2</v>
      </c>
      <c r="BX94">
        <v>2.1994900000000001E-2</v>
      </c>
      <c r="BY94">
        <v>3.3991199999999999E-2</v>
      </c>
      <c r="BZ94">
        <v>25</v>
      </c>
      <c r="CA94">
        <v>33528.400000000001</v>
      </c>
      <c r="CB94">
        <v>1690226183.5999999</v>
      </c>
      <c r="CC94" t="s">
        <v>332</v>
      </c>
      <c r="CD94">
        <v>1690226177.5999999</v>
      </c>
      <c r="CE94">
        <v>1690226183.5999999</v>
      </c>
      <c r="CF94">
        <v>12</v>
      </c>
      <c r="CG94">
        <v>-0.255</v>
      </c>
      <c r="CH94">
        <v>0.113</v>
      </c>
      <c r="CI94">
        <v>-0.439</v>
      </c>
      <c r="CJ94">
        <v>0.31</v>
      </c>
      <c r="CK94">
        <v>800</v>
      </c>
      <c r="CL94">
        <v>25</v>
      </c>
      <c r="CM94">
        <v>0.02</v>
      </c>
      <c r="CN94">
        <v>0.03</v>
      </c>
      <c r="CO94">
        <v>-56.777634146341462</v>
      </c>
      <c r="CP94">
        <v>-13.87698815331008</v>
      </c>
      <c r="CQ94">
        <v>1.368750679360073</v>
      </c>
      <c r="CR94">
        <v>-1</v>
      </c>
      <c r="CS94">
        <v>4.465629268292683</v>
      </c>
      <c r="CT94">
        <v>0.69234041811847968</v>
      </c>
      <c r="CU94">
        <v>6.9528414068488809E-2</v>
      </c>
      <c r="CV94">
        <v>-1</v>
      </c>
      <c r="CW94">
        <v>0</v>
      </c>
      <c r="CX94">
        <v>0</v>
      </c>
      <c r="CY94" t="s">
        <v>333</v>
      </c>
      <c r="CZ94">
        <v>2.3647800000000001</v>
      </c>
      <c r="DA94">
        <v>2.7138499999999999</v>
      </c>
      <c r="DB94">
        <v>0.13933400000000001</v>
      </c>
      <c r="DC94">
        <v>0.14627799999999999</v>
      </c>
      <c r="DD94">
        <v>0.11010300000000001</v>
      </c>
      <c r="DE94">
        <v>9.3100699999999995E-2</v>
      </c>
      <c r="DF94">
        <v>31427.200000000001</v>
      </c>
      <c r="DG94">
        <v>27517.3</v>
      </c>
      <c r="DH94">
        <v>31173.1</v>
      </c>
      <c r="DI94">
        <v>28085.8</v>
      </c>
      <c r="DJ94">
        <v>37665.1</v>
      </c>
      <c r="DK94">
        <v>36220.6</v>
      </c>
      <c r="DL94">
        <v>44364.1</v>
      </c>
      <c r="DM94">
        <v>42572.4</v>
      </c>
      <c r="DN94">
        <v>1.47455</v>
      </c>
      <c r="DO94">
        <v>2.05355</v>
      </c>
      <c r="DP94">
        <v>0.103265</v>
      </c>
      <c r="DQ94">
        <v>0.196155</v>
      </c>
      <c r="DR94">
        <v>25.277799999999999</v>
      </c>
      <c r="DS94">
        <v>25.017199999999999</v>
      </c>
      <c r="DT94">
        <v>57.3</v>
      </c>
      <c r="DU94">
        <v>29.2</v>
      </c>
      <c r="DV94">
        <v>23.532699999999998</v>
      </c>
      <c r="DW94">
        <v>61.502499999999998</v>
      </c>
      <c r="DX94">
        <v>35.933500000000002</v>
      </c>
      <c r="DY94">
        <v>1</v>
      </c>
      <c r="DZ94">
        <v>-8.0607200000000004E-2</v>
      </c>
      <c r="EA94">
        <v>0.333897</v>
      </c>
      <c r="EB94">
        <v>20.189</v>
      </c>
      <c r="EC94">
        <v>5.2408000000000001</v>
      </c>
      <c r="ED94">
        <v>12.039899999999999</v>
      </c>
      <c r="EE94">
        <v>5.0171000000000001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1.8691800000000001</v>
      </c>
      <c r="EN94">
        <v>1.8672299999999999</v>
      </c>
      <c r="EO94">
        <v>1.8633999999999999</v>
      </c>
      <c r="EP94">
        <v>1.8645099999999999</v>
      </c>
      <c r="EQ94">
        <v>1.8701300000000001</v>
      </c>
      <c r="ER94">
        <v>1.86937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-0.39800000000000002</v>
      </c>
      <c r="FG94">
        <v>0.31</v>
      </c>
      <c r="FH94">
        <v>0.1121710645629533</v>
      </c>
      <c r="FI94">
        <v>-6.1462078757559423E-4</v>
      </c>
      <c r="FJ94">
        <v>-1.8861989874597051E-7</v>
      </c>
      <c r="FK94">
        <v>1.1980462299894961E-10</v>
      </c>
      <c r="FL94">
        <v>0.30996499999999833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23.5</v>
      </c>
      <c r="FU94">
        <v>23.4</v>
      </c>
      <c r="FV94">
        <v>1.78955</v>
      </c>
      <c r="FW94">
        <v>2.5781200000000002</v>
      </c>
      <c r="FX94">
        <v>1.5490699999999999</v>
      </c>
      <c r="FY94">
        <v>2.3290999999999999</v>
      </c>
      <c r="FZ94">
        <v>1.50146</v>
      </c>
      <c r="GA94">
        <v>2.3828100000000001</v>
      </c>
      <c r="GB94">
        <v>33.963900000000002</v>
      </c>
      <c r="GC94">
        <v>23.991199999999999</v>
      </c>
      <c r="GD94">
        <v>19</v>
      </c>
      <c r="GE94">
        <v>282.87400000000002</v>
      </c>
      <c r="GF94">
        <v>599.33000000000004</v>
      </c>
      <c r="GG94">
        <v>24.055700000000002</v>
      </c>
      <c r="GH94">
        <v>26.368300000000001</v>
      </c>
      <c r="GI94">
        <v>30.0002</v>
      </c>
      <c r="GJ94">
        <v>26.509399999999999</v>
      </c>
      <c r="GK94">
        <v>26.498000000000001</v>
      </c>
      <c r="GL94">
        <v>35.781399999999998</v>
      </c>
      <c r="GM94">
        <v>31.4788</v>
      </c>
      <c r="GN94">
        <v>99.236500000000007</v>
      </c>
      <c r="GO94">
        <v>24.0563</v>
      </c>
      <c r="GP94">
        <v>800</v>
      </c>
      <c r="GQ94">
        <v>18.345600000000001</v>
      </c>
      <c r="GR94">
        <v>99.742999999999995</v>
      </c>
      <c r="GS94">
        <v>99.587800000000001</v>
      </c>
    </row>
    <row r="95" spans="1:201" x14ac:dyDescent="0.25">
      <c r="A95">
        <v>79</v>
      </c>
      <c r="B95">
        <v>1690227595.5</v>
      </c>
      <c r="C95">
        <v>1025.900000095367</v>
      </c>
      <c r="D95" t="s">
        <v>489</v>
      </c>
      <c r="E95" t="s">
        <v>490</v>
      </c>
      <c r="F95" t="s">
        <v>330</v>
      </c>
      <c r="H95">
        <v>1690227595.5</v>
      </c>
      <c r="I95">
        <f t="shared" si="30"/>
        <v>4.4177503613092637E-4</v>
      </c>
      <c r="J95">
        <f t="shared" si="31"/>
        <v>0.44177503613092639</v>
      </c>
      <c r="K95">
        <f t="shared" si="32"/>
        <v>5.3919240671536723</v>
      </c>
      <c r="L95">
        <f t="shared" si="33"/>
        <v>738.33900000000006</v>
      </c>
      <c r="M95">
        <f t="shared" si="34"/>
        <v>398.2390327201025</v>
      </c>
      <c r="N95">
        <f t="shared" si="35"/>
        <v>39.494498462259202</v>
      </c>
      <c r="O95">
        <f t="shared" si="36"/>
        <v>73.223180311963517</v>
      </c>
      <c r="P95">
        <f t="shared" si="37"/>
        <v>2.6705678480079462E-2</v>
      </c>
      <c r="Q95">
        <f t="shared" si="38"/>
        <v>2.1296581561356485</v>
      </c>
      <c r="R95">
        <f t="shared" si="39"/>
        <v>2.6521019404768451E-2</v>
      </c>
      <c r="S95">
        <f t="shared" si="40"/>
        <v>1.6592121466582933E-2</v>
      </c>
      <c r="T95">
        <f t="shared" si="41"/>
        <v>276.11428329000006</v>
      </c>
      <c r="U95">
        <f t="shared" si="42"/>
        <v>28.400704879797367</v>
      </c>
      <c r="V95">
        <f t="shared" si="43"/>
        <v>28.400704879797367</v>
      </c>
      <c r="W95">
        <f t="shared" si="44"/>
        <v>3.8843945713235768</v>
      </c>
      <c r="X95">
        <f t="shared" si="45"/>
        <v>66.21903774893984</v>
      </c>
      <c r="Y95">
        <f t="shared" si="46"/>
        <v>2.2837919783406</v>
      </c>
      <c r="Z95">
        <f t="shared" si="47"/>
        <v>3.4488450088919684</v>
      </c>
      <c r="AA95">
        <f t="shared" si="48"/>
        <v>1.6006025929829768</v>
      </c>
      <c r="AB95">
        <f t="shared" si="49"/>
        <v>-19.482279093373855</v>
      </c>
      <c r="AC95">
        <f t="shared" si="50"/>
        <v>-233.15361510362885</v>
      </c>
      <c r="AD95">
        <f t="shared" si="51"/>
        <v>-23.718361293095509</v>
      </c>
      <c r="AE95">
        <f t="shared" si="52"/>
        <v>-0.23997220009815123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52446.832413621429</v>
      </c>
      <c r="AK95">
        <f t="shared" si="56"/>
        <v>1800</v>
      </c>
      <c r="AL95">
        <f t="shared" si="57"/>
        <v>1499.113746</v>
      </c>
      <c r="AM95">
        <f t="shared" si="58"/>
        <v>0.83284097000000001</v>
      </c>
      <c r="AN95">
        <f t="shared" si="59"/>
        <v>0.15339682405000002</v>
      </c>
      <c r="AO95">
        <v>32.4</v>
      </c>
      <c r="AP95">
        <v>0.5</v>
      </c>
      <c r="AQ95" t="s">
        <v>331</v>
      </c>
      <c r="AR95">
        <v>2</v>
      </c>
      <c r="AS95">
        <v>1690227595.5</v>
      </c>
      <c r="AT95">
        <v>738.33900000000006</v>
      </c>
      <c r="AU95">
        <v>800.07600000000002</v>
      </c>
      <c r="AV95">
        <v>23.028400000000001</v>
      </c>
      <c r="AW95">
        <v>18.368500000000001</v>
      </c>
      <c r="AX95">
        <v>738.73599999999999</v>
      </c>
      <c r="AY95">
        <v>22.718399999999999</v>
      </c>
      <c r="AZ95">
        <v>300.08999999999997</v>
      </c>
      <c r="BA95">
        <v>99.072900000000004</v>
      </c>
      <c r="BB95">
        <v>9.9946499999999994E-2</v>
      </c>
      <c r="BC95">
        <v>26.37</v>
      </c>
      <c r="BD95">
        <v>27.015499999999999</v>
      </c>
      <c r="BE95">
        <v>28.211300000000001</v>
      </c>
      <c r="BF95">
        <v>0</v>
      </c>
      <c r="BG95">
        <v>0</v>
      </c>
      <c r="BH95">
        <v>9990</v>
      </c>
      <c r="BI95">
        <v>1071.04</v>
      </c>
      <c r="BJ95">
        <v>1.5137799999999999</v>
      </c>
      <c r="BK95">
        <v>-61.736800000000002</v>
      </c>
      <c r="BL95">
        <v>755.74300000000005</v>
      </c>
      <c r="BM95">
        <v>815.04700000000003</v>
      </c>
      <c r="BN95">
        <v>4.6599199999999996</v>
      </c>
      <c r="BO95">
        <v>800.07600000000002</v>
      </c>
      <c r="BP95">
        <v>18.368500000000001</v>
      </c>
      <c r="BQ95">
        <v>2.2814899999999998</v>
      </c>
      <c r="BR95">
        <v>1.81982</v>
      </c>
      <c r="BS95">
        <v>19.546299999999999</v>
      </c>
      <c r="BT95">
        <v>15.9581</v>
      </c>
      <c r="BU95">
        <v>1800</v>
      </c>
      <c r="BV95">
        <v>0.91001900000000002</v>
      </c>
      <c r="BW95">
        <v>3.3995600000000001E-2</v>
      </c>
      <c r="BX95">
        <v>2.19945E-2</v>
      </c>
      <c r="BY95">
        <v>3.39905E-2</v>
      </c>
      <c r="BZ95">
        <v>25.166699999999999</v>
      </c>
      <c r="CA95">
        <v>33528.5</v>
      </c>
      <c r="CB95">
        <v>1690226183.5999999</v>
      </c>
      <c r="CC95" t="s">
        <v>332</v>
      </c>
      <c r="CD95">
        <v>1690226177.5999999</v>
      </c>
      <c r="CE95">
        <v>1690226183.5999999</v>
      </c>
      <c r="CF95">
        <v>12</v>
      </c>
      <c r="CG95">
        <v>-0.255</v>
      </c>
      <c r="CH95">
        <v>0.113</v>
      </c>
      <c r="CI95">
        <v>-0.439</v>
      </c>
      <c r="CJ95">
        <v>0.31</v>
      </c>
      <c r="CK95">
        <v>800</v>
      </c>
      <c r="CL95">
        <v>25</v>
      </c>
      <c r="CM95">
        <v>0.02</v>
      </c>
      <c r="CN95">
        <v>0.03</v>
      </c>
      <c r="CO95">
        <v>-59.159751219512188</v>
      </c>
      <c r="CP95">
        <v>-14.578436236933801</v>
      </c>
      <c r="CQ95">
        <v>1.4384448662462599</v>
      </c>
      <c r="CR95">
        <v>-1</v>
      </c>
      <c r="CS95">
        <v>4.5641307317073174</v>
      </c>
      <c r="CT95">
        <v>0.54082181184669698</v>
      </c>
      <c r="CU95">
        <v>5.5401987258107799E-2</v>
      </c>
      <c r="CV95">
        <v>-1</v>
      </c>
      <c r="CW95">
        <v>0</v>
      </c>
      <c r="CX95">
        <v>0</v>
      </c>
      <c r="CY95" t="s">
        <v>333</v>
      </c>
      <c r="CZ95">
        <v>2.3640300000000001</v>
      </c>
      <c r="DA95">
        <v>2.71373</v>
      </c>
      <c r="DB95">
        <v>0.13902500000000001</v>
      </c>
      <c r="DC95">
        <v>0.146286</v>
      </c>
      <c r="DD95">
        <v>0.110157</v>
      </c>
      <c r="DE95">
        <v>9.2843899999999993E-2</v>
      </c>
      <c r="DF95">
        <v>31438.2</v>
      </c>
      <c r="DG95">
        <v>27517.4</v>
      </c>
      <c r="DH95">
        <v>31172.799999999999</v>
      </c>
      <c r="DI95">
        <v>28086.2</v>
      </c>
      <c r="DJ95">
        <v>37662.199999999997</v>
      </c>
      <c r="DK95">
        <v>36231.300000000003</v>
      </c>
      <c r="DL95">
        <v>44363.5</v>
      </c>
      <c r="DM95">
        <v>42572.800000000003</v>
      </c>
      <c r="DN95">
        <v>1.4739</v>
      </c>
      <c r="DO95">
        <v>2.05355</v>
      </c>
      <c r="DP95">
        <v>0.10624500000000001</v>
      </c>
      <c r="DQ95">
        <v>0.195187</v>
      </c>
      <c r="DR95">
        <v>25.275600000000001</v>
      </c>
      <c r="DS95">
        <v>25.017199999999999</v>
      </c>
      <c r="DT95">
        <v>57.3</v>
      </c>
      <c r="DU95">
        <v>29.2</v>
      </c>
      <c r="DV95">
        <v>23.528500000000001</v>
      </c>
      <c r="DW95">
        <v>61.612499999999997</v>
      </c>
      <c r="DX95">
        <v>35.604999999999997</v>
      </c>
      <c r="DY95">
        <v>1</v>
      </c>
      <c r="DZ95">
        <v>-8.1366900000000006E-2</v>
      </c>
      <c r="EA95">
        <v>0.17222499999999999</v>
      </c>
      <c r="EB95">
        <v>20.189399999999999</v>
      </c>
      <c r="EC95">
        <v>5.2406499999999996</v>
      </c>
      <c r="ED95">
        <v>12.039899999999999</v>
      </c>
      <c r="EE95">
        <v>5.0170000000000003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1.8646199999999999</v>
      </c>
      <c r="EM95">
        <v>1.8692</v>
      </c>
      <c r="EN95">
        <v>1.86724</v>
      </c>
      <c r="EO95">
        <v>1.8633999999999999</v>
      </c>
      <c r="EP95">
        <v>1.8645</v>
      </c>
      <c r="EQ95">
        <v>1.8701399999999999</v>
      </c>
      <c r="ER95">
        <v>1.8693900000000001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-0.39700000000000002</v>
      </c>
      <c r="FG95">
        <v>0.31</v>
      </c>
      <c r="FH95">
        <v>0.1121710645629533</v>
      </c>
      <c r="FI95">
        <v>-6.1462078757559423E-4</v>
      </c>
      <c r="FJ95">
        <v>-1.8861989874597051E-7</v>
      </c>
      <c r="FK95">
        <v>1.1980462299894961E-10</v>
      </c>
      <c r="FL95">
        <v>0.30996499999999833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23.6</v>
      </c>
      <c r="FU95">
        <v>23.5</v>
      </c>
      <c r="FV95">
        <v>1.78955</v>
      </c>
      <c r="FW95">
        <v>2.5793499999999998</v>
      </c>
      <c r="FX95">
        <v>1.5490699999999999</v>
      </c>
      <c r="FY95">
        <v>2.3290999999999999</v>
      </c>
      <c r="FZ95">
        <v>1.50146</v>
      </c>
      <c r="GA95">
        <v>2.4072300000000002</v>
      </c>
      <c r="GB95">
        <v>33.963900000000002</v>
      </c>
      <c r="GC95">
        <v>23.991199999999999</v>
      </c>
      <c r="GD95">
        <v>19</v>
      </c>
      <c r="GE95">
        <v>282.58</v>
      </c>
      <c r="GF95">
        <v>599.30499999999995</v>
      </c>
      <c r="GG95">
        <v>24.096499999999999</v>
      </c>
      <c r="GH95">
        <v>26.3642</v>
      </c>
      <c r="GI95">
        <v>29.999700000000001</v>
      </c>
      <c r="GJ95">
        <v>26.505800000000001</v>
      </c>
      <c r="GK95">
        <v>26.495799999999999</v>
      </c>
      <c r="GL95">
        <v>35.774299999999997</v>
      </c>
      <c r="GM95">
        <v>32.060200000000002</v>
      </c>
      <c r="GN95">
        <v>98.864599999999996</v>
      </c>
      <c r="GO95">
        <v>24.108799999999999</v>
      </c>
      <c r="GP95">
        <v>800</v>
      </c>
      <c r="GQ95">
        <v>18.248999999999999</v>
      </c>
      <c r="GR95">
        <v>99.741900000000001</v>
      </c>
      <c r="GS95">
        <v>99.588999999999999</v>
      </c>
    </row>
    <row r="96" spans="1:201" x14ac:dyDescent="0.25">
      <c r="A96">
        <v>80</v>
      </c>
      <c r="B96">
        <v>1690227605.5</v>
      </c>
      <c r="C96">
        <v>1035.900000095367</v>
      </c>
      <c r="D96" t="s">
        <v>491</v>
      </c>
      <c r="E96" t="s">
        <v>492</v>
      </c>
      <c r="F96" t="s">
        <v>330</v>
      </c>
      <c r="H96">
        <v>1690227605.5</v>
      </c>
      <c r="I96">
        <f t="shared" si="30"/>
        <v>4.5389933946828948E-4</v>
      </c>
      <c r="J96">
        <f t="shared" si="31"/>
        <v>0.45389933946828948</v>
      </c>
      <c r="K96">
        <f t="shared" si="32"/>
        <v>5.6120589136971013</v>
      </c>
      <c r="L96">
        <f t="shared" si="33"/>
        <v>735.84500000000003</v>
      </c>
      <c r="M96">
        <f t="shared" si="34"/>
        <v>391.86314325316579</v>
      </c>
      <c r="N96">
        <f t="shared" si="35"/>
        <v>38.861429214234526</v>
      </c>
      <c r="O96">
        <f t="shared" si="36"/>
        <v>72.974427099090008</v>
      </c>
      <c r="P96">
        <f t="shared" si="37"/>
        <v>2.7461782010924779E-2</v>
      </c>
      <c r="Q96">
        <f t="shared" si="38"/>
        <v>2.1294876090801393</v>
      </c>
      <c r="R96">
        <f t="shared" si="39"/>
        <v>2.7266544337356983E-2</v>
      </c>
      <c r="S96">
        <f t="shared" si="40"/>
        <v>1.7059015727924485E-2</v>
      </c>
      <c r="T96">
        <f t="shared" si="41"/>
        <v>276.11257085275099</v>
      </c>
      <c r="U96">
        <f t="shared" si="42"/>
        <v>28.405491352160965</v>
      </c>
      <c r="V96">
        <f t="shared" si="43"/>
        <v>28.405491352160965</v>
      </c>
      <c r="W96">
        <f t="shared" si="44"/>
        <v>3.8854753618289717</v>
      </c>
      <c r="X96">
        <f t="shared" si="45"/>
        <v>66.247363396720402</v>
      </c>
      <c r="Y96">
        <f t="shared" si="46"/>
        <v>2.2859690888376001</v>
      </c>
      <c r="Z96">
        <f t="shared" si="47"/>
        <v>3.4506567078724943</v>
      </c>
      <c r="AA96">
        <f t="shared" si="48"/>
        <v>1.5995062729913716</v>
      </c>
      <c r="AB96">
        <f t="shared" si="49"/>
        <v>-20.016960870551568</v>
      </c>
      <c r="AC96">
        <f t="shared" si="50"/>
        <v>-232.66269044393738</v>
      </c>
      <c r="AD96">
        <f t="shared" si="51"/>
        <v>-23.671932508267087</v>
      </c>
      <c r="AE96">
        <f t="shared" si="52"/>
        <v>-0.23901297000503519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52437.866038065396</v>
      </c>
      <c r="AK96">
        <f t="shared" si="56"/>
        <v>1799.99</v>
      </c>
      <c r="AL96">
        <f t="shared" si="57"/>
        <v>1499.1059845871503</v>
      </c>
      <c r="AM96">
        <f t="shared" si="58"/>
        <v>0.8328412850000001</v>
      </c>
      <c r="AN96">
        <f t="shared" si="59"/>
        <v>0.1533967249</v>
      </c>
      <c r="AO96">
        <v>32.4</v>
      </c>
      <c r="AP96">
        <v>0.5</v>
      </c>
      <c r="AQ96" t="s">
        <v>331</v>
      </c>
      <c r="AR96">
        <v>2</v>
      </c>
      <c r="AS96">
        <v>1690227605.5</v>
      </c>
      <c r="AT96">
        <v>735.84500000000003</v>
      </c>
      <c r="AU96">
        <v>800.02200000000005</v>
      </c>
      <c r="AV96">
        <v>23.050799999999999</v>
      </c>
      <c r="AW96">
        <v>18.264700000000001</v>
      </c>
      <c r="AX96">
        <v>736.24</v>
      </c>
      <c r="AY96">
        <v>22.7408</v>
      </c>
      <c r="AZ96">
        <v>300.18900000000002</v>
      </c>
      <c r="BA96">
        <v>99.070800000000006</v>
      </c>
      <c r="BB96">
        <v>0.100122</v>
      </c>
      <c r="BC96">
        <v>26.378900000000002</v>
      </c>
      <c r="BD96">
        <v>26.965800000000002</v>
      </c>
      <c r="BE96">
        <v>28.213799999999999</v>
      </c>
      <c r="BF96">
        <v>0</v>
      </c>
      <c r="BG96">
        <v>0</v>
      </c>
      <c r="BH96">
        <v>9988.75</v>
      </c>
      <c r="BI96">
        <v>1071</v>
      </c>
      <c r="BJ96">
        <v>1.5137799999999999</v>
      </c>
      <c r="BK96">
        <v>-64.177199999999999</v>
      </c>
      <c r="BL96">
        <v>753.20699999999999</v>
      </c>
      <c r="BM96">
        <v>814.90599999999995</v>
      </c>
      <c r="BN96">
        <v>4.7860500000000004</v>
      </c>
      <c r="BO96">
        <v>800.02200000000005</v>
      </c>
      <c r="BP96">
        <v>18.264700000000001</v>
      </c>
      <c r="BQ96">
        <v>2.2836599999999998</v>
      </c>
      <c r="BR96">
        <v>1.8095000000000001</v>
      </c>
      <c r="BS96">
        <v>19.561599999999999</v>
      </c>
      <c r="BT96">
        <v>15.8691</v>
      </c>
      <c r="BU96">
        <v>1799.99</v>
      </c>
      <c r="BV96">
        <v>0.91002300000000003</v>
      </c>
      <c r="BW96">
        <v>3.3994099999999999E-2</v>
      </c>
      <c r="BX96">
        <v>2.1993499999999999E-2</v>
      </c>
      <c r="BY96">
        <v>3.3988999999999998E-2</v>
      </c>
      <c r="BZ96">
        <v>25.625</v>
      </c>
      <c r="CA96">
        <v>33528.300000000003</v>
      </c>
      <c r="CB96">
        <v>1690226183.5999999</v>
      </c>
      <c r="CC96" t="s">
        <v>332</v>
      </c>
      <c r="CD96">
        <v>1690226177.5999999</v>
      </c>
      <c r="CE96">
        <v>1690226183.5999999</v>
      </c>
      <c r="CF96">
        <v>12</v>
      </c>
      <c r="CG96">
        <v>-0.255</v>
      </c>
      <c r="CH96">
        <v>0.113</v>
      </c>
      <c r="CI96">
        <v>-0.439</v>
      </c>
      <c r="CJ96">
        <v>0.31</v>
      </c>
      <c r="CK96">
        <v>800</v>
      </c>
      <c r="CL96">
        <v>25</v>
      </c>
      <c r="CM96">
        <v>0.02</v>
      </c>
      <c r="CN96">
        <v>0.03</v>
      </c>
      <c r="CO96">
        <v>-61.357995121951213</v>
      </c>
      <c r="CP96">
        <v>-14.828972822299431</v>
      </c>
      <c r="CQ96">
        <v>1.4626808719426589</v>
      </c>
      <c r="CR96">
        <v>-1</v>
      </c>
      <c r="CS96">
        <v>4.6608907317073172</v>
      </c>
      <c r="CT96">
        <v>0.74453059233449725</v>
      </c>
      <c r="CU96">
        <v>7.4826383190795917E-2</v>
      </c>
      <c r="CV96">
        <v>-1</v>
      </c>
      <c r="CW96">
        <v>0</v>
      </c>
      <c r="CX96">
        <v>0</v>
      </c>
      <c r="CY96" t="s">
        <v>333</v>
      </c>
      <c r="CZ96">
        <v>2.36435</v>
      </c>
      <c r="DA96">
        <v>2.7139000000000002</v>
      </c>
      <c r="DB96">
        <v>0.13870399999999999</v>
      </c>
      <c r="DC96">
        <v>0.14627499999999999</v>
      </c>
      <c r="DD96">
        <v>0.110231</v>
      </c>
      <c r="DE96">
        <v>9.2466400000000004E-2</v>
      </c>
      <c r="DF96">
        <v>31449.8</v>
      </c>
      <c r="DG96">
        <v>27517.5</v>
      </c>
      <c r="DH96">
        <v>31172.7</v>
      </c>
      <c r="DI96">
        <v>28085.9</v>
      </c>
      <c r="DJ96">
        <v>37659.1</v>
      </c>
      <c r="DK96">
        <v>36246.199999999997</v>
      </c>
      <c r="DL96">
        <v>44363.7</v>
      </c>
      <c r="DM96">
        <v>42572.6</v>
      </c>
      <c r="DN96">
        <v>1.47448</v>
      </c>
      <c r="DO96">
        <v>2.0532499999999998</v>
      </c>
      <c r="DP96">
        <v>0.103377</v>
      </c>
      <c r="DQ96">
        <v>0.19533600000000001</v>
      </c>
      <c r="DR96">
        <v>25.2728</v>
      </c>
      <c r="DS96">
        <v>25.017199999999999</v>
      </c>
      <c r="DT96">
        <v>57.3</v>
      </c>
      <c r="DU96">
        <v>29.2</v>
      </c>
      <c r="DV96">
        <v>23.529900000000001</v>
      </c>
      <c r="DW96">
        <v>61.572499999999998</v>
      </c>
      <c r="DX96">
        <v>36.430300000000003</v>
      </c>
      <c r="DY96">
        <v>1</v>
      </c>
      <c r="DZ96">
        <v>-8.1204299999999993E-2</v>
      </c>
      <c r="EA96">
        <v>0.38924300000000001</v>
      </c>
      <c r="EB96">
        <v>20.189</v>
      </c>
      <c r="EC96">
        <v>5.2409499999999998</v>
      </c>
      <c r="ED96">
        <v>12.039899999999999</v>
      </c>
      <c r="EE96">
        <v>5.0169499999999996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1.8646199999999999</v>
      </c>
      <c r="EM96">
        <v>1.8692</v>
      </c>
      <c r="EN96">
        <v>1.8672299999999999</v>
      </c>
      <c r="EO96">
        <v>1.8633999999999999</v>
      </c>
      <c r="EP96">
        <v>1.86449</v>
      </c>
      <c r="EQ96">
        <v>1.8701300000000001</v>
      </c>
      <c r="ER96">
        <v>1.86941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-0.39500000000000002</v>
      </c>
      <c r="FG96">
        <v>0.31</v>
      </c>
      <c r="FH96">
        <v>0.1121710645629533</v>
      </c>
      <c r="FI96">
        <v>-6.1462078757559423E-4</v>
      </c>
      <c r="FJ96">
        <v>-1.8861989874597051E-7</v>
      </c>
      <c r="FK96">
        <v>1.1980462299894961E-10</v>
      </c>
      <c r="FL96">
        <v>0.30996499999999833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23.8</v>
      </c>
      <c r="FU96">
        <v>23.7</v>
      </c>
      <c r="FV96">
        <v>1.78955</v>
      </c>
      <c r="FW96">
        <v>2.5830099999999998</v>
      </c>
      <c r="FX96">
        <v>1.5490699999999999</v>
      </c>
      <c r="FY96">
        <v>2.3290999999999999</v>
      </c>
      <c r="FZ96">
        <v>1.50146</v>
      </c>
      <c r="GA96">
        <v>2.3144499999999999</v>
      </c>
      <c r="GB96">
        <v>33.963900000000002</v>
      </c>
      <c r="GC96">
        <v>23.982399999999998</v>
      </c>
      <c r="GD96">
        <v>19</v>
      </c>
      <c r="GE96">
        <v>282.815</v>
      </c>
      <c r="GF96">
        <v>599.024</v>
      </c>
      <c r="GG96">
        <v>24.1084</v>
      </c>
      <c r="GH96">
        <v>26.36</v>
      </c>
      <c r="GI96">
        <v>30.000299999999999</v>
      </c>
      <c r="GJ96">
        <v>26.503299999999999</v>
      </c>
      <c r="GK96">
        <v>26.493500000000001</v>
      </c>
      <c r="GL96">
        <v>35.771299999999997</v>
      </c>
      <c r="GM96">
        <v>32.3324</v>
      </c>
      <c r="GN96">
        <v>98.864599999999996</v>
      </c>
      <c r="GO96">
        <v>24.087499999999999</v>
      </c>
      <c r="GP96">
        <v>800</v>
      </c>
      <c r="GQ96">
        <v>18.147099999999998</v>
      </c>
      <c r="GR96">
        <v>99.742000000000004</v>
      </c>
      <c r="GS96">
        <v>99.588300000000004</v>
      </c>
    </row>
    <row r="97" spans="1:201" x14ac:dyDescent="0.25">
      <c r="A97">
        <v>81</v>
      </c>
      <c r="B97">
        <v>1690227615.5</v>
      </c>
      <c r="C97">
        <v>1045.900000095367</v>
      </c>
      <c r="D97" t="s">
        <v>493</v>
      </c>
      <c r="E97" t="s">
        <v>494</v>
      </c>
      <c r="F97" t="s">
        <v>330</v>
      </c>
      <c r="H97">
        <v>1690227615.5</v>
      </c>
      <c r="I97">
        <f t="shared" si="30"/>
        <v>4.6394331808577032E-4</v>
      </c>
      <c r="J97">
        <f t="shared" si="31"/>
        <v>0.46394331808577033</v>
      </c>
      <c r="K97">
        <f t="shared" si="32"/>
        <v>5.8458332666271948</v>
      </c>
      <c r="L97">
        <f t="shared" si="33"/>
        <v>733.30700000000002</v>
      </c>
      <c r="M97">
        <f t="shared" si="34"/>
        <v>383.57107222392818</v>
      </c>
      <c r="N97">
        <f t="shared" si="35"/>
        <v>38.040011318411729</v>
      </c>
      <c r="O97">
        <f t="shared" si="36"/>
        <v>72.724479502942003</v>
      </c>
      <c r="P97">
        <f t="shared" si="37"/>
        <v>2.8104567251842103E-2</v>
      </c>
      <c r="Q97">
        <f t="shared" si="38"/>
        <v>2.128933482191679</v>
      </c>
      <c r="R97">
        <f t="shared" si="39"/>
        <v>2.7900066856736183E-2</v>
      </c>
      <c r="S97">
        <f t="shared" si="40"/>
        <v>1.7455791187396794E-2</v>
      </c>
      <c r="T97">
        <f t="shared" si="41"/>
        <v>276.11423072999992</v>
      </c>
      <c r="U97">
        <f t="shared" si="42"/>
        <v>28.401679193684956</v>
      </c>
      <c r="V97">
        <f t="shared" si="43"/>
        <v>28.401679193684956</v>
      </c>
      <c r="W97">
        <f t="shared" si="44"/>
        <v>3.8846145511674068</v>
      </c>
      <c r="X97">
        <f t="shared" si="45"/>
        <v>66.274501854420791</v>
      </c>
      <c r="Y97">
        <f t="shared" si="46"/>
        <v>2.2867975937315994</v>
      </c>
      <c r="Z97">
        <f t="shared" si="47"/>
        <v>3.4504938245402443</v>
      </c>
      <c r="AA97">
        <f t="shared" si="48"/>
        <v>1.5978169574358074</v>
      </c>
      <c r="AB97">
        <f t="shared" si="49"/>
        <v>-20.459900327582471</v>
      </c>
      <c r="AC97">
        <f t="shared" si="50"/>
        <v>-232.25642719838794</v>
      </c>
      <c r="AD97">
        <f t="shared" si="51"/>
        <v>-23.636203336326904</v>
      </c>
      <c r="AE97">
        <f t="shared" si="52"/>
        <v>-0.23830013229738256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52414.144136092</v>
      </c>
      <c r="AK97">
        <f t="shared" si="56"/>
        <v>1800</v>
      </c>
      <c r="AL97">
        <f t="shared" si="57"/>
        <v>1499.115843</v>
      </c>
      <c r="AM97">
        <f t="shared" si="58"/>
        <v>0.83284213500000004</v>
      </c>
      <c r="AN97">
        <f t="shared" si="59"/>
        <v>0.15339679484999996</v>
      </c>
      <c r="AO97">
        <v>32.4</v>
      </c>
      <c r="AP97">
        <v>0.5</v>
      </c>
      <c r="AQ97" t="s">
        <v>331</v>
      </c>
      <c r="AR97">
        <v>2</v>
      </c>
      <c r="AS97">
        <v>1690227615.5</v>
      </c>
      <c r="AT97">
        <v>733.30700000000002</v>
      </c>
      <c r="AU97">
        <v>800.04600000000005</v>
      </c>
      <c r="AV97">
        <v>23.058599999999998</v>
      </c>
      <c r="AW97">
        <v>18.168700000000001</v>
      </c>
      <c r="AX97">
        <v>733.7</v>
      </c>
      <c r="AY97">
        <v>22.748699999999999</v>
      </c>
      <c r="AZ97">
        <v>300.31599999999997</v>
      </c>
      <c r="BA97">
        <v>99.073300000000003</v>
      </c>
      <c r="BB97">
        <v>0.100006</v>
      </c>
      <c r="BC97">
        <v>26.3781</v>
      </c>
      <c r="BD97">
        <v>26.998799999999999</v>
      </c>
      <c r="BE97">
        <v>28.218900000000001</v>
      </c>
      <c r="BF97">
        <v>0</v>
      </c>
      <c r="BG97">
        <v>0</v>
      </c>
      <c r="BH97">
        <v>9983.75</v>
      </c>
      <c r="BI97">
        <v>1071.1400000000001</v>
      </c>
      <c r="BJ97">
        <v>1.5137799999999999</v>
      </c>
      <c r="BK97">
        <v>-66.738600000000005</v>
      </c>
      <c r="BL97">
        <v>750.61500000000001</v>
      </c>
      <c r="BM97">
        <v>814.85</v>
      </c>
      <c r="BN97">
        <v>4.88992</v>
      </c>
      <c r="BO97">
        <v>800.04600000000005</v>
      </c>
      <c r="BP97">
        <v>18.168700000000001</v>
      </c>
      <c r="BQ97">
        <v>2.2845</v>
      </c>
      <c r="BR97">
        <v>1.8000400000000001</v>
      </c>
      <c r="BS97">
        <v>19.567499999999999</v>
      </c>
      <c r="BT97">
        <v>15.787100000000001</v>
      </c>
      <c r="BU97">
        <v>1800</v>
      </c>
      <c r="BV97">
        <v>0.910026</v>
      </c>
      <c r="BW97">
        <v>3.3993299999999997E-2</v>
      </c>
      <c r="BX97">
        <v>2.1992999999999999E-2</v>
      </c>
      <c r="BY97">
        <v>3.39881E-2</v>
      </c>
      <c r="BZ97">
        <v>25.583300000000001</v>
      </c>
      <c r="CA97">
        <v>33528.5</v>
      </c>
      <c r="CB97">
        <v>1690226183.5999999</v>
      </c>
      <c r="CC97" t="s">
        <v>332</v>
      </c>
      <c r="CD97">
        <v>1690226177.5999999</v>
      </c>
      <c r="CE97">
        <v>1690226183.5999999</v>
      </c>
      <c r="CF97">
        <v>12</v>
      </c>
      <c r="CG97">
        <v>-0.255</v>
      </c>
      <c r="CH97">
        <v>0.113</v>
      </c>
      <c r="CI97">
        <v>-0.439</v>
      </c>
      <c r="CJ97">
        <v>0.31</v>
      </c>
      <c r="CK97">
        <v>800</v>
      </c>
      <c r="CL97">
        <v>25</v>
      </c>
      <c r="CM97">
        <v>0.02</v>
      </c>
      <c r="CN97">
        <v>0.03</v>
      </c>
      <c r="CO97">
        <v>-64.032944999999998</v>
      </c>
      <c r="CP97">
        <v>-15.020217636022441</v>
      </c>
      <c r="CQ97">
        <v>1.445597040836414</v>
      </c>
      <c r="CR97">
        <v>-1</v>
      </c>
      <c r="CS97">
        <v>4.7837122500000007</v>
      </c>
      <c r="CT97">
        <v>0.61743883677297706</v>
      </c>
      <c r="CU97">
        <v>6.068617781206443E-2</v>
      </c>
      <c r="CV97">
        <v>-1</v>
      </c>
      <c r="CW97">
        <v>0</v>
      </c>
      <c r="CX97">
        <v>0</v>
      </c>
      <c r="CY97" t="s">
        <v>333</v>
      </c>
      <c r="CZ97">
        <v>2.3647499999999999</v>
      </c>
      <c r="DA97">
        <v>2.7137799999999999</v>
      </c>
      <c r="DB97">
        <v>0.13838500000000001</v>
      </c>
      <c r="DC97">
        <v>0.14628099999999999</v>
      </c>
      <c r="DD97">
        <v>0.110262</v>
      </c>
      <c r="DE97">
        <v>9.2120900000000006E-2</v>
      </c>
      <c r="DF97">
        <v>31461.5</v>
      </c>
      <c r="DG97">
        <v>27517.1</v>
      </c>
      <c r="DH97">
        <v>31172.7</v>
      </c>
      <c r="DI97">
        <v>28085.7</v>
      </c>
      <c r="DJ97">
        <v>37657.800000000003</v>
      </c>
      <c r="DK97">
        <v>36259.699999999997</v>
      </c>
      <c r="DL97">
        <v>44363.6</v>
      </c>
      <c r="DM97">
        <v>42572.1</v>
      </c>
      <c r="DN97">
        <v>1.4746699999999999</v>
      </c>
      <c r="DO97">
        <v>2.0529500000000001</v>
      </c>
      <c r="DP97">
        <v>0.10548200000000001</v>
      </c>
      <c r="DQ97">
        <v>0.19565199999999999</v>
      </c>
      <c r="DR97">
        <v>25.2713</v>
      </c>
      <c r="DS97">
        <v>25.017199999999999</v>
      </c>
      <c r="DT97">
        <v>57.2</v>
      </c>
      <c r="DU97">
        <v>29.2</v>
      </c>
      <c r="DV97">
        <v>23.488399999999999</v>
      </c>
      <c r="DW97">
        <v>61.472499999999997</v>
      </c>
      <c r="DX97">
        <v>35.224400000000003</v>
      </c>
      <c r="DY97">
        <v>1</v>
      </c>
      <c r="DZ97">
        <v>-8.0701200000000001E-2</v>
      </c>
      <c r="EA97">
        <v>0.23752699999999999</v>
      </c>
      <c r="EB97">
        <v>20.189399999999999</v>
      </c>
      <c r="EC97">
        <v>5.2404999999999999</v>
      </c>
      <c r="ED97">
        <v>12.039899999999999</v>
      </c>
      <c r="EE97">
        <v>5.01675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1.8691500000000001</v>
      </c>
      <c r="EN97">
        <v>1.8672299999999999</v>
      </c>
      <c r="EO97">
        <v>1.8633999999999999</v>
      </c>
      <c r="EP97">
        <v>1.86452</v>
      </c>
      <c r="EQ97">
        <v>1.8701300000000001</v>
      </c>
      <c r="ER97">
        <v>1.86937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-0.39300000000000002</v>
      </c>
      <c r="FG97">
        <v>0.30990000000000001</v>
      </c>
      <c r="FH97">
        <v>0.1121710645629533</v>
      </c>
      <c r="FI97">
        <v>-6.1462078757559423E-4</v>
      </c>
      <c r="FJ97">
        <v>-1.8861989874597051E-7</v>
      </c>
      <c r="FK97">
        <v>1.1980462299894961E-10</v>
      </c>
      <c r="FL97">
        <v>0.30996499999999833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24</v>
      </c>
      <c r="FU97">
        <v>23.9</v>
      </c>
      <c r="FV97">
        <v>1.78955</v>
      </c>
      <c r="FW97">
        <v>2.5830099999999998</v>
      </c>
      <c r="FX97">
        <v>1.5490699999999999</v>
      </c>
      <c r="FY97">
        <v>2.3290999999999999</v>
      </c>
      <c r="FZ97">
        <v>1.50146</v>
      </c>
      <c r="GA97">
        <v>2.4084500000000002</v>
      </c>
      <c r="GB97">
        <v>33.963900000000002</v>
      </c>
      <c r="GC97">
        <v>23.991199999999999</v>
      </c>
      <c r="GD97">
        <v>19</v>
      </c>
      <c r="GE97">
        <v>282.88299999999998</v>
      </c>
      <c r="GF97">
        <v>598.726</v>
      </c>
      <c r="GG97">
        <v>24.104900000000001</v>
      </c>
      <c r="GH97">
        <v>26.3567</v>
      </c>
      <c r="GI97">
        <v>30.000499999999999</v>
      </c>
      <c r="GJ97">
        <v>26.499400000000001</v>
      </c>
      <c r="GK97">
        <v>26.489599999999999</v>
      </c>
      <c r="GL97">
        <v>35.7697</v>
      </c>
      <c r="GM97">
        <v>32.621699999999997</v>
      </c>
      <c r="GN97">
        <v>98.864599999999996</v>
      </c>
      <c r="GO97">
        <v>24.115400000000001</v>
      </c>
      <c r="GP97">
        <v>800</v>
      </c>
      <c r="GQ97">
        <v>18.051600000000001</v>
      </c>
      <c r="GR97">
        <v>99.741900000000001</v>
      </c>
      <c r="GS97">
        <v>99.587299999999999</v>
      </c>
    </row>
    <row r="98" spans="1:201" x14ac:dyDescent="0.25">
      <c r="A98">
        <v>82</v>
      </c>
      <c r="B98">
        <v>1690227625.5</v>
      </c>
      <c r="C98">
        <v>1055.900000095367</v>
      </c>
      <c r="D98" t="s">
        <v>495</v>
      </c>
      <c r="E98" t="s">
        <v>496</v>
      </c>
      <c r="F98" t="s">
        <v>330</v>
      </c>
      <c r="H98">
        <v>1690227625.5</v>
      </c>
      <c r="I98">
        <f t="shared" si="30"/>
        <v>4.7744866975030274E-4</v>
      </c>
      <c r="J98">
        <f t="shared" si="31"/>
        <v>0.47744866975030276</v>
      </c>
      <c r="K98">
        <f t="shared" si="32"/>
        <v>6.0749546418048306</v>
      </c>
      <c r="L98">
        <f t="shared" si="33"/>
        <v>730.726</v>
      </c>
      <c r="M98">
        <f t="shared" si="34"/>
        <v>378.4974603739667</v>
      </c>
      <c r="N98">
        <f t="shared" si="35"/>
        <v>37.536510244632765</v>
      </c>
      <c r="O98">
        <f t="shared" si="36"/>
        <v>72.467867969097995</v>
      </c>
      <c r="P98">
        <f t="shared" si="37"/>
        <v>2.8984649936746654E-2</v>
      </c>
      <c r="Q98">
        <f t="shared" si="38"/>
        <v>2.1303800584713719</v>
      </c>
      <c r="R98">
        <f t="shared" si="39"/>
        <v>2.8767341253402412E-2</v>
      </c>
      <c r="S98">
        <f t="shared" si="40"/>
        <v>1.7998976690933498E-2</v>
      </c>
      <c r="T98">
        <f t="shared" si="41"/>
        <v>276.11260721254899</v>
      </c>
      <c r="U98">
        <f t="shared" si="42"/>
        <v>28.396505163721056</v>
      </c>
      <c r="V98">
        <f t="shared" si="43"/>
        <v>28.396505163721056</v>
      </c>
      <c r="W98">
        <f t="shared" si="44"/>
        <v>3.8834464869984693</v>
      </c>
      <c r="X98">
        <f t="shared" si="45"/>
        <v>66.326826717207894</v>
      </c>
      <c r="Y98">
        <f t="shared" si="46"/>
        <v>2.2887110952362999</v>
      </c>
      <c r="Z98">
        <f t="shared" si="47"/>
        <v>3.4506567078724943</v>
      </c>
      <c r="AA98">
        <f t="shared" si="48"/>
        <v>1.5947353917621694</v>
      </c>
      <c r="AB98">
        <f t="shared" si="49"/>
        <v>-21.055486335988352</v>
      </c>
      <c r="AC98">
        <f t="shared" si="50"/>
        <v>-231.72810616866477</v>
      </c>
      <c r="AD98">
        <f t="shared" si="51"/>
        <v>-23.565908008541093</v>
      </c>
      <c r="AE98">
        <f t="shared" si="52"/>
        <v>-0.23689330064522096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52476.430517222194</v>
      </c>
      <c r="AK98">
        <f t="shared" si="56"/>
        <v>1799.99</v>
      </c>
      <c r="AL98">
        <f t="shared" si="57"/>
        <v>1499.1078025770498</v>
      </c>
      <c r="AM98">
        <f t="shared" si="58"/>
        <v>0.83284229499999984</v>
      </c>
      <c r="AN98">
        <f t="shared" si="59"/>
        <v>0.15339674510000001</v>
      </c>
      <c r="AO98">
        <v>32.4</v>
      </c>
      <c r="AP98">
        <v>0.5</v>
      </c>
      <c r="AQ98" t="s">
        <v>331</v>
      </c>
      <c r="AR98">
        <v>2</v>
      </c>
      <c r="AS98">
        <v>1690227625.5</v>
      </c>
      <c r="AT98">
        <v>730.726</v>
      </c>
      <c r="AU98">
        <v>800.04499999999996</v>
      </c>
      <c r="AV98">
        <v>23.078099999999999</v>
      </c>
      <c r="AW98">
        <v>18.044899999999998</v>
      </c>
      <c r="AX98">
        <v>731.11699999999996</v>
      </c>
      <c r="AY98">
        <v>22.7681</v>
      </c>
      <c r="AZ98">
        <v>300.25299999999999</v>
      </c>
      <c r="BA98">
        <v>99.072299999999998</v>
      </c>
      <c r="BB98">
        <v>0.100123</v>
      </c>
      <c r="BC98">
        <v>26.378900000000002</v>
      </c>
      <c r="BD98">
        <v>26.980799999999999</v>
      </c>
      <c r="BE98">
        <v>28.218299999999999</v>
      </c>
      <c r="BF98">
        <v>0</v>
      </c>
      <c r="BG98">
        <v>0</v>
      </c>
      <c r="BH98">
        <v>9996.25</v>
      </c>
      <c r="BI98">
        <v>1071.19</v>
      </c>
      <c r="BJ98">
        <v>1.5137799999999999</v>
      </c>
      <c r="BK98">
        <v>-69.319100000000006</v>
      </c>
      <c r="BL98">
        <v>747.98800000000006</v>
      </c>
      <c r="BM98">
        <v>814.74699999999996</v>
      </c>
      <c r="BN98">
        <v>5.0331999999999999</v>
      </c>
      <c r="BO98">
        <v>800.04499999999996</v>
      </c>
      <c r="BP98">
        <v>18.044899999999998</v>
      </c>
      <c r="BQ98">
        <v>2.2864</v>
      </c>
      <c r="BR98">
        <v>1.78775</v>
      </c>
      <c r="BS98">
        <v>19.5809</v>
      </c>
      <c r="BT98">
        <v>15.680099999999999</v>
      </c>
      <c r="BU98">
        <v>1799.99</v>
      </c>
      <c r="BV98">
        <v>0.91002799999999995</v>
      </c>
      <c r="BW98">
        <v>3.3992500000000002E-2</v>
      </c>
      <c r="BX98">
        <v>2.1992500000000002E-2</v>
      </c>
      <c r="BY98">
        <v>3.3987400000000001E-2</v>
      </c>
      <c r="BZ98">
        <v>25.291699999999999</v>
      </c>
      <c r="CA98">
        <v>33528.400000000001</v>
      </c>
      <c r="CB98">
        <v>1690226183.5999999</v>
      </c>
      <c r="CC98" t="s">
        <v>332</v>
      </c>
      <c r="CD98">
        <v>1690226177.5999999</v>
      </c>
      <c r="CE98">
        <v>1690226183.5999999</v>
      </c>
      <c r="CF98">
        <v>12</v>
      </c>
      <c r="CG98">
        <v>-0.255</v>
      </c>
      <c r="CH98">
        <v>0.113</v>
      </c>
      <c r="CI98">
        <v>-0.439</v>
      </c>
      <c r="CJ98">
        <v>0.31</v>
      </c>
      <c r="CK98">
        <v>800</v>
      </c>
      <c r="CL98">
        <v>25</v>
      </c>
      <c r="CM98">
        <v>0.02</v>
      </c>
      <c r="CN98">
        <v>0.03</v>
      </c>
      <c r="CO98">
        <v>-66.650509756097563</v>
      </c>
      <c r="CP98">
        <v>-15.50449337979096</v>
      </c>
      <c r="CQ98">
        <v>1.529162755746869</v>
      </c>
      <c r="CR98">
        <v>-1</v>
      </c>
      <c r="CS98">
        <v>4.8966621951219524</v>
      </c>
      <c r="CT98">
        <v>0.74768717770034776</v>
      </c>
      <c r="CU98">
        <v>7.4925644035976263E-2</v>
      </c>
      <c r="CV98">
        <v>-1</v>
      </c>
      <c r="CW98">
        <v>0</v>
      </c>
      <c r="CX98">
        <v>0</v>
      </c>
      <c r="CY98" t="s">
        <v>333</v>
      </c>
      <c r="CZ98">
        <v>2.3645399999999999</v>
      </c>
      <c r="DA98">
        <v>2.7139099999999998</v>
      </c>
      <c r="DB98">
        <v>0.13805400000000001</v>
      </c>
      <c r="DC98">
        <v>0.14627799999999999</v>
      </c>
      <c r="DD98">
        <v>0.110328</v>
      </c>
      <c r="DE98">
        <v>9.1669700000000007E-2</v>
      </c>
      <c r="DF98">
        <v>31473.9</v>
      </c>
      <c r="DG98">
        <v>27518.1</v>
      </c>
      <c r="DH98">
        <v>31173</v>
      </c>
      <c r="DI98">
        <v>28086.6</v>
      </c>
      <c r="DJ98">
        <v>37655.300000000003</v>
      </c>
      <c r="DK98">
        <v>36278.9</v>
      </c>
      <c r="DL98">
        <v>44364</v>
      </c>
      <c r="DM98">
        <v>42573.599999999999</v>
      </c>
      <c r="DN98">
        <v>1.47485</v>
      </c>
      <c r="DO98">
        <v>2.0528499999999998</v>
      </c>
      <c r="DP98">
        <v>0.104383</v>
      </c>
      <c r="DQ98">
        <v>0.19561500000000001</v>
      </c>
      <c r="DR98">
        <v>25.2713</v>
      </c>
      <c r="DS98">
        <v>25.017199999999999</v>
      </c>
      <c r="DT98">
        <v>57.3</v>
      </c>
      <c r="DU98">
        <v>29.2</v>
      </c>
      <c r="DV98">
        <v>23.531500000000001</v>
      </c>
      <c r="DW98">
        <v>61.942500000000003</v>
      </c>
      <c r="DX98">
        <v>36.089700000000001</v>
      </c>
      <c r="DY98">
        <v>1</v>
      </c>
      <c r="DZ98">
        <v>-8.1407499999999994E-2</v>
      </c>
      <c r="EA98">
        <v>0.264575</v>
      </c>
      <c r="EB98">
        <v>20.1891</v>
      </c>
      <c r="EC98">
        <v>5.2408000000000001</v>
      </c>
      <c r="ED98">
        <v>12.039899999999999</v>
      </c>
      <c r="EE98">
        <v>5.0168499999999998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1.8691500000000001</v>
      </c>
      <c r="EN98">
        <v>1.8672299999999999</v>
      </c>
      <c r="EO98">
        <v>1.8633999999999999</v>
      </c>
      <c r="EP98">
        <v>1.86449</v>
      </c>
      <c r="EQ98">
        <v>1.8701399999999999</v>
      </c>
      <c r="ER98">
        <v>1.86938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-0.39100000000000001</v>
      </c>
      <c r="FG98">
        <v>0.31</v>
      </c>
      <c r="FH98">
        <v>0.1121710645629533</v>
      </c>
      <c r="FI98">
        <v>-6.1462078757559423E-4</v>
      </c>
      <c r="FJ98">
        <v>-1.8861989874597051E-7</v>
      </c>
      <c r="FK98">
        <v>1.1980462299894961E-10</v>
      </c>
      <c r="FL98">
        <v>0.30996499999999833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24.1</v>
      </c>
      <c r="FU98">
        <v>24</v>
      </c>
      <c r="FV98">
        <v>1.78833</v>
      </c>
      <c r="FW98">
        <v>2.5866699999999998</v>
      </c>
      <c r="FX98">
        <v>1.5490699999999999</v>
      </c>
      <c r="FY98">
        <v>2.3290999999999999</v>
      </c>
      <c r="FZ98">
        <v>1.50024</v>
      </c>
      <c r="GA98">
        <v>2.3168899999999999</v>
      </c>
      <c r="GB98">
        <v>33.963900000000002</v>
      </c>
      <c r="GC98">
        <v>23.982399999999998</v>
      </c>
      <c r="GD98">
        <v>19</v>
      </c>
      <c r="GE98">
        <v>282.94600000000003</v>
      </c>
      <c r="GF98">
        <v>598.61099999999999</v>
      </c>
      <c r="GG98">
        <v>24.126200000000001</v>
      </c>
      <c r="GH98">
        <v>26.353100000000001</v>
      </c>
      <c r="GI98">
        <v>30.0001</v>
      </c>
      <c r="GJ98">
        <v>26.4969</v>
      </c>
      <c r="GK98">
        <v>26.486999999999998</v>
      </c>
      <c r="GL98">
        <v>35.762900000000002</v>
      </c>
      <c r="GM98">
        <v>32.904000000000003</v>
      </c>
      <c r="GN98">
        <v>98.488299999999995</v>
      </c>
      <c r="GO98">
        <v>24.125</v>
      </c>
      <c r="GP98">
        <v>800</v>
      </c>
      <c r="GQ98">
        <v>17.9438</v>
      </c>
      <c r="GR98">
        <v>99.742800000000003</v>
      </c>
      <c r="GS98">
        <v>99.590599999999995</v>
      </c>
    </row>
    <row r="99" spans="1:201" x14ac:dyDescent="0.25">
      <c r="A99">
        <v>83</v>
      </c>
      <c r="B99">
        <v>1690227635.5</v>
      </c>
      <c r="C99">
        <v>1065.900000095367</v>
      </c>
      <c r="D99" t="s">
        <v>497</v>
      </c>
      <c r="E99" t="s">
        <v>498</v>
      </c>
      <c r="F99" t="s">
        <v>330</v>
      </c>
      <c r="H99">
        <v>1690227635.5</v>
      </c>
      <c r="I99">
        <f t="shared" si="30"/>
        <v>4.8651111932042959E-4</v>
      </c>
      <c r="J99">
        <f t="shared" si="31"/>
        <v>0.48651111932042956</v>
      </c>
      <c r="K99">
        <f t="shared" si="32"/>
        <v>6.3157127380792897</v>
      </c>
      <c r="L99">
        <f t="shared" si="33"/>
        <v>728.13599999999997</v>
      </c>
      <c r="M99">
        <f t="shared" si="34"/>
        <v>369.85257838040002</v>
      </c>
      <c r="N99">
        <f t="shared" si="35"/>
        <v>36.680584934326447</v>
      </c>
      <c r="O99">
        <f t="shared" si="36"/>
        <v>72.213784499483992</v>
      </c>
      <c r="P99">
        <f t="shared" si="37"/>
        <v>2.9591202431047396E-2</v>
      </c>
      <c r="Q99">
        <f t="shared" si="38"/>
        <v>2.1305728592630615</v>
      </c>
      <c r="R99">
        <f t="shared" si="39"/>
        <v>2.9364762149786245E-2</v>
      </c>
      <c r="S99">
        <f t="shared" si="40"/>
        <v>1.8373176560770081E-2</v>
      </c>
      <c r="T99">
        <f t="shared" si="41"/>
        <v>276.11394019200003</v>
      </c>
      <c r="U99">
        <f t="shared" si="42"/>
        <v>28.390693277245283</v>
      </c>
      <c r="V99">
        <f t="shared" si="43"/>
        <v>28.390693277245283</v>
      </c>
      <c r="W99">
        <f t="shared" si="44"/>
        <v>3.8821347887561575</v>
      </c>
      <c r="X99">
        <f t="shared" si="45"/>
        <v>66.377678166410448</v>
      </c>
      <c r="Y99">
        <f t="shared" si="46"/>
        <v>2.2901279496822498</v>
      </c>
      <c r="Z99">
        <f t="shared" si="47"/>
        <v>3.4501477197512749</v>
      </c>
      <c r="AA99">
        <f t="shared" si="48"/>
        <v>1.5920068390739077</v>
      </c>
      <c r="AB99">
        <f t="shared" si="49"/>
        <v>-21.455140362030946</v>
      </c>
      <c r="AC99">
        <f t="shared" si="50"/>
        <v>-231.3686630274573</v>
      </c>
      <c r="AD99">
        <f t="shared" si="51"/>
        <v>-23.52624734972186</v>
      </c>
      <c r="AE99">
        <f t="shared" si="52"/>
        <v>-0.23611054721007463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52485.282053599731</v>
      </c>
      <c r="AK99">
        <f t="shared" si="56"/>
        <v>1800</v>
      </c>
      <c r="AL99">
        <f t="shared" si="57"/>
        <v>1499.1136362000002</v>
      </c>
      <c r="AM99">
        <f t="shared" si="58"/>
        <v>0.83284090900000007</v>
      </c>
      <c r="AN99">
        <f t="shared" si="59"/>
        <v>0.15339663344000001</v>
      </c>
      <c r="AO99">
        <v>32.4</v>
      </c>
      <c r="AP99">
        <v>0.5</v>
      </c>
      <c r="AQ99" t="s">
        <v>331</v>
      </c>
      <c r="AR99">
        <v>2</v>
      </c>
      <c r="AS99">
        <v>1690227635.5</v>
      </c>
      <c r="AT99">
        <v>728.13599999999997</v>
      </c>
      <c r="AU99">
        <v>800.13099999999997</v>
      </c>
      <c r="AV99">
        <v>23.0915</v>
      </c>
      <c r="AW99">
        <v>17.961400000000001</v>
      </c>
      <c r="AX99">
        <v>728.52499999999998</v>
      </c>
      <c r="AY99">
        <v>22.781600000000001</v>
      </c>
      <c r="AZ99">
        <v>300.16899999999998</v>
      </c>
      <c r="BA99">
        <v>99.076300000000003</v>
      </c>
      <c r="BB99">
        <v>9.9931500000000006E-2</v>
      </c>
      <c r="BC99">
        <v>26.3764</v>
      </c>
      <c r="BD99">
        <v>26.993600000000001</v>
      </c>
      <c r="BE99">
        <v>28.196400000000001</v>
      </c>
      <c r="BF99">
        <v>0</v>
      </c>
      <c r="BG99">
        <v>0</v>
      </c>
      <c r="BH99">
        <v>9997.5</v>
      </c>
      <c r="BI99">
        <v>1071.28</v>
      </c>
      <c r="BJ99">
        <v>1.5137799999999999</v>
      </c>
      <c r="BK99">
        <v>-71.995800000000003</v>
      </c>
      <c r="BL99">
        <v>745.34699999999998</v>
      </c>
      <c r="BM99">
        <v>814.76599999999996</v>
      </c>
      <c r="BN99">
        <v>5.1301399999999999</v>
      </c>
      <c r="BO99">
        <v>800.13099999999997</v>
      </c>
      <c r="BP99">
        <v>17.961400000000001</v>
      </c>
      <c r="BQ99">
        <v>2.28782</v>
      </c>
      <c r="BR99">
        <v>1.77955</v>
      </c>
      <c r="BS99">
        <v>19.590900000000001</v>
      </c>
      <c r="BT99">
        <v>15.6083</v>
      </c>
      <c r="BU99">
        <v>1800</v>
      </c>
      <c r="BV99">
        <v>0.91002300000000003</v>
      </c>
      <c r="BW99">
        <v>3.3998800000000003E-2</v>
      </c>
      <c r="BX99">
        <v>2.1991699999999999E-2</v>
      </c>
      <c r="BY99">
        <v>3.3986200000000001E-2</v>
      </c>
      <c r="BZ99">
        <v>25.458300000000001</v>
      </c>
      <c r="CA99">
        <v>33528.5</v>
      </c>
      <c r="CB99">
        <v>1690226183.5999999</v>
      </c>
      <c r="CC99" t="s">
        <v>332</v>
      </c>
      <c r="CD99">
        <v>1690226177.5999999</v>
      </c>
      <c r="CE99">
        <v>1690226183.5999999</v>
      </c>
      <c r="CF99">
        <v>12</v>
      </c>
      <c r="CG99">
        <v>-0.255</v>
      </c>
      <c r="CH99">
        <v>0.113</v>
      </c>
      <c r="CI99">
        <v>-0.439</v>
      </c>
      <c r="CJ99">
        <v>0.31</v>
      </c>
      <c r="CK99">
        <v>800</v>
      </c>
      <c r="CL99">
        <v>25</v>
      </c>
      <c r="CM99">
        <v>0.02</v>
      </c>
      <c r="CN99">
        <v>0.03</v>
      </c>
      <c r="CO99">
        <v>-69.148015000000001</v>
      </c>
      <c r="CP99">
        <v>-15.34726153846128</v>
      </c>
      <c r="CQ99">
        <v>1.476881592503271</v>
      </c>
      <c r="CR99">
        <v>-1</v>
      </c>
      <c r="CS99">
        <v>5.0098695000000006</v>
      </c>
      <c r="CT99">
        <v>0.70440135084426947</v>
      </c>
      <c r="CU99">
        <v>6.9201084238254523E-2</v>
      </c>
      <c r="CV99">
        <v>-1</v>
      </c>
      <c r="CW99">
        <v>0</v>
      </c>
      <c r="CX99">
        <v>0</v>
      </c>
      <c r="CY99" t="s">
        <v>333</v>
      </c>
      <c r="CZ99">
        <v>2.3643100000000001</v>
      </c>
      <c r="DA99">
        <v>2.7137199999999999</v>
      </c>
      <c r="DB99">
        <v>0.13772799999999999</v>
      </c>
      <c r="DC99">
        <v>0.14629300000000001</v>
      </c>
      <c r="DD99">
        <v>0.110379</v>
      </c>
      <c r="DE99">
        <v>9.1369199999999998E-2</v>
      </c>
      <c r="DF99">
        <v>31486.1</v>
      </c>
      <c r="DG99">
        <v>27517.9</v>
      </c>
      <c r="DH99">
        <v>31173.3</v>
      </c>
      <c r="DI99">
        <v>28086.9</v>
      </c>
      <c r="DJ99">
        <v>37653.199999999997</v>
      </c>
      <c r="DK99">
        <v>36291.4</v>
      </c>
      <c r="DL99">
        <v>44364.3</v>
      </c>
      <c r="DM99">
        <v>42574</v>
      </c>
      <c r="DN99">
        <v>1.4741500000000001</v>
      </c>
      <c r="DO99">
        <v>2.05288</v>
      </c>
      <c r="DP99">
        <v>0.10516499999999999</v>
      </c>
      <c r="DQ99">
        <v>0.194274</v>
      </c>
      <c r="DR99">
        <v>25.2713</v>
      </c>
      <c r="DS99">
        <v>25.017199999999999</v>
      </c>
      <c r="DT99">
        <v>57.3</v>
      </c>
      <c r="DU99">
        <v>29.2</v>
      </c>
      <c r="DV99">
        <v>23.529399999999999</v>
      </c>
      <c r="DW99">
        <v>61.482500000000002</v>
      </c>
      <c r="DX99">
        <v>35.7652</v>
      </c>
      <c r="DY99">
        <v>1</v>
      </c>
      <c r="DZ99">
        <v>-8.1681900000000002E-2</v>
      </c>
      <c r="EA99">
        <v>0.223306</v>
      </c>
      <c r="EB99">
        <v>20.189399999999999</v>
      </c>
      <c r="EC99">
        <v>5.2403500000000003</v>
      </c>
      <c r="ED99">
        <v>12.039899999999999</v>
      </c>
      <c r="EE99">
        <v>5.0167999999999999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1.8691599999999999</v>
      </c>
      <c r="EN99">
        <v>1.8672200000000001</v>
      </c>
      <c r="EO99">
        <v>1.8633999999999999</v>
      </c>
      <c r="EP99">
        <v>1.8644799999999999</v>
      </c>
      <c r="EQ99">
        <v>1.87012</v>
      </c>
      <c r="ER99">
        <v>1.86937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-0.38900000000000001</v>
      </c>
      <c r="FG99">
        <v>0.30990000000000001</v>
      </c>
      <c r="FH99">
        <v>0.1121710645629533</v>
      </c>
      <c r="FI99">
        <v>-6.1462078757559423E-4</v>
      </c>
      <c r="FJ99">
        <v>-1.8861989874597051E-7</v>
      </c>
      <c r="FK99">
        <v>1.1980462299894961E-10</v>
      </c>
      <c r="FL99">
        <v>0.30996499999999833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24.3</v>
      </c>
      <c r="FU99">
        <v>24.2</v>
      </c>
      <c r="FV99">
        <v>1.78833</v>
      </c>
      <c r="FW99">
        <v>2.5805699999999998</v>
      </c>
      <c r="FX99">
        <v>1.5490699999999999</v>
      </c>
      <c r="FY99">
        <v>2.3290999999999999</v>
      </c>
      <c r="FZ99">
        <v>1.50146</v>
      </c>
      <c r="GA99">
        <v>2.3889200000000002</v>
      </c>
      <c r="GB99">
        <v>33.963900000000002</v>
      </c>
      <c r="GC99">
        <v>23.991199999999999</v>
      </c>
      <c r="GD99">
        <v>19</v>
      </c>
      <c r="GE99">
        <v>282.63400000000001</v>
      </c>
      <c r="GF99">
        <v>598.60500000000002</v>
      </c>
      <c r="GG99">
        <v>24.155999999999999</v>
      </c>
      <c r="GH99">
        <v>26.3489</v>
      </c>
      <c r="GI99">
        <v>29.9999</v>
      </c>
      <c r="GJ99">
        <v>26.4939</v>
      </c>
      <c r="GK99">
        <v>26.4846</v>
      </c>
      <c r="GL99">
        <v>35.756999999999998</v>
      </c>
      <c r="GM99">
        <v>33.468800000000002</v>
      </c>
      <c r="GN99">
        <v>98.488299999999995</v>
      </c>
      <c r="GO99">
        <v>24.154800000000002</v>
      </c>
      <c r="GP99">
        <v>800</v>
      </c>
      <c r="GQ99">
        <v>17.839700000000001</v>
      </c>
      <c r="GR99">
        <v>99.743499999999997</v>
      </c>
      <c r="GS99">
        <v>99.591700000000003</v>
      </c>
    </row>
    <row r="100" spans="1:201" x14ac:dyDescent="0.25">
      <c r="A100">
        <v>84</v>
      </c>
      <c r="B100">
        <v>1690227645.5</v>
      </c>
      <c r="C100">
        <v>1075.900000095367</v>
      </c>
      <c r="D100" t="s">
        <v>499</v>
      </c>
      <c r="E100" t="s">
        <v>500</v>
      </c>
      <c r="F100" t="s">
        <v>330</v>
      </c>
      <c r="H100">
        <v>1690227645.5</v>
      </c>
      <c r="I100">
        <f t="shared" si="30"/>
        <v>4.9848995268721641E-4</v>
      </c>
      <c r="J100">
        <f t="shared" si="31"/>
        <v>0.49848995268721635</v>
      </c>
      <c r="K100">
        <f t="shared" si="32"/>
        <v>6.5518763462432714</v>
      </c>
      <c r="L100">
        <f t="shared" si="33"/>
        <v>725.43100000000004</v>
      </c>
      <c r="M100">
        <f t="shared" si="34"/>
        <v>362.99849858350444</v>
      </c>
      <c r="N100">
        <f t="shared" si="35"/>
        <v>36.003043155887696</v>
      </c>
      <c r="O100">
        <f t="shared" si="36"/>
        <v>71.949949384186297</v>
      </c>
      <c r="P100">
        <f t="shared" si="37"/>
        <v>3.0325281606856453E-2</v>
      </c>
      <c r="Q100">
        <f t="shared" si="38"/>
        <v>2.1325435806495996</v>
      </c>
      <c r="R100">
        <f t="shared" si="39"/>
        <v>3.0087733781283304E-2</v>
      </c>
      <c r="S100">
        <f t="shared" si="40"/>
        <v>1.8826021132769353E-2</v>
      </c>
      <c r="T100">
        <f t="shared" si="41"/>
        <v>276.114208878</v>
      </c>
      <c r="U100">
        <f t="shared" si="42"/>
        <v>28.398204449418849</v>
      </c>
      <c r="V100">
        <f t="shared" si="43"/>
        <v>28.398204449418849</v>
      </c>
      <c r="W100">
        <f t="shared" si="44"/>
        <v>3.8838300757905686</v>
      </c>
      <c r="X100">
        <f t="shared" si="45"/>
        <v>66.372106906084866</v>
      </c>
      <c r="Y100">
        <f t="shared" si="46"/>
        <v>2.2917469896527201</v>
      </c>
      <c r="Z100">
        <f t="shared" si="47"/>
        <v>3.4528766623236677</v>
      </c>
      <c r="AA100">
        <f t="shared" si="48"/>
        <v>1.5920830861378485</v>
      </c>
      <c r="AB100">
        <f t="shared" si="49"/>
        <v>-21.983406913506244</v>
      </c>
      <c r="AC100">
        <f t="shared" si="50"/>
        <v>-230.90563598023371</v>
      </c>
      <c r="AD100">
        <f t="shared" si="51"/>
        <v>-23.459915893053655</v>
      </c>
      <c r="AE100">
        <f t="shared" si="52"/>
        <v>-0.2347499087935887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52568.226072979502</v>
      </c>
      <c r="AK100">
        <f t="shared" si="56"/>
        <v>1800</v>
      </c>
      <c r="AL100">
        <f t="shared" si="57"/>
        <v>1499.1122447999996</v>
      </c>
      <c r="AM100">
        <f t="shared" si="58"/>
        <v>0.83284013599999984</v>
      </c>
      <c r="AN100">
        <f t="shared" si="59"/>
        <v>0.15339678271000001</v>
      </c>
      <c r="AO100">
        <v>32.4</v>
      </c>
      <c r="AP100">
        <v>0.5</v>
      </c>
      <c r="AQ100" t="s">
        <v>331</v>
      </c>
      <c r="AR100">
        <v>2</v>
      </c>
      <c r="AS100">
        <v>1690227645.5</v>
      </c>
      <c r="AT100">
        <v>725.43100000000004</v>
      </c>
      <c r="AU100">
        <v>800.05</v>
      </c>
      <c r="AV100">
        <v>23.106400000000001</v>
      </c>
      <c r="AW100">
        <v>17.8504</v>
      </c>
      <c r="AX100">
        <v>725.81799999999998</v>
      </c>
      <c r="AY100">
        <v>22.796399999999998</v>
      </c>
      <c r="AZ100">
        <v>300.18799999999999</v>
      </c>
      <c r="BA100">
        <v>99.082400000000007</v>
      </c>
      <c r="BB100">
        <v>9.9947300000000003E-2</v>
      </c>
      <c r="BC100">
        <v>26.389800000000001</v>
      </c>
      <c r="BD100">
        <v>26.9909</v>
      </c>
      <c r="BE100">
        <v>28.2302</v>
      </c>
      <c r="BF100">
        <v>0</v>
      </c>
      <c r="BG100">
        <v>0</v>
      </c>
      <c r="BH100">
        <v>10013.799999999999</v>
      </c>
      <c r="BI100">
        <v>1071.3599999999999</v>
      </c>
      <c r="BJ100">
        <v>1.5137799999999999</v>
      </c>
      <c r="BK100">
        <v>-74.619399999999999</v>
      </c>
      <c r="BL100">
        <v>742.59</v>
      </c>
      <c r="BM100">
        <v>814.59100000000001</v>
      </c>
      <c r="BN100">
        <v>5.2560099999999998</v>
      </c>
      <c r="BO100">
        <v>800.05</v>
      </c>
      <c r="BP100">
        <v>17.8504</v>
      </c>
      <c r="BQ100">
        <v>2.2894399999999999</v>
      </c>
      <c r="BR100">
        <v>1.7686599999999999</v>
      </c>
      <c r="BS100">
        <v>19.6023</v>
      </c>
      <c r="BT100">
        <v>15.512499999999999</v>
      </c>
      <c r="BU100">
        <v>1800</v>
      </c>
      <c r="BV100">
        <v>0.91001100000000001</v>
      </c>
      <c r="BW100">
        <v>3.4000700000000002E-2</v>
      </c>
      <c r="BX100">
        <v>2.1991299999999998E-2</v>
      </c>
      <c r="BY100">
        <v>3.3997300000000001E-2</v>
      </c>
      <c r="BZ100">
        <v>25.291699999999999</v>
      </c>
      <c r="CA100">
        <v>33528.5</v>
      </c>
      <c r="CB100">
        <v>1690226183.5999999</v>
      </c>
      <c r="CC100" t="s">
        <v>332</v>
      </c>
      <c r="CD100">
        <v>1690226177.5999999</v>
      </c>
      <c r="CE100">
        <v>1690226183.5999999</v>
      </c>
      <c r="CF100">
        <v>12</v>
      </c>
      <c r="CG100">
        <v>-0.255</v>
      </c>
      <c r="CH100">
        <v>0.113</v>
      </c>
      <c r="CI100">
        <v>-0.439</v>
      </c>
      <c r="CJ100">
        <v>0.31</v>
      </c>
      <c r="CK100">
        <v>800</v>
      </c>
      <c r="CL100">
        <v>25</v>
      </c>
      <c r="CM100">
        <v>0.02</v>
      </c>
      <c r="CN100">
        <v>0.03</v>
      </c>
      <c r="CO100">
        <v>-71.752875000000003</v>
      </c>
      <c r="CP100">
        <v>-15.939046153846069</v>
      </c>
      <c r="CQ100">
        <v>1.533657501978523</v>
      </c>
      <c r="CR100">
        <v>-1</v>
      </c>
      <c r="CS100">
        <v>5.1297744999999999</v>
      </c>
      <c r="CT100">
        <v>0.73018784240149759</v>
      </c>
      <c r="CU100">
        <v>7.0943585508134538E-2</v>
      </c>
      <c r="CV100">
        <v>-1</v>
      </c>
      <c r="CW100">
        <v>0</v>
      </c>
      <c r="CX100">
        <v>0</v>
      </c>
      <c r="CY100" t="s">
        <v>333</v>
      </c>
      <c r="CZ100">
        <v>2.36436</v>
      </c>
      <c r="DA100">
        <v>2.7137500000000001</v>
      </c>
      <c r="DB100">
        <v>0.13738900000000001</v>
      </c>
      <c r="DC100">
        <v>0.146291</v>
      </c>
      <c r="DD100">
        <v>0.11043699999999999</v>
      </c>
      <c r="DE100">
        <v>9.0969400000000006E-2</v>
      </c>
      <c r="DF100">
        <v>31498.7</v>
      </c>
      <c r="DG100">
        <v>27518.6</v>
      </c>
      <c r="DH100">
        <v>31173.599999999999</v>
      </c>
      <c r="DI100">
        <v>28087.5</v>
      </c>
      <c r="DJ100">
        <v>37651.1</v>
      </c>
      <c r="DK100">
        <v>36308.199999999997</v>
      </c>
      <c r="DL100">
        <v>44364.7</v>
      </c>
      <c r="DM100">
        <v>42575</v>
      </c>
      <c r="DN100">
        <v>1.47478</v>
      </c>
      <c r="DO100">
        <v>2.0529799999999998</v>
      </c>
      <c r="DP100">
        <v>0.105128</v>
      </c>
      <c r="DQ100">
        <v>0.19634099999999999</v>
      </c>
      <c r="DR100">
        <v>25.269300000000001</v>
      </c>
      <c r="DS100">
        <v>25.017199999999999</v>
      </c>
      <c r="DT100">
        <v>57.2</v>
      </c>
      <c r="DU100">
        <v>29.2</v>
      </c>
      <c r="DV100">
        <v>23.484200000000001</v>
      </c>
      <c r="DW100">
        <v>61.712499999999999</v>
      </c>
      <c r="DX100">
        <v>35.637</v>
      </c>
      <c r="DY100">
        <v>1</v>
      </c>
      <c r="DZ100">
        <v>-8.2240900000000006E-2</v>
      </c>
      <c r="EA100">
        <v>0.21390500000000001</v>
      </c>
      <c r="EB100">
        <v>20.1892</v>
      </c>
      <c r="EC100">
        <v>5.2409499999999998</v>
      </c>
      <c r="ED100">
        <v>12.039899999999999</v>
      </c>
      <c r="EE100">
        <v>5.0168499999999998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1.8646400000000001</v>
      </c>
      <c r="EM100">
        <v>1.8691899999999999</v>
      </c>
      <c r="EN100">
        <v>1.8672200000000001</v>
      </c>
      <c r="EO100">
        <v>1.8633999999999999</v>
      </c>
      <c r="EP100">
        <v>1.8644700000000001</v>
      </c>
      <c r="EQ100">
        <v>1.8701399999999999</v>
      </c>
      <c r="ER100">
        <v>1.86941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-0.38700000000000001</v>
      </c>
      <c r="FG100">
        <v>0.31</v>
      </c>
      <c r="FH100">
        <v>0.1121710645629533</v>
      </c>
      <c r="FI100">
        <v>-6.1462078757559423E-4</v>
      </c>
      <c r="FJ100">
        <v>-1.8861989874597051E-7</v>
      </c>
      <c r="FK100">
        <v>1.1980462299894961E-10</v>
      </c>
      <c r="FL100">
        <v>0.30996499999999833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24.5</v>
      </c>
      <c r="FU100">
        <v>24.4</v>
      </c>
      <c r="FV100">
        <v>1.78833</v>
      </c>
      <c r="FW100">
        <v>2.5878899999999998</v>
      </c>
      <c r="FX100">
        <v>1.5490699999999999</v>
      </c>
      <c r="FY100">
        <v>2.3290999999999999</v>
      </c>
      <c r="FZ100">
        <v>1.50146</v>
      </c>
      <c r="GA100">
        <v>2.36084</v>
      </c>
      <c r="GB100">
        <v>33.963900000000002</v>
      </c>
      <c r="GC100">
        <v>23.982399999999998</v>
      </c>
      <c r="GD100">
        <v>19</v>
      </c>
      <c r="GE100">
        <v>282.887</v>
      </c>
      <c r="GF100">
        <v>598.65099999999995</v>
      </c>
      <c r="GG100">
        <v>24.180599999999998</v>
      </c>
      <c r="GH100">
        <v>26.3461</v>
      </c>
      <c r="GI100">
        <v>29.9999</v>
      </c>
      <c r="GJ100">
        <v>26.490500000000001</v>
      </c>
      <c r="GK100">
        <v>26.481300000000001</v>
      </c>
      <c r="GL100">
        <v>35.753900000000002</v>
      </c>
      <c r="GM100">
        <v>33.750300000000003</v>
      </c>
      <c r="GN100">
        <v>98.115799999999993</v>
      </c>
      <c r="GO100">
        <v>24.179300000000001</v>
      </c>
      <c r="GP100">
        <v>800</v>
      </c>
      <c r="GQ100">
        <v>17.734400000000001</v>
      </c>
      <c r="GR100">
        <v>99.744500000000002</v>
      </c>
      <c r="GS100">
        <v>99.593900000000005</v>
      </c>
    </row>
    <row r="101" spans="1:201" x14ac:dyDescent="0.25">
      <c r="A101">
        <v>85</v>
      </c>
      <c r="B101">
        <v>1690227655.5</v>
      </c>
      <c r="C101">
        <v>1085.900000095367</v>
      </c>
      <c r="D101" t="s">
        <v>501</v>
      </c>
      <c r="E101" t="s">
        <v>502</v>
      </c>
      <c r="F101" t="s">
        <v>330</v>
      </c>
      <c r="H101">
        <v>1690227655.5</v>
      </c>
      <c r="I101">
        <f t="shared" si="30"/>
        <v>5.1108602367363283E-4</v>
      </c>
      <c r="J101">
        <f t="shared" si="31"/>
        <v>0.51108602367363287</v>
      </c>
      <c r="K101">
        <f t="shared" si="32"/>
        <v>6.7887525824121964</v>
      </c>
      <c r="L101">
        <f t="shared" si="33"/>
        <v>722.74400000000003</v>
      </c>
      <c r="M101">
        <f t="shared" si="34"/>
        <v>357.07428957677428</v>
      </c>
      <c r="N101">
        <f t="shared" si="35"/>
        <v>35.413943171737067</v>
      </c>
      <c r="O101">
        <f t="shared" si="36"/>
        <v>71.680363697008005</v>
      </c>
      <c r="P101">
        <f t="shared" si="37"/>
        <v>3.112663581036728E-2</v>
      </c>
      <c r="Q101">
        <f t="shared" si="38"/>
        <v>2.1292817487551825</v>
      </c>
      <c r="R101">
        <f t="shared" si="39"/>
        <v>3.0876043489110071E-2</v>
      </c>
      <c r="S101">
        <f t="shared" si="40"/>
        <v>1.9319873642775761E-2</v>
      </c>
      <c r="T101">
        <f t="shared" si="41"/>
        <v>276.11411011199993</v>
      </c>
      <c r="U101">
        <f t="shared" si="42"/>
        <v>28.398199674576254</v>
      </c>
      <c r="V101">
        <f t="shared" si="43"/>
        <v>28.398199674576254</v>
      </c>
      <c r="W101">
        <f t="shared" si="44"/>
        <v>3.8838289978936715</v>
      </c>
      <c r="X101">
        <f t="shared" si="45"/>
        <v>66.410089379762397</v>
      </c>
      <c r="Y101">
        <f t="shared" si="46"/>
        <v>2.2932749544696005</v>
      </c>
      <c r="Z101">
        <f t="shared" si="47"/>
        <v>3.4532026321416849</v>
      </c>
      <c r="AA101">
        <f t="shared" si="48"/>
        <v>1.590554043424071</v>
      </c>
      <c r="AB101">
        <f t="shared" si="49"/>
        <v>-22.538893644007207</v>
      </c>
      <c r="AC101">
        <f t="shared" si="50"/>
        <v>-230.36823601708255</v>
      </c>
      <c r="AD101">
        <f t="shared" si="51"/>
        <v>-23.441357028189621</v>
      </c>
      <c r="AE101">
        <f t="shared" si="52"/>
        <v>-0.23437657727944838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52426.948164132402</v>
      </c>
      <c r="AK101">
        <f t="shared" si="56"/>
        <v>1800</v>
      </c>
      <c r="AL101">
        <f t="shared" si="57"/>
        <v>1499.1103061999997</v>
      </c>
      <c r="AM101">
        <f t="shared" si="58"/>
        <v>0.83283905899999988</v>
      </c>
      <c r="AN101">
        <f t="shared" si="59"/>
        <v>0.15339672783999997</v>
      </c>
      <c r="AO101">
        <v>32.4</v>
      </c>
      <c r="AP101">
        <v>0.5</v>
      </c>
      <c r="AQ101" t="s">
        <v>331</v>
      </c>
      <c r="AR101">
        <v>2</v>
      </c>
      <c r="AS101">
        <v>1690227655.5</v>
      </c>
      <c r="AT101">
        <v>722.74400000000003</v>
      </c>
      <c r="AU101">
        <v>799.99599999999998</v>
      </c>
      <c r="AV101">
        <v>23.122800000000002</v>
      </c>
      <c r="AW101">
        <v>17.7346</v>
      </c>
      <c r="AX101">
        <v>723.12900000000002</v>
      </c>
      <c r="AY101">
        <v>22.812899999999999</v>
      </c>
      <c r="AZ101">
        <v>300.21699999999998</v>
      </c>
      <c r="BA101">
        <v>99.078100000000006</v>
      </c>
      <c r="BB101">
        <v>9.9982000000000001E-2</v>
      </c>
      <c r="BC101">
        <v>26.391400000000001</v>
      </c>
      <c r="BD101">
        <v>26.970800000000001</v>
      </c>
      <c r="BE101">
        <v>28.236699999999999</v>
      </c>
      <c r="BF101">
        <v>0</v>
      </c>
      <c r="BG101">
        <v>0</v>
      </c>
      <c r="BH101">
        <v>9986.25</v>
      </c>
      <c r="BI101">
        <v>1071.44</v>
      </c>
      <c r="BJ101">
        <v>1.5137799999999999</v>
      </c>
      <c r="BK101">
        <v>-77.252399999999994</v>
      </c>
      <c r="BL101">
        <v>739.851</v>
      </c>
      <c r="BM101">
        <v>814.44</v>
      </c>
      <c r="BN101">
        <v>5.3882700000000003</v>
      </c>
      <c r="BO101">
        <v>799.99599999999998</v>
      </c>
      <c r="BP101">
        <v>17.7346</v>
      </c>
      <c r="BQ101">
        <v>2.2909700000000002</v>
      </c>
      <c r="BR101">
        <v>1.7571099999999999</v>
      </c>
      <c r="BS101">
        <v>19.613</v>
      </c>
      <c r="BT101">
        <v>15.410299999999999</v>
      </c>
      <c r="BU101">
        <v>1800</v>
      </c>
      <c r="BV101">
        <v>0.91000499999999995</v>
      </c>
      <c r="BW101">
        <v>3.4004E-2</v>
      </c>
      <c r="BX101">
        <v>2.1990699999999998E-2</v>
      </c>
      <c r="BY101">
        <v>3.4000200000000001E-2</v>
      </c>
      <c r="BZ101">
        <v>25.083300000000001</v>
      </c>
      <c r="CA101">
        <v>33528.5</v>
      </c>
      <c r="CB101">
        <v>1690226183.5999999</v>
      </c>
      <c r="CC101" t="s">
        <v>332</v>
      </c>
      <c r="CD101">
        <v>1690226177.5999999</v>
      </c>
      <c r="CE101">
        <v>1690226183.5999999</v>
      </c>
      <c r="CF101">
        <v>12</v>
      </c>
      <c r="CG101">
        <v>-0.255</v>
      </c>
      <c r="CH101">
        <v>0.113</v>
      </c>
      <c r="CI101">
        <v>-0.439</v>
      </c>
      <c r="CJ101">
        <v>0.31</v>
      </c>
      <c r="CK101">
        <v>800</v>
      </c>
      <c r="CL101">
        <v>25</v>
      </c>
      <c r="CM101">
        <v>0.02</v>
      </c>
      <c r="CN101">
        <v>0.03</v>
      </c>
      <c r="CO101">
        <v>-74.433244999999999</v>
      </c>
      <c r="CP101">
        <v>-16.032234146341231</v>
      </c>
      <c r="CQ101">
        <v>1.542647810738083</v>
      </c>
      <c r="CR101">
        <v>-1</v>
      </c>
      <c r="CS101">
        <v>5.2541180000000001</v>
      </c>
      <c r="CT101">
        <v>0.74968502814258597</v>
      </c>
      <c r="CU101">
        <v>7.2946303408740282E-2</v>
      </c>
      <c r="CV101">
        <v>-1</v>
      </c>
      <c r="CW101">
        <v>0</v>
      </c>
      <c r="CX101">
        <v>0</v>
      </c>
      <c r="CY101" t="s">
        <v>333</v>
      </c>
      <c r="CZ101">
        <v>2.3644400000000001</v>
      </c>
      <c r="DA101">
        <v>2.7137600000000002</v>
      </c>
      <c r="DB101">
        <v>0.13703799999999999</v>
      </c>
      <c r="DC101">
        <v>0.14627699999999999</v>
      </c>
      <c r="DD101">
        <v>0.110489</v>
      </c>
      <c r="DE101">
        <v>9.05416E-2</v>
      </c>
      <c r="DF101">
        <v>31512.2</v>
      </c>
      <c r="DG101">
        <v>27519.4</v>
      </c>
      <c r="DH101">
        <v>31174.2</v>
      </c>
      <c r="DI101">
        <v>28087.9</v>
      </c>
      <c r="DJ101">
        <v>37649.599999999999</v>
      </c>
      <c r="DK101">
        <v>36325.699999999997</v>
      </c>
      <c r="DL101">
        <v>44365.7</v>
      </c>
      <c r="DM101">
        <v>42575.5</v>
      </c>
      <c r="DN101">
        <v>1.4746999999999999</v>
      </c>
      <c r="DO101">
        <v>2.0527700000000002</v>
      </c>
      <c r="DP101">
        <v>0.104029</v>
      </c>
      <c r="DQ101">
        <v>0.19684399999999999</v>
      </c>
      <c r="DR101">
        <v>25.267099999999999</v>
      </c>
      <c r="DS101">
        <v>25.015499999999999</v>
      </c>
      <c r="DT101">
        <v>57.2</v>
      </c>
      <c r="DU101">
        <v>29.2</v>
      </c>
      <c r="DV101">
        <v>23.487400000000001</v>
      </c>
      <c r="DW101">
        <v>61.642499999999998</v>
      </c>
      <c r="DX101">
        <v>36.5745</v>
      </c>
      <c r="DY101">
        <v>1</v>
      </c>
      <c r="DZ101">
        <v>-8.2538100000000003E-2</v>
      </c>
      <c r="EA101">
        <v>0.23405500000000001</v>
      </c>
      <c r="EB101">
        <v>20.1891</v>
      </c>
      <c r="EC101">
        <v>5.2397499999999999</v>
      </c>
      <c r="ED101">
        <v>12.039899999999999</v>
      </c>
      <c r="EE101">
        <v>5.0167999999999999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1.86917</v>
      </c>
      <c r="EN101">
        <v>1.8672200000000001</v>
      </c>
      <c r="EO101">
        <v>1.8633999999999999</v>
      </c>
      <c r="EP101">
        <v>1.8644799999999999</v>
      </c>
      <c r="EQ101">
        <v>1.87012</v>
      </c>
      <c r="ER101">
        <v>1.8694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-0.38500000000000001</v>
      </c>
      <c r="FG101">
        <v>0.30990000000000001</v>
      </c>
      <c r="FH101">
        <v>0.1121710645629533</v>
      </c>
      <c r="FI101">
        <v>-6.1462078757559423E-4</v>
      </c>
      <c r="FJ101">
        <v>-1.8861989874597051E-7</v>
      </c>
      <c r="FK101">
        <v>1.1980462299894961E-10</v>
      </c>
      <c r="FL101">
        <v>0.30996499999999833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24.6</v>
      </c>
      <c r="FU101">
        <v>24.5</v>
      </c>
      <c r="FV101">
        <v>1.78833</v>
      </c>
      <c r="FW101">
        <v>2.5915499999999998</v>
      </c>
      <c r="FX101">
        <v>1.5490699999999999</v>
      </c>
      <c r="FY101">
        <v>2.3290999999999999</v>
      </c>
      <c r="FZ101">
        <v>1.50146</v>
      </c>
      <c r="GA101">
        <v>2.32056</v>
      </c>
      <c r="GB101">
        <v>33.963900000000002</v>
      </c>
      <c r="GC101">
        <v>23.982399999999998</v>
      </c>
      <c r="GD101">
        <v>19</v>
      </c>
      <c r="GE101">
        <v>282.84399999999999</v>
      </c>
      <c r="GF101">
        <v>598.44500000000005</v>
      </c>
      <c r="GG101">
        <v>24.190300000000001</v>
      </c>
      <c r="GH101">
        <v>26.342199999999998</v>
      </c>
      <c r="GI101">
        <v>29.9998</v>
      </c>
      <c r="GJ101">
        <v>26.488</v>
      </c>
      <c r="GK101">
        <v>26.478100000000001</v>
      </c>
      <c r="GL101">
        <v>35.751100000000001</v>
      </c>
      <c r="GM101">
        <v>34.314500000000002</v>
      </c>
      <c r="GN101">
        <v>98.115799999999993</v>
      </c>
      <c r="GO101">
        <v>24.188500000000001</v>
      </c>
      <c r="GP101">
        <v>800</v>
      </c>
      <c r="GQ101">
        <v>17.6221</v>
      </c>
      <c r="GR101">
        <v>99.746499999999997</v>
      </c>
      <c r="GS101">
        <v>99.595100000000002</v>
      </c>
    </row>
    <row r="102" spans="1:201" x14ac:dyDescent="0.25">
      <c r="A102">
        <v>86</v>
      </c>
      <c r="B102">
        <v>1690227665.5</v>
      </c>
      <c r="C102">
        <v>1095.900000095367</v>
      </c>
      <c r="D102" t="s">
        <v>503</v>
      </c>
      <c r="E102" t="s">
        <v>504</v>
      </c>
      <c r="F102" t="s">
        <v>330</v>
      </c>
      <c r="H102">
        <v>1690227665.5</v>
      </c>
      <c r="I102">
        <f t="shared" si="30"/>
        <v>5.2391987136305048E-4</v>
      </c>
      <c r="J102">
        <f t="shared" si="31"/>
        <v>0.52391987136305052</v>
      </c>
      <c r="K102">
        <f t="shared" si="32"/>
        <v>7.0461104452372236</v>
      </c>
      <c r="L102">
        <f t="shared" si="33"/>
        <v>720.04100000000005</v>
      </c>
      <c r="M102">
        <f t="shared" si="34"/>
        <v>350.89937892660333</v>
      </c>
      <c r="N102">
        <f t="shared" si="35"/>
        <v>34.799762914494742</v>
      </c>
      <c r="O102">
        <f t="shared" si="36"/>
        <v>71.408664687197614</v>
      </c>
      <c r="P102">
        <f t="shared" si="37"/>
        <v>3.198310000208443E-2</v>
      </c>
      <c r="Q102">
        <f t="shared" si="38"/>
        <v>2.1309665109089684</v>
      </c>
      <c r="R102">
        <f t="shared" si="39"/>
        <v>3.1718798108291202E-2</v>
      </c>
      <c r="S102">
        <f t="shared" si="40"/>
        <v>1.9847813142053739E-2</v>
      </c>
      <c r="T102">
        <f t="shared" si="41"/>
        <v>276.11422491599996</v>
      </c>
      <c r="U102">
        <f t="shared" si="42"/>
        <v>28.388390335683848</v>
      </c>
      <c r="V102">
        <f t="shared" si="43"/>
        <v>28.388390335683848</v>
      </c>
      <c r="W102">
        <f t="shared" si="44"/>
        <v>3.8816151394072733</v>
      </c>
      <c r="X102">
        <f t="shared" si="45"/>
        <v>66.461358845466762</v>
      </c>
      <c r="Y102">
        <f t="shared" si="46"/>
        <v>2.2945173546164002</v>
      </c>
      <c r="Z102">
        <f t="shared" si="47"/>
        <v>3.4524081277837224</v>
      </c>
      <c r="AA102">
        <f t="shared" si="48"/>
        <v>1.5870977847908732</v>
      </c>
      <c r="AB102">
        <f t="shared" si="49"/>
        <v>-23.104866327110525</v>
      </c>
      <c r="AC102">
        <f t="shared" si="50"/>
        <v>-229.87161899039282</v>
      </c>
      <c r="AD102">
        <f t="shared" si="51"/>
        <v>-23.370728771172335</v>
      </c>
      <c r="AE102">
        <f t="shared" si="52"/>
        <v>-0.23298917267572961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52500.270353406813</v>
      </c>
      <c r="AK102">
        <f t="shared" si="56"/>
        <v>1800</v>
      </c>
      <c r="AL102">
        <f t="shared" si="57"/>
        <v>1499.1063965999999</v>
      </c>
      <c r="AM102">
        <f t="shared" si="58"/>
        <v>0.83283688699999991</v>
      </c>
      <c r="AN102">
        <f t="shared" si="59"/>
        <v>0.15339679161999997</v>
      </c>
      <c r="AO102">
        <v>32.4</v>
      </c>
      <c r="AP102">
        <v>0.5</v>
      </c>
      <c r="AQ102" t="s">
        <v>331</v>
      </c>
      <c r="AR102">
        <v>2</v>
      </c>
      <c r="AS102">
        <v>1690227665.5</v>
      </c>
      <c r="AT102">
        <v>720.04100000000005</v>
      </c>
      <c r="AU102">
        <v>800.12300000000005</v>
      </c>
      <c r="AV102">
        <v>23.136500000000002</v>
      </c>
      <c r="AW102">
        <v>17.615300000000001</v>
      </c>
      <c r="AX102">
        <v>720.42399999999998</v>
      </c>
      <c r="AY102">
        <v>22.826599999999999</v>
      </c>
      <c r="AZ102">
        <v>300.33800000000002</v>
      </c>
      <c r="BA102">
        <v>99.073099999999997</v>
      </c>
      <c r="BB102">
        <v>9.9953600000000004E-2</v>
      </c>
      <c r="BC102">
        <v>26.387499999999999</v>
      </c>
      <c r="BD102">
        <v>27.0412</v>
      </c>
      <c r="BE102">
        <v>28.229600000000001</v>
      </c>
      <c r="BF102">
        <v>0</v>
      </c>
      <c r="BG102">
        <v>0</v>
      </c>
      <c r="BH102">
        <v>10001.200000000001</v>
      </c>
      <c r="BI102">
        <v>1071.55</v>
      </c>
      <c r="BJ102">
        <v>1.5137799999999999</v>
      </c>
      <c r="BK102">
        <v>-80.082300000000004</v>
      </c>
      <c r="BL102">
        <v>737.09500000000003</v>
      </c>
      <c r="BM102">
        <v>814.47</v>
      </c>
      <c r="BN102">
        <v>5.5212700000000003</v>
      </c>
      <c r="BO102">
        <v>800.12300000000005</v>
      </c>
      <c r="BP102">
        <v>17.615300000000001</v>
      </c>
      <c r="BQ102">
        <v>2.2922099999999999</v>
      </c>
      <c r="BR102">
        <v>1.7452000000000001</v>
      </c>
      <c r="BS102">
        <v>19.6218</v>
      </c>
      <c r="BT102">
        <v>15.304399999999999</v>
      </c>
      <c r="BU102">
        <v>1800</v>
      </c>
      <c r="BV102">
        <v>0.90998599999999996</v>
      </c>
      <c r="BW102">
        <v>3.4008799999999999E-2</v>
      </c>
      <c r="BX102">
        <v>2.1990099999999999E-2</v>
      </c>
      <c r="BY102">
        <v>3.4014799999999998E-2</v>
      </c>
      <c r="BZ102">
        <v>25.125</v>
      </c>
      <c r="CA102">
        <v>33528.400000000001</v>
      </c>
      <c r="CB102">
        <v>1690226183.5999999</v>
      </c>
      <c r="CC102" t="s">
        <v>332</v>
      </c>
      <c r="CD102">
        <v>1690226177.5999999</v>
      </c>
      <c r="CE102">
        <v>1690226183.5999999</v>
      </c>
      <c r="CF102">
        <v>12</v>
      </c>
      <c r="CG102">
        <v>-0.255</v>
      </c>
      <c r="CH102">
        <v>0.113</v>
      </c>
      <c r="CI102">
        <v>-0.439</v>
      </c>
      <c r="CJ102">
        <v>0.31</v>
      </c>
      <c r="CK102">
        <v>800</v>
      </c>
      <c r="CL102">
        <v>25</v>
      </c>
      <c r="CM102">
        <v>0.02</v>
      </c>
      <c r="CN102">
        <v>0.03</v>
      </c>
      <c r="CO102">
        <v>-76.905185365853669</v>
      </c>
      <c r="CP102">
        <v>-16.019383275261511</v>
      </c>
      <c r="CQ102">
        <v>1.579815033100467</v>
      </c>
      <c r="CR102">
        <v>-1</v>
      </c>
      <c r="CS102">
        <v>5.3637329268292682</v>
      </c>
      <c r="CT102">
        <v>0.73348222996515478</v>
      </c>
      <c r="CU102">
        <v>7.2959137552531986E-2</v>
      </c>
      <c r="CV102">
        <v>-1</v>
      </c>
      <c r="CW102">
        <v>0</v>
      </c>
      <c r="CX102">
        <v>0</v>
      </c>
      <c r="CY102" t="s">
        <v>333</v>
      </c>
      <c r="CZ102">
        <v>2.3648500000000001</v>
      </c>
      <c r="DA102">
        <v>2.7137500000000001</v>
      </c>
      <c r="DB102">
        <v>0.136684</v>
      </c>
      <c r="DC102">
        <v>0.146284</v>
      </c>
      <c r="DD102">
        <v>0.110531</v>
      </c>
      <c r="DE102">
        <v>9.0099200000000004E-2</v>
      </c>
      <c r="DF102">
        <v>31525.200000000001</v>
      </c>
      <c r="DG102">
        <v>27519.599999999999</v>
      </c>
      <c r="DH102">
        <v>31174.2</v>
      </c>
      <c r="DI102">
        <v>28088.3</v>
      </c>
      <c r="DJ102">
        <v>37647.9</v>
      </c>
      <c r="DK102">
        <v>36343.9</v>
      </c>
      <c r="DL102">
        <v>44365.9</v>
      </c>
      <c r="DM102">
        <v>42576</v>
      </c>
      <c r="DN102">
        <v>1.47525</v>
      </c>
      <c r="DO102">
        <v>2.0527500000000001</v>
      </c>
      <c r="DP102">
        <v>0.108462</v>
      </c>
      <c r="DQ102">
        <v>0.19656499999999999</v>
      </c>
      <c r="DR102">
        <v>25.265000000000001</v>
      </c>
      <c r="DS102">
        <v>25.013000000000002</v>
      </c>
      <c r="DT102">
        <v>57.2</v>
      </c>
      <c r="DU102">
        <v>29.2</v>
      </c>
      <c r="DV102">
        <v>23.4925</v>
      </c>
      <c r="DW102">
        <v>61.932499999999997</v>
      </c>
      <c r="DX102">
        <v>35.2684</v>
      </c>
      <c r="DY102">
        <v>1</v>
      </c>
      <c r="DZ102">
        <v>-8.3285100000000001E-2</v>
      </c>
      <c r="EA102">
        <v>0.133521</v>
      </c>
      <c r="EB102">
        <v>20.189399999999999</v>
      </c>
      <c r="EC102">
        <v>5.2408000000000001</v>
      </c>
      <c r="ED102">
        <v>12.039899999999999</v>
      </c>
      <c r="EE102">
        <v>5.01675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1.86463</v>
      </c>
      <c r="EM102">
        <v>1.8691899999999999</v>
      </c>
      <c r="EN102">
        <v>1.8672200000000001</v>
      </c>
      <c r="EO102">
        <v>1.8633900000000001</v>
      </c>
      <c r="EP102">
        <v>1.8644700000000001</v>
      </c>
      <c r="EQ102">
        <v>1.87012</v>
      </c>
      <c r="ER102">
        <v>1.8694200000000001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-0.38300000000000001</v>
      </c>
      <c r="FG102">
        <v>0.30990000000000001</v>
      </c>
      <c r="FH102">
        <v>0.1121710645629533</v>
      </c>
      <c r="FI102">
        <v>-6.1462078757559423E-4</v>
      </c>
      <c r="FJ102">
        <v>-1.8861989874597051E-7</v>
      </c>
      <c r="FK102">
        <v>1.1980462299894961E-10</v>
      </c>
      <c r="FL102">
        <v>0.30996499999999833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24.8</v>
      </c>
      <c r="FU102">
        <v>24.7</v>
      </c>
      <c r="FV102">
        <v>1.78833</v>
      </c>
      <c r="FW102">
        <v>2.5842299999999998</v>
      </c>
      <c r="FX102">
        <v>1.5490699999999999</v>
      </c>
      <c r="FY102">
        <v>2.3290999999999999</v>
      </c>
      <c r="FZ102">
        <v>1.50024</v>
      </c>
      <c r="GA102">
        <v>2.4047900000000002</v>
      </c>
      <c r="GB102">
        <v>33.963900000000002</v>
      </c>
      <c r="GC102">
        <v>23.991199999999999</v>
      </c>
      <c r="GD102">
        <v>19</v>
      </c>
      <c r="GE102">
        <v>283.06200000000001</v>
      </c>
      <c r="GF102">
        <v>598.39800000000002</v>
      </c>
      <c r="GG102">
        <v>24.224699999999999</v>
      </c>
      <c r="GH102">
        <v>26.338899999999999</v>
      </c>
      <c r="GI102">
        <v>29.9999</v>
      </c>
      <c r="GJ102">
        <v>26.484400000000001</v>
      </c>
      <c r="GK102">
        <v>26.4758</v>
      </c>
      <c r="GL102">
        <v>35.745100000000001</v>
      </c>
      <c r="GM102">
        <v>34.598599999999998</v>
      </c>
      <c r="GN102">
        <v>97.741699999999994</v>
      </c>
      <c r="GO102">
        <v>24.230799999999999</v>
      </c>
      <c r="GP102">
        <v>800</v>
      </c>
      <c r="GQ102">
        <v>17.507200000000001</v>
      </c>
      <c r="GR102">
        <v>99.746799999999993</v>
      </c>
      <c r="GS102">
        <v>99.596500000000006</v>
      </c>
    </row>
    <row r="103" spans="1:201" x14ac:dyDescent="0.25">
      <c r="A103">
        <v>87</v>
      </c>
      <c r="B103">
        <v>1690227675.5</v>
      </c>
      <c r="C103">
        <v>1105.900000095367</v>
      </c>
      <c r="D103" t="s">
        <v>505</v>
      </c>
      <c r="E103" t="s">
        <v>506</v>
      </c>
      <c r="F103" t="s">
        <v>330</v>
      </c>
      <c r="H103">
        <v>1690227675.5</v>
      </c>
      <c r="I103">
        <f t="shared" si="30"/>
        <v>5.3288260370088338E-4</v>
      </c>
      <c r="J103">
        <f t="shared" si="31"/>
        <v>0.53288260370088336</v>
      </c>
      <c r="K103">
        <f t="shared" si="32"/>
        <v>7.287086480077579</v>
      </c>
      <c r="L103">
        <f t="shared" si="33"/>
        <v>717.26599999999996</v>
      </c>
      <c r="M103">
        <f t="shared" si="34"/>
        <v>342.67205188289029</v>
      </c>
      <c r="N103">
        <f t="shared" si="35"/>
        <v>33.983970597554176</v>
      </c>
      <c r="O103">
        <f t="shared" si="36"/>
        <v>71.133745867771395</v>
      </c>
      <c r="P103">
        <f t="shared" si="37"/>
        <v>3.2566156836676345E-2</v>
      </c>
      <c r="Q103">
        <f t="shared" si="38"/>
        <v>2.133521038248154</v>
      </c>
      <c r="R103">
        <f t="shared" si="39"/>
        <v>3.2292500186506617E-2</v>
      </c>
      <c r="S103">
        <f t="shared" si="40"/>
        <v>2.0207207811418298E-2</v>
      </c>
      <c r="T103">
        <f t="shared" si="41"/>
        <v>276.11484146999999</v>
      </c>
      <c r="U103">
        <f t="shared" si="42"/>
        <v>28.385591333915027</v>
      </c>
      <c r="V103">
        <f t="shared" si="43"/>
        <v>28.385591333915027</v>
      </c>
      <c r="W103">
        <f t="shared" si="44"/>
        <v>3.8809836377861777</v>
      </c>
      <c r="X103">
        <f t="shared" si="45"/>
        <v>66.477386109615281</v>
      </c>
      <c r="Y103">
        <f t="shared" si="46"/>
        <v>2.2954092367516599</v>
      </c>
      <c r="Z103">
        <f t="shared" si="47"/>
        <v>3.4529174070814612</v>
      </c>
      <c r="AA103">
        <f t="shared" si="48"/>
        <v>1.5855744010345179</v>
      </c>
      <c r="AB103">
        <f t="shared" si="49"/>
        <v>-23.500122823208958</v>
      </c>
      <c r="AC103">
        <f t="shared" si="50"/>
        <v>-229.53767713495441</v>
      </c>
      <c r="AD103">
        <f t="shared" si="51"/>
        <v>-23.308799388245806</v>
      </c>
      <c r="AE103">
        <f t="shared" si="52"/>
        <v>-0.23175787640917633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52610.267890531584</v>
      </c>
      <c r="AK103">
        <f t="shared" si="56"/>
        <v>1800</v>
      </c>
      <c r="AL103">
        <f t="shared" si="57"/>
        <v>1499.1073920000001</v>
      </c>
      <c r="AM103">
        <f t="shared" si="58"/>
        <v>0.83283744000000004</v>
      </c>
      <c r="AN103">
        <f t="shared" si="59"/>
        <v>0.15339713415</v>
      </c>
      <c r="AO103">
        <v>32.4</v>
      </c>
      <c r="AP103">
        <v>0.5</v>
      </c>
      <c r="AQ103" t="s">
        <v>331</v>
      </c>
      <c r="AR103">
        <v>2</v>
      </c>
      <c r="AS103">
        <v>1690227675.5</v>
      </c>
      <c r="AT103">
        <v>717.26599999999996</v>
      </c>
      <c r="AU103">
        <v>800.04399999999998</v>
      </c>
      <c r="AV103">
        <v>23.145399999999999</v>
      </c>
      <c r="AW103">
        <v>17.526900000000001</v>
      </c>
      <c r="AX103">
        <v>717.64700000000005</v>
      </c>
      <c r="AY103">
        <v>22.8355</v>
      </c>
      <c r="AZ103">
        <v>300.18299999999999</v>
      </c>
      <c r="BA103">
        <v>99.073499999999996</v>
      </c>
      <c r="BB103">
        <v>9.9952899999999997E-2</v>
      </c>
      <c r="BC103">
        <v>26.39</v>
      </c>
      <c r="BD103">
        <v>27.027799999999999</v>
      </c>
      <c r="BE103">
        <v>28.172799999999999</v>
      </c>
      <c r="BF103">
        <v>0</v>
      </c>
      <c r="BG103">
        <v>0</v>
      </c>
      <c r="BH103">
        <v>10023.1</v>
      </c>
      <c r="BI103">
        <v>1071.56</v>
      </c>
      <c r="BJ103">
        <v>1.5137799999999999</v>
      </c>
      <c r="BK103">
        <v>-82.778300000000002</v>
      </c>
      <c r="BL103">
        <v>734.26</v>
      </c>
      <c r="BM103">
        <v>814.31600000000003</v>
      </c>
      <c r="BN103">
        <v>5.6184799999999999</v>
      </c>
      <c r="BO103">
        <v>800.04399999999998</v>
      </c>
      <c r="BP103">
        <v>17.526900000000001</v>
      </c>
      <c r="BQ103">
        <v>2.2930999999999999</v>
      </c>
      <c r="BR103">
        <v>1.7364599999999999</v>
      </c>
      <c r="BS103">
        <v>19.628</v>
      </c>
      <c r="BT103">
        <v>15.2262</v>
      </c>
      <c r="BU103">
        <v>1800</v>
      </c>
      <c r="BV103">
        <v>0.90998400000000002</v>
      </c>
      <c r="BW103">
        <v>3.4007700000000002E-2</v>
      </c>
      <c r="BX103">
        <v>2.19945E-2</v>
      </c>
      <c r="BY103">
        <v>3.4013700000000001E-2</v>
      </c>
      <c r="BZ103">
        <v>25.25</v>
      </c>
      <c r="CA103">
        <v>33528.300000000003</v>
      </c>
      <c r="CB103">
        <v>1690226183.5999999</v>
      </c>
      <c r="CC103" t="s">
        <v>332</v>
      </c>
      <c r="CD103">
        <v>1690226177.5999999</v>
      </c>
      <c r="CE103">
        <v>1690226183.5999999</v>
      </c>
      <c r="CF103">
        <v>12</v>
      </c>
      <c r="CG103">
        <v>-0.255</v>
      </c>
      <c r="CH103">
        <v>0.113</v>
      </c>
      <c r="CI103">
        <v>-0.439</v>
      </c>
      <c r="CJ103">
        <v>0.31</v>
      </c>
      <c r="CK103">
        <v>800</v>
      </c>
      <c r="CL103">
        <v>25</v>
      </c>
      <c r="CM103">
        <v>0.02</v>
      </c>
      <c r="CN103">
        <v>0.03</v>
      </c>
      <c r="CO103">
        <v>-79.812290000000004</v>
      </c>
      <c r="CP103">
        <v>-16.524466041275641</v>
      </c>
      <c r="CQ103">
        <v>1.590076247039746</v>
      </c>
      <c r="CR103">
        <v>-1</v>
      </c>
      <c r="CS103">
        <v>5.4997962500000002</v>
      </c>
      <c r="CT103">
        <v>0.76608776735458728</v>
      </c>
      <c r="CU103">
        <v>7.4409438167731837E-2</v>
      </c>
      <c r="CV103">
        <v>-1</v>
      </c>
      <c r="CW103">
        <v>0</v>
      </c>
      <c r="CX103">
        <v>0</v>
      </c>
      <c r="CY103" t="s">
        <v>333</v>
      </c>
      <c r="CZ103">
        <v>2.3643700000000001</v>
      </c>
      <c r="DA103">
        <v>2.7137600000000002</v>
      </c>
      <c r="DB103">
        <v>0.136327</v>
      </c>
      <c r="DC103">
        <v>0.14627399999999999</v>
      </c>
      <c r="DD103">
        <v>0.11056299999999999</v>
      </c>
      <c r="DE103">
        <v>8.9774999999999994E-2</v>
      </c>
      <c r="DF103">
        <v>31538.7</v>
      </c>
      <c r="DG103">
        <v>27520.2</v>
      </c>
      <c r="DH103">
        <v>31174.7</v>
      </c>
      <c r="DI103">
        <v>28088.6</v>
      </c>
      <c r="DJ103">
        <v>37646.9</v>
      </c>
      <c r="DK103">
        <v>36357</v>
      </c>
      <c r="DL103">
        <v>44366.400000000001</v>
      </c>
      <c r="DM103">
        <v>42576.2</v>
      </c>
      <c r="DN103">
        <v>1.47515</v>
      </c>
      <c r="DO103">
        <v>2.0525000000000002</v>
      </c>
      <c r="DP103">
        <v>0.10777299999999999</v>
      </c>
      <c r="DQ103">
        <v>0.19321199999999999</v>
      </c>
      <c r="DR103">
        <v>25.262799999999999</v>
      </c>
      <c r="DS103">
        <v>25.010899999999999</v>
      </c>
      <c r="DT103">
        <v>57.2</v>
      </c>
      <c r="DU103">
        <v>29.2</v>
      </c>
      <c r="DV103">
        <v>23.488399999999999</v>
      </c>
      <c r="DW103">
        <v>61.442399999999999</v>
      </c>
      <c r="DX103">
        <v>36.310099999999998</v>
      </c>
      <c r="DY103">
        <v>1</v>
      </c>
      <c r="DZ103">
        <v>-8.2594000000000001E-2</v>
      </c>
      <c r="EA103">
        <v>0.50789799999999996</v>
      </c>
      <c r="EB103">
        <v>20.188199999999998</v>
      </c>
      <c r="EC103">
        <v>5.2400500000000001</v>
      </c>
      <c r="ED103">
        <v>12.039899999999999</v>
      </c>
      <c r="EE103">
        <v>5.0166000000000004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1.86463</v>
      </c>
      <c r="EM103">
        <v>1.8691800000000001</v>
      </c>
      <c r="EN103">
        <v>1.8672200000000001</v>
      </c>
      <c r="EO103">
        <v>1.8633999999999999</v>
      </c>
      <c r="EP103">
        <v>1.8645</v>
      </c>
      <c r="EQ103">
        <v>1.8701300000000001</v>
      </c>
      <c r="ER103">
        <v>1.8693900000000001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-0.38100000000000001</v>
      </c>
      <c r="FG103">
        <v>0.30990000000000001</v>
      </c>
      <c r="FH103">
        <v>0.1121710645629533</v>
      </c>
      <c r="FI103">
        <v>-6.1462078757559423E-4</v>
      </c>
      <c r="FJ103">
        <v>-1.8861989874597051E-7</v>
      </c>
      <c r="FK103">
        <v>1.1980462299894961E-10</v>
      </c>
      <c r="FL103">
        <v>0.30996499999999833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25</v>
      </c>
      <c r="FU103">
        <v>24.9</v>
      </c>
      <c r="FV103">
        <v>1.78833</v>
      </c>
      <c r="FW103">
        <v>2.5903299999999998</v>
      </c>
      <c r="FX103">
        <v>1.5490699999999999</v>
      </c>
      <c r="FY103">
        <v>2.3290999999999999</v>
      </c>
      <c r="FZ103">
        <v>1.50146</v>
      </c>
      <c r="GA103">
        <v>2.3059099999999999</v>
      </c>
      <c r="GB103">
        <v>33.941299999999998</v>
      </c>
      <c r="GC103">
        <v>23.982399999999998</v>
      </c>
      <c r="GD103">
        <v>19</v>
      </c>
      <c r="GE103">
        <v>283.00599999999997</v>
      </c>
      <c r="GF103">
        <v>598.14200000000005</v>
      </c>
      <c r="GG103">
        <v>24.1419</v>
      </c>
      <c r="GH103">
        <v>26.3352</v>
      </c>
      <c r="GI103">
        <v>30.0002</v>
      </c>
      <c r="GJ103">
        <v>26.481300000000001</v>
      </c>
      <c r="GK103">
        <v>26.471900000000002</v>
      </c>
      <c r="GL103">
        <v>35.743099999999998</v>
      </c>
      <c r="GM103">
        <v>35.161299999999997</v>
      </c>
      <c r="GN103">
        <v>97.741699999999994</v>
      </c>
      <c r="GO103">
        <v>24.122599999999998</v>
      </c>
      <c r="GP103">
        <v>800</v>
      </c>
      <c r="GQ103">
        <v>17.4009</v>
      </c>
      <c r="GR103">
        <v>99.748099999999994</v>
      </c>
      <c r="GS103">
        <v>99.597099999999998</v>
      </c>
    </row>
    <row r="104" spans="1:201" x14ac:dyDescent="0.25">
      <c r="A104">
        <v>88</v>
      </c>
      <c r="B104">
        <v>1690227685.5</v>
      </c>
      <c r="C104">
        <v>1115.900000095367</v>
      </c>
      <c r="D104" t="s">
        <v>507</v>
      </c>
      <c r="E104" t="s">
        <v>508</v>
      </c>
      <c r="F104" t="s">
        <v>330</v>
      </c>
      <c r="H104">
        <v>1690227685.5</v>
      </c>
      <c r="I104">
        <f t="shared" si="30"/>
        <v>5.434846663192024E-4</v>
      </c>
      <c r="J104">
        <f t="shared" si="31"/>
        <v>0.54348466631920245</v>
      </c>
      <c r="K104">
        <f t="shared" si="32"/>
        <v>7.5440654958889759</v>
      </c>
      <c r="L104">
        <f t="shared" si="33"/>
        <v>714.45</v>
      </c>
      <c r="M104">
        <f t="shared" si="34"/>
        <v>334.84092183528287</v>
      </c>
      <c r="N104">
        <f t="shared" si="35"/>
        <v>33.207663590825319</v>
      </c>
      <c r="O104">
        <f t="shared" si="36"/>
        <v>70.855184373599997</v>
      </c>
      <c r="P104">
        <f t="shared" si="37"/>
        <v>3.3244322951341485E-2</v>
      </c>
      <c r="Q104">
        <f t="shared" si="38"/>
        <v>2.1260247193261748</v>
      </c>
      <c r="R104">
        <f t="shared" si="39"/>
        <v>3.2958208083289434E-2</v>
      </c>
      <c r="S104">
        <f t="shared" si="40"/>
        <v>2.0624381000062635E-2</v>
      </c>
      <c r="T104">
        <f t="shared" si="41"/>
        <v>276.11647856999997</v>
      </c>
      <c r="U104">
        <f t="shared" si="42"/>
        <v>28.380504818337666</v>
      </c>
      <c r="V104">
        <f t="shared" si="43"/>
        <v>28.380504818337666</v>
      </c>
      <c r="W104">
        <f t="shared" si="44"/>
        <v>3.8798362641847319</v>
      </c>
      <c r="X104">
        <f t="shared" si="45"/>
        <v>66.506355868371372</v>
      </c>
      <c r="Y104">
        <f t="shared" si="46"/>
        <v>2.2953529291808001</v>
      </c>
      <c r="Z104">
        <f t="shared" si="47"/>
        <v>3.4513286725914392</v>
      </c>
      <c r="AA104">
        <f t="shared" si="48"/>
        <v>1.5844833350039318</v>
      </c>
      <c r="AB104">
        <f t="shared" si="49"/>
        <v>-23.967673784676826</v>
      </c>
      <c r="AC104">
        <f t="shared" si="50"/>
        <v>-229.04219059009478</v>
      </c>
      <c r="AD104">
        <f t="shared" si="51"/>
        <v>-23.338992081581708</v>
      </c>
      <c r="AE104">
        <f t="shared" si="52"/>
        <v>-0.23237788635333345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52288.027063392867</v>
      </c>
      <c r="AK104">
        <f t="shared" si="56"/>
        <v>1800</v>
      </c>
      <c r="AL104">
        <f t="shared" si="57"/>
        <v>1499.1082470000001</v>
      </c>
      <c r="AM104">
        <f t="shared" si="58"/>
        <v>0.83283791500000004</v>
      </c>
      <c r="AN104">
        <f t="shared" si="59"/>
        <v>0.15339804364999998</v>
      </c>
      <c r="AO104">
        <v>32.4</v>
      </c>
      <c r="AP104">
        <v>0.5</v>
      </c>
      <c r="AQ104" t="s">
        <v>331</v>
      </c>
      <c r="AR104">
        <v>2</v>
      </c>
      <c r="AS104">
        <v>1690227685.5</v>
      </c>
      <c r="AT104">
        <v>714.45</v>
      </c>
      <c r="AU104">
        <v>800.04499999999996</v>
      </c>
      <c r="AV104">
        <v>23.144600000000001</v>
      </c>
      <c r="AW104">
        <v>17.415800000000001</v>
      </c>
      <c r="AX104">
        <v>714.83</v>
      </c>
      <c r="AY104">
        <v>22.834599999999998</v>
      </c>
      <c r="AZ104">
        <v>300.26100000000002</v>
      </c>
      <c r="BA104">
        <v>99.074399999999997</v>
      </c>
      <c r="BB104">
        <v>0.100048</v>
      </c>
      <c r="BC104">
        <v>26.382200000000001</v>
      </c>
      <c r="BD104">
        <v>26.978400000000001</v>
      </c>
      <c r="BE104">
        <v>28.215399999999999</v>
      </c>
      <c r="BF104">
        <v>0</v>
      </c>
      <c r="BG104">
        <v>0</v>
      </c>
      <c r="BH104">
        <v>9958.75</v>
      </c>
      <c r="BI104">
        <v>1071.6400000000001</v>
      </c>
      <c r="BJ104">
        <v>1.5137799999999999</v>
      </c>
      <c r="BK104">
        <v>-85.594399999999993</v>
      </c>
      <c r="BL104">
        <v>731.37800000000004</v>
      </c>
      <c r="BM104">
        <v>814.22500000000002</v>
      </c>
      <c r="BN104">
        <v>5.7288100000000002</v>
      </c>
      <c r="BO104">
        <v>800.04499999999996</v>
      </c>
      <c r="BP104">
        <v>17.415800000000001</v>
      </c>
      <c r="BQ104">
        <v>2.2930299999999999</v>
      </c>
      <c r="BR104">
        <v>1.7254499999999999</v>
      </c>
      <c r="BS104">
        <v>19.627500000000001</v>
      </c>
      <c r="BT104">
        <v>15.1273</v>
      </c>
      <c r="BU104">
        <v>1800</v>
      </c>
      <c r="BV104">
        <v>0.90997300000000003</v>
      </c>
      <c r="BW104">
        <v>3.40069E-2</v>
      </c>
      <c r="BX104">
        <v>2.2006999999999999E-2</v>
      </c>
      <c r="BY104">
        <v>3.4012899999999999E-2</v>
      </c>
      <c r="BZ104">
        <v>25.5</v>
      </c>
      <c r="CA104">
        <v>33528.199999999997</v>
      </c>
      <c r="CB104">
        <v>1690226183.5999999</v>
      </c>
      <c r="CC104" t="s">
        <v>332</v>
      </c>
      <c r="CD104">
        <v>1690226177.5999999</v>
      </c>
      <c r="CE104">
        <v>1690226183.5999999</v>
      </c>
      <c r="CF104">
        <v>12</v>
      </c>
      <c r="CG104">
        <v>-0.255</v>
      </c>
      <c r="CH104">
        <v>0.113</v>
      </c>
      <c r="CI104">
        <v>-0.439</v>
      </c>
      <c r="CJ104">
        <v>0.31</v>
      </c>
      <c r="CK104">
        <v>800</v>
      </c>
      <c r="CL104">
        <v>25</v>
      </c>
      <c r="CM104">
        <v>0.02</v>
      </c>
      <c r="CN104">
        <v>0.03</v>
      </c>
      <c r="CO104">
        <v>-82.562282500000009</v>
      </c>
      <c r="CP104">
        <v>-16.543536585365899</v>
      </c>
      <c r="CQ104">
        <v>1.5919315672929371</v>
      </c>
      <c r="CR104">
        <v>-1</v>
      </c>
      <c r="CS104">
        <v>5.62263</v>
      </c>
      <c r="CT104">
        <v>0.65685951219510774</v>
      </c>
      <c r="CU104">
        <v>6.3848732563771424E-2</v>
      </c>
      <c r="CV104">
        <v>-1</v>
      </c>
      <c r="CW104">
        <v>0</v>
      </c>
      <c r="CX104">
        <v>0</v>
      </c>
      <c r="CY104" t="s">
        <v>333</v>
      </c>
      <c r="CZ104">
        <v>2.3646199999999999</v>
      </c>
      <c r="DA104">
        <v>2.7138</v>
      </c>
      <c r="DB104">
        <v>0.135964</v>
      </c>
      <c r="DC104">
        <v>0.14627399999999999</v>
      </c>
      <c r="DD104">
        <v>0.11056199999999999</v>
      </c>
      <c r="DE104">
        <v>8.9365700000000006E-2</v>
      </c>
      <c r="DF104">
        <v>31551.9</v>
      </c>
      <c r="DG104">
        <v>27520.2</v>
      </c>
      <c r="DH104">
        <v>31174.7</v>
      </c>
      <c r="DI104">
        <v>28088.6</v>
      </c>
      <c r="DJ104">
        <v>37647.1</v>
      </c>
      <c r="DK104">
        <v>36373.599999999999</v>
      </c>
      <c r="DL104">
        <v>44366.5</v>
      </c>
      <c r="DM104">
        <v>42576.4</v>
      </c>
      <c r="DN104">
        <v>1.4753000000000001</v>
      </c>
      <c r="DO104">
        <v>2.05247</v>
      </c>
      <c r="DP104">
        <v>0.104755</v>
      </c>
      <c r="DQ104">
        <v>0.19595000000000001</v>
      </c>
      <c r="DR104">
        <v>25.262799999999999</v>
      </c>
      <c r="DS104">
        <v>25.008800000000001</v>
      </c>
      <c r="DT104">
        <v>57.2</v>
      </c>
      <c r="DU104">
        <v>29.2</v>
      </c>
      <c r="DV104">
        <v>23.491800000000001</v>
      </c>
      <c r="DW104">
        <v>62.002400000000002</v>
      </c>
      <c r="DX104">
        <v>35.985599999999998</v>
      </c>
      <c r="DY104">
        <v>1</v>
      </c>
      <c r="DZ104">
        <v>-8.2754099999999997E-2</v>
      </c>
      <c r="EA104">
        <v>0.38756800000000002</v>
      </c>
      <c r="EB104">
        <v>20.188500000000001</v>
      </c>
      <c r="EC104">
        <v>5.2401999999999997</v>
      </c>
      <c r="ED104">
        <v>12.039899999999999</v>
      </c>
      <c r="EE104">
        <v>5.0164999999999997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1.8646199999999999</v>
      </c>
      <c r="EM104">
        <v>1.8691899999999999</v>
      </c>
      <c r="EN104">
        <v>1.86724</v>
      </c>
      <c r="EO104">
        <v>1.8633999999999999</v>
      </c>
      <c r="EP104">
        <v>1.86449</v>
      </c>
      <c r="EQ104">
        <v>1.8701300000000001</v>
      </c>
      <c r="ER104">
        <v>1.8694200000000001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-0.38</v>
      </c>
      <c r="FG104">
        <v>0.31</v>
      </c>
      <c r="FH104">
        <v>0.1121710645629533</v>
      </c>
      <c r="FI104">
        <v>-6.1462078757559423E-4</v>
      </c>
      <c r="FJ104">
        <v>-1.8861989874597051E-7</v>
      </c>
      <c r="FK104">
        <v>1.1980462299894961E-10</v>
      </c>
      <c r="FL104">
        <v>0.30996499999999833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25.1</v>
      </c>
      <c r="FU104">
        <v>25</v>
      </c>
      <c r="FV104">
        <v>1.78711</v>
      </c>
      <c r="FW104">
        <v>2.5878899999999998</v>
      </c>
      <c r="FX104">
        <v>1.5490699999999999</v>
      </c>
      <c r="FY104">
        <v>2.3290999999999999</v>
      </c>
      <c r="FZ104">
        <v>1.50146</v>
      </c>
      <c r="GA104">
        <v>2.2790499999999998</v>
      </c>
      <c r="GB104">
        <v>33.963900000000002</v>
      </c>
      <c r="GC104">
        <v>23.982399999999998</v>
      </c>
      <c r="GD104">
        <v>19</v>
      </c>
      <c r="GE104">
        <v>283.06</v>
      </c>
      <c r="GF104">
        <v>598.09</v>
      </c>
      <c r="GG104">
        <v>24.090499999999999</v>
      </c>
      <c r="GH104">
        <v>26.331700000000001</v>
      </c>
      <c r="GI104">
        <v>30.0001</v>
      </c>
      <c r="GJ104">
        <v>26.4788</v>
      </c>
      <c r="GK104">
        <v>26.4693</v>
      </c>
      <c r="GL104">
        <v>35.739600000000003</v>
      </c>
      <c r="GM104">
        <v>35.442300000000003</v>
      </c>
      <c r="GN104">
        <v>97.362300000000005</v>
      </c>
      <c r="GO104">
        <v>24.0974</v>
      </c>
      <c r="GP104">
        <v>800</v>
      </c>
      <c r="GQ104">
        <v>17.2925</v>
      </c>
      <c r="GR104">
        <v>99.7483</v>
      </c>
      <c r="GS104">
        <v>99.597399999999993</v>
      </c>
    </row>
    <row r="105" spans="1:201" x14ac:dyDescent="0.25">
      <c r="A105">
        <v>89</v>
      </c>
      <c r="B105">
        <v>1690227695.5</v>
      </c>
      <c r="C105">
        <v>1125.900000095367</v>
      </c>
      <c r="D105" t="s">
        <v>509</v>
      </c>
      <c r="E105" t="s">
        <v>510</v>
      </c>
      <c r="F105" t="s">
        <v>330</v>
      </c>
      <c r="H105">
        <v>1690227695.5</v>
      </c>
      <c r="I105">
        <f t="shared" si="30"/>
        <v>5.5390084009681912E-4</v>
      </c>
      <c r="J105">
        <f t="shared" si="31"/>
        <v>0.55390084009681917</v>
      </c>
      <c r="K105">
        <f t="shared" si="32"/>
        <v>7.7907749565256035</v>
      </c>
      <c r="L105">
        <f t="shared" si="33"/>
        <v>711.70699999999999</v>
      </c>
      <c r="M105">
        <f t="shared" si="34"/>
        <v>327.86410686892594</v>
      </c>
      <c r="N105">
        <f t="shared" si="35"/>
        <v>32.515125433217825</v>
      </c>
      <c r="O105">
        <f t="shared" si="36"/>
        <v>70.581810853576002</v>
      </c>
      <c r="P105">
        <f t="shared" si="37"/>
        <v>3.3930167956141372E-2</v>
      </c>
      <c r="Q105">
        <f t="shared" si="38"/>
        <v>2.1284862432272265</v>
      </c>
      <c r="R105">
        <f t="shared" si="39"/>
        <v>3.3632524398267943E-2</v>
      </c>
      <c r="S105">
        <f t="shared" si="40"/>
        <v>2.1046852125732721E-2</v>
      </c>
      <c r="T105">
        <f t="shared" si="41"/>
        <v>276.11685511200005</v>
      </c>
      <c r="U105">
        <f t="shared" si="42"/>
        <v>28.377267212208597</v>
      </c>
      <c r="V105">
        <f t="shared" si="43"/>
        <v>28.377267212208597</v>
      </c>
      <c r="W105">
        <f t="shared" si="44"/>
        <v>3.8791061062106738</v>
      </c>
      <c r="X105">
        <f t="shared" si="45"/>
        <v>66.534646354774068</v>
      </c>
      <c r="Y105">
        <f t="shared" si="46"/>
        <v>2.2966680815144001</v>
      </c>
      <c r="Z105">
        <f t="shared" si="47"/>
        <v>3.4518378128414096</v>
      </c>
      <c r="AA105">
        <f t="shared" si="48"/>
        <v>1.5824380246962737</v>
      </c>
      <c r="AB105">
        <f t="shared" si="49"/>
        <v>-24.427027048269721</v>
      </c>
      <c r="AC105">
        <f t="shared" si="50"/>
        <v>-228.64898122695743</v>
      </c>
      <c r="AD105">
        <f t="shared" si="51"/>
        <v>-23.271893116480918</v>
      </c>
      <c r="AE105">
        <f t="shared" si="52"/>
        <v>-0.23104627970801062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52393.674630661619</v>
      </c>
      <c r="AK105">
        <f t="shared" si="56"/>
        <v>1800</v>
      </c>
      <c r="AL105">
        <f t="shared" si="57"/>
        <v>1499.1100181999998</v>
      </c>
      <c r="AM105">
        <f t="shared" si="58"/>
        <v>0.83283889899999985</v>
      </c>
      <c r="AN105">
        <f t="shared" si="59"/>
        <v>0.15339825284000003</v>
      </c>
      <c r="AO105">
        <v>32.4</v>
      </c>
      <c r="AP105">
        <v>0.5</v>
      </c>
      <c r="AQ105" t="s">
        <v>331</v>
      </c>
      <c r="AR105">
        <v>2</v>
      </c>
      <c r="AS105">
        <v>1690227695.5</v>
      </c>
      <c r="AT105">
        <v>711.70699999999999</v>
      </c>
      <c r="AU105">
        <v>800.04600000000005</v>
      </c>
      <c r="AV105">
        <v>23.158300000000001</v>
      </c>
      <c r="AW105">
        <v>17.3186</v>
      </c>
      <c r="AX105">
        <v>712.08500000000004</v>
      </c>
      <c r="AY105">
        <v>22.848400000000002</v>
      </c>
      <c r="AZ105">
        <v>300.2</v>
      </c>
      <c r="BA105">
        <v>99.072500000000005</v>
      </c>
      <c r="BB105">
        <v>0.100068</v>
      </c>
      <c r="BC105">
        <v>26.384699999999999</v>
      </c>
      <c r="BD105">
        <v>26.982700000000001</v>
      </c>
      <c r="BE105">
        <v>28.2056</v>
      </c>
      <c r="BF105">
        <v>0</v>
      </c>
      <c r="BG105">
        <v>0</v>
      </c>
      <c r="BH105">
        <v>9980</v>
      </c>
      <c r="BI105">
        <v>1071.58</v>
      </c>
      <c r="BJ105">
        <v>1.5137799999999999</v>
      </c>
      <c r="BK105">
        <v>-88.339200000000005</v>
      </c>
      <c r="BL105">
        <v>728.57899999999995</v>
      </c>
      <c r="BM105">
        <v>814.14599999999996</v>
      </c>
      <c r="BN105">
        <v>5.8397199999999998</v>
      </c>
      <c r="BO105">
        <v>800.04600000000005</v>
      </c>
      <c r="BP105">
        <v>17.3186</v>
      </c>
      <c r="BQ105">
        <v>2.2943500000000001</v>
      </c>
      <c r="BR105">
        <v>1.7158</v>
      </c>
      <c r="BS105">
        <v>19.636800000000001</v>
      </c>
      <c r="BT105">
        <v>15.040100000000001</v>
      </c>
      <c r="BU105">
        <v>1800</v>
      </c>
      <c r="BV105">
        <v>0.90997499999999998</v>
      </c>
      <c r="BW105">
        <v>3.4005399999999998E-2</v>
      </c>
      <c r="BX105">
        <v>2.2008699999999999E-2</v>
      </c>
      <c r="BY105">
        <v>3.4011399999999997E-2</v>
      </c>
      <c r="BZ105">
        <v>25.625</v>
      </c>
      <c r="CA105">
        <v>33528.199999999997</v>
      </c>
      <c r="CB105">
        <v>1690226183.5999999</v>
      </c>
      <c r="CC105" t="s">
        <v>332</v>
      </c>
      <c r="CD105">
        <v>1690226177.5999999</v>
      </c>
      <c r="CE105">
        <v>1690226183.5999999</v>
      </c>
      <c r="CF105">
        <v>12</v>
      </c>
      <c r="CG105">
        <v>-0.255</v>
      </c>
      <c r="CH105">
        <v>0.113</v>
      </c>
      <c r="CI105">
        <v>-0.439</v>
      </c>
      <c r="CJ105">
        <v>0.31</v>
      </c>
      <c r="CK105">
        <v>800</v>
      </c>
      <c r="CL105">
        <v>25</v>
      </c>
      <c r="CM105">
        <v>0.02</v>
      </c>
      <c r="CN105">
        <v>0.03</v>
      </c>
      <c r="CO105">
        <v>-85.127007317073165</v>
      </c>
      <c r="CP105">
        <v>-16.58452891986067</v>
      </c>
      <c r="CQ105">
        <v>1.6358133156338459</v>
      </c>
      <c r="CR105">
        <v>-1</v>
      </c>
      <c r="CS105">
        <v>5.7175968292682926</v>
      </c>
      <c r="CT105">
        <v>0.61272439024391079</v>
      </c>
      <c r="CU105">
        <v>6.1071246095872007E-2</v>
      </c>
      <c r="CV105">
        <v>-1</v>
      </c>
      <c r="CW105">
        <v>0</v>
      </c>
      <c r="CX105">
        <v>0</v>
      </c>
      <c r="CY105" t="s">
        <v>333</v>
      </c>
      <c r="CZ105">
        <v>2.3644699999999998</v>
      </c>
      <c r="DA105">
        <v>2.7138399999999998</v>
      </c>
      <c r="DB105">
        <v>0.13560700000000001</v>
      </c>
      <c r="DC105">
        <v>0.14627000000000001</v>
      </c>
      <c r="DD105">
        <v>0.110608</v>
      </c>
      <c r="DE105">
        <v>8.9005000000000001E-2</v>
      </c>
      <c r="DF105">
        <v>31564.9</v>
      </c>
      <c r="DG105">
        <v>27520.2</v>
      </c>
      <c r="DH105">
        <v>31174.5</v>
      </c>
      <c r="DI105">
        <v>28088.5</v>
      </c>
      <c r="DJ105">
        <v>37644.800000000003</v>
      </c>
      <c r="DK105">
        <v>36388</v>
      </c>
      <c r="DL105">
        <v>44366.2</v>
      </c>
      <c r="DM105">
        <v>42576.3</v>
      </c>
      <c r="DN105">
        <v>1.4754</v>
      </c>
      <c r="DO105">
        <v>2.0522499999999999</v>
      </c>
      <c r="DP105">
        <v>0.10488599999999999</v>
      </c>
      <c r="DQ105">
        <v>0.19539100000000001</v>
      </c>
      <c r="DR105">
        <v>25.265000000000001</v>
      </c>
      <c r="DS105">
        <v>25.008099999999999</v>
      </c>
      <c r="DT105">
        <v>57.2</v>
      </c>
      <c r="DU105">
        <v>29.2</v>
      </c>
      <c r="DV105">
        <v>23.490300000000001</v>
      </c>
      <c r="DW105">
        <v>61.842399999999998</v>
      </c>
      <c r="DX105">
        <v>35.633000000000003</v>
      </c>
      <c r="DY105">
        <v>1</v>
      </c>
      <c r="DZ105">
        <v>-8.3663600000000005E-2</v>
      </c>
      <c r="EA105">
        <v>0.21388299999999999</v>
      </c>
      <c r="EB105">
        <v>20.1891</v>
      </c>
      <c r="EC105">
        <v>5.2398999999999996</v>
      </c>
      <c r="ED105">
        <v>12.039899999999999</v>
      </c>
      <c r="EE105">
        <v>5.0163000000000002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1.8646199999999999</v>
      </c>
      <c r="EM105">
        <v>1.8691800000000001</v>
      </c>
      <c r="EN105">
        <v>1.86724</v>
      </c>
      <c r="EO105">
        <v>1.8633999999999999</v>
      </c>
      <c r="EP105">
        <v>1.8645099999999999</v>
      </c>
      <c r="EQ105">
        <v>1.87012</v>
      </c>
      <c r="ER105">
        <v>1.8693599999999999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-0.378</v>
      </c>
      <c r="FG105">
        <v>0.30990000000000001</v>
      </c>
      <c r="FH105">
        <v>0.1121710645629533</v>
      </c>
      <c r="FI105">
        <v>-6.1462078757559423E-4</v>
      </c>
      <c r="FJ105">
        <v>-1.8861989874597051E-7</v>
      </c>
      <c r="FK105">
        <v>1.1980462299894961E-10</v>
      </c>
      <c r="FL105">
        <v>0.30996499999999833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25.3</v>
      </c>
      <c r="FU105">
        <v>25.2</v>
      </c>
      <c r="FV105">
        <v>1.78711</v>
      </c>
      <c r="FW105">
        <v>2.5878899999999998</v>
      </c>
      <c r="FX105">
        <v>1.5490699999999999</v>
      </c>
      <c r="FY105">
        <v>2.3290999999999999</v>
      </c>
      <c r="FZ105">
        <v>1.50146</v>
      </c>
      <c r="GA105">
        <v>2.34985</v>
      </c>
      <c r="GB105">
        <v>33.963900000000002</v>
      </c>
      <c r="GC105">
        <v>23.982399999999998</v>
      </c>
      <c r="GD105">
        <v>19</v>
      </c>
      <c r="GE105">
        <v>283.08499999999998</v>
      </c>
      <c r="GF105">
        <v>597.87400000000002</v>
      </c>
      <c r="GG105">
        <v>24.126000000000001</v>
      </c>
      <c r="GH105">
        <v>26.328600000000002</v>
      </c>
      <c r="GI105">
        <v>29.9998</v>
      </c>
      <c r="GJ105">
        <v>26.475000000000001</v>
      </c>
      <c r="GK105">
        <v>26.466899999999999</v>
      </c>
      <c r="GL105">
        <v>35.735500000000002</v>
      </c>
      <c r="GM105">
        <v>36.037300000000002</v>
      </c>
      <c r="GN105">
        <v>96.9833</v>
      </c>
      <c r="GO105">
        <v>24.134699999999999</v>
      </c>
      <c r="GP105">
        <v>800</v>
      </c>
      <c r="GQ105">
        <v>17.175699999999999</v>
      </c>
      <c r="GR105">
        <v>99.747699999999995</v>
      </c>
      <c r="GS105">
        <v>99.597200000000001</v>
      </c>
    </row>
    <row r="106" spans="1:201" x14ac:dyDescent="0.25">
      <c r="A106">
        <v>90</v>
      </c>
      <c r="B106">
        <v>1690227705.5</v>
      </c>
      <c r="C106">
        <v>1135.900000095367</v>
      </c>
      <c r="D106" t="s">
        <v>511</v>
      </c>
      <c r="E106" t="s">
        <v>512</v>
      </c>
      <c r="F106" t="s">
        <v>330</v>
      </c>
      <c r="H106">
        <v>1690227705.5</v>
      </c>
      <c r="I106">
        <f t="shared" si="30"/>
        <v>5.6882151551532602E-4</v>
      </c>
      <c r="J106">
        <f t="shared" si="31"/>
        <v>0.568821515515326</v>
      </c>
      <c r="K106">
        <f t="shared" si="32"/>
        <v>8.038940805046936</v>
      </c>
      <c r="L106">
        <f t="shared" si="33"/>
        <v>708.88699999999994</v>
      </c>
      <c r="M106">
        <f t="shared" si="34"/>
        <v>324.17862698297603</v>
      </c>
      <c r="N106">
        <f t="shared" si="35"/>
        <v>32.149909806885731</v>
      </c>
      <c r="O106">
        <f t="shared" si="36"/>
        <v>70.302762786612192</v>
      </c>
      <c r="P106">
        <f t="shared" si="37"/>
        <v>3.4925863961918859E-2</v>
      </c>
      <c r="Q106">
        <f t="shared" si="38"/>
        <v>2.1313441138804299</v>
      </c>
      <c r="R106">
        <f t="shared" si="39"/>
        <v>3.4611001331542095E-2</v>
      </c>
      <c r="S106">
        <f t="shared" si="40"/>
        <v>2.1659928317863317E-2</v>
      </c>
      <c r="T106">
        <f t="shared" si="41"/>
        <v>276.11516251435279</v>
      </c>
      <c r="U106">
        <f t="shared" si="42"/>
        <v>28.371619799383623</v>
      </c>
      <c r="V106">
        <f t="shared" si="43"/>
        <v>28.371619799383623</v>
      </c>
      <c r="W106">
        <f t="shared" si="44"/>
        <v>3.877832765802455</v>
      </c>
      <c r="X106">
        <f t="shared" si="45"/>
        <v>66.585697005552831</v>
      </c>
      <c r="Y106">
        <f t="shared" si="46"/>
        <v>2.2987015102911594</v>
      </c>
      <c r="Z106">
        <f t="shared" si="47"/>
        <v>3.4522451722619376</v>
      </c>
      <c r="AA106">
        <f t="shared" si="48"/>
        <v>1.5791312555112955</v>
      </c>
      <c r="AB106">
        <f t="shared" si="49"/>
        <v>-25.085028834225877</v>
      </c>
      <c r="AC106">
        <f t="shared" si="50"/>
        <v>-228.07725692329157</v>
      </c>
      <c r="AD106">
        <f t="shared" si="51"/>
        <v>-23.182152099035221</v>
      </c>
      <c r="AE106">
        <f t="shared" si="52"/>
        <v>-0.22927534219988388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52516.732965549723</v>
      </c>
      <c r="AK106">
        <f t="shared" si="56"/>
        <v>1799.99</v>
      </c>
      <c r="AL106">
        <f t="shared" si="57"/>
        <v>1499.10168621103</v>
      </c>
      <c r="AM106">
        <f t="shared" si="58"/>
        <v>0.83283889700000002</v>
      </c>
      <c r="AN106">
        <f t="shared" si="59"/>
        <v>0.15339816471999998</v>
      </c>
      <c r="AO106">
        <v>32.4</v>
      </c>
      <c r="AP106">
        <v>0.5</v>
      </c>
      <c r="AQ106" t="s">
        <v>331</v>
      </c>
      <c r="AR106">
        <v>2</v>
      </c>
      <c r="AS106">
        <v>1690227705.5</v>
      </c>
      <c r="AT106">
        <v>708.88699999999994</v>
      </c>
      <c r="AU106">
        <v>800.04300000000001</v>
      </c>
      <c r="AV106">
        <v>23.178599999999999</v>
      </c>
      <c r="AW106">
        <v>17.178999999999998</v>
      </c>
      <c r="AX106">
        <v>709.26300000000003</v>
      </c>
      <c r="AY106">
        <v>22.8687</v>
      </c>
      <c r="AZ106">
        <v>300.06400000000002</v>
      </c>
      <c r="BA106">
        <v>99.073499999999996</v>
      </c>
      <c r="BB106">
        <v>9.9940600000000004E-2</v>
      </c>
      <c r="BC106">
        <v>26.386700000000001</v>
      </c>
      <c r="BD106">
        <v>26.989000000000001</v>
      </c>
      <c r="BE106">
        <v>28.200099999999999</v>
      </c>
      <c r="BF106">
        <v>0</v>
      </c>
      <c r="BG106">
        <v>0</v>
      </c>
      <c r="BH106">
        <v>10004.4</v>
      </c>
      <c r="BI106">
        <v>1071.5</v>
      </c>
      <c r="BJ106">
        <v>1.5137799999999999</v>
      </c>
      <c r="BK106">
        <v>-91.156700000000001</v>
      </c>
      <c r="BL106">
        <v>725.70799999999997</v>
      </c>
      <c r="BM106">
        <v>814.02800000000002</v>
      </c>
      <c r="BN106">
        <v>5.9996200000000002</v>
      </c>
      <c r="BO106">
        <v>800.04300000000001</v>
      </c>
      <c r="BP106">
        <v>17.178999999999998</v>
      </c>
      <c r="BQ106">
        <v>2.2963900000000002</v>
      </c>
      <c r="BR106">
        <v>1.70198</v>
      </c>
      <c r="BS106">
        <v>19.6511</v>
      </c>
      <c r="BT106">
        <v>14.9145</v>
      </c>
      <c r="BU106">
        <v>1799.99</v>
      </c>
      <c r="BV106">
        <v>0.90997700000000004</v>
      </c>
      <c r="BW106">
        <v>3.4004600000000003E-2</v>
      </c>
      <c r="BX106">
        <v>2.2008099999999999E-2</v>
      </c>
      <c r="BY106">
        <v>3.4010600000000002E-2</v>
      </c>
      <c r="BZ106">
        <v>25.625</v>
      </c>
      <c r="CA106">
        <v>33528.1</v>
      </c>
      <c r="CB106">
        <v>1690226183.5999999</v>
      </c>
      <c r="CC106" t="s">
        <v>332</v>
      </c>
      <c r="CD106">
        <v>1690226177.5999999</v>
      </c>
      <c r="CE106">
        <v>1690226183.5999999</v>
      </c>
      <c r="CF106">
        <v>12</v>
      </c>
      <c r="CG106">
        <v>-0.255</v>
      </c>
      <c r="CH106">
        <v>0.113</v>
      </c>
      <c r="CI106">
        <v>-0.439</v>
      </c>
      <c r="CJ106">
        <v>0.31</v>
      </c>
      <c r="CK106">
        <v>800</v>
      </c>
      <c r="CL106">
        <v>25</v>
      </c>
      <c r="CM106">
        <v>0.02</v>
      </c>
      <c r="CN106">
        <v>0.03</v>
      </c>
      <c r="CO106">
        <v>-87.949214634146344</v>
      </c>
      <c r="CP106">
        <v>-16.97891498257836</v>
      </c>
      <c r="CQ106">
        <v>1.675024446353965</v>
      </c>
      <c r="CR106">
        <v>-1</v>
      </c>
      <c r="CS106">
        <v>5.8373697560975613</v>
      </c>
      <c r="CT106">
        <v>0.83831749128920019</v>
      </c>
      <c r="CU106">
        <v>8.3556529323706566E-2</v>
      </c>
      <c r="CV106">
        <v>-1</v>
      </c>
      <c r="CW106">
        <v>0</v>
      </c>
      <c r="CX106">
        <v>0</v>
      </c>
      <c r="CY106" t="s">
        <v>333</v>
      </c>
      <c r="CZ106">
        <v>2.3640099999999999</v>
      </c>
      <c r="DA106">
        <v>2.71373</v>
      </c>
      <c r="DB106">
        <v>0.135242</v>
      </c>
      <c r="DC106">
        <v>0.14627000000000001</v>
      </c>
      <c r="DD106">
        <v>0.110678</v>
      </c>
      <c r="DE106">
        <v>8.8488600000000001E-2</v>
      </c>
      <c r="DF106">
        <v>31578.6</v>
      </c>
      <c r="DG106">
        <v>27520.799999999999</v>
      </c>
      <c r="DH106">
        <v>31174.9</v>
      </c>
      <c r="DI106">
        <v>28089</v>
      </c>
      <c r="DJ106">
        <v>37642.400000000001</v>
      </c>
      <c r="DK106">
        <v>36409.300000000003</v>
      </c>
      <c r="DL106">
        <v>44367</v>
      </c>
      <c r="DM106">
        <v>42577.1</v>
      </c>
      <c r="DN106">
        <v>1.4753000000000001</v>
      </c>
      <c r="DO106">
        <v>2.0523500000000001</v>
      </c>
      <c r="DP106">
        <v>0.105314</v>
      </c>
      <c r="DQ106">
        <v>0.19514899999999999</v>
      </c>
      <c r="DR106">
        <v>25.264299999999999</v>
      </c>
      <c r="DS106">
        <v>25.006499999999999</v>
      </c>
      <c r="DT106">
        <v>57.2</v>
      </c>
      <c r="DU106">
        <v>29.2</v>
      </c>
      <c r="DV106">
        <v>23.490400000000001</v>
      </c>
      <c r="DW106">
        <v>61.862400000000001</v>
      </c>
      <c r="DX106">
        <v>36.650599999999997</v>
      </c>
      <c r="DY106">
        <v>1</v>
      </c>
      <c r="DZ106">
        <v>-8.42556E-2</v>
      </c>
      <c r="EA106">
        <v>0.112677</v>
      </c>
      <c r="EB106">
        <v>20.189499999999999</v>
      </c>
      <c r="EC106">
        <v>5.2406499999999996</v>
      </c>
      <c r="ED106">
        <v>12.039899999999999</v>
      </c>
      <c r="EE106">
        <v>5.016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1.8646400000000001</v>
      </c>
      <c r="EM106">
        <v>1.8691899999999999</v>
      </c>
      <c r="EN106">
        <v>1.8672299999999999</v>
      </c>
      <c r="EO106">
        <v>1.8633999999999999</v>
      </c>
      <c r="EP106">
        <v>1.8645</v>
      </c>
      <c r="EQ106">
        <v>1.87015</v>
      </c>
      <c r="ER106">
        <v>1.8693900000000001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-0.376</v>
      </c>
      <c r="FG106">
        <v>0.30990000000000001</v>
      </c>
      <c r="FH106">
        <v>0.1121710645629533</v>
      </c>
      <c r="FI106">
        <v>-6.1462078757559423E-4</v>
      </c>
      <c r="FJ106">
        <v>-1.8861989874597051E-7</v>
      </c>
      <c r="FK106">
        <v>1.1980462299894961E-10</v>
      </c>
      <c r="FL106">
        <v>0.30996499999999833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25.5</v>
      </c>
      <c r="FU106">
        <v>25.4</v>
      </c>
      <c r="FV106">
        <v>1.78711</v>
      </c>
      <c r="FW106">
        <v>2.5842299999999998</v>
      </c>
      <c r="FX106">
        <v>1.5490699999999999</v>
      </c>
      <c r="FY106">
        <v>2.3290999999999999</v>
      </c>
      <c r="FZ106">
        <v>1.50146</v>
      </c>
      <c r="GA106">
        <v>2.33887</v>
      </c>
      <c r="GB106">
        <v>33.963900000000002</v>
      </c>
      <c r="GC106">
        <v>23.982399999999998</v>
      </c>
      <c r="GD106">
        <v>19</v>
      </c>
      <c r="GE106">
        <v>283.02999999999997</v>
      </c>
      <c r="GF106">
        <v>597.91300000000001</v>
      </c>
      <c r="GG106">
        <v>24.164100000000001</v>
      </c>
      <c r="GH106">
        <v>26.324999999999999</v>
      </c>
      <c r="GI106">
        <v>29.9998</v>
      </c>
      <c r="GJ106">
        <v>26.4724</v>
      </c>
      <c r="GK106">
        <v>26.463000000000001</v>
      </c>
      <c r="GL106">
        <v>35.729300000000002</v>
      </c>
      <c r="GM106">
        <v>36.6128</v>
      </c>
      <c r="GN106">
        <v>96.9833</v>
      </c>
      <c r="GO106">
        <v>24.178599999999999</v>
      </c>
      <c r="GP106">
        <v>800</v>
      </c>
      <c r="GQ106">
        <v>17.049800000000001</v>
      </c>
      <c r="GR106">
        <v>99.749200000000002</v>
      </c>
      <c r="GS106">
        <v>99.599000000000004</v>
      </c>
    </row>
    <row r="107" spans="1:201" x14ac:dyDescent="0.25">
      <c r="A107">
        <v>91</v>
      </c>
      <c r="B107">
        <v>1690227715.5</v>
      </c>
      <c r="C107">
        <v>1145.900000095367</v>
      </c>
      <c r="D107" t="s">
        <v>513</v>
      </c>
      <c r="E107" t="s">
        <v>514</v>
      </c>
      <c r="F107" t="s">
        <v>330</v>
      </c>
      <c r="H107">
        <v>1690227715.5</v>
      </c>
      <c r="I107">
        <f t="shared" si="30"/>
        <v>5.8364684684834292E-4</v>
      </c>
      <c r="J107">
        <f t="shared" si="31"/>
        <v>0.58364684684834289</v>
      </c>
      <c r="K107">
        <f t="shared" si="32"/>
        <v>8.2991848047623122</v>
      </c>
      <c r="L107">
        <f t="shared" si="33"/>
        <v>706.077</v>
      </c>
      <c r="M107">
        <f t="shared" si="34"/>
        <v>320.04885111963097</v>
      </c>
      <c r="N107">
        <f t="shared" si="35"/>
        <v>31.740144542903156</v>
      </c>
      <c r="O107">
        <f t="shared" si="36"/>
        <v>70.023641578524007</v>
      </c>
      <c r="P107">
        <f t="shared" si="37"/>
        <v>3.5925097762852957E-2</v>
      </c>
      <c r="Q107">
        <f t="shared" si="38"/>
        <v>2.1304593969402439</v>
      </c>
      <c r="R107">
        <f t="shared" si="39"/>
        <v>3.5591916640533454E-2</v>
      </c>
      <c r="S107">
        <f t="shared" si="40"/>
        <v>2.2274625279113565E-2</v>
      </c>
      <c r="T107">
        <f t="shared" si="41"/>
        <v>276.11648904599997</v>
      </c>
      <c r="U107">
        <f t="shared" si="42"/>
        <v>28.365510672702683</v>
      </c>
      <c r="V107">
        <f t="shared" si="43"/>
        <v>28.365510672702683</v>
      </c>
      <c r="W107">
        <f t="shared" si="44"/>
        <v>3.876455731819294</v>
      </c>
      <c r="X107">
        <f t="shared" si="45"/>
        <v>66.654298040410225</v>
      </c>
      <c r="Y107">
        <f t="shared" si="46"/>
        <v>2.3008389902436002</v>
      </c>
      <c r="Z107">
        <f t="shared" si="47"/>
        <v>3.4518989140785492</v>
      </c>
      <c r="AA107">
        <f t="shared" si="48"/>
        <v>1.5756167415756939</v>
      </c>
      <c r="AB107">
        <f t="shared" si="49"/>
        <v>-25.738825946011922</v>
      </c>
      <c r="AC107">
        <f t="shared" si="50"/>
        <v>-227.4761619771339</v>
      </c>
      <c r="AD107">
        <f t="shared" si="51"/>
        <v>-23.129754187039833</v>
      </c>
      <c r="AE107">
        <f t="shared" si="52"/>
        <v>-0.22825306418567948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52478.798437965328</v>
      </c>
      <c r="AK107">
        <f t="shared" si="56"/>
        <v>1800</v>
      </c>
      <c r="AL107">
        <f t="shared" si="57"/>
        <v>1499.1104556000003</v>
      </c>
      <c r="AM107">
        <f t="shared" si="58"/>
        <v>0.83283914200000009</v>
      </c>
      <c r="AN107">
        <f t="shared" si="59"/>
        <v>0.15339804946999999</v>
      </c>
      <c r="AO107">
        <v>32.4</v>
      </c>
      <c r="AP107">
        <v>0.5</v>
      </c>
      <c r="AQ107" t="s">
        <v>331</v>
      </c>
      <c r="AR107">
        <v>2</v>
      </c>
      <c r="AS107">
        <v>1690227715.5</v>
      </c>
      <c r="AT107">
        <v>706.077</v>
      </c>
      <c r="AU107">
        <v>800.09400000000005</v>
      </c>
      <c r="AV107">
        <v>23.200299999999999</v>
      </c>
      <c r="AW107">
        <v>17.0474</v>
      </c>
      <c r="AX107">
        <v>706.45100000000002</v>
      </c>
      <c r="AY107">
        <v>22.8904</v>
      </c>
      <c r="AZ107">
        <v>300.20699999999999</v>
      </c>
      <c r="BA107">
        <v>99.072800000000001</v>
      </c>
      <c r="BB107">
        <v>0.100012</v>
      </c>
      <c r="BC107">
        <v>26.385000000000002</v>
      </c>
      <c r="BD107">
        <v>26.975100000000001</v>
      </c>
      <c r="BE107">
        <v>28.196899999999999</v>
      </c>
      <c r="BF107">
        <v>0</v>
      </c>
      <c r="BG107">
        <v>0</v>
      </c>
      <c r="BH107">
        <v>9996.8799999999992</v>
      </c>
      <c r="BI107">
        <v>1071.52</v>
      </c>
      <c r="BJ107">
        <v>1.5137799999999999</v>
      </c>
      <c r="BK107">
        <v>-94.016800000000003</v>
      </c>
      <c r="BL107">
        <v>722.84799999999996</v>
      </c>
      <c r="BM107">
        <v>813.97</v>
      </c>
      <c r="BN107">
        <v>6.1529299999999996</v>
      </c>
      <c r="BO107">
        <v>800.09400000000005</v>
      </c>
      <c r="BP107">
        <v>17.0474</v>
      </c>
      <c r="BQ107">
        <v>2.2985199999999999</v>
      </c>
      <c r="BR107">
        <v>1.68893</v>
      </c>
      <c r="BS107">
        <v>19.666</v>
      </c>
      <c r="BT107">
        <v>14.7951</v>
      </c>
      <c r="BU107">
        <v>1800</v>
      </c>
      <c r="BV107">
        <v>0.90998100000000004</v>
      </c>
      <c r="BW107">
        <v>3.4002999999999999E-2</v>
      </c>
      <c r="BX107">
        <v>2.2007100000000002E-2</v>
      </c>
      <c r="BY107">
        <v>3.40091E-2</v>
      </c>
      <c r="BZ107">
        <v>25.625</v>
      </c>
      <c r="CA107">
        <v>33528.199999999997</v>
      </c>
      <c r="CB107">
        <v>1690226183.5999999</v>
      </c>
      <c r="CC107" t="s">
        <v>332</v>
      </c>
      <c r="CD107">
        <v>1690226177.5999999</v>
      </c>
      <c r="CE107">
        <v>1690226183.5999999</v>
      </c>
      <c r="CF107">
        <v>12</v>
      </c>
      <c r="CG107">
        <v>-0.255</v>
      </c>
      <c r="CH107">
        <v>0.113</v>
      </c>
      <c r="CI107">
        <v>-0.439</v>
      </c>
      <c r="CJ107">
        <v>0.31</v>
      </c>
      <c r="CK107">
        <v>800</v>
      </c>
      <c r="CL107">
        <v>25</v>
      </c>
      <c r="CM107">
        <v>0.02</v>
      </c>
      <c r="CN107">
        <v>0.03</v>
      </c>
      <c r="CO107">
        <v>-90.971330000000009</v>
      </c>
      <c r="CP107">
        <v>-16.67973883677265</v>
      </c>
      <c r="CQ107">
        <v>1.604921534405966</v>
      </c>
      <c r="CR107">
        <v>-1</v>
      </c>
      <c r="CS107">
        <v>5.9948397499999997</v>
      </c>
      <c r="CT107">
        <v>0.92889939962476009</v>
      </c>
      <c r="CU107">
        <v>8.9926532833405126E-2</v>
      </c>
      <c r="CV107">
        <v>-1</v>
      </c>
      <c r="CW107">
        <v>0</v>
      </c>
      <c r="CX107">
        <v>0</v>
      </c>
      <c r="CY107" t="s">
        <v>333</v>
      </c>
      <c r="CZ107">
        <v>2.3644500000000002</v>
      </c>
      <c r="DA107">
        <v>2.7138</v>
      </c>
      <c r="DB107">
        <v>0.134876</v>
      </c>
      <c r="DC107">
        <v>0.14627299999999999</v>
      </c>
      <c r="DD107">
        <v>0.110752</v>
      </c>
      <c r="DE107">
        <v>8.7998599999999996E-2</v>
      </c>
      <c r="DF107">
        <v>31592.2</v>
      </c>
      <c r="DG107">
        <v>27520.1</v>
      </c>
      <c r="DH107">
        <v>31175.200000000001</v>
      </c>
      <c r="DI107">
        <v>28088.400000000001</v>
      </c>
      <c r="DJ107">
        <v>37639.5</v>
      </c>
      <c r="DK107">
        <v>36428.300000000003</v>
      </c>
      <c r="DL107">
        <v>44367.4</v>
      </c>
      <c r="DM107">
        <v>42576.3</v>
      </c>
      <c r="DN107">
        <v>1.47553</v>
      </c>
      <c r="DO107">
        <v>2.0521500000000001</v>
      </c>
      <c r="DP107">
        <v>0.104681</v>
      </c>
      <c r="DQ107">
        <v>0.19514899999999999</v>
      </c>
      <c r="DR107">
        <v>25.2607</v>
      </c>
      <c r="DS107">
        <v>25.003299999999999</v>
      </c>
      <c r="DT107">
        <v>57.1</v>
      </c>
      <c r="DU107">
        <v>29.2</v>
      </c>
      <c r="DV107">
        <v>23.450700000000001</v>
      </c>
      <c r="DW107">
        <v>61.702399999999997</v>
      </c>
      <c r="DX107">
        <v>35.348599999999998</v>
      </c>
      <c r="DY107">
        <v>1</v>
      </c>
      <c r="DZ107">
        <v>-8.4837399999999993E-2</v>
      </c>
      <c r="EA107">
        <v>0.11407100000000001</v>
      </c>
      <c r="EB107">
        <v>20.189499999999999</v>
      </c>
      <c r="EC107">
        <v>5.2401999999999997</v>
      </c>
      <c r="ED107">
        <v>12.039899999999999</v>
      </c>
      <c r="EE107">
        <v>5.0163000000000002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</v>
      </c>
      <c r="EL107">
        <v>1.8646199999999999</v>
      </c>
      <c r="EM107">
        <v>1.8691899999999999</v>
      </c>
      <c r="EN107">
        <v>1.8672200000000001</v>
      </c>
      <c r="EO107">
        <v>1.8633999999999999</v>
      </c>
      <c r="EP107">
        <v>1.86449</v>
      </c>
      <c r="EQ107">
        <v>1.8701300000000001</v>
      </c>
      <c r="ER107">
        <v>1.8693900000000001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-0.374</v>
      </c>
      <c r="FG107">
        <v>0.30990000000000001</v>
      </c>
      <c r="FH107">
        <v>0.1121710645629533</v>
      </c>
      <c r="FI107">
        <v>-6.1462078757559423E-4</v>
      </c>
      <c r="FJ107">
        <v>-1.8861989874597051E-7</v>
      </c>
      <c r="FK107">
        <v>1.1980462299894961E-10</v>
      </c>
      <c r="FL107">
        <v>0.30996499999999833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25.6</v>
      </c>
      <c r="FU107">
        <v>25.5</v>
      </c>
      <c r="FV107">
        <v>1.78711</v>
      </c>
      <c r="FW107">
        <v>2.5756800000000002</v>
      </c>
      <c r="FX107">
        <v>1.5490699999999999</v>
      </c>
      <c r="FY107">
        <v>2.3290999999999999</v>
      </c>
      <c r="FZ107">
        <v>1.50146</v>
      </c>
      <c r="GA107">
        <v>2.3852500000000001</v>
      </c>
      <c r="GB107">
        <v>33.963900000000002</v>
      </c>
      <c r="GC107">
        <v>23.991199999999999</v>
      </c>
      <c r="GD107">
        <v>19</v>
      </c>
      <c r="GE107">
        <v>283.11799999999999</v>
      </c>
      <c r="GF107">
        <v>597.71400000000006</v>
      </c>
      <c r="GG107">
        <v>24.221800000000002</v>
      </c>
      <c r="GH107">
        <v>26.321899999999999</v>
      </c>
      <c r="GI107">
        <v>29.9999</v>
      </c>
      <c r="GJ107">
        <v>26.470199999999998</v>
      </c>
      <c r="GK107">
        <v>26.4604</v>
      </c>
      <c r="GL107">
        <v>35.724899999999998</v>
      </c>
      <c r="GM107">
        <v>36.887099999999997</v>
      </c>
      <c r="GN107">
        <v>96.604399999999998</v>
      </c>
      <c r="GO107">
        <v>24.223600000000001</v>
      </c>
      <c r="GP107">
        <v>800</v>
      </c>
      <c r="GQ107">
        <v>16.921800000000001</v>
      </c>
      <c r="GR107">
        <v>99.750100000000003</v>
      </c>
      <c r="GS107">
        <v>99.596999999999994</v>
      </c>
    </row>
    <row r="108" spans="1:201" x14ac:dyDescent="0.25">
      <c r="A108">
        <v>92</v>
      </c>
      <c r="B108">
        <v>1690227725.5</v>
      </c>
      <c r="C108">
        <v>1155.900000095367</v>
      </c>
      <c r="D108" t="s">
        <v>515</v>
      </c>
      <c r="E108" t="s">
        <v>516</v>
      </c>
      <c r="F108" t="s">
        <v>330</v>
      </c>
      <c r="H108">
        <v>1690227725.5</v>
      </c>
      <c r="I108">
        <f t="shared" si="30"/>
        <v>5.9797146485327218E-4</v>
      </c>
      <c r="J108">
        <f t="shared" si="31"/>
        <v>0.59797146485327213</v>
      </c>
      <c r="K108">
        <f t="shared" si="32"/>
        <v>8.5406686371441811</v>
      </c>
      <c r="L108">
        <f t="shared" si="33"/>
        <v>703.26599999999996</v>
      </c>
      <c r="M108">
        <f t="shared" si="34"/>
        <v>316.38016526816313</v>
      </c>
      <c r="N108">
        <f t="shared" si="35"/>
        <v>31.375373342790848</v>
      </c>
      <c r="O108">
        <f t="shared" si="36"/>
        <v>69.742783308140389</v>
      </c>
      <c r="P108">
        <f t="shared" si="37"/>
        <v>3.6882183516721179E-2</v>
      </c>
      <c r="Q108">
        <f t="shared" si="38"/>
        <v>2.1327573314865962</v>
      </c>
      <c r="R108">
        <f t="shared" si="39"/>
        <v>3.6531481240698466E-2</v>
      </c>
      <c r="S108">
        <f t="shared" si="40"/>
        <v>2.2863406975895138E-2</v>
      </c>
      <c r="T108">
        <f t="shared" si="41"/>
        <v>276.116313816</v>
      </c>
      <c r="U108">
        <f t="shared" si="42"/>
        <v>28.359476718845055</v>
      </c>
      <c r="V108">
        <f t="shared" si="43"/>
        <v>28.359476718845055</v>
      </c>
      <c r="W108">
        <f t="shared" si="44"/>
        <v>3.875096060957099</v>
      </c>
      <c r="X108">
        <f t="shared" si="45"/>
        <v>66.695306182183373</v>
      </c>
      <c r="Y108">
        <f t="shared" si="46"/>
        <v>2.3023768085951</v>
      </c>
      <c r="Z108">
        <f t="shared" si="47"/>
        <v>3.4520822234565958</v>
      </c>
      <c r="AA108">
        <f t="shared" si="48"/>
        <v>1.5727192523619991</v>
      </c>
      <c r="AB108">
        <f t="shared" si="49"/>
        <v>-26.370541600029302</v>
      </c>
      <c r="AC108">
        <f t="shared" si="50"/>
        <v>-226.92424558483455</v>
      </c>
      <c r="AD108">
        <f t="shared" si="51"/>
        <v>-23.048182086266287</v>
      </c>
      <c r="AE108">
        <f t="shared" si="52"/>
        <v>-0.2266554551301283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52577.879561457252</v>
      </c>
      <c r="AK108">
        <f t="shared" si="56"/>
        <v>1800</v>
      </c>
      <c r="AL108">
        <f t="shared" si="57"/>
        <v>1499.1103475999998</v>
      </c>
      <c r="AM108">
        <f t="shared" si="58"/>
        <v>0.8328390819999999</v>
      </c>
      <c r="AN108">
        <f t="shared" si="59"/>
        <v>0.15339795212000001</v>
      </c>
      <c r="AO108">
        <v>32.4</v>
      </c>
      <c r="AP108">
        <v>0.5</v>
      </c>
      <c r="AQ108" t="s">
        <v>331</v>
      </c>
      <c r="AR108">
        <v>2</v>
      </c>
      <c r="AS108">
        <v>1690227725.5</v>
      </c>
      <c r="AT108">
        <v>703.26599999999996</v>
      </c>
      <c r="AU108">
        <v>799.99699999999996</v>
      </c>
      <c r="AV108">
        <v>23.2165</v>
      </c>
      <c r="AW108">
        <v>16.9116</v>
      </c>
      <c r="AX108">
        <v>703.63800000000003</v>
      </c>
      <c r="AY108">
        <v>22.906500000000001</v>
      </c>
      <c r="AZ108">
        <v>300.15499999999997</v>
      </c>
      <c r="BA108">
        <v>99.069900000000004</v>
      </c>
      <c r="BB108">
        <v>9.9949399999999994E-2</v>
      </c>
      <c r="BC108">
        <v>26.385899999999999</v>
      </c>
      <c r="BD108">
        <v>26.997199999999999</v>
      </c>
      <c r="BE108">
        <v>28.183299999999999</v>
      </c>
      <c r="BF108">
        <v>0</v>
      </c>
      <c r="BG108">
        <v>0</v>
      </c>
      <c r="BH108">
        <v>10016.9</v>
      </c>
      <c r="BI108">
        <v>1071.46</v>
      </c>
      <c r="BJ108">
        <v>1.5137799999999999</v>
      </c>
      <c r="BK108">
        <v>-96.731499999999997</v>
      </c>
      <c r="BL108">
        <v>719.98099999999999</v>
      </c>
      <c r="BM108">
        <v>813.75900000000001</v>
      </c>
      <c r="BN108">
        <v>6.3048700000000002</v>
      </c>
      <c r="BO108">
        <v>799.99699999999996</v>
      </c>
      <c r="BP108">
        <v>16.9116</v>
      </c>
      <c r="BQ108">
        <v>2.3000600000000002</v>
      </c>
      <c r="BR108">
        <v>1.67543</v>
      </c>
      <c r="BS108">
        <v>19.6768</v>
      </c>
      <c r="BT108">
        <v>14.6707</v>
      </c>
      <c r="BU108">
        <v>1800</v>
      </c>
      <c r="BV108">
        <v>0.90998299999999999</v>
      </c>
      <c r="BW108">
        <v>3.40021E-2</v>
      </c>
      <c r="BX108">
        <v>2.2006600000000001E-2</v>
      </c>
      <c r="BY108">
        <v>3.4008200000000002E-2</v>
      </c>
      <c r="BZ108">
        <v>25.666699999999999</v>
      </c>
      <c r="CA108">
        <v>33528.199999999997</v>
      </c>
      <c r="CB108">
        <v>1690226183.5999999</v>
      </c>
      <c r="CC108" t="s">
        <v>332</v>
      </c>
      <c r="CD108">
        <v>1690226177.5999999</v>
      </c>
      <c r="CE108">
        <v>1690226183.5999999</v>
      </c>
      <c r="CF108">
        <v>12</v>
      </c>
      <c r="CG108">
        <v>-0.255</v>
      </c>
      <c r="CH108">
        <v>0.113</v>
      </c>
      <c r="CI108">
        <v>-0.439</v>
      </c>
      <c r="CJ108">
        <v>0.31</v>
      </c>
      <c r="CK108">
        <v>800</v>
      </c>
      <c r="CL108">
        <v>25</v>
      </c>
      <c r="CM108">
        <v>0.02</v>
      </c>
      <c r="CN108">
        <v>0.03</v>
      </c>
      <c r="CO108">
        <v>-93.767724999999999</v>
      </c>
      <c r="CP108">
        <v>-16.911187992494941</v>
      </c>
      <c r="CQ108">
        <v>1.6270131305170841</v>
      </c>
      <c r="CR108">
        <v>-1</v>
      </c>
      <c r="CS108">
        <v>6.1410130000000001</v>
      </c>
      <c r="CT108">
        <v>0.89628855534706564</v>
      </c>
      <c r="CU108">
        <v>8.6854107853342216E-2</v>
      </c>
      <c r="CV108">
        <v>-1</v>
      </c>
      <c r="CW108">
        <v>0</v>
      </c>
      <c r="CX108">
        <v>0</v>
      </c>
      <c r="CY108" t="s">
        <v>333</v>
      </c>
      <c r="CZ108">
        <v>2.36429</v>
      </c>
      <c r="DA108">
        <v>2.7137600000000002</v>
      </c>
      <c r="DB108">
        <v>0.13450599999999999</v>
      </c>
      <c r="DC108">
        <v>0.146255</v>
      </c>
      <c r="DD108">
        <v>0.110805</v>
      </c>
      <c r="DE108">
        <v>8.7489600000000001E-2</v>
      </c>
      <c r="DF108">
        <v>31606</v>
      </c>
      <c r="DG108">
        <v>27520.9</v>
      </c>
      <c r="DH108">
        <v>31175.5</v>
      </c>
      <c r="DI108">
        <v>28088.6</v>
      </c>
      <c r="DJ108">
        <v>37637.599999999999</v>
      </c>
      <c r="DK108">
        <v>36448.9</v>
      </c>
      <c r="DL108">
        <v>44367.8</v>
      </c>
      <c r="DM108">
        <v>42576.7</v>
      </c>
      <c r="DN108">
        <v>1.4758500000000001</v>
      </c>
      <c r="DO108">
        <v>2.0518800000000001</v>
      </c>
      <c r="DP108">
        <v>0.106171</v>
      </c>
      <c r="DQ108">
        <v>0.194497</v>
      </c>
      <c r="DR108">
        <v>25.258400000000002</v>
      </c>
      <c r="DS108">
        <v>25.000399999999999</v>
      </c>
      <c r="DT108">
        <v>57.1</v>
      </c>
      <c r="DU108">
        <v>29.2</v>
      </c>
      <c r="DV108">
        <v>23.448799999999999</v>
      </c>
      <c r="DW108">
        <v>61.572400000000002</v>
      </c>
      <c r="DX108">
        <v>36.502400000000002</v>
      </c>
      <c r="DY108">
        <v>1</v>
      </c>
      <c r="DZ108">
        <v>-8.4989800000000004E-2</v>
      </c>
      <c r="EA108">
        <v>0.10063999999999999</v>
      </c>
      <c r="EB108">
        <v>20.189599999999999</v>
      </c>
      <c r="EC108">
        <v>5.2406499999999996</v>
      </c>
      <c r="ED108">
        <v>12.039899999999999</v>
      </c>
      <c r="EE108">
        <v>5.0167000000000002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1.8646199999999999</v>
      </c>
      <c r="EM108">
        <v>1.8691800000000001</v>
      </c>
      <c r="EN108">
        <v>1.8672299999999999</v>
      </c>
      <c r="EO108">
        <v>1.8633999999999999</v>
      </c>
      <c r="EP108">
        <v>1.8645099999999999</v>
      </c>
      <c r="EQ108">
        <v>1.8701300000000001</v>
      </c>
      <c r="ER108">
        <v>1.86938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-0.372</v>
      </c>
      <c r="FG108">
        <v>0.31</v>
      </c>
      <c r="FH108">
        <v>0.1121710645629533</v>
      </c>
      <c r="FI108">
        <v>-6.1462078757559423E-4</v>
      </c>
      <c r="FJ108">
        <v>-1.8861989874597051E-7</v>
      </c>
      <c r="FK108">
        <v>1.1980462299894961E-10</v>
      </c>
      <c r="FL108">
        <v>0.30996499999999833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25.8</v>
      </c>
      <c r="FU108">
        <v>25.7</v>
      </c>
      <c r="FV108">
        <v>1.78589</v>
      </c>
      <c r="FW108">
        <v>2.5891099999999998</v>
      </c>
      <c r="FX108">
        <v>1.5490699999999999</v>
      </c>
      <c r="FY108">
        <v>2.3290999999999999</v>
      </c>
      <c r="FZ108">
        <v>1.50146</v>
      </c>
      <c r="GA108">
        <v>2.3022499999999999</v>
      </c>
      <c r="GB108">
        <v>33.963900000000002</v>
      </c>
      <c r="GC108">
        <v>23.982399999999998</v>
      </c>
      <c r="GD108">
        <v>19</v>
      </c>
      <c r="GE108">
        <v>283.24200000000002</v>
      </c>
      <c r="GF108">
        <v>597.45500000000004</v>
      </c>
      <c r="GG108">
        <v>24.264299999999999</v>
      </c>
      <c r="GH108">
        <v>26.319400000000002</v>
      </c>
      <c r="GI108">
        <v>30.0002</v>
      </c>
      <c r="GJ108">
        <v>26.467199999999998</v>
      </c>
      <c r="GK108">
        <v>26.457999999999998</v>
      </c>
      <c r="GL108">
        <v>35.717599999999997</v>
      </c>
      <c r="GM108">
        <v>37.436900000000001</v>
      </c>
      <c r="GN108">
        <v>96.230900000000005</v>
      </c>
      <c r="GO108">
        <v>24.265799999999999</v>
      </c>
      <c r="GP108">
        <v>800</v>
      </c>
      <c r="GQ108">
        <v>16.790900000000001</v>
      </c>
      <c r="GR108">
        <v>99.751099999999994</v>
      </c>
      <c r="GS108">
        <v>99.597899999999996</v>
      </c>
    </row>
    <row r="109" spans="1:201" x14ac:dyDescent="0.25">
      <c r="A109">
        <v>93</v>
      </c>
      <c r="B109">
        <v>1690227735.5</v>
      </c>
      <c r="C109">
        <v>1165.900000095367</v>
      </c>
      <c r="D109" t="s">
        <v>517</v>
      </c>
      <c r="E109" t="s">
        <v>518</v>
      </c>
      <c r="F109" t="s">
        <v>330</v>
      </c>
      <c r="H109">
        <v>1690227735.5</v>
      </c>
      <c r="I109">
        <f t="shared" si="30"/>
        <v>6.1198215826348615E-4</v>
      </c>
      <c r="J109">
        <f t="shared" si="31"/>
        <v>0.61198215826348612</v>
      </c>
      <c r="K109">
        <f t="shared" si="32"/>
        <v>8.8207175520992767</v>
      </c>
      <c r="L109">
        <f t="shared" si="33"/>
        <v>700.33600000000001</v>
      </c>
      <c r="M109">
        <f t="shared" si="34"/>
        <v>309.72131092727238</v>
      </c>
      <c r="N109">
        <f t="shared" si="35"/>
        <v>30.716032606664086</v>
      </c>
      <c r="O109">
        <f t="shared" si="36"/>
        <v>69.454514922520005</v>
      </c>
      <c r="P109">
        <f t="shared" si="37"/>
        <v>3.7710685475876013E-2</v>
      </c>
      <c r="Q109">
        <f t="shared" si="38"/>
        <v>2.1343907309566124</v>
      </c>
      <c r="R109">
        <f t="shared" si="39"/>
        <v>3.7344412295074E-2</v>
      </c>
      <c r="S109">
        <f t="shared" si="40"/>
        <v>2.33728693110027E-2</v>
      </c>
      <c r="T109">
        <f t="shared" si="41"/>
        <v>276.11473800471123</v>
      </c>
      <c r="U109">
        <f t="shared" si="42"/>
        <v>28.373775536810367</v>
      </c>
      <c r="V109">
        <f t="shared" si="43"/>
        <v>28.373775536810367</v>
      </c>
      <c r="W109">
        <f t="shared" si="44"/>
        <v>3.878318783851558</v>
      </c>
      <c r="X109">
        <f t="shared" si="45"/>
        <v>66.654664437971974</v>
      </c>
      <c r="Y109">
        <f t="shared" si="46"/>
        <v>2.3037720333485003</v>
      </c>
      <c r="Z109">
        <f t="shared" si="47"/>
        <v>3.4562802960209371</v>
      </c>
      <c r="AA109">
        <f t="shared" si="48"/>
        <v>1.5745467505030577</v>
      </c>
      <c r="AB109">
        <f t="shared" si="49"/>
        <v>-26.988413179419741</v>
      </c>
      <c r="AC109">
        <f t="shared" si="50"/>
        <v>-226.37296598326139</v>
      </c>
      <c r="AD109">
        <f t="shared" si="51"/>
        <v>-22.978597057554694</v>
      </c>
      <c r="AE109">
        <f t="shared" si="52"/>
        <v>-0.22523821552459822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52644.991978822734</v>
      </c>
      <c r="AK109">
        <f t="shared" si="56"/>
        <v>1799.99</v>
      </c>
      <c r="AL109">
        <f t="shared" si="57"/>
        <v>1499.1028490045699</v>
      </c>
      <c r="AM109">
        <f t="shared" si="58"/>
        <v>0.83283954299999996</v>
      </c>
      <c r="AN109">
        <f t="shared" si="59"/>
        <v>0.15339792888000001</v>
      </c>
      <c r="AO109">
        <v>32.4</v>
      </c>
      <c r="AP109">
        <v>0.5</v>
      </c>
      <c r="AQ109" t="s">
        <v>331</v>
      </c>
      <c r="AR109">
        <v>2</v>
      </c>
      <c r="AS109">
        <v>1690227735.5</v>
      </c>
      <c r="AT109">
        <v>700.33600000000001</v>
      </c>
      <c r="AU109">
        <v>800.16399999999999</v>
      </c>
      <c r="AV109">
        <v>23.229800000000001</v>
      </c>
      <c r="AW109">
        <v>16.778099999999998</v>
      </c>
      <c r="AX109">
        <v>700.70600000000002</v>
      </c>
      <c r="AY109">
        <v>22.919899999999998</v>
      </c>
      <c r="AZ109">
        <v>300.19400000000002</v>
      </c>
      <c r="BA109">
        <v>99.073300000000003</v>
      </c>
      <c r="BB109">
        <v>9.9832500000000005E-2</v>
      </c>
      <c r="BC109">
        <v>26.406500000000001</v>
      </c>
      <c r="BD109">
        <v>27.032699999999998</v>
      </c>
      <c r="BE109">
        <v>28.2089</v>
      </c>
      <c r="BF109">
        <v>0</v>
      </c>
      <c r="BG109">
        <v>0</v>
      </c>
      <c r="BH109">
        <v>10030.6</v>
      </c>
      <c r="BI109">
        <v>1071.49</v>
      </c>
      <c r="BJ109">
        <v>1.5137799999999999</v>
      </c>
      <c r="BK109">
        <v>-99.827699999999993</v>
      </c>
      <c r="BL109">
        <v>716.99199999999996</v>
      </c>
      <c r="BM109">
        <v>813.81799999999998</v>
      </c>
      <c r="BN109">
        <v>6.4517100000000003</v>
      </c>
      <c r="BO109">
        <v>800.16399999999999</v>
      </c>
      <c r="BP109">
        <v>16.778099999999998</v>
      </c>
      <c r="BQ109">
        <v>2.3014600000000001</v>
      </c>
      <c r="BR109">
        <v>1.6622600000000001</v>
      </c>
      <c r="BS109">
        <v>19.686599999999999</v>
      </c>
      <c r="BT109">
        <v>14.548400000000001</v>
      </c>
      <c r="BU109">
        <v>1799.99</v>
      </c>
      <c r="BV109">
        <v>0.90998599999999996</v>
      </c>
      <c r="BW109">
        <v>3.4001099999999999E-2</v>
      </c>
      <c r="BX109">
        <v>2.2005899999999998E-2</v>
      </c>
      <c r="BY109">
        <v>3.4007200000000001E-2</v>
      </c>
      <c r="BZ109">
        <v>25.625</v>
      </c>
      <c r="CA109">
        <v>33528</v>
      </c>
      <c r="CB109">
        <v>1690226183.5999999</v>
      </c>
      <c r="CC109" t="s">
        <v>332</v>
      </c>
      <c r="CD109">
        <v>1690226177.5999999</v>
      </c>
      <c r="CE109">
        <v>1690226183.5999999</v>
      </c>
      <c r="CF109">
        <v>12</v>
      </c>
      <c r="CG109">
        <v>-0.255</v>
      </c>
      <c r="CH109">
        <v>0.113</v>
      </c>
      <c r="CI109">
        <v>-0.439</v>
      </c>
      <c r="CJ109">
        <v>0.31</v>
      </c>
      <c r="CK109">
        <v>800</v>
      </c>
      <c r="CL109">
        <v>25</v>
      </c>
      <c r="CM109">
        <v>0.02</v>
      </c>
      <c r="CN109">
        <v>0.03</v>
      </c>
      <c r="CO109">
        <v>-96.664082926829266</v>
      </c>
      <c r="CP109">
        <v>-17.10774773519173</v>
      </c>
      <c r="CQ109">
        <v>1.6876929863129631</v>
      </c>
      <c r="CR109">
        <v>-1</v>
      </c>
      <c r="CS109">
        <v>6.2885958536585367</v>
      </c>
      <c r="CT109">
        <v>0.87451191637630177</v>
      </c>
      <c r="CU109">
        <v>8.6567415910618464E-2</v>
      </c>
      <c r="CV109">
        <v>-1</v>
      </c>
      <c r="CW109">
        <v>0</v>
      </c>
      <c r="CX109">
        <v>0</v>
      </c>
      <c r="CY109" t="s">
        <v>333</v>
      </c>
      <c r="CZ109">
        <v>2.36443</v>
      </c>
      <c r="DA109">
        <v>2.7136499999999999</v>
      </c>
      <c r="DB109">
        <v>0.134128</v>
      </c>
      <c r="DC109">
        <v>0.14627799999999999</v>
      </c>
      <c r="DD109">
        <v>0.11085399999999999</v>
      </c>
      <c r="DE109">
        <v>8.69925E-2</v>
      </c>
      <c r="DF109">
        <v>31619.8</v>
      </c>
      <c r="DG109">
        <v>27520.3</v>
      </c>
      <c r="DH109">
        <v>31175.4</v>
      </c>
      <c r="DI109">
        <v>28088.7</v>
      </c>
      <c r="DJ109">
        <v>37635.300000000003</v>
      </c>
      <c r="DK109">
        <v>36468.9</v>
      </c>
      <c r="DL109">
        <v>44367.7</v>
      </c>
      <c r="DM109">
        <v>42576.800000000003</v>
      </c>
      <c r="DN109">
        <v>1.4756499999999999</v>
      </c>
      <c r="DO109">
        <v>2.0515500000000002</v>
      </c>
      <c r="DP109">
        <v>0.108462</v>
      </c>
      <c r="DQ109">
        <v>0.19606199999999999</v>
      </c>
      <c r="DR109">
        <v>25.256499999999999</v>
      </c>
      <c r="DS109">
        <v>25.000399999999999</v>
      </c>
      <c r="DT109">
        <v>57.1</v>
      </c>
      <c r="DU109">
        <v>29.2</v>
      </c>
      <c r="DV109">
        <v>23.449200000000001</v>
      </c>
      <c r="DW109">
        <v>61.712400000000002</v>
      </c>
      <c r="DX109">
        <v>35.685099999999998</v>
      </c>
      <c r="DY109">
        <v>1</v>
      </c>
      <c r="DZ109">
        <v>-8.5449700000000003E-2</v>
      </c>
      <c r="EA109">
        <v>9.1383400000000004E-2</v>
      </c>
      <c r="EB109">
        <v>20.189399999999999</v>
      </c>
      <c r="EC109">
        <v>5.2403500000000003</v>
      </c>
      <c r="ED109">
        <v>12.039899999999999</v>
      </c>
      <c r="EE109">
        <v>5.0166000000000004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1.86463</v>
      </c>
      <c r="EM109">
        <v>1.8691800000000001</v>
      </c>
      <c r="EN109">
        <v>1.86724</v>
      </c>
      <c r="EO109">
        <v>1.8633999999999999</v>
      </c>
      <c r="EP109">
        <v>1.86449</v>
      </c>
      <c r="EQ109">
        <v>1.8701399999999999</v>
      </c>
      <c r="ER109">
        <v>1.8694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-0.37</v>
      </c>
      <c r="FG109">
        <v>0.30990000000000001</v>
      </c>
      <c r="FH109">
        <v>0.1121710645629533</v>
      </c>
      <c r="FI109">
        <v>-6.1462078757559423E-4</v>
      </c>
      <c r="FJ109">
        <v>-1.8861989874597051E-7</v>
      </c>
      <c r="FK109">
        <v>1.1980462299894961E-10</v>
      </c>
      <c r="FL109">
        <v>0.30996499999999833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26</v>
      </c>
      <c r="FU109">
        <v>25.9</v>
      </c>
      <c r="FV109">
        <v>1.78589</v>
      </c>
      <c r="FW109">
        <v>2.5817899999999998</v>
      </c>
      <c r="FX109">
        <v>1.5490699999999999</v>
      </c>
      <c r="FY109">
        <v>2.3290999999999999</v>
      </c>
      <c r="FZ109">
        <v>1.50146</v>
      </c>
      <c r="GA109">
        <v>2.4072300000000002</v>
      </c>
      <c r="GB109">
        <v>33.963900000000002</v>
      </c>
      <c r="GC109">
        <v>23.991199999999999</v>
      </c>
      <c r="GD109">
        <v>19</v>
      </c>
      <c r="GE109">
        <v>283.142</v>
      </c>
      <c r="GF109">
        <v>597.13699999999994</v>
      </c>
      <c r="GG109">
        <v>24.302199999999999</v>
      </c>
      <c r="GH109">
        <v>26.315300000000001</v>
      </c>
      <c r="GI109">
        <v>29.9998</v>
      </c>
      <c r="GJ109">
        <v>26.4636</v>
      </c>
      <c r="GK109">
        <v>26.4542</v>
      </c>
      <c r="GL109">
        <v>35.712499999999999</v>
      </c>
      <c r="GM109">
        <v>37.7258</v>
      </c>
      <c r="GN109">
        <v>96.230900000000005</v>
      </c>
      <c r="GO109">
        <v>24.303799999999999</v>
      </c>
      <c r="GP109">
        <v>800</v>
      </c>
      <c r="GQ109">
        <v>16.746600000000001</v>
      </c>
      <c r="GR109">
        <v>99.750799999999998</v>
      </c>
      <c r="GS109">
        <v>99.598200000000006</v>
      </c>
    </row>
    <row r="110" spans="1:201" x14ac:dyDescent="0.25">
      <c r="A110">
        <v>94</v>
      </c>
      <c r="B110">
        <v>1690227745.5</v>
      </c>
      <c r="C110">
        <v>1175.900000095367</v>
      </c>
      <c r="D110" t="s">
        <v>519</v>
      </c>
      <c r="E110" t="s">
        <v>520</v>
      </c>
      <c r="F110" t="s">
        <v>330</v>
      </c>
      <c r="H110">
        <v>1690227745.5</v>
      </c>
      <c r="I110">
        <f t="shared" si="30"/>
        <v>6.1792190269090695E-4</v>
      </c>
      <c r="J110">
        <f t="shared" si="31"/>
        <v>0.61792190269090697</v>
      </c>
      <c r="K110">
        <f t="shared" si="32"/>
        <v>9.0697579364946659</v>
      </c>
      <c r="L110">
        <f t="shared" si="33"/>
        <v>697.49800000000005</v>
      </c>
      <c r="M110">
        <f t="shared" si="34"/>
        <v>300.2483745741286</v>
      </c>
      <c r="N110">
        <f t="shared" si="35"/>
        <v>29.776724090500434</v>
      </c>
      <c r="O110">
        <f t="shared" si="36"/>
        <v>69.173415273720806</v>
      </c>
      <c r="P110">
        <f t="shared" si="37"/>
        <v>3.8092568496135147E-2</v>
      </c>
      <c r="Q110">
        <f t="shared" si="38"/>
        <v>2.1323597264707068</v>
      </c>
      <c r="R110">
        <f t="shared" si="39"/>
        <v>3.7718527009252413E-2</v>
      </c>
      <c r="S110">
        <f t="shared" si="40"/>
        <v>2.3607379353802679E-2</v>
      </c>
      <c r="T110">
        <f t="shared" si="41"/>
        <v>276.11756166593159</v>
      </c>
      <c r="U110">
        <f t="shared" si="42"/>
        <v>28.373929162957264</v>
      </c>
      <c r="V110">
        <f t="shared" si="43"/>
        <v>28.373929162957264</v>
      </c>
      <c r="W110">
        <f t="shared" si="44"/>
        <v>3.8783534213965947</v>
      </c>
      <c r="X110">
        <f t="shared" si="45"/>
        <v>66.667672568859615</v>
      </c>
      <c r="Y110">
        <f t="shared" si="46"/>
        <v>2.3042895987420402</v>
      </c>
      <c r="Z110">
        <f t="shared" si="47"/>
        <v>3.4563822463758411</v>
      </c>
      <c r="AA110">
        <f t="shared" si="48"/>
        <v>1.5740638226545545</v>
      </c>
      <c r="AB110">
        <f t="shared" si="49"/>
        <v>-27.250355908668997</v>
      </c>
      <c r="AC110">
        <f t="shared" si="50"/>
        <v>-226.11773907637547</v>
      </c>
      <c r="AD110">
        <f t="shared" si="51"/>
        <v>-22.974626165915858</v>
      </c>
      <c r="AE110">
        <f t="shared" si="52"/>
        <v>-0.22515948502874039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52557.067853248867</v>
      </c>
      <c r="AK110">
        <f t="shared" si="56"/>
        <v>1800.01</v>
      </c>
      <c r="AL110">
        <f t="shared" si="57"/>
        <v>1499.1191061932097</v>
      </c>
      <c r="AM110">
        <f t="shared" si="58"/>
        <v>0.83283932099999991</v>
      </c>
      <c r="AN110">
        <f t="shared" si="59"/>
        <v>0.15339779315999999</v>
      </c>
      <c r="AO110">
        <v>32.4</v>
      </c>
      <c r="AP110">
        <v>0.5</v>
      </c>
      <c r="AQ110" t="s">
        <v>331</v>
      </c>
      <c r="AR110">
        <v>2</v>
      </c>
      <c r="AS110">
        <v>1690227745.5</v>
      </c>
      <c r="AT110">
        <v>697.49800000000005</v>
      </c>
      <c r="AU110">
        <v>800.05899999999997</v>
      </c>
      <c r="AV110">
        <v>23.2349</v>
      </c>
      <c r="AW110">
        <v>16.7194</v>
      </c>
      <c r="AX110">
        <v>697.86599999999999</v>
      </c>
      <c r="AY110">
        <v>22.924900000000001</v>
      </c>
      <c r="AZ110">
        <v>300.13799999999998</v>
      </c>
      <c r="BA110">
        <v>99.073700000000002</v>
      </c>
      <c r="BB110">
        <v>9.9939600000000003E-2</v>
      </c>
      <c r="BC110">
        <v>26.407</v>
      </c>
      <c r="BD110">
        <v>26.994499999999999</v>
      </c>
      <c r="BE110">
        <v>28.212800000000001</v>
      </c>
      <c r="BF110">
        <v>0</v>
      </c>
      <c r="BG110">
        <v>0</v>
      </c>
      <c r="BH110">
        <v>10013.1</v>
      </c>
      <c r="BI110">
        <v>1071.58</v>
      </c>
      <c r="BJ110">
        <v>1.5137799999999999</v>
      </c>
      <c r="BK110">
        <v>-102.56100000000001</v>
      </c>
      <c r="BL110">
        <v>714.09</v>
      </c>
      <c r="BM110">
        <v>813.66300000000001</v>
      </c>
      <c r="BN110">
        <v>6.5154500000000004</v>
      </c>
      <c r="BO110">
        <v>800.05899999999997</v>
      </c>
      <c r="BP110">
        <v>16.7194</v>
      </c>
      <c r="BQ110">
        <v>2.3019599999999998</v>
      </c>
      <c r="BR110">
        <v>1.65645</v>
      </c>
      <c r="BS110">
        <v>19.690100000000001</v>
      </c>
      <c r="BT110">
        <v>14.494300000000001</v>
      </c>
      <c r="BU110">
        <v>1800.01</v>
      </c>
      <c r="BV110">
        <v>0.90998800000000002</v>
      </c>
      <c r="BW110">
        <v>3.4000200000000001E-2</v>
      </c>
      <c r="BX110">
        <v>2.2005299999999998E-2</v>
      </c>
      <c r="BY110">
        <v>3.40062E-2</v>
      </c>
      <c r="BZ110">
        <v>25.666699999999999</v>
      </c>
      <c r="CA110">
        <v>33528.400000000001</v>
      </c>
      <c r="CB110">
        <v>1690226183.5999999</v>
      </c>
      <c r="CC110" t="s">
        <v>332</v>
      </c>
      <c r="CD110">
        <v>1690226177.5999999</v>
      </c>
      <c r="CE110">
        <v>1690226183.5999999</v>
      </c>
      <c r="CF110">
        <v>12</v>
      </c>
      <c r="CG110">
        <v>-0.255</v>
      </c>
      <c r="CH110">
        <v>0.113</v>
      </c>
      <c r="CI110">
        <v>-0.439</v>
      </c>
      <c r="CJ110">
        <v>0.31</v>
      </c>
      <c r="CK110">
        <v>800</v>
      </c>
      <c r="CL110">
        <v>25</v>
      </c>
      <c r="CM110">
        <v>0.02</v>
      </c>
      <c r="CN110">
        <v>0.03</v>
      </c>
      <c r="CO110">
        <v>-99.245973170731702</v>
      </c>
      <c r="CP110">
        <v>-17.481330313589069</v>
      </c>
      <c r="CQ110">
        <v>1.7247042036986511</v>
      </c>
      <c r="CR110">
        <v>-1</v>
      </c>
      <c r="CS110">
        <v>6.4169387804878033</v>
      </c>
      <c r="CT110">
        <v>0.77482787456445934</v>
      </c>
      <c r="CU110">
        <v>7.7632319024033919E-2</v>
      </c>
      <c r="CV110">
        <v>-1</v>
      </c>
      <c r="CW110">
        <v>0</v>
      </c>
      <c r="CX110">
        <v>0</v>
      </c>
      <c r="CY110" t="s">
        <v>333</v>
      </c>
      <c r="CZ110">
        <v>2.3642500000000002</v>
      </c>
      <c r="DA110">
        <v>2.71374</v>
      </c>
      <c r="DB110">
        <v>0.13375799999999999</v>
      </c>
      <c r="DC110">
        <v>0.14626700000000001</v>
      </c>
      <c r="DD110">
        <v>0.110873</v>
      </c>
      <c r="DE110">
        <v>8.6773699999999995E-2</v>
      </c>
      <c r="DF110">
        <v>31633</v>
      </c>
      <c r="DG110">
        <v>27520.5</v>
      </c>
      <c r="DH110">
        <v>31175.1</v>
      </c>
      <c r="DI110">
        <v>28088.6</v>
      </c>
      <c r="DJ110">
        <v>37634.300000000003</v>
      </c>
      <c r="DK110">
        <v>36477.4</v>
      </c>
      <c r="DL110">
        <v>44367.4</v>
      </c>
      <c r="DM110">
        <v>42576.4</v>
      </c>
      <c r="DN110">
        <v>1.4757800000000001</v>
      </c>
      <c r="DO110">
        <v>2.05185</v>
      </c>
      <c r="DP110">
        <v>0.106264</v>
      </c>
      <c r="DQ110">
        <v>0.196435</v>
      </c>
      <c r="DR110">
        <v>25.254200000000001</v>
      </c>
      <c r="DS110">
        <v>24.998200000000001</v>
      </c>
      <c r="DT110">
        <v>57.1</v>
      </c>
      <c r="DU110">
        <v>29.2</v>
      </c>
      <c r="DV110">
        <v>23.447900000000001</v>
      </c>
      <c r="DW110">
        <v>61.372399999999999</v>
      </c>
      <c r="DX110">
        <v>35.861400000000003</v>
      </c>
      <c r="DY110">
        <v>1</v>
      </c>
      <c r="DZ110">
        <v>-8.4718000000000002E-2</v>
      </c>
      <c r="EA110">
        <v>0.37294899999999997</v>
      </c>
      <c r="EB110">
        <v>20.1889</v>
      </c>
      <c r="EC110">
        <v>5.2401999999999997</v>
      </c>
      <c r="ED110">
        <v>12.039899999999999</v>
      </c>
      <c r="EE110">
        <v>5.0167000000000002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1.8689100000000001</v>
      </c>
      <c r="EL110">
        <v>1.8646400000000001</v>
      </c>
      <c r="EM110">
        <v>1.8691899999999999</v>
      </c>
      <c r="EN110">
        <v>1.8672299999999999</v>
      </c>
      <c r="EO110">
        <v>1.8633999999999999</v>
      </c>
      <c r="EP110">
        <v>1.86452</v>
      </c>
      <c r="EQ110">
        <v>1.87015</v>
      </c>
      <c r="ER110">
        <v>1.8693900000000001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-0.36799999999999999</v>
      </c>
      <c r="FG110">
        <v>0.31</v>
      </c>
      <c r="FH110">
        <v>0.1121710645629533</v>
      </c>
      <c r="FI110">
        <v>-6.1462078757559423E-4</v>
      </c>
      <c r="FJ110">
        <v>-1.8861989874597051E-7</v>
      </c>
      <c r="FK110">
        <v>1.1980462299894961E-10</v>
      </c>
      <c r="FL110">
        <v>0.30996499999999833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26.1</v>
      </c>
      <c r="FU110">
        <v>26</v>
      </c>
      <c r="FV110">
        <v>1.78589</v>
      </c>
      <c r="FW110">
        <v>2.5854499999999998</v>
      </c>
      <c r="FX110">
        <v>1.5490699999999999</v>
      </c>
      <c r="FY110">
        <v>2.3290999999999999</v>
      </c>
      <c r="FZ110">
        <v>1.50146</v>
      </c>
      <c r="GA110">
        <v>2.34253</v>
      </c>
      <c r="GB110">
        <v>33.963900000000002</v>
      </c>
      <c r="GC110">
        <v>23.982399999999998</v>
      </c>
      <c r="GD110">
        <v>19</v>
      </c>
      <c r="GE110">
        <v>283.18400000000003</v>
      </c>
      <c r="GF110">
        <v>597.35900000000004</v>
      </c>
      <c r="GG110">
        <v>24.211099999999998</v>
      </c>
      <c r="GH110">
        <v>26.312999999999999</v>
      </c>
      <c r="GI110">
        <v>30.000399999999999</v>
      </c>
      <c r="GJ110">
        <v>26.461300000000001</v>
      </c>
      <c r="GK110">
        <v>26.451599999999999</v>
      </c>
      <c r="GL110">
        <v>35.712699999999998</v>
      </c>
      <c r="GM110">
        <v>37.7258</v>
      </c>
      <c r="GN110">
        <v>95.855199999999996</v>
      </c>
      <c r="GO110">
        <v>24.2088</v>
      </c>
      <c r="GP110">
        <v>800</v>
      </c>
      <c r="GQ110">
        <v>16.651199999999999</v>
      </c>
      <c r="GR110">
        <v>99.750100000000003</v>
      </c>
      <c r="GS110">
        <v>99.597399999999993</v>
      </c>
    </row>
    <row r="111" spans="1:201" x14ac:dyDescent="0.25">
      <c r="A111">
        <v>95</v>
      </c>
      <c r="B111">
        <v>1690227755.5</v>
      </c>
      <c r="C111">
        <v>1185.900000095367</v>
      </c>
      <c r="D111" t="s">
        <v>521</v>
      </c>
      <c r="E111" t="s">
        <v>522</v>
      </c>
      <c r="F111" t="s">
        <v>330</v>
      </c>
      <c r="H111">
        <v>1690227755.5</v>
      </c>
      <c r="I111">
        <f t="shared" si="30"/>
        <v>6.2437316693042966E-4</v>
      </c>
      <c r="J111">
        <f t="shared" si="31"/>
        <v>0.62437316693042966</v>
      </c>
      <c r="K111">
        <f t="shared" si="32"/>
        <v>9.3262211721175277</v>
      </c>
      <c r="L111">
        <f t="shared" si="33"/>
        <v>694.64300000000003</v>
      </c>
      <c r="M111">
        <f t="shared" si="34"/>
        <v>291.50456132011408</v>
      </c>
      <c r="N111">
        <f t="shared" si="35"/>
        <v>28.908962384735933</v>
      </c>
      <c r="O111">
        <f t="shared" si="36"/>
        <v>68.888830647723012</v>
      </c>
      <c r="P111">
        <f t="shared" si="37"/>
        <v>3.8565186772896588E-2</v>
      </c>
      <c r="Q111">
        <f t="shared" si="38"/>
        <v>2.1315314653443012</v>
      </c>
      <c r="R111">
        <f t="shared" si="39"/>
        <v>3.8181709196536746E-2</v>
      </c>
      <c r="S111">
        <f t="shared" si="40"/>
        <v>2.3897704326152333E-2</v>
      </c>
      <c r="T111">
        <f t="shared" si="41"/>
        <v>276.11457827359862</v>
      </c>
      <c r="U111">
        <f t="shared" si="42"/>
        <v>28.366261615728742</v>
      </c>
      <c r="V111">
        <f t="shared" si="43"/>
        <v>28.366261615728742</v>
      </c>
      <c r="W111">
        <f t="shared" si="44"/>
        <v>3.8766249759084643</v>
      </c>
      <c r="X111">
        <f t="shared" si="45"/>
        <v>66.725287800315897</v>
      </c>
      <c r="Y111">
        <f t="shared" si="46"/>
        <v>2.3054511957230996</v>
      </c>
      <c r="Z111">
        <f t="shared" si="47"/>
        <v>3.4551386314323018</v>
      </c>
      <c r="AA111">
        <f t="shared" si="48"/>
        <v>1.5711737801853647</v>
      </c>
      <c r="AB111">
        <f t="shared" si="49"/>
        <v>-27.534856661631949</v>
      </c>
      <c r="AC111">
        <f t="shared" si="50"/>
        <v>-225.84977448313529</v>
      </c>
      <c r="AD111">
        <f t="shared" si="51"/>
        <v>-22.954737950842265</v>
      </c>
      <c r="AE111">
        <f t="shared" si="52"/>
        <v>-0.22479082201087408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52522.295909786044</v>
      </c>
      <c r="AK111">
        <f t="shared" si="56"/>
        <v>1799.99</v>
      </c>
      <c r="AL111">
        <f t="shared" si="57"/>
        <v>1499.1038317991099</v>
      </c>
      <c r="AM111">
        <f t="shared" si="58"/>
        <v>0.83284008899999995</v>
      </c>
      <c r="AN111">
        <f t="shared" si="59"/>
        <v>0.15339784014000002</v>
      </c>
      <c r="AO111">
        <v>32.4</v>
      </c>
      <c r="AP111">
        <v>0.5</v>
      </c>
      <c r="AQ111" t="s">
        <v>331</v>
      </c>
      <c r="AR111">
        <v>2</v>
      </c>
      <c r="AS111">
        <v>1690227755.5</v>
      </c>
      <c r="AT111">
        <v>694.64300000000003</v>
      </c>
      <c r="AU111">
        <v>799.99800000000005</v>
      </c>
      <c r="AV111">
        <v>23.2471</v>
      </c>
      <c r="AW111">
        <v>16.663900000000002</v>
      </c>
      <c r="AX111">
        <v>695.00900000000001</v>
      </c>
      <c r="AY111">
        <v>22.937100000000001</v>
      </c>
      <c r="AZ111">
        <v>300.149</v>
      </c>
      <c r="BA111">
        <v>99.071600000000004</v>
      </c>
      <c r="BB111">
        <v>9.9960999999999994E-2</v>
      </c>
      <c r="BC111">
        <v>26.4009</v>
      </c>
      <c r="BD111">
        <v>26.962700000000002</v>
      </c>
      <c r="BE111">
        <v>28.194600000000001</v>
      </c>
      <c r="BF111">
        <v>0</v>
      </c>
      <c r="BG111">
        <v>0</v>
      </c>
      <c r="BH111">
        <v>10006.200000000001</v>
      </c>
      <c r="BI111">
        <v>1071.56</v>
      </c>
      <c r="BJ111">
        <v>1.5137799999999999</v>
      </c>
      <c r="BK111">
        <v>-105.355</v>
      </c>
      <c r="BL111">
        <v>711.17600000000004</v>
      </c>
      <c r="BM111">
        <v>813.55499999999995</v>
      </c>
      <c r="BN111">
        <v>6.5831900000000001</v>
      </c>
      <c r="BO111">
        <v>799.99800000000005</v>
      </c>
      <c r="BP111">
        <v>16.663900000000002</v>
      </c>
      <c r="BQ111">
        <v>2.3031299999999999</v>
      </c>
      <c r="BR111">
        <v>1.6509199999999999</v>
      </c>
      <c r="BS111">
        <v>19.6983</v>
      </c>
      <c r="BT111">
        <v>14.442500000000001</v>
      </c>
      <c r="BU111">
        <v>1799.99</v>
      </c>
      <c r="BV111">
        <v>0.90999099999999999</v>
      </c>
      <c r="BW111">
        <v>3.3999300000000003E-2</v>
      </c>
      <c r="BX111">
        <v>2.2004699999999999E-2</v>
      </c>
      <c r="BY111">
        <v>3.4005399999999998E-2</v>
      </c>
      <c r="BZ111">
        <v>25.666699999999999</v>
      </c>
      <c r="CA111">
        <v>33528.199999999997</v>
      </c>
      <c r="CB111">
        <v>1690226183.5999999</v>
      </c>
      <c r="CC111" t="s">
        <v>332</v>
      </c>
      <c r="CD111">
        <v>1690226177.5999999</v>
      </c>
      <c r="CE111">
        <v>1690226183.5999999</v>
      </c>
      <c r="CF111">
        <v>12</v>
      </c>
      <c r="CG111">
        <v>-0.255</v>
      </c>
      <c r="CH111">
        <v>0.113</v>
      </c>
      <c r="CI111">
        <v>-0.439</v>
      </c>
      <c r="CJ111">
        <v>0.31</v>
      </c>
      <c r="CK111">
        <v>800</v>
      </c>
      <c r="CL111">
        <v>25</v>
      </c>
      <c r="CM111">
        <v>0.02</v>
      </c>
      <c r="CN111">
        <v>0.03</v>
      </c>
      <c r="CO111">
        <v>-102.1048902439024</v>
      </c>
      <c r="CP111">
        <v>-16.537118466898839</v>
      </c>
      <c r="CQ111">
        <v>1.6311968777714001</v>
      </c>
      <c r="CR111">
        <v>-1</v>
      </c>
      <c r="CS111">
        <v>6.5058590243902454</v>
      </c>
      <c r="CT111">
        <v>0.27879135888502932</v>
      </c>
      <c r="CU111">
        <v>3.0633726814744279E-2</v>
      </c>
      <c r="CV111">
        <v>-1</v>
      </c>
      <c r="CW111">
        <v>0</v>
      </c>
      <c r="CX111">
        <v>0</v>
      </c>
      <c r="CY111" t="s">
        <v>333</v>
      </c>
      <c r="CZ111">
        <v>2.36429</v>
      </c>
      <c r="DA111">
        <v>2.7137600000000002</v>
      </c>
      <c r="DB111">
        <v>0.133381</v>
      </c>
      <c r="DC111">
        <v>0.146256</v>
      </c>
      <c r="DD111">
        <v>0.110913</v>
      </c>
      <c r="DE111">
        <v>8.6563699999999993E-2</v>
      </c>
      <c r="DF111">
        <v>31646.7</v>
      </c>
      <c r="DG111">
        <v>27520.799999999999</v>
      </c>
      <c r="DH111">
        <v>31175.1</v>
      </c>
      <c r="DI111">
        <v>28088.5</v>
      </c>
      <c r="DJ111">
        <v>37632.6</v>
      </c>
      <c r="DK111">
        <v>36485.699999999997</v>
      </c>
      <c r="DL111">
        <v>44367.6</v>
      </c>
      <c r="DM111">
        <v>42576.3</v>
      </c>
      <c r="DN111">
        <v>1.4757499999999999</v>
      </c>
      <c r="DO111">
        <v>2.0516000000000001</v>
      </c>
      <c r="DP111">
        <v>0.104439</v>
      </c>
      <c r="DQ111">
        <v>0.19531699999999999</v>
      </c>
      <c r="DR111">
        <v>25.252199999999998</v>
      </c>
      <c r="DS111">
        <v>24.998200000000001</v>
      </c>
      <c r="DT111">
        <v>57.1</v>
      </c>
      <c r="DU111">
        <v>29.2</v>
      </c>
      <c r="DV111">
        <v>23.447399999999998</v>
      </c>
      <c r="DW111">
        <v>61.302399999999999</v>
      </c>
      <c r="DX111">
        <v>36.446300000000001</v>
      </c>
      <c r="DY111">
        <v>1</v>
      </c>
      <c r="DZ111">
        <v>-8.5032999999999997E-2</v>
      </c>
      <c r="EA111">
        <v>0.27165299999999998</v>
      </c>
      <c r="EB111">
        <v>20.1892</v>
      </c>
      <c r="EC111">
        <v>5.2404999999999999</v>
      </c>
      <c r="ED111">
        <v>12.039899999999999</v>
      </c>
      <c r="EE111">
        <v>5.0167999999999999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1.86463</v>
      </c>
      <c r="EM111">
        <v>1.8692</v>
      </c>
      <c r="EN111">
        <v>1.8672500000000001</v>
      </c>
      <c r="EO111">
        <v>1.8633999999999999</v>
      </c>
      <c r="EP111">
        <v>1.86453</v>
      </c>
      <c r="EQ111">
        <v>1.8701300000000001</v>
      </c>
      <c r="ER111">
        <v>1.8694200000000001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-0.36599999999999999</v>
      </c>
      <c r="FG111">
        <v>0.31</v>
      </c>
      <c r="FH111">
        <v>0.1121710645629533</v>
      </c>
      <c r="FI111">
        <v>-6.1462078757559423E-4</v>
      </c>
      <c r="FJ111">
        <v>-1.8861989874597051E-7</v>
      </c>
      <c r="FK111">
        <v>1.1980462299894961E-10</v>
      </c>
      <c r="FL111">
        <v>0.30996499999999833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26.3</v>
      </c>
      <c r="FU111">
        <v>26.2</v>
      </c>
      <c r="FV111">
        <v>1.78589</v>
      </c>
      <c r="FW111">
        <v>2.5805699999999998</v>
      </c>
      <c r="FX111">
        <v>1.5490699999999999</v>
      </c>
      <c r="FY111">
        <v>2.3290999999999999</v>
      </c>
      <c r="FZ111">
        <v>1.50146</v>
      </c>
      <c r="GA111">
        <v>2.3730500000000001</v>
      </c>
      <c r="GB111">
        <v>33.963900000000002</v>
      </c>
      <c r="GC111">
        <v>23.991199999999999</v>
      </c>
      <c r="GD111">
        <v>19</v>
      </c>
      <c r="GE111">
        <v>283.15899999999999</v>
      </c>
      <c r="GF111">
        <v>597.12300000000005</v>
      </c>
      <c r="GG111">
        <v>24.2012</v>
      </c>
      <c r="GH111">
        <v>26.31</v>
      </c>
      <c r="GI111">
        <v>30</v>
      </c>
      <c r="GJ111">
        <v>26.457699999999999</v>
      </c>
      <c r="GK111">
        <v>26.449300000000001</v>
      </c>
      <c r="GL111">
        <v>35.712499999999999</v>
      </c>
      <c r="GM111">
        <v>38.319499999999998</v>
      </c>
      <c r="GN111">
        <v>95.471299999999999</v>
      </c>
      <c r="GO111">
        <v>24.206600000000002</v>
      </c>
      <c r="GP111">
        <v>800</v>
      </c>
      <c r="GQ111">
        <v>16.537099999999999</v>
      </c>
      <c r="GR111">
        <v>99.750200000000007</v>
      </c>
      <c r="GS111">
        <v>99.597200000000001</v>
      </c>
    </row>
    <row r="112" spans="1:201" x14ac:dyDescent="0.25">
      <c r="A112">
        <v>96</v>
      </c>
      <c r="B112">
        <v>1690227765.5</v>
      </c>
      <c r="C112">
        <v>1195.900000095367</v>
      </c>
      <c r="D112" t="s">
        <v>523</v>
      </c>
      <c r="E112" t="s">
        <v>524</v>
      </c>
      <c r="F112" t="s">
        <v>330</v>
      </c>
      <c r="H112">
        <v>1690227765.5</v>
      </c>
      <c r="I112">
        <f t="shared" si="30"/>
        <v>6.3882242481066358E-4</v>
      </c>
      <c r="J112">
        <f t="shared" si="31"/>
        <v>0.63882242481066354</v>
      </c>
      <c r="K112">
        <f t="shared" si="32"/>
        <v>9.5868812262930838</v>
      </c>
      <c r="L112">
        <f t="shared" si="33"/>
        <v>691.779</v>
      </c>
      <c r="M112">
        <f t="shared" si="34"/>
        <v>288.0276796542588</v>
      </c>
      <c r="N112">
        <f t="shared" si="35"/>
        <v>28.564504988193082</v>
      </c>
      <c r="O112">
        <f t="shared" si="36"/>
        <v>68.605644846172495</v>
      </c>
      <c r="P112">
        <f t="shared" si="37"/>
        <v>3.9577856832085423E-2</v>
      </c>
      <c r="Q112">
        <f t="shared" si="38"/>
        <v>2.1306774082304489</v>
      </c>
      <c r="R112">
        <f t="shared" si="39"/>
        <v>3.9173929302564983E-2</v>
      </c>
      <c r="S112">
        <f t="shared" si="40"/>
        <v>2.4519653477013618E-2</v>
      </c>
      <c r="T112">
        <f t="shared" si="41"/>
        <v>276.11583897600008</v>
      </c>
      <c r="U112">
        <f t="shared" si="42"/>
        <v>28.358553562401294</v>
      </c>
      <c r="V112">
        <f t="shared" si="43"/>
        <v>28.358553562401294</v>
      </c>
      <c r="W112">
        <f t="shared" si="44"/>
        <v>3.874888076685052</v>
      </c>
      <c r="X112">
        <f t="shared" si="45"/>
        <v>66.81413487142666</v>
      </c>
      <c r="Y112">
        <f t="shared" si="46"/>
        <v>2.30805796803525</v>
      </c>
      <c r="Z112">
        <f t="shared" si="47"/>
        <v>3.454445638601392</v>
      </c>
      <c r="AA112">
        <f t="shared" si="48"/>
        <v>1.566830108649802</v>
      </c>
      <c r="AB112">
        <f t="shared" si="49"/>
        <v>-28.172068934150264</v>
      </c>
      <c r="AC112">
        <f t="shared" si="50"/>
        <v>-225.26441939195396</v>
      </c>
      <c r="AD112">
        <f t="shared" si="51"/>
        <v>-22.903149856986932</v>
      </c>
      <c r="AE112">
        <f t="shared" si="52"/>
        <v>-0.22379920709110479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52486.022875576899</v>
      </c>
      <c r="AK112">
        <f t="shared" si="56"/>
        <v>1800</v>
      </c>
      <c r="AL112">
        <f t="shared" si="57"/>
        <v>1499.1116345999999</v>
      </c>
      <c r="AM112">
        <f t="shared" si="58"/>
        <v>0.83283979699999999</v>
      </c>
      <c r="AN112">
        <f t="shared" si="59"/>
        <v>0.15339768832000003</v>
      </c>
      <c r="AO112">
        <v>32.4</v>
      </c>
      <c r="AP112">
        <v>0.5</v>
      </c>
      <c r="AQ112" t="s">
        <v>331</v>
      </c>
      <c r="AR112">
        <v>2</v>
      </c>
      <c r="AS112">
        <v>1690227765.5</v>
      </c>
      <c r="AT112">
        <v>691.779</v>
      </c>
      <c r="AU112">
        <v>800.03200000000004</v>
      </c>
      <c r="AV112">
        <v>23.273099999999999</v>
      </c>
      <c r="AW112">
        <v>16.538</v>
      </c>
      <c r="AX112">
        <v>692.14200000000005</v>
      </c>
      <c r="AY112">
        <v>22.963100000000001</v>
      </c>
      <c r="AZ112">
        <v>300.161</v>
      </c>
      <c r="BA112">
        <v>99.072800000000001</v>
      </c>
      <c r="BB112">
        <v>9.9977499999999997E-2</v>
      </c>
      <c r="BC112">
        <v>26.397500000000001</v>
      </c>
      <c r="BD112">
        <v>26.979399999999998</v>
      </c>
      <c r="BE112">
        <v>28.1919</v>
      </c>
      <c r="BF112">
        <v>0</v>
      </c>
      <c r="BG112">
        <v>0</v>
      </c>
      <c r="BH112">
        <v>9998.75</v>
      </c>
      <c r="BI112">
        <v>1071.6400000000001</v>
      </c>
      <c r="BJ112">
        <v>1.5137799999999999</v>
      </c>
      <c r="BK112">
        <v>-108.254</v>
      </c>
      <c r="BL112">
        <v>708.26199999999994</v>
      </c>
      <c r="BM112">
        <v>813.48599999999999</v>
      </c>
      <c r="BN112">
        <v>6.7351299999999998</v>
      </c>
      <c r="BO112">
        <v>800.03200000000004</v>
      </c>
      <c r="BP112">
        <v>16.538</v>
      </c>
      <c r="BQ112">
        <v>2.3057300000000001</v>
      </c>
      <c r="BR112">
        <v>1.63846</v>
      </c>
      <c r="BS112">
        <v>19.7165</v>
      </c>
      <c r="BT112">
        <v>14.3254</v>
      </c>
      <c r="BU112">
        <v>1800</v>
      </c>
      <c r="BV112">
        <v>0.90999300000000005</v>
      </c>
      <c r="BW112">
        <v>3.3998300000000002E-2</v>
      </c>
      <c r="BX112">
        <v>2.2004099999999999E-2</v>
      </c>
      <c r="BY112">
        <v>3.4004399999999997E-2</v>
      </c>
      <c r="BZ112">
        <v>25.666699999999999</v>
      </c>
      <c r="CA112">
        <v>33528.199999999997</v>
      </c>
      <c r="CB112">
        <v>1690226183.5999999</v>
      </c>
      <c r="CC112" t="s">
        <v>332</v>
      </c>
      <c r="CD112">
        <v>1690226177.5999999</v>
      </c>
      <c r="CE112">
        <v>1690226183.5999999</v>
      </c>
      <c r="CF112">
        <v>12</v>
      </c>
      <c r="CG112">
        <v>-0.255</v>
      </c>
      <c r="CH112">
        <v>0.113</v>
      </c>
      <c r="CI112">
        <v>-0.439</v>
      </c>
      <c r="CJ112">
        <v>0.31</v>
      </c>
      <c r="CK112">
        <v>800</v>
      </c>
      <c r="CL112">
        <v>25</v>
      </c>
      <c r="CM112">
        <v>0.02</v>
      </c>
      <c r="CN112">
        <v>0.03</v>
      </c>
      <c r="CO112">
        <v>-105.14749999999999</v>
      </c>
      <c r="CP112">
        <v>-17.24782739211971</v>
      </c>
      <c r="CQ112">
        <v>1.6598200053017791</v>
      </c>
      <c r="CR112">
        <v>-1</v>
      </c>
      <c r="CS112">
        <v>6.5935497499999993</v>
      </c>
      <c r="CT112">
        <v>0.74211388367729836</v>
      </c>
      <c r="CU112">
        <v>7.408930994035165E-2</v>
      </c>
      <c r="CV112">
        <v>-1</v>
      </c>
      <c r="CW112">
        <v>0</v>
      </c>
      <c r="CX112">
        <v>0</v>
      </c>
      <c r="CY112" t="s">
        <v>333</v>
      </c>
      <c r="CZ112">
        <v>2.3643200000000002</v>
      </c>
      <c r="DA112">
        <v>2.7137699999999998</v>
      </c>
      <c r="DB112">
        <v>0.13300699999999999</v>
      </c>
      <c r="DC112">
        <v>0.146261</v>
      </c>
      <c r="DD112">
        <v>0.11100400000000001</v>
      </c>
      <c r="DE112">
        <v>8.6091000000000001E-2</v>
      </c>
      <c r="DF112">
        <v>31660.5</v>
      </c>
      <c r="DG112">
        <v>27521</v>
      </c>
      <c r="DH112">
        <v>31175.1</v>
      </c>
      <c r="DI112">
        <v>28088.9</v>
      </c>
      <c r="DJ112">
        <v>37628.6</v>
      </c>
      <c r="DK112">
        <v>36505.1</v>
      </c>
      <c r="DL112">
        <v>44367.5</v>
      </c>
      <c r="DM112">
        <v>42576.9</v>
      </c>
      <c r="DN112">
        <v>1.4758800000000001</v>
      </c>
      <c r="DO112">
        <v>2.05172</v>
      </c>
      <c r="DP112">
        <v>0.105463</v>
      </c>
      <c r="DQ112">
        <v>0.19528000000000001</v>
      </c>
      <c r="DR112">
        <v>25.252199999999998</v>
      </c>
      <c r="DS112">
        <v>24.996200000000002</v>
      </c>
      <c r="DT112">
        <v>57.1</v>
      </c>
      <c r="DU112">
        <v>29.2</v>
      </c>
      <c r="DV112">
        <v>23.446400000000001</v>
      </c>
      <c r="DW112">
        <v>61.862400000000001</v>
      </c>
      <c r="DX112">
        <v>35.600999999999999</v>
      </c>
      <c r="DY112">
        <v>1</v>
      </c>
      <c r="DZ112">
        <v>-8.5597099999999995E-2</v>
      </c>
      <c r="EA112">
        <v>0.13933000000000001</v>
      </c>
      <c r="EB112">
        <v>20.189299999999999</v>
      </c>
      <c r="EC112">
        <v>5.2409499999999998</v>
      </c>
      <c r="ED112">
        <v>12.039899999999999</v>
      </c>
      <c r="EE112">
        <v>5.0168499999999998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1.8646199999999999</v>
      </c>
      <c r="EM112">
        <v>1.8691899999999999</v>
      </c>
      <c r="EN112">
        <v>1.8672500000000001</v>
      </c>
      <c r="EO112">
        <v>1.8633999999999999</v>
      </c>
      <c r="EP112">
        <v>1.8645099999999999</v>
      </c>
      <c r="EQ112">
        <v>1.8701399999999999</v>
      </c>
      <c r="ER112">
        <v>1.8693900000000001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-0.36299999999999999</v>
      </c>
      <c r="FG112">
        <v>0.31</v>
      </c>
      <c r="FH112">
        <v>0.1121710645629533</v>
      </c>
      <c r="FI112">
        <v>-6.1462078757559423E-4</v>
      </c>
      <c r="FJ112">
        <v>-1.8861989874597051E-7</v>
      </c>
      <c r="FK112">
        <v>1.1980462299894961E-10</v>
      </c>
      <c r="FL112">
        <v>0.30996499999999833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26.5</v>
      </c>
      <c r="FU112">
        <v>26.4</v>
      </c>
      <c r="FV112">
        <v>1.78589</v>
      </c>
      <c r="FW112">
        <v>2.5842299999999998</v>
      </c>
      <c r="FX112">
        <v>1.5490699999999999</v>
      </c>
      <c r="FY112">
        <v>2.3290999999999999</v>
      </c>
      <c r="FZ112">
        <v>1.50146</v>
      </c>
      <c r="GA112">
        <v>2.3571800000000001</v>
      </c>
      <c r="GB112">
        <v>33.963900000000002</v>
      </c>
      <c r="GC112">
        <v>23.982399999999998</v>
      </c>
      <c r="GD112">
        <v>19</v>
      </c>
      <c r="GE112">
        <v>283.2</v>
      </c>
      <c r="GF112">
        <v>597.18200000000002</v>
      </c>
      <c r="GG112">
        <v>24.215900000000001</v>
      </c>
      <c r="GH112">
        <v>26.3066</v>
      </c>
      <c r="GI112">
        <v>29.999600000000001</v>
      </c>
      <c r="GJ112">
        <v>26.454999999999998</v>
      </c>
      <c r="GK112">
        <v>26.4453</v>
      </c>
      <c r="GL112">
        <v>35.708399999999997</v>
      </c>
      <c r="GM112">
        <v>38.61</v>
      </c>
      <c r="GN112">
        <v>95.092100000000002</v>
      </c>
      <c r="GO112">
        <v>24.2318</v>
      </c>
      <c r="GP112">
        <v>800</v>
      </c>
      <c r="GQ112">
        <v>16.412299999999998</v>
      </c>
      <c r="GR112">
        <v>99.750200000000007</v>
      </c>
      <c r="GS112">
        <v>99.598500000000001</v>
      </c>
    </row>
    <row r="113" spans="1:201" x14ac:dyDescent="0.25">
      <c r="A113">
        <v>97</v>
      </c>
      <c r="B113">
        <v>1690227775.5</v>
      </c>
      <c r="C113">
        <v>1205.900000095367</v>
      </c>
      <c r="D113" t="s">
        <v>525</v>
      </c>
      <c r="E113" t="s">
        <v>526</v>
      </c>
      <c r="F113" t="s">
        <v>330</v>
      </c>
      <c r="H113">
        <v>1690227775.5</v>
      </c>
      <c r="I113">
        <f t="shared" si="30"/>
        <v>6.5615666142307622E-4</v>
      </c>
      <c r="J113">
        <f t="shared" si="31"/>
        <v>0.65615666142307627</v>
      </c>
      <c r="K113">
        <f t="shared" si="32"/>
        <v>9.8523365667187299</v>
      </c>
      <c r="L113">
        <f t="shared" si="33"/>
        <v>688.90200000000004</v>
      </c>
      <c r="M113">
        <f t="shared" si="34"/>
        <v>285.70222786318709</v>
      </c>
      <c r="N113">
        <f t="shared" si="35"/>
        <v>28.334097323247708</v>
      </c>
      <c r="O113">
        <f t="shared" si="36"/>
        <v>68.320840408452</v>
      </c>
      <c r="P113">
        <f t="shared" si="37"/>
        <v>4.0732865111598349E-2</v>
      </c>
      <c r="Q113">
        <f t="shared" si="38"/>
        <v>2.1271099717091486</v>
      </c>
      <c r="R113">
        <f t="shared" si="39"/>
        <v>4.0304446025914667E-2</v>
      </c>
      <c r="S113">
        <f t="shared" si="40"/>
        <v>2.5228394949213709E-2</v>
      </c>
      <c r="T113">
        <f t="shared" si="41"/>
        <v>276.11582936400004</v>
      </c>
      <c r="U113">
        <f t="shared" si="42"/>
        <v>28.359378748387879</v>
      </c>
      <c r="V113">
        <f t="shared" si="43"/>
        <v>28.359378748387879</v>
      </c>
      <c r="W113">
        <f t="shared" si="44"/>
        <v>3.8750739880563159</v>
      </c>
      <c r="X113">
        <f t="shared" si="45"/>
        <v>66.880495401229695</v>
      </c>
      <c r="Y113">
        <f t="shared" si="46"/>
        <v>2.3108819987364</v>
      </c>
      <c r="Z113">
        <f t="shared" si="47"/>
        <v>3.4552405523807042</v>
      </c>
      <c r="AA113">
        <f t="shared" si="48"/>
        <v>1.5641919893199159</v>
      </c>
      <c r="AB113">
        <f t="shared" si="49"/>
        <v>-28.936508768757662</v>
      </c>
      <c r="AC113">
        <f t="shared" si="50"/>
        <v>-224.53464490631683</v>
      </c>
      <c r="AD113">
        <f t="shared" si="51"/>
        <v>-22.867777912583104</v>
      </c>
      <c r="AE113">
        <f t="shared" si="52"/>
        <v>-0.22310222365757681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52331.42405679026</v>
      </c>
      <c r="AK113">
        <f t="shared" si="56"/>
        <v>1800</v>
      </c>
      <c r="AL113">
        <f t="shared" si="57"/>
        <v>1499.1119153999998</v>
      </c>
      <c r="AM113">
        <f t="shared" si="58"/>
        <v>0.83283995299999991</v>
      </c>
      <c r="AN113">
        <f t="shared" si="59"/>
        <v>0.15339768298000001</v>
      </c>
      <c r="AO113">
        <v>32.4</v>
      </c>
      <c r="AP113">
        <v>0.5</v>
      </c>
      <c r="AQ113" t="s">
        <v>331</v>
      </c>
      <c r="AR113">
        <v>2</v>
      </c>
      <c r="AS113">
        <v>1690227775.5</v>
      </c>
      <c r="AT113">
        <v>688.90200000000004</v>
      </c>
      <c r="AU113">
        <v>800.13499999999999</v>
      </c>
      <c r="AV113">
        <v>23.301400000000001</v>
      </c>
      <c r="AW113">
        <v>16.383400000000002</v>
      </c>
      <c r="AX113">
        <v>689.26400000000001</v>
      </c>
      <c r="AY113">
        <v>22.991499999999998</v>
      </c>
      <c r="AZ113">
        <v>300.14600000000002</v>
      </c>
      <c r="BA113">
        <v>99.073499999999996</v>
      </c>
      <c r="BB113">
        <v>0.100026</v>
      </c>
      <c r="BC113">
        <v>26.401399999999999</v>
      </c>
      <c r="BD113">
        <v>27.006399999999999</v>
      </c>
      <c r="BE113">
        <v>28.184699999999999</v>
      </c>
      <c r="BF113">
        <v>0</v>
      </c>
      <c r="BG113">
        <v>0</v>
      </c>
      <c r="BH113">
        <v>9968.1200000000008</v>
      </c>
      <c r="BI113">
        <v>1071.76</v>
      </c>
      <c r="BJ113">
        <v>1.5137799999999999</v>
      </c>
      <c r="BK113">
        <v>-111.233</v>
      </c>
      <c r="BL113">
        <v>705.33699999999999</v>
      </c>
      <c r="BM113">
        <v>813.46199999999999</v>
      </c>
      <c r="BN113">
        <v>6.9180599999999997</v>
      </c>
      <c r="BO113">
        <v>800.13499999999999</v>
      </c>
      <c r="BP113">
        <v>16.383400000000002</v>
      </c>
      <c r="BQ113">
        <v>2.3085599999999999</v>
      </c>
      <c r="BR113">
        <v>1.6231599999999999</v>
      </c>
      <c r="BS113">
        <v>19.7362</v>
      </c>
      <c r="BT113">
        <v>14.180400000000001</v>
      </c>
      <c r="BU113">
        <v>1800</v>
      </c>
      <c r="BV113">
        <v>0.90999399999999997</v>
      </c>
      <c r="BW113">
        <v>3.3998E-2</v>
      </c>
      <c r="BX113">
        <v>2.20039E-2</v>
      </c>
      <c r="BY113">
        <v>3.4004E-2</v>
      </c>
      <c r="BZ113">
        <v>25.666699999999999</v>
      </c>
      <c r="CA113">
        <v>33528.400000000001</v>
      </c>
      <c r="CB113">
        <v>1690226183.5999999</v>
      </c>
      <c r="CC113" t="s">
        <v>332</v>
      </c>
      <c r="CD113">
        <v>1690226177.5999999</v>
      </c>
      <c r="CE113">
        <v>1690226183.5999999</v>
      </c>
      <c r="CF113">
        <v>12</v>
      </c>
      <c r="CG113">
        <v>-0.255</v>
      </c>
      <c r="CH113">
        <v>0.113</v>
      </c>
      <c r="CI113">
        <v>-0.439</v>
      </c>
      <c r="CJ113">
        <v>0.31</v>
      </c>
      <c r="CK113">
        <v>800</v>
      </c>
      <c r="CL113">
        <v>25</v>
      </c>
      <c r="CM113">
        <v>0.02</v>
      </c>
      <c r="CN113">
        <v>0.03</v>
      </c>
      <c r="CO113">
        <v>-107.8238292682927</v>
      </c>
      <c r="CP113">
        <v>-17.335442508710699</v>
      </c>
      <c r="CQ113">
        <v>1.7095612174521679</v>
      </c>
      <c r="CR113">
        <v>-1</v>
      </c>
      <c r="CS113">
        <v>6.7191031707317084</v>
      </c>
      <c r="CT113">
        <v>0.90682641114981966</v>
      </c>
      <c r="CU113">
        <v>8.9885520292420543E-2</v>
      </c>
      <c r="CV113">
        <v>-1</v>
      </c>
      <c r="CW113">
        <v>0</v>
      </c>
      <c r="CX113">
        <v>0</v>
      </c>
      <c r="CY113" t="s">
        <v>333</v>
      </c>
      <c r="CZ113">
        <v>2.3642699999999999</v>
      </c>
      <c r="DA113">
        <v>2.7137899999999999</v>
      </c>
      <c r="DB113">
        <v>0.132629</v>
      </c>
      <c r="DC113">
        <v>0.14627200000000001</v>
      </c>
      <c r="DD113">
        <v>0.11110200000000001</v>
      </c>
      <c r="DE113">
        <v>8.5507899999999998E-2</v>
      </c>
      <c r="DF113">
        <v>31674.3</v>
      </c>
      <c r="DG113">
        <v>27521</v>
      </c>
      <c r="DH113">
        <v>31175.200000000001</v>
      </c>
      <c r="DI113">
        <v>28089.3</v>
      </c>
      <c r="DJ113">
        <v>37624.5</v>
      </c>
      <c r="DK113">
        <v>36528.800000000003</v>
      </c>
      <c r="DL113">
        <v>44367.6</v>
      </c>
      <c r="DM113">
        <v>42577.3</v>
      </c>
      <c r="DN113">
        <v>1.47618</v>
      </c>
      <c r="DO113">
        <v>2.0514199999999998</v>
      </c>
      <c r="DP113">
        <v>0.107102</v>
      </c>
      <c r="DQ113">
        <v>0.19470199999999999</v>
      </c>
      <c r="DR113">
        <v>25.252400000000002</v>
      </c>
      <c r="DS113">
        <v>24.9984</v>
      </c>
      <c r="DT113">
        <v>57</v>
      </c>
      <c r="DU113">
        <v>29.2</v>
      </c>
      <c r="DV113">
        <v>23.410799999999998</v>
      </c>
      <c r="DW113">
        <v>61.972499999999997</v>
      </c>
      <c r="DX113">
        <v>36.762799999999999</v>
      </c>
      <c r="DY113">
        <v>1</v>
      </c>
      <c r="DZ113">
        <v>-8.6003599999999999E-2</v>
      </c>
      <c r="EA113">
        <v>0.13741600000000001</v>
      </c>
      <c r="EB113">
        <v>20.189299999999999</v>
      </c>
      <c r="EC113">
        <v>5.2404999999999999</v>
      </c>
      <c r="ED113">
        <v>12.039899999999999</v>
      </c>
      <c r="EE113">
        <v>5.0170500000000002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1.8646400000000001</v>
      </c>
      <c r="EM113">
        <v>1.86917</v>
      </c>
      <c r="EN113">
        <v>1.8672500000000001</v>
      </c>
      <c r="EO113">
        <v>1.8633999999999999</v>
      </c>
      <c r="EP113">
        <v>1.86452</v>
      </c>
      <c r="EQ113">
        <v>1.87015</v>
      </c>
      <c r="ER113">
        <v>1.8693900000000001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-0.36199999999999999</v>
      </c>
      <c r="FG113">
        <v>0.30990000000000001</v>
      </c>
      <c r="FH113">
        <v>0.1121710645629533</v>
      </c>
      <c r="FI113">
        <v>-6.1462078757559423E-4</v>
      </c>
      <c r="FJ113">
        <v>-1.8861989874597051E-7</v>
      </c>
      <c r="FK113">
        <v>1.1980462299894961E-10</v>
      </c>
      <c r="FL113">
        <v>0.30996499999999833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26.6</v>
      </c>
      <c r="FU113">
        <v>26.5</v>
      </c>
      <c r="FV113">
        <v>1.78589</v>
      </c>
      <c r="FW113">
        <v>2.5903299999999998</v>
      </c>
      <c r="FX113">
        <v>1.5490699999999999</v>
      </c>
      <c r="FY113">
        <v>2.3290999999999999</v>
      </c>
      <c r="FZ113">
        <v>1.50146</v>
      </c>
      <c r="GA113">
        <v>2.31934</v>
      </c>
      <c r="GB113">
        <v>33.963900000000002</v>
      </c>
      <c r="GC113">
        <v>23.973700000000001</v>
      </c>
      <c r="GD113">
        <v>19</v>
      </c>
      <c r="GE113">
        <v>283.31599999999997</v>
      </c>
      <c r="GF113">
        <v>596.899</v>
      </c>
      <c r="GG113">
        <v>24.2682</v>
      </c>
      <c r="GH113">
        <v>26.304200000000002</v>
      </c>
      <c r="GI113">
        <v>30</v>
      </c>
      <c r="GJ113">
        <v>26.452400000000001</v>
      </c>
      <c r="GK113">
        <v>26.442699999999999</v>
      </c>
      <c r="GL113">
        <v>35.703099999999999</v>
      </c>
      <c r="GM113">
        <v>38.908299999999997</v>
      </c>
      <c r="GN113">
        <v>94.719700000000003</v>
      </c>
      <c r="GO113">
        <v>24.266400000000001</v>
      </c>
      <c r="GP113">
        <v>800</v>
      </c>
      <c r="GQ113">
        <v>16.281300000000002</v>
      </c>
      <c r="GR113">
        <v>99.750500000000002</v>
      </c>
      <c r="GS113">
        <v>99.599699999999999</v>
      </c>
    </row>
    <row r="114" spans="1:201" x14ac:dyDescent="0.25">
      <c r="A114">
        <v>98</v>
      </c>
      <c r="B114">
        <v>1690227785.5</v>
      </c>
      <c r="C114">
        <v>1215.900000095367</v>
      </c>
      <c r="D114" t="s">
        <v>527</v>
      </c>
      <c r="E114" t="s">
        <v>528</v>
      </c>
      <c r="F114" t="s">
        <v>330</v>
      </c>
      <c r="H114">
        <v>1690227785.5</v>
      </c>
      <c r="I114">
        <f t="shared" si="30"/>
        <v>6.6750283539242174E-4</v>
      </c>
      <c r="J114">
        <f t="shared" si="31"/>
        <v>0.66750283539242172</v>
      </c>
      <c r="K114">
        <f t="shared" si="32"/>
        <v>10.105986406860779</v>
      </c>
      <c r="L114">
        <f t="shared" si="33"/>
        <v>686.05600000000004</v>
      </c>
      <c r="M114">
        <f t="shared" si="34"/>
        <v>280.51378515003154</v>
      </c>
      <c r="N114">
        <f t="shared" si="35"/>
        <v>27.819467389809574</v>
      </c>
      <c r="O114">
        <f t="shared" si="36"/>
        <v>68.038412120728012</v>
      </c>
      <c r="P114">
        <f t="shared" si="37"/>
        <v>4.1525279423881539E-2</v>
      </c>
      <c r="Q114">
        <f t="shared" si="38"/>
        <v>2.1314104901902304</v>
      </c>
      <c r="R114">
        <f t="shared" si="39"/>
        <v>4.1081015400191268E-2</v>
      </c>
      <c r="S114">
        <f t="shared" si="40"/>
        <v>2.5715153838707042E-2</v>
      </c>
      <c r="T114">
        <f t="shared" si="41"/>
        <v>276.11585659799999</v>
      </c>
      <c r="U114">
        <f t="shared" si="42"/>
        <v>28.354428708904884</v>
      </c>
      <c r="V114">
        <f t="shared" si="43"/>
        <v>28.354428708904884</v>
      </c>
      <c r="W114">
        <f t="shared" si="44"/>
        <v>3.8739588789874442</v>
      </c>
      <c r="X114">
        <f t="shared" si="45"/>
        <v>66.926021074727799</v>
      </c>
      <c r="Y114">
        <f t="shared" si="46"/>
        <v>2.3128097490967003</v>
      </c>
      <c r="Z114">
        <f t="shared" si="47"/>
        <v>3.4557705836333508</v>
      </c>
      <c r="AA114">
        <f t="shared" si="48"/>
        <v>1.5611491298907438</v>
      </c>
      <c r="AB114">
        <f t="shared" si="49"/>
        <v>-29.436875040805798</v>
      </c>
      <c r="AC114">
        <f t="shared" si="50"/>
        <v>-224.12103691798859</v>
      </c>
      <c r="AD114">
        <f t="shared" si="51"/>
        <v>-22.779329718011621</v>
      </c>
      <c r="AE114">
        <f t="shared" si="52"/>
        <v>-0.22138507880600855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52516.559798698792</v>
      </c>
      <c r="AK114">
        <f t="shared" si="56"/>
        <v>1800</v>
      </c>
      <c r="AL114">
        <f t="shared" si="57"/>
        <v>1499.1130368000001</v>
      </c>
      <c r="AM114">
        <f t="shared" si="58"/>
        <v>0.83284057600000005</v>
      </c>
      <c r="AN114">
        <f t="shared" si="59"/>
        <v>0.15339769811000001</v>
      </c>
      <c r="AO114">
        <v>32.4</v>
      </c>
      <c r="AP114">
        <v>0.5</v>
      </c>
      <c r="AQ114" t="s">
        <v>331</v>
      </c>
      <c r="AR114">
        <v>2</v>
      </c>
      <c r="AS114">
        <v>1690227785.5</v>
      </c>
      <c r="AT114">
        <v>686.05600000000004</v>
      </c>
      <c r="AU114">
        <v>800.07500000000005</v>
      </c>
      <c r="AV114">
        <v>23.320900000000002</v>
      </c>
      <c r="AW114">
        <v>16.284400000000002</v>
      </c>
      <c r="AX114">
        <v>686.41600000000005</v>
      </c>
      <c r="AY114">
        <v>23.010899999999999</v>
      </c>
      <c r="AZ114">
        <v>300.18799999999999</v>
      </c>
      <c r="BA114">
        <v>99.0732</v>
      </c>
      <c r="BB114">
        <v>0.100063</v>
      </c>
      <c r="BC114">
        <v>26.404</v>
      </c>
      <c r="BD114">
        <v>26.9605</v>
      </c>
      <c r="BE114">
        <v>28.185400000000001</v>
      </c>
      <c r="BF114">
        <v>0</v>
      </c>
      <c r="BG114">
        <v>0</v>
      </c>
      <c r="BH114">
        <v>10005</v>
      </c>
      <c r="BI114">
        <v>1071.75</v>
      </c>
      <c r="BJ114">
        <v>1.5137799999999999</v>
      </c>
      <c r="BK114">
        <v>-114.01900000000001</v>
      </c>
      <c r="BL114">
        <v>702.43799999999999</v>
      </c>
      <c r="BM114">
        <v>813.32</v>
      </c>
      <c r="BN114">
        <v>7.0364699999999996</v>
      </c>
      <c r="BO114">
        <v>800.07500000000005</v>
      </c>
      <c r="BP114">
        <v>16.284400000000002</v>
      </c>
      <c r="BQ114">
        <v>2.3104800000000001</v>
      </c>
      <c r="BR114">
        <v>1.6133500000000001</v>
      </c>
      <c r="BS114">
        <v>19.749600000000001</v>
      </c>
      <c r="BT114">
        <v>14.0869</v>
      </c>
      <c r="BU114">
        <v>1800</v>
      </c>
      <c r="BV114">
        <v>0.90999699999999994</v>
      </c>
      <c r="BW114">
        <v>3.3996999999999999E-2</v>
      </c>
      <c r="BX114">
        <v>2.20033E-2</v>
      </c>
      <c r="BY114">
        <v>3.4003100000000001E-2</v>
      </c>
      <c r="BZ114">
        <v>25.666699999999999</v>
      </c>
      <c r="CA114">
        <v>33528.300000000003</v>
      </c>
      <c r="CB114">
        <v>1690226183.5999999</v>
      </c>
      <c r="CC114" t="s">
        <v>332</v>
      </c>
      <c r="CD114">
        <v>1690226177.5999999</v>
      </c>
      <c r="CE114">
        <v>1690226183.5999999</v>
      </c>
      <c r="CF114">
        <v>12</v>
      </c>
      <c r="CG114">
        <v>-0.255</v>
      </c>
      <c r="CH114">
        <v>0.113</v>
      </c>
      <c r="CI114">
        <v>-0.439</v>
      </c>
      <c r="CJ114">
        <v>0.31</v>
      </c>
      <c r="CK114">
        <v>800</v>
      </c>
      <c r="CL114">
        <v>25</v>
      </c>
      <c r="CM114">
        <v>0.02</v>
      </c>
      <c r="CN114">
        <v>0.03</v>
      </c>
      <c r="CO114">
        <v>-110.937775</v>
      </c>
      <c r="CP114">
        <v>-17.36711819887385</v>
      </c>
      <c r="CQ114">
        <v>1.6711057490102179</v>
      </c>
      <c r="CR114">
        <v>-1</v>
      </c>
      <c r="CS114">
        <v>6.8866535000000004</v>
      </c>
      <c r="CT114">
        <v>0.94945125703562661</v>
      </c>
      <c r="CU114">
        <v>9.1779386698484719E-2</v>
      </c>
      <c r="CV114">
        <v>-1</v>
      </c>
      <c r="CW114">
        <v>0</v>
      </c>
      <c r="CX114">
        <v>0</v>
      </c>
      <c r="CY114" t="s">
        <v>333</v>
      </c>
      <c r="CZ114">
        <v>2.3643800000000001</v>
      </c>
      <c r="DA114">
        <v>2.7138599999999999</v>
      </c>
      <c r="DB114">
        <v>0.13225400000000001</v>
      </c>
      <c r="DC114">
        <v>0.146263</v>
      </c>
      <c r="DD114">
        <v>0.111168</v>
      </c>
      <c r="DE114">
        <v>8.5132899999999997E-2</v>
      </c>
      <c r="DF114">
        <v>31687.9</v>
      </c>
      <c r="DG114">
        <v>27521.5</v>
      </c>
      <c r="DH114">
        <v>31175.1</v>
      </c>
      <c r="DI114">
        <v>28089.5</v>
      </c>
      <c r="DJ114">
        <v>37621.699999999997</v>
      </c>
      <c r="DK114">
        <v>36544.1</v>
      </c>
      <c r="DL114">
        <v>44367.7</v>
      </c>
      <c r="DM114">
        <v>42577.7</v>
      </c>
      <c r="DN114">
        <v>1.47618</v>
      </c>
      <c r="DO114">
        <v>2.0512999999999999</v>
      </c>
      <c r="DP114">
        <v>0.104308</v>
      </c>
      <c r="DQ114">
        <v>0.194553</v>
      </c>
      <c r="DR114">
        <v>25.252199999999998</v>
      </c>
      <c r="DS114">
        <v>25.0016</v>
      </c>
      <c r="DT114">
        <v>57</v>
      </c>
      <c r="DU114">
        <v>29.2</v>
      </c>
      <c r="DV114">
        <v>23.408799999999999</v>
      </c>
      <c r="DW114">
        <v>61.692500000000003</v>
      </c>
      <c r="DX114">
        <v>35.396599999999999</v>
      </c>
      <c r="DY114">
        <v>1</v>
      </c>
      <c r="DZ114">
        <v>-8.57927E-2</v>
      </c>
      <c r="EA114">
        <v>0.23002500000000001</v>
      </c>
      <c r="EB114">
        <v>20.1891</v>
      </c>
      <c r="EC114">
        <v>5.2409499999999998</v>
      </c>
      <c r="ED114">
        <v>12.039899999999999</v>
      </c>
      <c r="EE114">
        <v>5.0167999999999999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1.8646400000000001</v>
      </c>
      <c r="EM114">
        <v>1.8691800000000001</v>
      </c>
      <c r="EN114">
        <v>1.8672599999999999</v>
      </c>
      <c r="EO114">
        <v>1.8633999999999999</v>
      </c>
      <c r="EP114">
        <v>1.86452</v>
      </c>
      <c r="EQ114">
        <v>1.87015</v>
      </c>
      <c r="ER114">
        <v>1.86938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-0.36</v>
      </c>
      <c r="FG114">
        <v>0.31</v>
      </c>
      <c r="FH114">
        <v>0.1121710645629533</v>
      </c>
      <c r="FI114">
        <v>-6.1462078757559423E-4</v>
      </c>
      <c r="FJ114">
        <v>-1.8861989874597051E-7</v>
      </c>
      <c r="FK114">
        <v>1.1980462299894961E-10</v>
      </c>
      <c r="FL114">
        <v>0.30996499999999833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26.8</v>
      </c>
      <c r="FU114">
        <v>26.7</v>
      </c>
      <c r="FV114">
        <v>1.78589</v>
      </c>
      <c r="FW114">
        <v>2.5842299999999998</v>
      </c>
      <c r="FX114">
        <v>1.5490699999999999</v>
      </c>
      <c r="FY114">
        <v>2.3290999999999999</v>
      </c>
      <c r="FZ114">
        <v>1.50146</v>
      </c>
      <c r="GA114">
        <v>2.3938000000000001</v>
      </c>
      <c r="GB114">
        <v>33.963900000000002</v>
      </c>
      <c r="GC114">
        <v>23.982399999999998</v>
      </c>
      <c r="GD114">
        <v>19</v>
      </c>
      <c r="GE114">
        <v>283.30599999999998</v>
      </c>
      <c r="GF114">
        <v>596.76800000000003</v>
      </c>
      <c r="GG114">
        <v>24.244299999999999</v>
      </c>
      <c r="GH114">
        <v>26.301100000000002</v>
      </c>
      <c r="GI114">
        <v>30.0001</v>
      </c>
      <c r="GJ114">
        <v>26.4499</v>
      </c>
      <c r="GK114">
        <v>26.4405</v>
      </c>
      <c r="GL114">
        <v>35.696599999999997</v>
      </c>
      <c r="GM114">
        <v>39.470500000000001</v>
      </c>
      <c r="GN114">
        <v>94.719700000000003</v>
      </c>
      <c r="GO114">
        <v>24.2456</v>
      </c>
      <c r="GP114">
        <v>800</v>
      </c>
      <c r="GQ114">
        <v>16.154900000000001</v>
      </c>
      <c r="GR114">
        <v>99.750299999999996</v>
      </c>
      <c r="GS114">
        <v>99.600499999999997</v>
      </c>
    </row>
    <row r="115" spans="1:201" x14ac:dyDescent="0.25">
      <c r="A115">
        <v>99</v>
      </c>
      <c r="B115">
        <v>1690227795.5</v>
      </c>
      <c r="C115">
        <v>1225.900000095367</v>
      </c>
      <c r="D115" t="s">
        <v>529</v>
      </c>
      <c r="E115" t="s">
        <v>530</v>
      </c>
      <c r="F115" t="s">
        <v>330</v>
      </c>
      <c r="H115">
        <v>1690227795.5</v>
      </c>
      <c r="I115">
        <f t="shared" si="30"/>
        <v>6.8104816181481444E-4</v>
      </c>
      <c r="J115">
        <f t="shared" si="31"/>
        <v>0.68104816181481442</v>
      </c>
      <c r="K115">
        <f t="shared" si="32"/>
        <v>10.356679248227435</v>
      </c>
      <c r="L115">
        <f t="shared" si="33"/>
        <v>683.17700000000002</v>
      </c>
      <c r="M115">
        <f t="shared" si="34"/>
        <v>276.49172521901772</v>
      </c>
      <c r="N115">
        <f t="shared" si="35"/>
        <v>27.420619319089646</v>
      </c>
      <c r="O115">
        <f t="shared" si="36"/>
        <v>67.752973184707812</v>
      </c>
      <c r="P115">
        <f t="shared" si="37"/>
        <v>4.2429457389930779E-2</v>
      </c>
      <c r="Q115">
        <f t="shared" si="38"/>
        <v>2.1295917024051607</v>
      </c>
      <c r="R115">
        <f t="shared" si="39"/>
        <v>4.1965360957484148E-2</v>
      </c>
      <c r="S115">
        <f t="shared" si="40"/>
        <v>2.6269624747568592E-2</v>
      </c>
      <c r="T115">
        <f t="shared" si="41"/>
        <v>276.11568837000004</v>
      </c>
      <c r="U115">
        <f t="shared" si="42"/>
        <v>28.351513415268197</v>
      </c>
      <c r="V115">
        <f t="shared" si="43"/>
        <v>28.351513415268197</v>
      </c>
      <c r="W115">
        <f t="shared" si="44"/>
        <v>3.8733022737124094</v>
      </c>
      <c r="X115">
        <f t="shared" si="45"/>
        <v>66.960501278187493</v>
      </c>
      <c r="Y115">
        <f t="shared" si="46"/>
        <v>2.3140422602206203</v>
      </c>
      <c r="Z115">
        <f t="shared" si="47"/>
        <v>3.4558317456539469</v>
      </c>
      <c r="AA115">
        <f t="shared" si="48"/>
        <v>1.5592600134917891</v>
      </c>
      <c r="AB115">
        <f t="shared" si="49"/>
        <v>-30.034223936033317</v>
      </c>
      <c r="AC115">
        <f t="shared" si="50"/>
        <v>-223.56063900741404</v>
      </c>
      <c r="AD115">
        <f t="shared" si="51"/>
        <v>-22.741480060887501</v>
      </c>
      <c r="AE115">
        <f t="shared" si="52"/>
        <v>-0.22065463433483501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52437.966329584444</v>
      </c>
      <c r="AK115">
        <f t="shared" si="56"/>
        <v>1800</v>
      </c>
      <c r="AL115">
        <f t="shared" si="57"/>
        <v>1499.1133139999999</v>
      </c>
      <c r="AM115">
        <f t="shared" si="58"/>
        <v>0.83284072999999992</v>
      </c>
      <c r="AN115">
        <f t="shared" si="59"/>
        <v>0.15339760465000002</v>
      </c>
      <c r="AO115">
        <v>32.4</v>
      </c>
      <c r="AP115">
        <v>0.5</v>
      </c>
      <c r="AQ115" t="s">
        <v>331</v>
      </c>
      <c r="AR115">
        <v>2</v>
      </c>
      <c r="AS115">
        <v>1690227795.5</v>
      </c>
      <c r="AT115">
        <v>683.17700000000002</v>
      </c>
      <c r="AU115">
        <v>800.00699999999995</v>
      </c>
      <c r="AV115">
        <v>23.333300000000001</v>
      </c>
      <c r="AW115">
        <v>16.1525</v>
      </c>
      <c r="AX115">
        <v>683.53499999999997</v>
      </c>
      <c r="AY115">
        <v>23.023299999999999</v>
      </c>
      <c r="AZ115">
        <v>300.12099999999998</v>
      </c>
      <c r="BA115">
        <v>99.073400000000007</v>
      </c>
      <c r="BB115">
        <v>9.9981399999999998E-2</v>
      </c>
      <c r="BC115">
        <v>26.404299999999999</v>
      </c>
      <c r="BD115">
        <v>27.010200000000001</v>
      </c>
      <c r="BE115">
        <v>28.166499999999999</v>
      </c>
      <c r="BF115">
        <v>0</v>
      </c>
      <c r="BG115">
        <v>0</v>
      </c>
      <c r="BH115">
        <v>9989.3799999999992</v>
      </c>
      <c r="BI115">
        <v>1071.8399999999999</v>
      </c>
      <c r="BJ115">
        <v>1.5137799999999999</v>
      </c>
      <c r="BK115">
        <v>-116.82899999999999</v>
      </c>
      <c r="BL115">
        <v>699.49900000000002</v>
      </c>
      <c r="BM115">
        <v>813.14099999999996</v>
      </c>
      <c r="BN115">
        <v>7.1807699999999999</v>
      </c>
      <c r="BO115">
        <v>800.00699999999995</v>
      </c>
      <c r="BP115">
        <v>16.1525</v>
      </c>
      <c r="BQ115">
        <v>2.3117100000000002</v>
      </c>
      <c r="BR115">
        <v>1.6002799999999999</v>
      </c>
      <c r="BS115">
        <v>19.758199999999999</v>
      </c>
      <c r="BT115">
        <v>13.961499999999999</v>
      </c>
      <c r="BU115">
        <v>1800</v>
      </c>
      <c r="BV115">
        <v>0.91</v>
      </c>
      <c r="BW115">
        <v>3.3995900000000003E-2</v>
      </c>
      <c r="BX115">
        <v>2.2002500000000001E-2</v>
      </c>
      <c r="BY115">
        <v>3.4001900000000002E-2</v>
      </c>
      <c r="BZ115">
        <v>25.666699999999999</v>
      </c>
      <c r="CA115">
        <v>33528.400000000001</v>
      </c>
      <c r="CB115">
        <v>1690226183.5999999</v>
      </c>
      <c r="CC115" t="s">
        <v>332</v>
      </c>
      <c r="CD115">
        <v>1690226177.5999999</v>
      </c>
      <c r="CE115">
        <v>1690226183.5999999</v>
      </c>
      <c r="CF115">
        <v>12</v>
      </c>
      <c r="CG115">
        <v>-0.255</v>
      </c>
      <c r="CH115">
        <v>0.113</v>
      </c>
      <c r="CI115">
        <v>-0.439</v>
      </c>
      <c r="CJ115">
        <v>0.31</v>
      </c>
      <c r="CK115">
        <v>800</v>
      </c>
      <c r="CL115">
        <v>25</v>
      </c>
      <c r="CM115">
        <v>0.02</v>
      </c>
      <c r="CN115">
        <v>0.03</v>
      </c>
      <c r="CO115">
        <v>-113.5963170731707</v>
      </c>
      <c r="CP115">
        <v>-16.979331010452821</v>
      </c>
      <c r="CQ115">
        <v>1.6744136132524401</v>
      </c>
      <c r="CR115">
        <v>-1</v>
      </c>
      <c r="CS115">
        <v>7.0330436585365863</v>
      </c>
      <c r="CT115">
        <v>0.90530801393728577</v>
      </c>
      <c r="CU115">
        <v>8.9875984142814794E-2</v>
      </c>
      <c r="CV115">
        <v>-1</v>
      </c>
      <c r="CW115">
        <v>0</v>
      </c>
      <c r="CX115">
        <v>0</v>
      </c>
      <c r="CY115" t="s">
        <v>333</v>
      </c>
      <c r="CZ115">
        <v>2.3641999999999999</v>
      </c>
      <c r="DA115">
        <v>2.7137600000000002</v>
      </c>
      <c r="DB115">
        <v>0.13187399999999999</v>
      </c>
      <c r="DC115">
        <v>0.14625299999999999</v>
      </c>
      <c r="DD115">
        <v>0.111211</v>
      </c>
      <c r="DE115">
        <v>8.4632200000000005E-2</v>
      </c>
      <c r="DF115">
        <v>31701.8</v>
      </c>
      <c r="DG115">
        <v>27522</v>
      </c>
      <c r="DH115">
        <v>31175.1</v>
      </c>
      <c r="DI115">
        <v>28089.599999999999</v>
      </c>
      <c r="DJ115">
        <v>37619.800000000003</v>
      </c>
      <c r="DK115">
        <v>36564.6</v>
      </c>
      <c r="DL115">
        <v>44367.7</v>
      </c>
      <c r="DM115">
        <v>42578.2</v>
      </c>
      <c r="DN115">
        <v>1.4763999999999999</v>
      </c>
      <c r="DO115">
        <v>2.0509499999999998</v>
      </c>
      <c r="DP115">
        <v>0.107475</v>
      </c>
      <c r="DQ115">
        <v>0.19334299999999999</v>
      </c>
      <c r="DR115">
        <v>25.2501</v>
      </c>
      <c r="DS115">
        <v>25.002400000000002</v>
      </c>
      <c r="DT115">
        <v>57</v>
      </c>
      <c r="DU115">
        <v>29.2</v>
      </c>
      <c r="DV115">
        <v>23.407599999999999</v>
      </c>
      <c r="DW115">
        <v>61.652500000000003</v>
      </c>
      <c r="DX115">
        <v>36.678699999999999</v>
      </c>
      <c r="DY115">
        <v>1</v>
      </c>
      <c r="DZ115">
        <v>-8.6570099999999997E-2</v>
      </c>
      <c r="EA115">
        <v>0.157753</v>
      </c>
      <c r="EB115">
        <v>20.190300000000001</v>
      </c>
      <c r="EC115">
        <v>5.2409499999999998</v>
      </c>
      <c r="ED115">
        <v>12.039899999999999</v>
      </c>
      <c r="EE115">
        <v>5.0171000000000001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1.8646400000000001</v>
      </c>
      <c r="EM115">
        <v>1.86917</v>
      </c>
      <c r="EN115">
        <v>1.86727</v>
      </c>
      <c r="EO115">
        <v>1.8633999999999999</v>
      </c>
      <c r="EP115">
        <v>1.86453</v>
      </c>
      <c r="EQ115">
        <v>1.8701399999999999</v>
      </c>
      <c r="ER115">
        <v>1.8693900000000001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-0.35799999999999998</v>
      </c>
      <c r="FG115">
        <v>0.31</v>
      </c>
      <c r="FH115">
        <v>0.1121710645629533</v>
      </c>
      <c r="FI115">
        <v>-6.1462078757559423E-4</v>
      </c>
      <c r="FJ115">
        <v>-1.8861989874597051E-7</v>
      </c>
      <c r="FK115">
        <v>1.1980462299894961E-10</v>
      </c>
      <c r="FL115">
        <v>0.30996499999999833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27</v>
      </c>
      <c r="FU115">
        <v>26.9</v>
      </c>
      <c r="FV115">
        <v>1.78589</v>
      </c>
      <c r="FW115">
        <v>2.5878899999999998</v>
      </c>
      <c r="FX115">
        <v>1.5490699999999999</v>
      </c>
      <c r="FY115">
        <v>2.3290999999999999</v>
      </c>
      <c r="FZ115">
        <v>1.50146</v>
      </c>
      <c r="GA115">
        <v>2.2644000000000002</v>
      </c>
      <c r="GB115">
        <v>33.963900000000002</v>
      </c>
      <c r="GC115">
        <v>23.982399999999998</v>
      </c>
      <c r="GD115">
        <v>19</v>
      </c>
      <c r="GE115">
        <v>283.38499999999999</v>
      </c>
      <c r="GF115">
        <v>596.43399999999997</v>
      </c>
      <c r="GG115">
        <v>24.2761</v>
      </c>
      <c r="GH115">
        <v>26.297499999999999</v>
      </c>
      <c r="GI115">
        <v>29.9999</v>
      </c>
      <c r="GJ115">
        <v>26.446000000000002</v>
      </c>
      <c r="GK115">
        <v>26.437000000000001</v>
      </c>
      <c r="GL115">
        <v>35.695099999999996</v>
      </c>
      <c r="GM115">
        <v>39.761400000000002</v>
      </c>
      <c r="GN115">
        <v>94.340599999999995</v>
      </c>
      <c r="GO115">
        <v>24.2773</v>
      </c>
      <c r="GP115">
        <v>800</v>
      </c>
      <c r="GQ115">
        <v>16.0291</v>
      </c>
      <c r="GR115">
        <v>99.750399999999999</v>
      </c>
      <c r="GS115">
        <v>99.601399999999998</v>
      </c>
    </row>
    <row r="116" spans="1:201" x14ac:dyDescent="0.25">
      <c r="A116">
        <v>100</v>
      </c>
      <c r="B116">
        <v>1690227805.5</v>
      </c>
      <c r="C116">
        <v>1235.900000095367</v>
      </c>
      <c r="D116" t="s">
        <v>531</v>
      </c>
      <c r="E116" t="s">
        <v>532</v>
      </c>
      <c r="F116" t="s">
        <v>330</v>
      </c>
      <c r="H116">
        <v>1690227805.5</v>
      </c>
      <c r="I116">
        <f t="shared" si="30"/>
        <v>6.9943722817388746E-4</v>
      </c>
      <c r="J116">
        <f t="shared" si="31"/>
        <v>0.69943722817388743</v>
      </c>
      <c r="K116">
        <f t="shared" si="32"/>
        <v>10.614090160729747</v>
      </c>
      <c r="L116">
        <f t="shared" si="33"/>
        <v>680.43100000000004</v>
      </c>
      <c r="M116">
        <f t="shared" si="34"/>
        <v>275.39854103599419</v>
      </c>
      <c r="N116">
        <f t="shared" si="35"/>
        <v>27.311589747463191</v>
      </c>
      <c r="O116">
        <f t="shared" si="36"/>
        <v>67.479124085219013</v>
      </c>
      <c r="P116">
        <f t="shared" si="37"/>
        <v>4.3670310910973509E-2</v>
      </c>
      <c r="Q116">
        <f t="shared" si="38"/>
        <v>2.1324804705586846</v>
      </c>
      <c r="R116">
        <f t="shared" si="39"/>
        <v>4.3179499746674489E-2</v>
      </c>
      <c r="S116">
        <f t="shared" si="40"/>
        <v>2.7030825063077635E-2</v>
      </c>
      <c r="T116">
        <f t="shared" si="41"/>
        <v>276.11550401400001</v>
      </c>
      <c r="U116">
        <f t="shared" si="42"/>
        <v>28.344303315194207</v>
      </c>
      <c r="V116">
        <f t="shared" si="43"/>
        <v>28.344303315194207</v>
      </c>
      <c r="W116">
        <f t="shared" si="44"/>
        <v>3.8716787754001087</v>
      </c>
      <c r="X116">
        <f t="shared" si="45"/>
        <v>66.992845653288072</v>
      </c>
      <c r="Y116">
        <f t="shared" si="46"/>
        <v>2.3153785670476998</v>
      </c>
      <c r="Z116">
        <f t="shared" si="47"/>
        <v>3.4561579590611986</v>
      </c>
      <c r="AA116">
        <f t="shared" si="48"/>
        <v>1.5563002083524089</v>
      </c>
      <c r="AB116">
        <f t="shared" si="49"/>
        <v>-30.845181762468439</v>
      </c>
      <c r="AC116">
        <f t="shared" si="50"/>
        <v>-222.85103210595719</v>
      </c>
      <c r="AD116">
        <f t="shared" si="51"/>
        <v>-22.637950655450258</v>
      </c>
      <c r="AE116">
        <f t="shared" si="52"/>
        <v>-0.2186605098758605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52562.423843532422</v>
      </c>
      <c r="AK116">
        <f t="shared" si="56"/>
        <v>1800</v>
      </c>
      <c r="AL116">
        <f t="shared" si="57"/>
        <v>1499.1125093999999</v>
      </c>
      <c r="AM116">
        <f t="shared" si="58"/>
        <v>0.8328402829999999</v>
      </c>
      <c r="AN116">
        <f t="shared" si="59"/>
        <v>0.15339750223000001</v>
      </c>
      <c r="AO116">
        <v>32.4</v>
      </c>
      <c r="AP116">
        <v>0.5</v>
      </c>
      <c r="AQ116" t="s">
        <v>331</v>
      </c>
      <c r="AR116">
        <v>2</v>
      </c>
      <c r="AS116">
        <v>1690227805.5</v>
      </c>
      <c r="AT116">
        <v>680.43100000000004</v>
      </c>
      <c r="AU116">
        <v>800.09500000000003</v>
      </c>
      <c r="AV116">
        <v>23.347300000000001</v>
      </c>
      <c r="AW116">
        <v>15.9764</v>
      </c>
      <c r="AX116">
        <v>680.78700000000003</v>
      </c>
      <c r="AY116">
        <v>23.037299999999998</v>
      </c>
      <c r="AZ116">
        <v>300.27100000000002</v>
      </c>
      <c r="BA116">
        <v>99.071100000000001</v>
      </c>
      <c r="BB116">
        <v>0.100049</v>
      </c>
      <c r="BC116">
        <v>26.405899999999999</v>
      </c>
      <c r="BD116">
        <v>26.984300000000001</v>
      </c>
      <c r="BE116">
        <v>28.201799999999999</v>
      </c>
      <c r="BF116">
        <v>0</v>
      </c>
      <c r="BG116">
        <v>0</v>
      </c>
      <c r="BH116">
        <v>10014.4</v>
      </c>
      <c r="BI116">
        <v>1071.8</v>
      </c>
      <c r="BJ116">
        <v>1.5137799999999999</v>
      </c>
      <c r="BK116">
        <v>-119.663</v>
      </c>
      <c r="BL116">
        <v>696.697</v>
      </c>
      <c r="BM116">
        <v>813.08500000000004</v>
      </c>
      <c r="BN116">
        <v>7.37087</v>
      </c>
      <c r="BO116">
        <v>800.09500000000003</v>
      </c>
      <c r="BP116">
        <v>15.9764</v>
      </c>
      <c r="BQ116">
        <v>2.31304</v>
      </c>
      <c r="BR116">
        <v>1.5828</v>
      </c>
      <c r="BS116">
        <v>19.767499999999998</v>
      </c>
      <c r="BT116">
        <v>13.792400000000001</v>
      </c>
      <c r="BU116">
        <v>1800</v>
      </c>
      <c r="BV116">
        <v>0.91</v>
      </c>
      <c r="BW116">
        <v>3.3995600000000001E-2</v>
      </c>
      <c r="BX116">
        <v>2.2002399999999998E-2</v>
      </c>
      <c r="BY116">
        <v>3.4001700000000003E-2</v>
      </c>
      <c r="BZ116">
        <v>25.666699999999999</v>
      </c>
      <c r="CA116">
        <v>33528.300000000003</v>
      </c>
      <c r="CB116">
        <v>1690226183.5999999</v>
      </c>
      <c r="CC116" t="s">
        <v>332</v>
      </c>
      <c r="CD116">
        <v>1690226177.5999999</v>
      </c>
      <c r="CE116">
        <v>1690226183.5999999</v>
      </c>
      <c r="CF116">
        <v>12</v>
      </c>
      <c r="CG116">
        <v>-0.255</v>
      </c>
      <c r="CH116">
        <v>0.113</v>
      </c>
      <c r="CI116">
        <v>-0.439</v>
      </c>
      <c r="CJ116">
        <v>0.31</v>
      </c>
      <c r="CK116">
        <v>800</v>
      </c>
      <c r="CL116">
        <v>25</v>
      </c>
      <c r="CM116">
        <v>0.02</v>
      </c>
      <c r="CN116">
        <v>0.03</v>
      </c>
      <c r="CO116">
        <v>-116.4302926829268</v>
      </c>
      <c r="CP116">
        <v>-17.01579094076671</v>
      </c>
      <c r="CQ116">
        <v>1.6778726985041179</v>
      </c>
      <c r="CR116">
        <v>-1</v>
      </c>
      <c r="CS116">
        <v>7.1713236585365854</v>
      </c>
      <c r="CT116">
        <v>0.82359324041812443</v>
      </c>
      <c r="CU116">
        <v>8.2382265755472819E-2</v>
      </c>
      <c r="CV116">
        <v>-1</v>
      </c>
      <c r="CW116">
        <v>0</v>
      </c>
      <c r="CX116">
        <v>0</v>
      </c>
      <c r="CY116" t="s">
        <v>333</v>
      </c>
      <c r="CZ116">
        <v>2.3646500000000001</v>
      </c>
      <c r="DA116">
        <v>2.7138499999999999</v>
      </c>
      <c r="DB116">
        <v>0.13150700000000001</v>
      </c>
      <c r="DC116">
        <v>0.146258</v>
      </c>
      <c r="DD116">
        <v>0.11125699999999999</v>
      </c>
      <c r="DE116">
        <v>8.3958900000000003E-2</v>
      </c>
      <c r="DF116">
        <v>31715.200000000001</v>
      </c>
      <c r="DG116">
        <v>27522</v>
      </c>
      <c r="DH116">
        <v>31175.1</v>
      </c>
      <c r="DI116">
        <v>28089.8</v>
      </c>
      <c r="DJ116">
        <v>37617.599999999999</v>
      </c>
      <c r="DK116">
        <v>36591.800000000003</v>
      </c>
      <c r="DL116">
        <v>44367.5</v>
      </c>
      <c r="DM116">
        <v>42578.400000000001</v>
      </c>
      <c r="DN116">
        <v>1.47665</v>
      </c>
      <c r="DO116">
        <v>2.0508500000000001</v>
      </c>
      <c r="DP116">
        <v>0.10602200000000001</v>
      </c>
      <c r="DQ116">
        <v>0.19542899999999999</v>
      </c>
      <c r="DR116">
        <v>25.248000000000001</v>
      </c>
      <c r="DS116">
        <v>25.003699999999998</v>
      </c>
      <c r="DT116">
        <v>57</v>
      </c>
      <c r="DU116">
        <v>29.2</v>
      </c>
      <c r="DV116">
        <v>23.4072</v>
      </c>
      <c r="DW116">
        <v>61.612499999999997</v>
      </c>
      <c r="DX116">
        <v>35.5929</v>
      </c>
      <c r="DY116">
        <v>1</v>
      </c>
      <c r="DZ116">
        <v>-8.6016300000000004E-2</v>
      </c>
      <c r="EA116">
        <v>0.213952</v>
      </c>
      <c r="EB116">
        <v>20.1892</v>
      </c>
      <c r="EC116">
        <v>5.2409499999999998</v>
      </c>
      <c r="ED116">
        <v>12.039899999999999</v>
      </c>
      <c r="EE116">
        <v>5.0171999999999999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1.8689100000000001</v>
      </c>
      <c r="EL116">
        <v>1.8646199999999999</v>
      </c>
      <c r="EM116">
        <v>1.8691500000000001</v>
      </c>
      <c r="EN116">
        <v>1.8672500000000001</v>
      </c>
      <c r="EO116">
        <v>1.8633999999999999</v>
      </c>
      <c r="EP116">
        <v>1.8645099999999999</v>
      </c>
      <c r="EQ116">
        <v>1.87012</v>
      </c>
      <c r="ER116">
        <v>1.8693900000000001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-0.35599999999999998</v>
      </c>
      <c r="FG116">
        <v>0.31</v>
      </c>
      <c r="FH116">
        <v>0.1121710645629533</v>
      </c>
      <c r="FI116">
        <v>-6.1462078757559423E-4</v>
      </c>
      <c r="FJ116">
        <v>-1.8861989874597051E-7</v>
      </c>
      <c r="FK116">
        <v>1.1980462299894961E-10</v>
      </c>
      <c r="FL116">
        <v>0.30996499999999833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27.1</v>
      </c>
      <c r="FU116">
        <v>27</v>
      </c>
      <c r="FV116">
        <v>1.78467</v>
      </c>
      <c r="FW116">
        <v>2.5830099999999998</v>
      </c>
      <c r="FX116">
        <v>1.5490699999999999</v>
      </c>
      <c r="FY116">
        <v>2.3290999999999999</v>
      </c>
      <c r="FZ116">
        <v>1.50146</v>
      </c>
      <c r="GA116">
        <v>2.4121100000000002</v>
      </c>
      <c r="GB116">
        <v>33.963900000000002</v>
      </c>
      <c r="GC116">
        <v>23.991199999999999</v>
      </c>
      <c r="GD116">
        <v>19</v>
      </c>
      <c r="GE116">
        <v>283.48</v>
      </c>
      <c r="GF116">
        <v>596.31299999999999</v>
      </c>
      <c r="GG116">
        <v>24.265599999999999</v>
      </c>
      <c r="GH116">
        <v>26.295300000000001</v>
      </c>
      <c r="GI116">
        <v>30.000299999999999</v>
      </c>
      <c r="GJ116">
        <v>26.4435</v>
      </c>
      <c r="GK116">
        <v>26.433900000000001</v>
      </c>
      <c r="GL116">
        <v>35.686100000000003</v>
      </c>
      <c r="GM116">
        <v>40.034100000000002</v>
      </c>
      <c r="GN116">
        <v>93.961500000000001</v>
      </c>
      <c r="GO116">
        <v>24.265899999999998</v>
      </c>
      <c r="GP116">
        <v>800</v>
      </c>
      <c r="GQ116">
        <v>15.898</v>
      </c>
      <c r="GR116">
        <v>99.750100000000003</v>
      </c>
      <c r="GS116">
        <v>99.602000000000004</v>
      </c>
    </row>
    <row r="117" spans="1:201" x14ac:dyDescent="0.25">
      <c r="A117">
        <v>101</v>
      </c>
      <c r="B117">
        <v>1690227815.5</v>
      </c>
      <c r="C117">
        <v>1245.900000095367</v>
      </c>
      <c r="D117" t="s">
        <v>533</v>
      </c>
      <c r="E117" t="s">
        <v>534</v>
      </c>
      <c r="F117" t="s">
        <v>330</v>
      </c>
      <c r="H117">
        <v>1690227815.5</v>
      </c>
      <c r="I117">
        <f t="shared" si="30"/>
        <v>7.0645532545258267E-4</v>
      </c>
      <c r="J117">
        <f t="shared" si="31"/>
        <v>0.70645532545258272</v>
      </c>
      <c r="K117">
        <f t="shared" si="32"/>
        <v>10.87044061195251</v>
      </c>
      <c r="L117">
        <f t="shared" si="33"/>
        <v>677.59</v>
      </c>
      <c r="M117">
        <f t="shared" si="34"/>
        <v>267.38069257157485</v>
      </c>
      <c r="N117">
        <f t="shared" si="35"/>
        <v>26.516321732197298</v>
      </c>
      <c r="O117">
        <f t="shared" si="36"/>
        <v>67.197052523566001</v>
      </c>
      <c r="P117">
        <f t="shared" si="37"/>
        <v>4.4132036166498356E-2</v>
      </c>
      <c r="Q117">
        <f t="shared" si="38"/>
        <v>2.1293405737862883</v>
      </c>
      <c r="R117">
        <f t="shared" si="39"/>
        <v>4.3630125738303167E-2</v>
      </c>
      <c r="S117">
        <f t="shared" si="40"/>
        <v>2.7313447545286057E-2</v>
      </c>
      <c r="T117">
        <f t="shared" si="41"/>
        <v>276.11533578599995</v>
      </c>
      <c r="U117">
        <f t="shared" si="42"/>
        <v>28.345347825620657</v>
      </c>
      <c r="V117">
        <f t="shared" si="43"/>
        <v>28.345347825620657</v>
      </c>
      <c r="W117">
        <f t="shared" si="44"/>
        <v>3.8719139310511181</v>
      </c>
      <c r="X117">
        <f t="shared" si="45"/>
        <v>67.014499717902424</v>
      </c>
      <c r="Y117">
        <f t="shared" si="46"/>
        <v>2.3162499419278801</v>
      </c>
      <c r="Z117">
        <f t="shared" si="47"/>
        <v>3.4563414659187717</v>
      </c>
      <c r="AA117">
        <f t="shared" si="48"/>
        <v>1.555663989123238</v>
      </c>
      <c r="AB117">
        <f t="shared" si="49"/>
        <v>-31.154679852458894</v>
      </c>
      <c r="AC117">
        <f t="shared" si="50"/>
        <v>-222.53949221177936</v>
      </c>
      <c r="AD117">
        <f t="shared" si="51"/>
        <v>-22.63985821791325</v>
      </c>
      <c r="AE117">
        <f t="shared" si="52"/>
        <v>-0.21869449615155645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52426.631525030905</v>
      </c>
      <c r="AK117">
        <f t="shared" si="56"/>
        <v>1800</v>
      </c>
      <c r="AL117">
        <f t="shared" si="57"/>
        <v>1499.1127865999999</v>
      </c>
      <c r="AM117">
        <f t="shared" si="58"/>
        <v>0.83284043699999999</v>
      </c>
      <c r="AN117">
        <f t="shared" si="59"/>
        <v>0.15339740876999997</v>
      </c>
      <c r="AO117">
        <v>32.4</v>
      </c>
      <c r="AP117">
        <v>0.5</v>
      </c>
      <c r="AQ117" t="s">
        <v>331</v>
      </c>
      <c r="AR117">
        <v>2</v>
      </c>
      <c r="AS117">
        <v>1690227815.5</v>
      </c>
      <c r="AT117">
        <v>677.59</v>
      </c>
      <c r="AU117">
        <v>800.08299999999997</v>
      </c>
      <c r="AV117">
        <v>23.356200000000001</v>
      </c>
      <c r="AW117">
        <v>15.9094</v>
      </c>
      <c r="AX117">
        <v>677.94399999999996</v>
      </c>
      <c r="AY117">
        <v>23.046199999999999</v>
      </c>
      <c r="AZ117">
        <v>300.19</v>
      </c>
      <c r="BA117">
        <v>99.070700000000002</v>
      </c>
      <c r="BB117">
        <v>9.9967399999999998E-2</v>
      </c>
      <c r="BC117">
        <v>26.4068</v>
      </c>
      <c r="BD117">
        <v>26.9649</v>
      </c>
      <c r="BE117">
        <v>28.161100000000001</v>
      </c>
      <c r="BF117">
        <v>0</v>
      </c>
      <c r="BG117">
        <v>0</v>
      </c>
      <c r="BH117">
        <v>9987.5</v>
      </c>
      <c r="BI117">
        <v>1071.76</v>
      </c>
      <c r="BJ117">
        <v>1.5137799999999999</v>
      </c>
      <c r="BK117">
        <v>-122.49299999999999</v>
      </c>
      <c r="BL117">
        <v>693.79399999999998</v>
      </c>
      <c r="BM117">
        <v>813.01800000000003</v>
      </c>
      <c r="BN117">
        <v>7.4467600000000003</v>
      </c>
      <c r="BO117">
        <v>800.08299999999997</v>
      </c>
      <c r="BP117">
        <v>15.9094</v>
      </c>
      <c r="BQ117">
        <v>2.3139099999999999</v>
      </c>
      <c r="BR117">
        <v>1.57616</v>
      </c>
      <c r="BS117">
        <v>19.773599999999998</v>
      </c>
      <c r="BT117">
        <v>13.7277</v>
      </c>
      <c r="BU117">
        <v>1800</v>
      </c>
      <c r="BV117">
        <v>0.91000300000000001</v>
      </c>
      <c r="BW117">
        <v>3.3994499999999997E-2</v>
      </c>
      <c r="BX117">
        <v>2.20016E-2</v>
      </c>
      <c r="BY117">
        <v>3.4000500000000003E-2</v>
      </c>
      <c r="BZ117">
        <v>25.666699999999999</v>
      </c>
      <c r="CA117">
        <v>33528.400000000001</v>
      </c>
      <c r="CB117">
        <v>1690226183.5999999</v>
      </c>
      <c r="CC117" t="s">
        <v>332</v>
      </c>
      <c r="CD117">
        <v>1690226177.5999999</v>
      </c>
      <c r="CE117">
        <v>1690226183.5999999</v>
      </c>
      <c r="CF117">
        <v>12</v>
      </c>
      <c r="CG117">
        <v>-0.255</v>
      </c>
      <c r="CH117">
        <v>0.113</v>
      </c>
      <c r="CI117">
        <v>-0.439</v>
      </c>
      <c r="CJ117">
        <v>0.31</v>
      </c>
      <c r="CK117">
        <v>800</v>
      </c>
      <c r="CL117">
        <v>25</v>
      </c>
      <c r="CM117">
        <v>0.02</v>
      </c>
      <c r="CN117">
        <v>0.03</v>
      </c>
      <c r="CO117">
        <v>-119.433125</v>
      </c>
      <c r="CP117">
        <v>-16.630165103189331</v>
      </c>
      <c r="CQ117">
        <v>1.6001770868797609</v>
      </c>
      <c r="CR117">
        <v>-1</v>
      </c>
      <c r="CS117">
        <v>7.3228897499999999</v>
      </c>
      <c r="CT117">
        <v>0.86029001876171896</v>
      </c>
      <c r="CU117">
        <v>8.5135736928962424E-2</v>
      </c>
      <c r="CV117">
        <v>-1</v>
      </c>
      <c r="CW117">
        <v>0</v>
      </c>
      <c r="CX117">
        <v>0</v>
      </c>
      <c r="CY117" t="s">
        <v>333</v>
      </c>
      <c r="CZ117">
        <v>2.3644099999999999</v>
      </c>
      <c r="DA117">
        <v>2.7137500000000001</v>
      </c>
      <c r="DB117">
        <v>0.131129</v>
      </c>
      <c r="DC117">
        <v>0.146256</v>
      </c>
      <c r="DD117">
        <v>0.111288</v>
      </c>
      <c r="DE117">
        <v>8.3702600000000002E-2</v>
      </c>
      <c r="DF117">
        <v>31729.1</v>
      </c>
      <c r="DG117">
        <v>27521.8</v>
      </c>
      <c r="DH117">
        <v>31175.1</v>
      </c>
      <c r="DI117">
        <v>28089.599999999999</v>
      </c>
      <c r="DJ117">
        <v>37616.300000000003</v>
      </c>
      <c r="DK117">
        <v>36601.599999999999</v>
      </c>
      <c r="DL117">
        <v>44367.6</v>
      </c>
      <c r="DM117">
        <v>42578</v>
      </c>
      <c r="DN117">
        <v>1.4766999999999999</v>
      </c>
      <c r="DO117">
        <v>2.0505499999999999</v>
      </c>
      <c r="DP117">
        <v>0.104792</v>
      </c>
      <c r="DQ117">
        <v>0.19287699999999999</v>
      </c>
      <c r="DR117">
        <v>25.2486</v>
      </c>
      <c r="DS117">
        <v>25.0046</v>
      </c>
      <c r="DT117">
        <v>56.9</v>
      </c>
      <c r="DU117">
        <v>29.2</v>
      </c>
      <c r="DV117">
        <v>23.3691</v>
      </c>
      <c r="DW117">
        <v>61.302500000000002</v>
      </c>
      <c r="DX117">
        <v>36.017600000000002</v>
      </c>
      <c r="DY117">
        <v>1</v>
      </c>
      <c r="DZ117">
        <v>-8.6460899999999993E-2</v>
      </c>
      <c r="EA117">
        <v>0.14183599999999999</v>
      </c>
      <c r="EB117">
        <v>20.189299999999999</v>
      </c>
      <c r="EC117">
        <v>5.2408000000000001</v>
      </c>
      <c r="ED117">
        <v>12.039899999999999</v>
      </c>
      <c r="EE117">
        <v>5.0170500000000002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1.8689100000000001</v>
      </c>
      <c r="EL117">
        <v>1.8646499999999999</v>
      </c>
      <c r="EM117">
        <v>1.8692</v>
      </c>
      <c r="EN117">
        <v>1.8672599999999999</v>
      </c>
      <c r="EO117">
        <v>1.8633999999999999</v>
      </c>
      <c r="EP117">
        <v>1.8645</v>
      </c>
      <c r="EQ117">
        <v>1.8701300000000001</v>
      </c>
      <c r="ER117">
        <v>1.86941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-0.35399999999999998</v>
      </c>
      <c r="FG117">
        <v>0.31</v>
      </c>
      <c r="FH117">
        <v>0.1121710645629533</v>
      </c>
      <c r="FI117">
        <v>-6.1462078757559423E-4</v>
      </c>
      <c r="FJ117">
        <v>-1.8861989874597051E-7</v>
      </c>
      <c r="FK117">
        <v>1.1980462299894961E-10</v>
      </c>
      <c r="FL117">
        <v>0.30996499999999833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27.3</v>
      </c>
      <c r="FU117">
        <v>27.2</v>
      </c>
      <c r="FV117">
        <v>1.78467</v>
      </c>
      <c r="FW117">
        <v>2.5878899999999998</v>
      </c>
      <c r="FX117">
        <v>1.5490699999999999</v>
      </c>
      <c r="FY117">
        <v>2.3290999999999999</v>
      </c>
      <c r="FZ117">
        <v>1.50146</v>
      </c>
      <c r="GA117">
        <v>2.3290999999999999</v>
      </c>
      <c r="GB117">
        <v>33.963900000000002</v>
      </c>
      <c r="GC117">
        <v>23.982399999999998</v>
      </c>
      <c r="GD117">
        <v>19</v>
      </c>
      <c r="GE117">
        <v>283.49</v>
      </c>
      <c r="GF117">
        <v>596.03499999999997</v>
      </c>
      <c r="GG117">
        <v>24.2867</v>
      </c>
      <c r="GH117">
        <v>26.291699999999999</v>
      </c>
      <c r="GI117">
        <v>29.9999</v>
      </c>
      <c r="GJ117">
        <v>26.440999999999999</v>
      </c>
      <c r="GK117">
        <v>26.431699999999999</v>
      </c>
      <c r="GL117">
        <v>35.683700000000002</v>
      </c>
      <c r="GM117">
        <v>40.340200000000003</v>
      </c>
      <c r="GN117">
        <v>93.577699999999993</v>
      </c>
      <c r="GO117">
        <v>24.291699999999999</v>
      </c>
      <c r="GP117">
        <v>800</v>
      </c>
      <c r="GQ117">
        <v>15.770300000000001</v>
      </c>
      <c r="GR117">
        <v>99.750299999999996</v>
      </c>
      <c r="GS117">
        <v>99.600999999999999</v>
      </c>
    </row>
    <row r="118" spans="1:201" x14ac:dyDescent="0.25">
      <c r="A118">
        <v>102</v>
      </c>
      <c r="B118">
        <v>1690227825.5</v>
      </c>
      <c r="C118">
        <v>1255.900000095367</v>
      </c>
      <c r="D118" t="s">
        <v>535</v>
      </c>
      <c r="E118" t="s">
        <v>536</v>
      </c>
      <c r="F118" t="s">
        <v>330</v>
      </c>
      <c r="H118">
        <v>1690227825.5</v>
      </c>
      <c r="I118">
        <f t="shared" si="30"/>
        <v>7.2218185652447343E-4</v>
      </c>
      <c r="J118">
        <f t="shared" si="31"/>
        <v>0.72218185652447342</v>
      </c>
      <c r="K118">
        <f t="shared" si="32"/>
        <v>11.115833927581006</v>
      </c>
      <c r="L118">
        <f t="shared" si="33"/>
        <v>674.798</v>
      </c>
      <c r="M118">
        <f t="shared" si="34"/>
        <v>264.98962626104623</v>
      </c>
      <c r="N118">
        <f t="shared" si="35"/>
        <v>26.279572414730577</v>
      </c>
      <c r="O118">
        <f t="shared" si="36"/>
        <v>66.921121239839991</v>
      </c>
      <c r="P118">
        <f t="shared" si="37"/>
        <v>4.5173870484115829E-2</v>
      </c>
      <c r="Q118">
        <f t="shared" si="38"/>
        <v>2.1348891059453088</v>
      </c>
      <c r="R118">
        <f t="shared" si="39"/>
        <v>4.4649484451943416E-2</v>
      </c>
      <c r="S118">
        <f t="shared" si="40"/>
        <v>2.7952534520960942E-2</v>
      </c>
      <c r="T118">
        <f t="shared" si="41"/>
        <v>276.11543908800002</v>
      </c>
      <c r="U118">
        <f t="shared" si="42"/>
        <v>28.345576767880484</v>
      </c>
      <c r="V118">
        <f t="shared" si="43"/>
        <v>28.345576767880484</v>
      </c>
      <c r="W118">
        <f t="shared" si="44"/>
        <v>3.8719654755867241</v>
      </c>
      <c r="X118">
        <f t="shared" si="45"/>
        <v>67.023495616330266</v>
      </c>
      <c r="Y118">
        <f t="shared" si="46"/>
        <v>2.3179688602559998</v>
      </c>
      <c r="Z118">
        <f t="shared" si="47"/>
        <v>3.4584422058870161</v>
      </c>
      <c r="AA118">
        <f t="shared" si="48"/>
        <v>1.5539966153307243</v>
      </c>
      <c r="AB118">
        <f t="shared" si="49"/>
        <v>-31.848219872729278</v>
      </c>
      <c r="AC118">
        <f t="shared" si="50"/>
        <v>-221.96023491633193</v>
      </c>
      <c r="AD118">
        <f t="shared" si="51"/>
        <v>-22.523422404499549</v>
      </c>
      <c r="AE118">
        <f t="shared" si="52"/>
        <v>-0.21643810556074072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52664.673563200449</v>
      </c>
      <c r="AK118">
        <f t="shared" si="56"/>
        <v>1800</v>
      </c>
      <c r="AL118">
        <f t="shared" si="57"/>
        <v>1499.1145848000001</v>
      </c>
      <c r="AM118">
        <f t="shared" si="58"/>
        <v>0.83284143600000005</v>
      </c>
      <c r="AN118">
        <f t="shared" si="59"/>
        <v>0.15339746616</v>
      </c>
      <c r="AO118">
        <v>32.4</v>
      </c>
      <c r="AP118">
        <v>0.5</v>
      </c>
      <c r="AQ118" t="s">
        <v>331</v>
      </c>
      <c r="AR118">
        <v>2</v>
      </c>
      <c r="AS118">
        <v>1690227825.5</v>
      </c>
      <c r="AT118">
        <v>674.798</v>
      </c>
      <c r="AU118">
        <v>800.04200000000003</v>
      </c>
      <c r="AV118">
        <v>23.373200000000001</v>
      </c>
      <c r="AW118">
        <v>15.760199999999999</v>
      </c>
      <c r="AX118">
        <v>675.15</v>
      </c>
      <c r="AY118">
        <v>23.063199999999998</v>
      </c>
      <c r="AZ118">
        <v>300.16800000000001</v>
      </c>
      <c r="BA118">
        <v>99.072199999999995</v>
      </c>
      <c r="BB118">
        <v>9.9879999999999997E-2</v>
      </c>
      <c r="BC118">
        <v>26.417100000000001</v>
      </c>
      <c r="BD118">
        <v>26.9346</v>
      </c>
      <c r="BE118">
        <v>28.2059</v>
      </c>
      <c r="BF118">
        <v>0</v>
      </c>
      <c r="BG118">
        <v>0</v>
      </c>
      <c r="BH118">
        <v>10035</v>
      </c>
      <c r="BI118">
        <v>1071.82</v>
      </c>
      <c r="BJ118">
        <v>1.5137799999999999</v>
      </c>
      <c r="BK118">
        <v>-125.244</v>
      </c>
      <c r="BL118">
        <v>690.94799999999998</v>
      </c>
      <c r="BM118">
        <v>812.85299999999995</v>
      </c>
      <c r="BN118">
        <v>7.6129300000000004</v>
      </c>
      <c r="BO118">
        <v>800.04200000000003</v>
      </c>
      <c r="BP118">
        <v>15.760199999999999</v>
      </c>
      <c r="BQ118">
        <v>2.3156300000000001</v>
      </c>
      <c r="BR118">
        <v>1.5613999999999999</v>
      </c>
      <c r="BS118">
        <v>19.785599999999999</v>
      </c>
      <c r="BT118">
        <v>13.5831</v>
      </c>
      <c r="BU118">
        <v>1800</v>
      </c>
      <c r="BV118">
        <v>0.91000700000000001</v>
      </c>
      <c r="BW118">
        <v>3.3993299999999997E-2</v>
      </c>
      <c r="BX118">
        <v>2.2000800000000001E-2</v>
      </c>
      <c r="BY118">
        <v>3.3999399999999999E-2</v>
      </c>
      <c r="BZ118">
        <v>25.666699999999999</v>
      </c>
      <c r="CA118">
        <v>33528.400000000001</v>
      </c>
      <c r="CB118">
        <v>1690226183.5999999</v>
      </c>
      <c r="CC118" t="s">
        <v>332</v>
      </c>
      <c r="CD118">
        <v>1690226177.5999999</v>
      </c>
      <c r="CE118">
        <v>1690226183.5999999</v>
      </c>
      <c r="CF118">
        <v>12</v>
      </c>
      <c r="CG118">
        <v>-0.255</v>
      </c>
      <c r="CH118">
        <v>0.113</v>
      </c>
      <c r="CI118">
        <v>-0.439</v>
      </c>
      <c r="CJ118">
        <v>0.31</v>
      </c>
      <c r="CK118">
        <v>800</v>
      </c>
      <c r="CL118">
        <v>25</v>
      </c>
      <c r="CM118">
        <v>0.02</v>
      </c>
      <c r="CN118">
        <v>0.03</v>
      </c>
      <c r="CO118">
        <v>-122.232625</v>
      </c>
      <c r="CP118">
        <v>-17.043681050656591</v>
      </c>
      <c r="CQ118">
        <v>1.639854912598977</v>
      </c>
      <c r="CR118">
        <v>-1</v>
      </c>
      <c r="CS118">
        <v>7.4622142499999997</v>
      </c>
      <c r="CT118">
        <v>0.75643868667915082</v>
      </c>
      <c r="CU118">
        <v>7.5784425968912023E-2</v>
      </c>
      <c r="CV118">
        <v>-1</v>
      </c>
      <c r="CW118">
        <v>0</v>
      </c>
      <c r="CX118">
        <v>0</v>
      </c>
      <c r="CY118" t="s">
        <v>333</v>
      </c>
      <c r="CZ118">
        <v>2.36435</v>
      </c>
      <c r="DA118">
        <v>2.7136999999999998</v>
      </c>
      <c r="DB118">
        <v>0.13075999999999999</v>
      </c>
      <c r="DC118">
        <v>0.14625099999999999</v>
      </c>
      <c r="DD118">
        <v>0.111348</v>
      </c>
      <c r="DE118">
        <v>8.31321E-2</v>
      </c>
      <c r="DF118">
        <v>31743.200000000001</v>
      </c>
      <c r="DG118">
        <v>27522.400000000001</v>
      </c>
      <c r="DH118">
        <v>31175.8</v>
      </c>
      <c r="DI118">
        <v>28090</v>
      </c>
      <c r="DJ118">
        <v>37614.5</v>
      </c>
      <c r="DK118">
        <v>36625.1</v>
      </c>
      <c r="DL118">
        <v>44368.5</v>
      </c>
      <c r="DM118">
        <v>42578.7</v>
      </c>
      <c r="DN118">
        <v>1.4766999999999999</v>
      </c>
      <c r="DO118">
        <v>2.0505499999999999</v>
      </c>
      <c r="DP118">
        <v>0.102744</v>
      </c>
      <c r="DQ118">
        <v>0.19539100000000001</v>
      </c>
      <c r="DR118">
        <v>25.251799999999999</v>
      </c>
      <c r="DS118">
        <v>25.008400000000002</v>
      </c>
      <c r="DT118">
        <v>56.9</v>
      </c>
      <c r="DU118">
        <v>29.2</v>
      </c>
      <c r="DV118">
        <v>23.367000000000001</v>
      </c>
      <c r="DW118">
        <v>61.5625</v>
      </c>
      <c r="DX118">
        <v>36.514400000000002</v>
      </c>
      <c r="DY118">
        <v>1</v>
      </c>
      <c r="DZ118">
        <v>-8.7609199999999998E-2</v>
      </c>
      <c r="EA118">
        <v>4.8597500000000002E-2</v>
      </c>
      <c r="EB118">
        <v>20.189599999999999</v>
      </c>
      <c r="EC118">
        <v>5.2408000000000001</v>
      </c>
      <c r="ED118">
        <v>12.039899999999999</v>
      </c>
      <c r="EE118">
        <v>5.0171999999999999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1.8646400000000001</v>
      </c>
      <c r="EM118">
        <v>1.8691800000000001</v>
      </c>
      <c r="EN118">
        <v>1.8672299999999999</v>
      </c>
      <c r="EO118">
        <v>1.8633999999999999</v>
      </c>
      <c r="EP118">
        <v>1.8645099999999999</v>
      </c>
      <c r="EQ118">
        <v>1.8701399999999999</v>
      </c>
      <c r="ER118">
        <v>1.86941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-0.35199999999999998</v>
      </c>
      <c r="FG118">
        <v>0.31</v>
      </c>
      <c r="FH118">
        <v>0.1121710645629533</v>
      </c>
      <c r="FI118">
        <v>-6.1462078757559423E-4</v>
      </c>
      <c r="FJ118">
        <v>-1.8861989874597051E-7</v>
      </c>
      <c r="FK118">
        <v>1.1980462299894961E-10</v>
      </c>
      <c r="FL118">
        <v>0.30996499999999833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27.5</v>
      </c>
      <c r="FU118">
        <v>27.4</v>
      </c>
      <c r="FV118">
        <v>1.78467</v>
      </c>
      <c r="FW118">
        <v>2.5817899999999998</v>
      </c>
      <c r="FX118">
        <v>1.5490699999999999</v>
      </c>
      <c r="FY118">
        <v>2.3290999999999999</v>
      </c>
      <c r="FZ118">
        <v>1.50146</v>
      </c>
      <c r="GA118">
        <v>2.3815900000000001</v>
      </c>
      <c r="GB118">
        <v>33.941299999999998</v>
      </c>
      <c r="GC118">
        <v>23.991199999999999</v>
      </c>
      <c r="GD118">
        <v>19</v>
      </c>
      <c r="GE118">
        <v>283.476</v>
      </c>
      <c r="GF118">
        <v>595.99599999999998</v>
      </c>
      <c r="GG118">
        <v>24.338699999999999</v>
      </c>
      <c r="GH118">
        <v>26.288599999999999</v>
      </c>
      <c r="GI118">
        <v>29.999500000000001</v>
      </c>
      <c r="GJ118">
        <v>26.4377</v>
      </c>
      <c r="GK118">
        <v>26.4282</v>
      </c>
      <c r="GL118">
        <v>35.680799999999998</v>
      </c>
      <c r="GM118">
        <v>40.926400000000001</v>
      </c>
      <c r="GN118">
        <v>93.191100000000006</v>
      </c>
      <c r="GO118">
        <v>24.343900000000001</v>
      </c>
      <c r="GP118">
        <v>800</v>
      </c>
      <c r="GQ118">
        <v>15.6356</v>
      </c>
      <c r="GR118">
        <v>99.752399999999994</v>
      </c>
      <c r="GS118">
        <v>99.602599999999995</v>
      </c>
    </row>
    <row r="119" spans="1:201" x14ac:dyDescent="0.25">
      <c r="A119">
        <v>103</v>
      </c>
      <c r="B119">
        <v>1690227835.5</v>
      </c>
      <c r="C119">
        <v>1265.900000095367</v>
      </c>
      <c r="D119" t="s">
        <v>537</v>
      </c>
      <c r="E119" t="s">
        <v>538</v>
      </c>
      <c r="F119" t="s">
        <v>330</v>
      </c>
      <c r="H119">
        <v>1690227835.5</v>
      </c>
      <c r="I119">
        <f t="shared" si="30"/>
        <v>7.4158777938157939E-4</v>
      </c>
      <c r="J119">
        <f t="shared" si="31"/>
        <v>0.74158777938157938</v>
      </c>
      <c r="K119">
        <f t="shared" si="32"/>
        <v>11.371990032091547</v>
      </c>
      <c r="L119">
        <f t="shared" si="33"/>
        <v>672.048</v>
      </c>
      <c r="M119">
        <f t="shared" si="34"/>
        <v>264.2363558916756</v>
      </c>
      <c r="N119">
        <f t="shared" si="35"/>
        <v>26.204339759976872</v>
      </c>
      <c r="O119">
        <f t="shared" si="36"/>
        <v>66.647051907695996</v>
      </c>
      <c r="P119">
        <f t="shared" si="37"/>
        <v>4.6454689188939163E-2</v>
      </c>
      <c r="Q119">
        <f t="shared" si="38"/>
        <v>2.132898155310647</v>
      </c>
      <c r="R119">
        <f t="shared" si="39"/>
        <v>4.5899831689684485E-2</v>
      </c>
      <c r="S119">
        <f t="shared" si="40"/>
        <v>2.8736694303795735E-2</v>
      </c>
      <c r="T119">
        <f t="shared" si="41"/>
        <v>276.11364208079971</v>
      </c>
      <c r="U119">
        <f t="shared" si="42"/>
        <v>28.346225719522906</v>
      </c>
      <c r="V119">
        <f t="shared" si="43"/>
        <v>28.346225719522906</v>
      </c>
      <c r="W119">
        <f t="shared" si="44"/>
        <v>3.8721115851594754</v>
      </c>
      <c r="X119">
        <f t="shared" si="45"/>
        <v>67.055685711955917</v>
      </c>
      <c r="Y119">
        <f t="shared" si="46"/>
        <v>2.3198756942532999</v>
      </c>
      <c r="Z119">
        <f t="shared" si="47"/>
        <v>3.4596256374419121</v>
      </c>
      <c r="AA119">
        <f t="shared" si="48"/>
        <v>1.5522358909061755</v>
      </c>
      <c r="AB119">
        <f t="shared" si="49"/>
        <v>-32.704021070727649</v>
      </c>
      <c r="AC119">
        <f t="shared" si="50"/>
        <v>-221.1609267851519</v>
      </c>
      <c r="AD119">
        <f t="shared" si="51"/>
        <v>-22.46398349899825</v>
      </c>
      <c r="AE119">
        <f t="shared" si="52"/>
        <v>-0.21528927407808851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52577.47337245939</v>
      </c>
      <c r="AK119">
        <f t="shared" si="56"/>
        <v>1799.99</v>
      </c>
      <c r="AL119">
        <f t="shared" si="57"/>
        <v>1499.1054409901699</v>
      </c>
      <c r="AM119">
        <f t="shared" si="58"/>
        <v>0.83284098299999998</v>
      </c>
      <c r="AN119">
        <f t="shared" si="59"/>
        <v>0.15339732003000001</v>
      </c>
      <c r="AO119">
        <v>32.4</v>
      </c>
      <c r="AP119">
        <v>0.5</v>
      </c>
      <c r="AQ119" t="s">
        <v>331</v>
      </c>
      <c r="AR119">
        <v>2</v>
      </c>
      <c r="AS119">
        <v>1690227835.5</v>
      </c>
      <c r="AT119">
        <v>672.048</v>
      </c>
      <c r="AU119">
        <v>800.14</v>
      </c>
      <c r="AV119">
        <v>23.392900000000001</v>
      </c>
      <c r="AW119">
        <v>15.5777</v>
      </c>
      <c r="AX119">
        <v>672.39800000000002</v>
      </c>
      <c r="AY119">
        <v>23.082999999999998</v>
      </c>
      <c r="AZ119">
        <v>300.25299999999999</v>
      </c>
      <c r="BA119">
        <v>99.07</v>
      </c>
      <c r="BB119">
        <v>0.100077</v>
      </c>
      <c r="BC119">
        <v>26.422899999999998</v>
      </c>
      <c r="BD119">
        <v>26.984999999999999</v>
      </c>
      <c r="BE119">
        <v>28.186900000000001</v>
      </c>
      <c r="BF119">
        <v>0</v>
      </c>
      <c r="BG119">
        <v>0</v>
      </c>
      <c r="BH119">
        <v>10018.1</v>
      </c>
      <c r="BI119">
        <v>1071.8</v>
      </c>
      <c r="BJ119">
        <v>1.5137799999999999</v>
      </c>
      <c r="BK119">
        <v>-128.09200000000001</v>
      </c>
      <c r="BL119">
        <v>688.14599999999996</v>
      </c>
      <c r="BM119">
        <v>812.80200000000002</v>
      </c>
      <c r="BN119">
        <v>7.8152200000000001</v>
      </c>
      <c r="BO119">
        <v>800.14</v>
      </c>
      <c r="BP119">
        <v>15.5777</v>
      </c>
      <c r="BQ119">
        <v>2.3175400000000002</v>
      </c>
      <c r="BR119">
        <v>1.54328</v>
      </c>
      <c r="BS119">
        <v>19.7988</v>
      </c>
      <c r="BT119">
        <v>13.4039</v>
      </c>
      <c r="BU119">
        <v>1799.99</v>
      </c>
      <c r="BV119">
        <v>0.91000800000000004</v>
      </c>
      <c r="BW119">
        <v>3.3992700000000001E-2</v>
      </c>
      <c r="BX119">
        <v>2.20004E-2</v>
      </c>
      <c r="BY119">
        <v>3.39987E-2</v>
      </c>
      <c r="BZ119">
        <v>25.666699999999999</v>
      </c>
      <c r="CA119">
        <v>33528.300000000003</v>
      </c>
      <c r="CB119">
        <v>1690226183.5999999</v>
      </c>
      <c r="CC119" t="s">
        <v>332</v>
      </c>
      <c r="CD119">
        <v>1690226177.5999999</v>
      </c>
      <c r="CE119">
        <v>1690226183.5999999</v>
      </c>
      <c r="CF119">
        <v>12</v>
      </c>
      <c r="CG119">
        <v>-0.255</v>
      </c>
      <c r="CH119">
        <v>0.113</v>
      </c>
      <c r="CI119">
        <v>-0.439</v>
      </c>
      <c r="CJ119">
        <v>0.31</v>
      </c>
      <c r="CK119">
        <v>800</v>
      </c>
      <c r="CL119">
        <v>25</v>
      </c>
      <c r="CM119">
        <v>0.02</v>
      </c>
      <c r="CN119">
        <v>0.03</v>
      </c>
      <c r="CO119">
        <v>-124.8399024390244</v>
      </c>
      <c r="CP119">
        <v>-16.700341463414748</v>
      </c>
      <c r="CQ119">
        <v>1.646789423428511</v>
      </c>
      <c r="CR119">
        <v>-1</v>
      </c>
      <c r="CS119">
        <v>7.5900895121951217</v>
      </c>
      <c r="CT119">
        <v>0.9831673170731704</v>
      </c>
      <c r="CU119">
        <v>9.7646232126705867E-2</v>
      </c>
      <c r="CV119">
        <v>-1</v>
      </c>
      <c r="CW119">
        <v>0</v>
      </c>
      <c r="CX119">
        <v>0</v>
      </c>
      <c r="CY119" t="s">
        <v>333</v>
      </c>
      <c r="CZ119">
        <v>2.3646099999999999</v>
      </c>
      <c r="DA119">
        <v>2.7138900000000001</v>
      </c>
      <c r="DB119">
        <v>0.13039100000000001</v>
      </c>
      <c r="DC119">
        <v>0.146257</v>
      </c>
      <c r="DD119">
        <v>0.111413</v>
      </c>
      <c r="DE119">
        <v>8.2427500000000001E-2</v>
      </c>
      <c r="DF119">
        <v>31757.3</v>
      </c>
      <c r="DG119">
        <v>27523</v>
      </c>
      <c r="DH119">
        <v>31176.400000000001</v>
      </c>
      <c r="DI119">
        <v>28090.799999999999</v>
      </c>
      <c r="DJ119">
        <v>37612.400000000001</v>
      </c>
      <c r="DK119">
        <v>36654.400000000001</v>
      </c>
      <c r="DL119">
        <v>44369.3</v>
      </c>
      <c r="DM119">
        <v>42579.9</v>
      </c>
      <c r="DN119">
        <v>1.47712</v>
      </c>
      <c r="DO119">
        <v>2.0501299999999998</v>
      </c>
      <c r="DP119">
        <v>0.10576099999999999</v>
      </c>
      <c r="DQ119">
        <v>0.19406899999999999</v>
      </c>
      <c r="DR119">
        <v>25.2529</v>
      </c>
      <c r="DS119">
        <v>25.010999999999999</v>
      </c>
      <c r="DT119">
        <v>56.9</v>
      </c>
      <c r="DU119">
        <v>29.2</v>
      </c>
      <c r="DV119">
        <v>23.37</v>
      </c>
      <c r="DW119">
        <v>61.372500000000002</v>
      </c>
      <c r="DX119">
        <v>35.637</v>
      </c>
      <c r="DY119">
        <v>1</v>
      </c>
      <c r="DZ119">
        <v>-8.78023E-2</v>
      </c>
      <c r="EA119">
        <v>-6.1593099999999998E-2</v>
      </c>
      <c r="EB119">
        <v>20.189499999999999</v>
      </c>
      <c r="EC119">
        <v>5.2408000000000001</v>
      </c>
      <c r="ED119">
        <v>12.039899999999999</v>
      </c>
      <c r="EE119">
        <v>5.0170000000000003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1.8646400000000001</v>
      </c>
      <c r="EM119">
        <v>1.86917</v>
      </c>
      <c r="EN119">
        <v>1.86724</v>
      </c>
      <c r="EO119">
        <v>1.8633999999999999</v>
      </c>
      <c r="EP119">
        <v>1.8645099999999999</v>
      </c>
      <c r="EQ119">
        <v>1.87015</v>
      </c>
      <c r="ER119">
        <v>1.8694200000000001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-0.35</v>
      </c>
      <c r="FG119">
        <v>0.30990000000000001</v>
      </c>
      <c r="FH119">
        <v>0.1121710645629533</v>
      </c>
      <c r="FI119">
        <v>-6.1462078757559423E-4</v>
      </c>
      <c r="FJ119">
        <v>-1.8861989874597051E-7</v>
      </c>
      <c r="FK119">
        <v>1.1980462299894961E-10</v>
      </c>
      <c r="FL119">
        <v>0.30996499999999833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27.6</v>
      </c>
      <c r="FU119">
        <v>27.5</v>
      </c>
      <c r="FV119">
        <v>1.78345</v>
      </c>
      <c r="FW119">
        <v>2.5805699999999998</v>
      </c>
      <c r="FX119">
        <v>1.5490699999999999</v>
      </c>
      <c r="FY119">
        <v>2.3290999999999999</v>
      </c>
      <c r="FZ119">
        <v>1.50146</v>
      </c>
      <c r="GA119">
        <v>2.4035600000000001</v>
      </c>
      <c r="GB119">
        <v>33.963900000000002</v>
      </c>
      <c r="GC119">
        <v>23.991199999999999</v>
      </c>
      <c r="GD119">
        <v>19</v>
      </c>
      <c r="GE119">
        <v>283.64400000000001</v>
      </c>
      <c r="GF119">
        <v>595.601</v>
      </c>
      <c r="GG119">
        <v>24.420300000000001</v>
      </c>
      <c r="GH119">
        <v>26.2864</v>
      </c>
      <c r="GI119">
        <v>29.9999</v>
      </c>
      <c r="GJ119">
        <v>26.4346</v>
      </c>
      <c r="GK119">
        <v>26.425000000000001</v>
      </c>
      <c r="GL119">
        <v>35.672199999999997</v>
      </c>
      <c r="GM119">
        <v>41.199800000000003</v>
      </c>
      <c r="GN119">
        <v>92.806799999999996</v>
      </c>
      <c r="GO119">
        <v>24.4253</v>
      </c>
      <c r="GP119">
        <v>800</v>
      </c>
      <c r="GQ119">
        <v>15.493</v>
      </c>
      <c r="GR119">
        <v>99.754300000000001</v>
      </c>
      <c r="GS119">
        <v>99.605500000000006</v>
      </c>
    </row>
    <row r="120" spans="1:201" x14ac:dyDescent="0.25">
      <c r="A120">
        <v>104</v>
      </c>
      <c r="B120">
        <v>1690227845.5</v>
      </c>
      <c r="C120">
        <v>1275.900000095367</v>
      </c>
      <c r="D120" t="s">
        <v>539</v>
      </c>
      <c r="E120" t="s">
        <v>540</v>
      </c>
      <c r="F120" t="s">
        <v>330</v>
      </c>
      <c r="H120">
        <v>1690227845.5</v>
      </c>
      <c r="I120">
        <f t="shared" si="30"/>
        <v>7.5195809208224032E-4</v>
      </c>
      <c r="J120">
        <f t="shared" si="31"/>
        <v>0.75195809208224029</v>
      </c>
      <c r="K120">
        <f t="shared" si="32"/>
        <v>11.626568804614793</v>
      </c>
      <c r="L120">
        <f t="shared" si="33"/>
        <v>669.21199999999999</v>
      </c>
      <c r="M120">
        <f t="shared" si="34"/>
        <v>258.54181778993654</v>
      </c>
      <c r="N120">
        <f t="shared" si="35"/>
        <v>25.639339991955662</v>
      </c>
      <c r="O120">
        <f t="shared" si="36"/>
        <v>66.365101558299997</v>
      </c>
      <c r="P120">
        <f t="shared" si="37"/>
        <v>4.7148070500681385E-2</v>
      </c>
      <c r="Q120">
        <f t="shared" si="38"/>
        <v>2.1288828983035337</v>
      </c>
      <c r="R120">
        <f t="shared" si="39"/>
        <v>4.6575572036996471E-2</v>
      </c>
      <c r="S120">
        <f t="shared" si="40"/>
        <v>2.9160589978901579E-2</v>
      </c>
      <c r="T120">
        <f t="shared" si="41"/>
        <v>276.11508650399998</v>
      </c>
      <c r="U120">
        <f t="shared" si="42"/>
        <v>28.349606203704198</v>
      </c>
      <c r="V120">
        <f t="shared" si="43"/>
        <v>28.349606203704198</v>
      </c>
      <c r="W120">
        <f t="shared" si="44"/>
        <v>3.8728727691099323</v>
      </c>
      <c r="X120">
        <f t="shared" si="45"/>
        <v>67.09679856398067</v>
      </c>
      <c r="Y120">
        <f t="shared" si="46"/>
        <v>2.3218047147149998</v>
      </c>
      <c r="Z120">
        <f t="shared" si="47"/>
        <v>3.4603807698828213</v>
      </c>
      <c r="AA120">
        <f t="shared" si="48"/>
        <v>1.5510680543949324</v>
      </c>
      <c r="AB120">
        <f t="shared" si="49"/>
        <v>-33.161351860826798</v>
      </c>
      <c r="AC120">
        <f t="shared" si="50"/>
        <v>-220.70791185966829</v>
      </c>
      <c r="AD120">
        <f t="shared" si="51"/>
        <v>-22.461045687565598</v>
      </c>
      <c r="AE120">
        <f t="shared" si="52"/>
        <v>-0.21522290406068123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52403.379768074294</v>
      </c>
      <c r="AK120">
        <f t="shared" si="56"/>
        <v>1800</v>
      </c>
      <c r="AL120">
        <f t="shared" si="57"/>
        <v>1499.1140573999999</v>
      </c>
      <c r="AM120">
        <f t="shared" si="58"/>
        <v>0.83284114299999989</v>
      </c>
      <c r="AN120">
        <f t="shared" si="59"/>
        <v>0.15339727028</v>
      </c>
      <c r="AO120">
        <v>32.4</v>
      </c>
      <c r="AP120">
        <v>0.5</v>
      </c>
      <c r="AQ120" t="s">
        <v>331</v>
      </c>
      <c r="AR120">
        <v>2</v>
      </c>
      <c r="AS120">
        <v>1690227845.5</v>
      </c>
      <c r="AT120">
        <v>669.21199999999999</v>
      </c>
      <c r="AU120">
        <v>800.12599999999998</v>
      </c>
      <c r="AV120">
        <v>23.412600000000001</v>
      </c>
      <c r="AW120">
        <v>15.4869</v>
      </c>
      <c r="AX120">
        <v>669.56</v>
      </c>
      <c r="AY120">
        <v>23.102599999999999</v>
      </c>
      <c r="AZ120">
        <v>300.20100000000002</v>
      </c>
      <c r="BA120">
        <v>99.069000000000003</v>
      </c>
      <c r="BB120">
        <v>0.100025</v>
      </c>
      <c r="BC120">
        <v>26.426600000000001</v>
      </c>
      <c r="BD120">
        <v>26.982099999999999</v>
      </c>
      <c r="BE120">
        <v>28.186399999999999</v>
      </c>
      <c r="BF120">
        <v>0</v>
      </c>
      <c r="BG120">
        <v>0</v>
      </c>
      <c r="BH120">
        <v>9983.75</v>
      </c>
      <c r="BI120">
        <v>1071.8599999999999</v>
      </c>
      <c r="BJ120">
        <v>1.5137799999999999</v>
      </c>
      <c r="BK120">
        <v>-130.91399999999999</v>
      </c>
      <c r="BL120">
        <v>685.255</v>
      </c>
      <c r="BM120">
        <v>812.71199999999999</v>
      </c>
      <c r="BN120">
        <v>7.9257099999999996</v>
      </c>
      <c r="BO120">
        <v>800.12599999999998</v>
      </c>
      <c r="BP120">
        <v>15.4869</v>
      </c>
      <c r="BQ120">
        <v>2.3194599999999999</v>
      </c>
      <c r="BR120">
        <v>1.53427</v>
      </c>
      <c r="BS120">
        <v>19.812200000000001</v>
      </c>
      <c r="BT120">
        <v>13.314</v>
      </c>
      <c r="BU120">
        <v>1800</v>
      </c>
      <c r="BV120">
        <v>0.91000999999999999</v>
      </c>
      <c r="BW120">
        <v>3.3991899999999999E-2</v>
      </c>
      <c r="BX120">
        <v>2.1999899999999999E-2</v>
      </c>
      <c r="BY120">
        <v>3.3998E-2</v>
      </c>
      <c r="BZ120">
        <v>25.666699999999999</v>
      </c>
      <c r="CA120">
        <v>33528.400000000001</v>
      </c>
      <c r="CB120">
        <v>1690226183.5999999</v>
      </c>
      <c r="CC120" t="s">
        <v>332</v>
      </c>
      <c r="CD120">
        <v>1690226177.5999999</v>
      </c>
      <c r="CE120">
        <v>1690226183.5999999</v>
      </c>
      <c r="CF120">
        <v>12</v>
      </c>
      <c r="CG120">
        <v>-0.255</v>
      </c>
      <c r="CH120">
        <v>0.113</v>
      </c>
      <c r="CI120">
        <v>-0.439</v>
      </c>
      <c r="CJ120">
        <v>0.31</v>
      </c>
      <c r="CK120">
        <v>800</v>
      </c>
      <c r="CL120">
        <v>25</v>
      </c>
      <c r="CM120">
        <v>0.02</v>
      </c>
      <c r="CN120">
        <v>0.03</v>
      </c>
      <c r="CO120">
        <v>-127.8391</v>
      </c>
      <c r="CP120">
        <v>-16.755084427767041</v>
      </c>
      <c r="CQ120">
        <v>1.612018359076596</v>
      </c>
      <c r="CR120">
        <v>-1</v>
      </c>
      <c r="CS120">
        <v>7.7668474999999999</v>
      </c>
      <c r="CT120">
        <v>0.97984435272044434</v>
      </c>
      <c r="CU120">
        <v>9.5867766474190916E-2</v>
      </c>
      <c r="CV120">
        <v>-1</v>
      </c>
      <c r="CW120">
        <v>0</v>
      </c>
      <c r="CX120">
        <v>0</v>
      </c>
      <c r="CY120" t="s">
        <v>333</v>
      </c>
      <c r="CZ120">
        <v>2.36443</v>
      </c>
      <c r="DA120">
        <v>2.7138</v>
      </c>
      <c r="DB120">
        <v>0.13001099999999999</v>
      </c>
      <c r="DC120">
        <v>0.14625299999999999</v>
      </c>
      <c r="DD120">
        <v>0.11147899999999999</v>
      </c>
      <c r="DE120">
        <v>8.2075899999999993E-2</v>
      </c>
      <c r="DF120">
        <v>31771.599999999999</v>
      </c>
      <c r="DG120">
        <v>27522.9</v>
      </c>
      <c r="DH120">
        <v>31176.799999999999</v>
      </c>
      <c r="DI120">
        <v>28090.5</v>
      </c>
      <c r="DJ120">
        <v>37610</v>
      </c>
      <c r="DK120">
        <v>36668</v>
      </c>
      <c r="DL120">
        <v>44369.9</v>
      </c>
      <c r="DM120">
        <v>42579.4</v>
      </c>
      <c r="DN120">
        <v>1.4772000000000001</v>
      </c>
      <c r="DO120">
        <v>2.0499499999999999</v>
      </c>
      <c r="DP120">
        <v>0.10537000000000001</v>
      </c>
      <c r="DQ120">
        <v>0.19378999999999999</v>
      </c>
      <c r="DR120">
        <v>25.256499999999999</v>
      </c>
      <c r="DS120">
        <v>25.0151</v>
      </c>
      <c r="DT120">
        <v>56.8</v>
      </c>
      <c r="DU120">
        <v>29.2</v>
      </c>
      <c r="DV120">
        <v>23.3263</v>
      </c>
      <c r="DW120">
        <v>61.572400000000002</v>
      </c>
      <c r="DX120">
        <v>36.838900000000002</v>
      </c>
      <c r="DY120">
        <v>1</v>
      </c>
      <c r="DZ120">
        <v>-8.78887E-2</v>
      </c>
      <c r="EA120">
        <v>0.40695500000000001</v>
      </c>
      <c r="EB120">
        <v>20.188500000000001</v>
      </c>
      <c r="EC120">
        <v>5.2408000000000001</v>
      </c>
      <c r="ED120">
        <v>12.039899999999999</v>
      </c>
      <c r="EE120">
        <v>5.0169499999999996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1.8646499999999999</v>
      </c>
      <c r="EM120">
        <v>1.8692</v>
      </c>
      <c r="EN120">
        <v>1.8672299999999999</v>
      </c>
      <c r="EO120">
        <v>1.8633999999999999</v>
      </c>
      <c r="EP120">
        <v>1.8645099999999999</v>
      </c>
      <c r="EQ120">
        <v>1.87012</v>
      </c>
      <c r="ER120">
        <v>1.86944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-0.34799999999999998</v>
      </c>
      <c r="FG120">
        <v>0.31</v>
      </c>
      <c r="FH120">
        <v>0.1121710645629533</v>
      </c>
      <c r="FI120">
        <v>-6.1462078757559423E-4</v>
      </c>
      <c r="FJ120">
        <v>-1.8861989874597051E-7</v>
      </c>
      <c r="FK120">
        <v>1.1980462299894961E-10</v>
      </c>
      <c r="FL120">
        <v>0.30996499999999833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27.8</v>
      </c>
      <c r="FU120">
        <v>27.7</v>
      </c>
      <c r="FV120">
        <v>1.78345</v>
      </c>
      <c r="FW120">
        <v>2.5817899999999998</v>
      </c>
      <c r="FX120">
        <v>1.5490699999999999</v>
      </c>
      <c r="FY120">
        <v>2.3290999999999999</v>
      </c>
      <c r="FZ120">
        <v>1.50146</v>
      </c>
      <c r="GA120">
        <v>2.3547400000000001</v>
      </c>
      <c r="GB120">
        <v>33.963900000000002</v>
      </c>
      <c r="GC120">
        <v>23.982399999999998</v>
      </c>
      <c r="GD120">
        <v>19</v>
      </c>
      <c r="GE120">
        <v>283.666</v>
      </c>
      <c r="GF120">
        <v>595.42999999999995</v>
      </c>
      <c r="GG120">
        <v>24.404599999999999</v>
      </c>
      <c r="GH120">
        <v>26.283899999999999</v>
      </c>
      <c r="GI120">
        <v>30.0002</v>
      </c>
      <c r="GJ120">
        <v>26.432500000000001</v>
      </c>
      <c r="GK120">
        <v>26.422799999999999</v>
      </c>
      <c r="GL120">
        <v>35.667499999999997</v>
      </c>
      <c r="GM120">
        <v>41.780200000000001</v>
      </c>
      <c r="GN120">
        <v>92.417900000000003</v>
      </c>
      <c r="GO120">
        <v>24.354500000000002</v>
      </c>
      <c r="GP120">
        <v>800</v>
      </c>
      <c r="GQ120">
        <v>15.348000000000001</v>
      </c>
      <c r="GR120">
        <v>99.755499999999998</v>
      </c>
      <c r="GS120">
        <v>99.604399999999998</v>
      </c>
    </row>
    <row r="121" spans="1:201" x14ac:dyDescent="0.25">
      <c r="A121">
        <v>105</v>
      </c>
      <c r="B121">
        <v>1690227855.5</v>
      </c>
      <c r="C121">
        <v>1285.900000095367</v>
      </c>
      <c r="D121" t="s">
        <v>541</v>
      </c>
      <c r="E121" t="s">
        <v>542</v>
      </c>
      <c r="F121" t="s">
        <v>330</v>
      </c>
      <c r="H121">
        <v>1690227855.5</v>
      </c>
      <c r="I121">
        <f t="shared" si="30"/>
        <v>7.6477031757615581E-4</v>
      </c>
      <c r="J121">
        <f t="shared" si="31"/>
        <v>0.76477031757615577</v>
      </c>
      <c r="K121">
        <f t="shared" si="32"/>
        <v>11.869523503794856</v>
      </c>
      <c r="L121">
        <f t="shared" si="33"/>
        <v>666.50199999999995</v>
      </c>
      <c r="M121">
        <f t="shared" si="34"/>
        <v>254.06583118811477</v>
      </c>
      <c r="N121">
        <f t="shared" si="35"/>
        <v>25.195766914066517</v>
      </c>
      <c r="O121">
        <f t="shared" si="36"/>
        <v>66.097156635459996</v>
      </c>
      <c r="P121">
        <f t="shared" si="37"/>
        <v>4.7919465453459889E-2</v>
      </c>
      <c r="Q121">
        <f t="shared" si="38"/>
        <v>2.1282396335755815</v>
      </c>
      <c r="R121">
        <f t="shared" si="39"/>
        <v>4.7328030678959035E-2</v>
      </c>
      <c r="S121">
        <f t="shared" si="40"/>
        <v>2.9632548996141123E-2</v>
      </c>
      <c r="T121">
        <f t="shared" si="41"/>
        <v>276.11505703800003</v>
      </c>
      <c r="U121">
        <f t="shared" si="42"/>
        <v>28.352847870612649</v>
      </c>
      <c r="V121">
        <f t="shared" si="43"/>
        <v>28.352847870612649</v>
      </c>
      <c r="W121">
        <f t="shared" si="44"/>
        <v>3.8736028181521447</v>
      </c>
      <c r="X121">
        <f t="shared" si="45"/>
        <v>67.049931810726676</v>
      </c>
      <c r="Y121">
        <f t="shared" si="46"/>
        <v>2.3211684863569997</v>
      </c>
      <c r="Z121">
        <f t="shared" si="47"/>
        <v>3.461850629333016</v>
      </c>
      <c r="AA121">
        <f t="shared" si="48"/>
        <v>1.552434331795145</v>
      </c>
      <c r="AB121">
        <f t="shared" si="49"/>
        <v>-33.726371005108469</v>
      </c>
      <c r="AC121">
        <f t="shared" si="50"/>
        <v>-220.18705274734668</v>
      </c>
      <c r="AD121">
        <f t="shared" si="51"/>
        <v>-22.41597946702538</v>
      </c>
      <c r="AE121">
        <f t="shared" si="52"/>
        <v>-0.21434618148049367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52374.397588828149</v>
      </c>
      <c r="AK121">
        <f t="shared" si="56"/>
        <v>1800</v>
      </c>
      <c r="AL121">
        <f t="shared" si="57"/>
        <v>1499.1149088</v>
      </c>
      <c r="AM121">
        <f t="shared" si="58"/>
        <v>0.83284161599999995</v>
      </c>
      <c r="AN121">
        <f t="shared" si="59"/>
        <v>0.15339725391</v>
      </c>
      <c r="AO121">
        <v>32.4</v>
      </c>
      <c r="AP121">
        <v>0.5</v>
      </c>
      <c r="AQ121" t="s">
        <v>331</v>
      </c>
      <c r="AR121">
        <v>2</v>
      </c>
      <c r="AS121">
        <v>1690227855.5</v>
      </c>
      <c r="AT121">
        <v>666.50199999999995</v>
      </c>
      <c r="AU121">
        <v>800.11500000000001</v>
      </c>
      <c r="AV121">
        <v>23.405899999999999</v>
      </c>
      <c r="AW121">
        <v>15.3447</v>
      </c>
      <c r="AX121">
        <v>666.84799999999996</v>
      </c>
      <c r="AY121">
        <v>23.0959</v>
      </c>
      <c r="AZ121">
        <v>300.18599999999998</v>
      </c>
      <c r="BA121">
        <v>99.0702</v>
      </c>
      <c r="BB121">
        <v>0.10002999999999999</v>
      </c>
      <c r="BC121">
        <v>26.433800000000002</v>
      </c>
      <c r="BD121">
        <v>26.99</v>
      </c>
      <c r="BE121">
        <v>28.197800000000001</v>
      </c>
      <c r="BF121">
        <v>0</v>
      </c>
      <c r="BG121">
        <v>0</v>
      </c>
      <c r="BH121">
        <v>9978.1200000000008</v>
      </c>
      <c r="BI121">
        <v>1071.98</v>
      </c>
      <c r="BJ121">
        <v>1.5137799999999999</v>
      </c>
      <c r="BK121">
        <v>-133.613</v>
      </c>
      <c r="BL121">
        <v>682.476</v>
      </c>
      <c r="BM121">
        <v>812.58299999999997</v>
      </c>
      <c r="BN121">
        <v>8.0612100000000009</v>
      </c>
      <c r="BO121">
        <v>800.11500000000001</v>
      </c>
      <c r="BP121">
        <v>15.3447</v>
      </c>
      <c r="BQ121">
        <v>2.3188300000000002</v>
      </c>
      <c r="BR121">
        <v>1.5202</v>
      </c>
      <c r="BS121">
        <v>19.8078</v>
      </c>
      <c r="BT121">
        <v>13.1729</v>
      </c>
      <c r="BU121">
        <v>1800</v>
      </c>
      <c r="BV121">
        <v>0.91001299999999996</v>
      </c>
      <c r="BW121">
        <v>3.3990899999999998E-2</v>
      </c>
      <c r="BX121">
        <v>2.1999299999999999E-2</v>
      </c>
      <c r="BY121">
        <v>3.3996899999999997E-2</v>
      </c>
      <c r="BZ121">
        <v>25.75</v>
      </c>
      <c r="CA121">
        <v>33528.5</v>
      </c>
      <c r="CB121">
        <v>1690226183.5999999</v>
      </c>
      <c r="CC121" t="s">
        <v>332</v>
      </c>
      <c r="CD121">
        <v>1690226177.5999999</v>
      </c>
      <c r="CE121">
        <v>1690226183.5999999</v>
      </c>
      <c r="CF121">
        <v>12</v>
      </c>
      <c r="CG121">
        <v>-0.255</v>
      </c>
      <c r="CH121">
        <v>0.113</v>
      </c>
      <c r="CI121">
        <v>-0.439</v>
      </c>
      <c r="CJ121">
        <v>0.31</v>
      </c>
      <c r="CK121">
        <v>800</v>
      </c>
      <c r="CL121">
        <v>25</v>
      </c>
      <c r="CM121">
        <v>0.02</v>
      </c>
      <c r="CN121">
        <v>0.03</v>
      </c>
      <c r="CO121">
        <v>-130.62299999999999</v>
      </c>
      <c r="CP121">
        <v>-16.505763602251442</v>
      </c>
      <c r="CQ121">
        <v>1.588920970344341</v>
      </c>
      <c r="CR121">
        <v>-1</v>
      </c>
      <c r="CS121">
        <v>7.9262447500000004</v>
      </c>
      <c r="CT121">
        <v>0.85653894934334263</v>
      </c>
      <c r="CU121">
        <v>8.345967175790657E-2</v>
      </c>
      <c r="CV121">
        <v>-1</v>
      </c>
      <c r="CW121">
        <v>0</v>
      </c>
      <c r="CX121">
        <v>0</v>
      </c>
      <c r="CY121" t="s">
        <v>333</v>
      </c>
      <c r="CZ121">
        <v>2.36443</v>
      </c>
      <c r="DA121">
        <v>2.7138</v>
      </c>
      <c r="DB121">
        <v>0.12964999999999999</v>
      </c>
      <c r="DC121">
        <v>0.14625099999999999</v>
      </c>
      <c r="DD121">
        <v>0.111459</v>
      </c>
      <c r="DE121">
        <v>8.1526100000000004E-2</v>
      </c>
      <c r="DF121">
        <v>31784.5</v>
      </c>
      <c r="DG121">
        <v>27523</v>
      </c>
      <c r="DH121">
        <v>31176.5</v>
      </c>
      <c r="DI121">
        <v>28090.6</v>
      </c>
      <c r="DJ121">
        <v>37610.400000000001</v>
      </c>
      <c r="DK121">
        <v>36690.1</v>
      </c>
      <c r="DL121">
        <v>44369.5</v>
      </c>
      <c r="DM121">
        <v>42579.6</v>
      </c>
      <c r="DN121">
        <v>1.4769000000000001</v>
      </c>
      <c r="DO121">
        <v>2.0499000000000001</v>
      </c>
      <c r="DP121">
        <v>0.10564900000000001</v>
      </c>
      <c r="DQ121">
        <v>0.194218</v>
      </c>
      <c r="DR121">
        <v>25.259799999999998</v>
      </c>
      <c r="DS121">
        <v>25.019400000000001</v>
      </c>
      <c r="DT121">
        <v>56.8</v>
      </c>
      <c r="DU121">
        <v>29.2</v>
      </c>
      <c r="DV121">
        <v>23.325700000000001</v>
      </c>
      <c r="DW121">
        <v>61.682499999999997</v>
      </c>
      <c r="DX121">
        <v>35.488799999999998</v>
      </c>
      <c r="DY121">
        <v>1</v>
      </c>
      <c r="DZ121">
        <v>-8.7716000000000002E-2</v>
      </c>
      <c r="EA121">
        <v>0.185972</v>
      </c>
      <c r="EB121">
        <v>20.1891</v>
      </c>
      <c r="EC121">
        <v>5.2409499999999998</v>
      </c>
      <c r="ED121">
        <v>12.039899999999999</v>
      </c>
      <c r="EE121">
        <v>5.0171000000000001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1.8689100000000001</v>
      </c>
      <c r="EL121">
        <v>1.86466</v>
      </c>
      <c r="EM121">
        <v>1.8691800000000001</v>
      </c>
      <c r="EN121">
        <v>1.8672500000000001</v>
      </c>
      <c r="EO121">
        <v>1.8633999999999999</v>
      </c>
      <c r="EP121">
        <v>1.8645099999999999</v>
      </c>
      <c r="EQ121">
        <v>1.8701399999999999</v>
      </c>
      <c r="ER121">
        <v>1.8694299999999999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-0.34599999999999997</v>
      </c>
      <c r="FG121">
        <v>0.31</v>
      </c>
      <c r="FH121">
        <v>0.1121710645629533</v>
      </c>
      <c r="FI121">
        <v>-6.1462078757559423E-4</v>
      </c>
      <c r="FJ121">
        <v>-1.8861989874597051E-7</v>
      </c>
      <c r="FK121">
        <v>1.1980462299894961E-10</v>
      </c>
      <c r="FL121">
        <v>0.30996499999999833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28</v>
      </c>
      <c r="FU121">
        <v>27.9</v>
      </c>
      <c r="FV121">
        <v>1.78345</v>
      </c>
      <c r="FW121">
        <v>2.5854499999999998</v>
      </c>
      <c r="FX121">
        <v>1.5490699999999999</v>
      </c>
      <c r="FY121">
        <v>2.3290999999999999</v>
      </c>
      <c r="FZ121">
        <v>1.50146</v>
      </c>
      <c r="GA121">
        <v>2.3877000000000002</v>
      </c>
      <c r="GB121">
        <v>33.963900000000002</v>
      </c>
      <c r="GC121">
        <v>23.982399999999998</v>
      </c>
      <c r="GD121">
        <v>19</v>
      </c>
      <c r="GE121">
        <v>283.524</v>
      </c>
      <c r="GF121">
        <v>595.35500000000002</v>
      </c>
      <c r="GG121">
        <v>24.367699999999999</v>
      </c>
      <c r="GH121">
        <v>26.281099999999999</v>
      </c>
      <c r="GI121">
        <v>30</v>
      </c>
      <c r="GJ121">
        <v>26.429400000000001</v>
      </c>
      <c r="GK121">
        <v>26.419899999999998</v>
      </c>
      <c r="GL121">
        <v>35.661299999999997</v>
      </c>
      <c r="GM121">
        <v>42.054499999999997</v>
      </c>
      <c r="GN121">
        <v>92.032700000000006</v>
      </c>
      <c r="GO121">
        <v>24.371600000000001</v>
      </c>
      <c r="GP121">
        <v>800</v>
      </c>
      <c r="GQ121">
        <v>15.226900000000001</v>
      </c>
      <c r="GR121">
        <v>99.754499999999993</v>
      </c>
      <c r="GS121">
        <v>99.604799999999997</v>
      </c>
    </row>
    <row r="122" spans="1:201" x14ac:dyDescent="0.25">
      <c r="A122">
        <v>106</v>
      </c>
      <c r="B122">
        <v>1690227865.5</v>
      </c>
      <c r="C122">
        <v>1295.900000095367</v>
      </c>
      <c r="D122" t="s">
        <v>543</v>
      </c>
      <c r="E122" t="s">
        <v>544</v>
      </c>
      <c r="F122" t="s">
        <v>330</v>
      </c>
      <c r="H122">
        <v>1690227865.5</v>
      </c>
      <c r="I122">
        <f t="shared" si="30"/>
        <v>7.7678618125051721E-4</v>
      </c>
      <c r="J122">
        <f t="shared" si="31"/>
        <v>0.77678618125051724</v>
      </c>
      <c r="K122">
        <f t="shared" si="32"/>
        <v>12.117288952060939</v>
      </c>
      <c r="L122">
        <f t="shared" si="33"/>
        <v>663.71600000000001</v>
      </c>
      <c r="M122">
        <f t="shared" si="34"/>
        <v>250.13389730059316</v>
      </c>
      <c r="N122">
        <f t="shared" si="35"/>
        <v>24.805426706933105</v>
      </c>
      <c r="O122">
        <f t="shared" si="36"/>
        <v>65.819782004331216</v>
      </c>
      <c r="P122">
        <f t="shared" si="37"/>
        <v>4.8774054485340612E-2</v>
      </c>
      <c r="Q122">
        <f t="shared" si="38"/>
        <v>2.136518695581997</v>
      </c>
      <c r="R122">
        <f t="shared" si="39"/>
        <v>4.8163823606028798E-2</v>
      </c>
      <c r="S122">
        <f t="shared" si="40"/>
        <v>3.0156580414472025E-2</v>
      </c>
      <c r="T122">
        <f t="shared" si="41"/>
        <v>276.11512365600004</v>
      </c>
      <c r="U122">
        <f t="shared" si="42"/>
        <v>28.340512652003412</v>
      </c>
      <c r="V122">
        <f t="shared" si="43"/>
        <v>28.340512652003412</v>
      </c>
      <c r="W122">
        <f t="shared" si="44"/>
        <v>3.870825469823493</v>
      </c>
      <c r="X122">
        <f t="shared" si="45"/>
        <v>67.061237541676817</v>
      </c>
      <c r="Y122">
        <f t="shared" si="46"/>
        <v>2.3213681802035602</v>
      </c>
      <c r="Z122">
        <f t="shared" si="47"/>
        <v>3.4615647806393222</v>
      </c>
      <c r="AA122">
        <f t="shared" si="48"/>
        <v>1.5494572896199328</v>
      </c>
      <c r="AB122">
        <f t="shared" si="49"/>
        <v>-34.256270593147811</v>
      </c>
      <c r="AC122">
        <f t="shared" si="50"/>
        <v>-219.7840399160421</v>
      </c>
      <c r="AD122">
        <f t="shared" si="51"/>
        <v>-22.286716359954141</v>
      </c>
      <c r="AE122">
        <f t="shared" si="52"/>
        <v>-0.21190321314401217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52732.467662532996</v>
      </c>
      <c r="AK122">
        <f t="shared" si="56"/>
        <v>1800</v>
      </c>
      <c r="AL122">
        <f t="shared" si="57"/>
        <v>1499.1135606</v>
      </c>
      <c r="AM122">
        <f t="shared" si="58"/>
        <v>0.83284086700000004</v>
      </c>
      <c r="AN122">
        <f t="shared" si="59"/>
        <v>0.15339729092000001</v>
      </c>
      <c r="AO122">
        <v>32.4</v>
      </c>
      <c r="AP122">
        <v>0.5</v>
      </c>
      <c r="AQ122" t="s">
        <v>331</v>
      </c>
      <c r="AR122">
        <v>2</v>
      </c>
      <c r="AS122">
        <v>1690227865.5</v>
      </c>
      <c r="AT122">
        <v>663.71600000000001</v>
      </c>
      <c r="AU122">
        <v>800.10900000000004</v>
      </c>
      <c r="AV122">
        <v>23.408300000000001</v>
      </c>
      <c r="AW122">
        <v>15.2179</v>
      </c>
      <c r="AX122">
        <v>664.06</v>
      </c>
      <c r="AY122">
        <v>23.098299999999998</v>
      </c>
      <c r="AZ122">
        <v>300.09199999999998</v>
      </c>
      <c r="BA122">
        <v>99.068600000000004</v>
      </c>
      <c r="BB122">
        <v>9.9993200000000004E-2</v>
      </c>
      <c r="BC122">
        <v>26.432400000000001</v>
      </c>
      <c r="BD122">
        <v>26.987300000000001</v>
      </c>
      <c r="BE122">
        <v>28.1753</v>
      </c>
      <c r="BF122">
        <v>0</v>
      </c>
      <c r="BG122">
        <v>0</v>
      </c>
      <c r="BH122">
        <v>10049.4</v>
      </c>
      <c r="BI122">
        <v>1071.96</v>
      </c>
      <c r="BJ122">
        <v>1.5137799999999999</v>
      </c>
      <c r="BK122">
        <v>-136.393</v>
      </c>
      <c r="BL122">
        <v>679.625</v>
      </c>
      <c r="BM122">
        <v>812.47299999999996</v>
      </c>
      <c r="BN122">
        <v>8.1904299999999992</v>
      </c>
      <c r="BO122">
        <v>800.10900000000004</v>
      </c>
      <c r="BP122">
        <v>15.2179</v>
      </c>
      <c r="BQ122">
        <v>2.3190300000000001</v>
      </c>
      <c r="BR122">
        <v>1.5076099999999999</v>
      </c>
      <c r="BS122">
        <v>19.809200000000001</v>
      </c>
      <c r="BT122">
        <v>13.0456</v>
      </c>
      <c r="BU122">
        <v>1800</v>
      </c>
      <c r="BV122">
        <v>0.91000800000000004</v>
      </c>
      <c r="BW122">
        <v>3.3996400000000003E-2</v>
      </c>
      <c r="BX122">
        <v>2.1999100000000001E-2</v>
      </c>
      <c r="BY122">
        <v>3.3996600000000002E-2</v>
      </c>
      <c r="BZ122">
        <v>25.833300000000001</v>
      </c>
      <c r="CA122">
        <v>33528.400000000001</v>
      </c>
      <c r="CB122">
        <v>1690226183.5999999</v>
      </c>
      <c r="CC122" t="s">
        <v>332</v>
      </c>
      <c r="CD122">
        <v>1690226177.5999999</v>
      </c>
      <c r="CE122">
        <v>1690226183.5999999</v>
      </c>
      <c r="CF122">
        <v>12</v>
      </c>
      <c r="CG122">
        <v>-0.255</v>
      </c>
      <c r="CH122">
        <v>0.113</v>
      </c>
      <c r="CI122">
        <v>-0.439</v>
      </c>
      <c r="CJ122">
        <v>0.31</v>
      </c>
      <c r="CK122">
        <v>800</v>
      </c>
      <c r="CL122">
        <v>25</v>
      </c>
      <c r="CM122">
        <v>0.02</v>
      </c>
      <c r="CN122">
        <v>0.03</v>
      </c>
      <c r="CO122">
        <v>-133.37325000000001</v>
      </c>
      <c r="CP122">
        <v>-16.220442776734981</v>
      </c>
      <c r="CQ122">
        <v>1.5611433910759129</v>
      </c>
      <c r="CR122">
        <v>-1</v>
      </c>
      <c r="CS122">
        <v>8.0577152500000011</v>
      </c>
      <c r="CT122">
        <v>0.72919418386492929</v>
      </c>
      <c r="CU122">
        <v>7.0943506009623652E-2</v>
      </c>
      <c r="CV122">
        <v>-1</v>
      </c>
      <c r="CW122">
        <v>0</v>
      </c>
      <c r="CX122">
        <v>0</v>
      </c>
      <c r="CY122" t="s">
        <v>333</v>
      </c>
      <c r="CZ122">
        <v>2.36408</v>
      </c>
      <c r="DA122">
        <v>2.7138300000000002</v>
      </c>
      <c r="DB122">
        <v>0.129274</v>
      </c>
      <c r="DC122">
        <v>0.14624699999999999</v>
      </c>
      <c r="DD122">
        <v>0.111466</v>
      </c>
      <c r="DE122">
        <v>8.1032099999999996E-2</v>
      </c>
      <c r="DF122">
        <v>31798.400000000001</v>
      </c>
      <c r="DG122">
        <v>27523.4</v>
      </c>
      <c r="DH122">
        <v>31176.6</v>
      </c>
      <c r="DI122">
        <v>28090.799999999999</v>
      </c>
      <c r="DJ122">
        <v>37610.300000000003</v>
      </c>
      <c r="DK122">
        <v>36710.199999999997</v>
      </c>
      <c r="DL122">
        <v>44369.7</v>
      </c>
      <c r="DM122">
        <v>42579.9</v>
      </c>
      <c r="DN122">
        <v>1.47742</v>
      </c>
      <c r="DO122">
        <v>2.04983</v>
      </c>
      <c r="DP122">
        <v>0.105295</v>
      </c>
      <c r="DQ122">
        <v>0.19259799999999999</v>
      </c>
      <c r="DR122">
        <v>25.262799999999999</v>
      </c>
      <c r="DS122">
        <v>25.023499999999999</v>
      </c>
      <c r="DT122">
        <v>56.7</v>
      </c>
      <c r="DU122">
        <v>29.2</v>
      </c>
      <c r="DV122">
        <v>23.2851</v>
      </c>
      <c r="DW122">
        <v>61.3125</v>
      </c>
      <c r="DX122">
        <v>36.778799999999997</v>
      </c>
      <c r="DY122">
        <v>1</v>
      </c>
      <c r="DZ122">
        <v>-8.8084300000000004E-2</v>
      </c>
      <c r="EA122">
        <v>0.119869</v>
      </c>
      <c r="EB122">
        <v>20.189399999999999</v>
      </c>
      <c r="EC122">
        <v>5.2408000000000001</v>
      </c>
      <c r="ED122">
        <v>12.039899999999999</v>
      </c>
      <c r="EE122">
        <v>5.0170500000000002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1.8689100000000001</v>
      </c>
      <c r="EL122">
        <v>1.8646400000000001</v>
      </c>
      <c r="EM122">
        <v>1.8691899999999999</v>
      </c>
      <c r="EN122">
        <v>1.86724</v>
      </c>
      <c r="EO122">
        <v>1.8633999999999999</v>
      </c>
      <c r="EP122">
        <v>1.8645099999999999</v>
      </c>
      <c r="EQ122">
        <v>1.8701399999999999</v>
      </c>
      <c r="ER122">
        <v>1.86944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-0.34399999999999997</v>
      </c>
      <c r="FG122">
        <v>0.31</v>
      </c>
      <c r="FH122">
        <v>0.1121710645629533</v>
      </c>
      <c r="FI122">
        <v>-6.1462078757559423E-4</v>
      </c>
      <c r="FJ122">
        <v>-1.8861989874597051E-7</v>
      </c>
      <c r="FK122">
        <v>1.1980462299894961E-10</v>
      </c>
      <c r="FL122">
        <v>0.30996499999999833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28.1</v>
      </c>
      <c r="FU122">
        <v>28</v>
      </c>
      <c r="FV122">
        <v>1.78345</v>
      </c>
      <c r="FW122">
        <v>2.5927699999999998</v>
      </c>
      <c r="FX122">
        <v>1.5490699999999999</v>
      </c>
      <c r="FY122">
        <v>2.3290999999999999</v>
      </c>
      <c r="FZ122">
        <v>1.50146</v>
      </c>
      <c r="GA122">
        <v>2.2851599999999999</v>
      </c>
      <c r="GB122">
        <v>33.963900000000002</v>
      </c>
      <c r="GC122">
        <v>23.982399999999998</v>
      </c>
      <c r="GD122">
        <v>19</v>
      </c>
      <c r="GE122">
        <v>283.73700000000002</v>
      </c>
      <c r="GF122">
        <v>595.25300000000004</v>
      </c>
      <c r="GG122">
        <v>24.371099999999998</v>
      </c>
      <c r="GH122">
        <v>26.277799999999999</v>
      </c>
      <c r="GI122">
        <v>29.9999</v>
      </c>
      <c r="GJ122">
        <v>26.426600000000001</v>
      </c>
      <c r="GK122">
        <v>26.416599999999999</v>
      </c>
      <c r="GL122">
        <v>35.658999999999999</v>
      </c>
      <c r="GM122">
        <v>42.616599999999998</v>
      </c>
      <c r="GN122">
        <v>91.659000000000006</v>
      </c>
      <c r="GO122">
        <v>24.378900000000002</v>
      </c>
      <c r="GP122">
        <v>800</v>
      </c>
      <c r="GQ122">
        <v>15.090199999999999</v>
      </c>
      <c r="GR122">
        <v>99.755099999999999</v>
      </c>
      <c r="GS122">
        <v>99.605599999999995</v>
      </c>
    </row>
    <row r="123" spans="1:201" x14ac:dyDescent="0.25">
      <c r="A123">
        <v>107</v>
      </c>
      <c r="B123">
        <v>1690227875.5</v>
      </c>
      <c r="C123">
        <v>1305.900000095367</v>
      </c>
      <c r="D123" t="s">
        <v>545</v>
      </c>
      <c r="E123" t="s">
        <v>546</v>
      </c>
      <c r="F123" t="s">
        <v>330</v>
      </c>
      <c r="H123">
        <v>1690227875.5</v>
      </c>
      <c r="I123">
        <f t="shared" si="30"/>
        <v>7.9238086073598561E-4</v>
      </c>
      <c r="J123">
        <f t="shared" si="31"/>
        <v>0.79238086073598557</v>
      </c>
      <c r="K123">
        <f t="shared" si="32"/>
        <v>12.350985907358149</v>
      </c>
      <c r="L123">
        <f t="shared" si="33"/>
        <v>661.09100000000001</v>
      </c>
      <c r="M123">
        <f t="shared" si="34"/>
        <v>247.8043552165569</v>
      </c>
      <c r="N123">
        <f t="shared" si="35"/>
        <v>24.575165297185922</v>
      </c>
      <c r="O123">
        <f t="shared" si="36"/>
        <v>65.561481303603998</v>
      </c>
      <c r="P123">
        <f t="shared" si="37"/>
        <v>4.9756272068251922E-2</v>
      </c>
      <c r="Q123">
        <f t="shared" si="38"/>
        <v>2.1292788091864785</v>
      </c>
      <c r="R123">
        <f t="shared" si="39"/>
        <v>4.9119259541668063E-2</v>
      </c>
      <c r="S123">
        <f t="shared" si="40"/>
        <v>3.0756090741720699E-2</v>
      </c>
      <c r="T123">
        <f t="shared" si="41"/>
        <v>276.11527562999999</v>
      </c>
      <c r="U123">
        <f t="shared" si="42"/>
        <v>28.345457399493995</v>
      </c>
      <c r="V123">
        <f t="shared" si="43"/>
        <v>28.345457399493995</v>
      </c>
      <c r="W123">
        <f t="shared" si="44"/>
        <v>3.8719386006657297</v>
      </c>
      <c r="X123">
        <f t="shared" si="45"/>
        <v>67.064120510031302</v>
      </c>
      <c r="Y123">
        <f t="shared" si="46"/>
        <v>2.3220842099311998</v>
      </c>
      <c r="Z123">
        <f t="shared" si="47"/>
        <v>3.4624836533625571</v>
      </c>
      <c r="AA123">
        <f t="shared" si="48"/>
        <v>1.5498543907345299</v>
      </c>
      <c r="AB123">
        <f t="shared" si="49"/>
        <v>-34.943995958456966</v>
      </c>
      <c r="AC123">
        <f t="shared" si="50"/>
        <v>-219.09032577760155</v>
      </c>
      <c r="AD123">
        <f t="shared" si="51"/>
        <v>-22.292962468767207</v>
      </c>
      <c r="AE123">
        <f t="shared" si="52"/>
        <v>-0.2120085748257452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52418.715490965718</v>
      </c>
      <c r="AK123">
        <f t="shared" si="56"/>
        <v>1800</v>
      </c>
      <c r="AL123">
        <f t="shared" si="57"/>
        <v>1499.1112800000001</v>
      </c>
      <c r="AM123">
        <f t="shared" si="58"/>
        <v>0.83283960000000001</v>
      </c>
      <c r="AN123">
        <f t="shared" si="59"/>
        <v>0.15339737535</v>
      </c>
      <c r="AO123">
        <v>32.4</v>
      </c>
      <c r="AP123">
        <v>0.5</v>
      </c>
      <c r="AQ123" t="s">
        <v>331</v>
      </c>
      <c r="AR123">
        <v>2</v>
      </c>
      <c r="AS123">
        <v>1690227875.5</v>
      </c>
      <c r="AT123">
        <v>661.09100000000001</v>
      </c>
      <c r="AU123">
        <v>800.02700000000004</v>
      </c>
      <c r="AV123">
        <v>23.4148</v>
      </c>
      <c r="AW123">
        <v>15.0642</v>
      </c>
      <c r="AX123">
        <v>661.43299999999999</v>
      </c>
      <c r="AY123">
        <v>23.104800000000001</v>
      </c>
      <c r="AZ123">
        <v>300.24200000000002</v>
      </c>
      <c r="BA123">
        <v>99.071600000000004</v>
      </c>
      <c r="BB123">
        <v>0.10004399999999999</v>
      </c>
      <c r="BC123">
        <v>26.436900000000001</v>
      </c>
      <c r="BD123">
        <v>26.989100000000001</v>
      </c>
      <c r="BE123">
        <v>28.174399999999999</v>
      </c>
      <c r="BF123">
        <v>0</v>
      </c>
      <c r="BG123">
        <v>0</v>
      </c>
      <c r="BH123">
        <v>9986.8799999999992</v>
      </c>
      <c r="BI123">
        <v>1072.06</v>
      </c>
      <c r="BJ123">
        <v>1.5137799999999999</v>
      </c>
      <c r="BK123">
        <v>-138.93700000000001</v>
      </c>
      <c r="BL123">
        <v>676.94100000000003</v>
      </c>
      <c r="BM123">
        <v>812.26400000000001</v>
      </c>
      <c r="BN123">
        <v>8.3506499999999999</v>
      </c>
      <c r="BO123">
        <v>800.02700000000004</v>
      </c>
      <c r="BP123">
        <v>15.0642</v>
      </c>
      <c r="BQ123">
        <v>2.3197399999999999</v>
      </c>
      <c r="BR123">
        <v>1.4924299999999999</v>
      </c>
      <c r="BS123">
        <v>19.8141</v>
      </c>
      <c r="BT123">
        <v>12.8908</v>
      </c>
      <c r="BU123">
        <v>1800</v>
      </c>
      <c r="BV123">
        <v>0.909999</v>
      </c>
      <c r="BW123">
        <v>3.4007099999999998E-2</v>
      </c>
      <c r="BX123">
        <v>2.1998500000000001E-2</v>
      </c>
      <c r="BY123">
        <v>3.3995699999999997E-2</v>
      </c>
      <c r="BZ123">
        <v>25.958300000000001</v>
      </c>
      <c r="CA123">
        <v>33528.300000000003</v>
      </c>
      <c r="CB123">
        <v>1690226183.5999999</v>
      </c>
      <c r="CC123" t="s">
        <v>332</v>
      </c>
      <c r="CD123">
        <v>1690226177.5999999</v>
      </c>
      <c r="CE123">
        <v>1690226183.5999999</v>
      </c>
      <c r="CF123">
        <v>12</v>
      </c>
      <c r="CG123">
        <v>-0.255</v>
      </c>
      <c r="CH123">
        <v>0.113</v>
      </c>
      <c r="CI123">
        <v>-0.439</v>
      </c>
      <c r="CJ123">
        <v>0.31</v>
      </c>
      <c r="CK123">
        <v>800</v>
      </c>
      <c r="CL123">
        <v>25</v>
      </c>
      <c r="CM123">
        <v>0.02</v>
      </c>
      <c r="CN123">
        <v>0.03</v>
      </c>
      <c r="CO123">
        <v>-136.13845000000001</v>
      </c>
      <c r="CP123">
        <v>-16.556803001875998</v>
      </c>
      <c r="CQ123">
        <v>1.5937347167894651</v>
      </c>
      <c r="CR123">
        <v>-1</v>
      </c>
      <c r="CS123">
        <v>8.1920990000000007</v>
      </c>
      <c r="CT123">
        <v>0.94150266416509476</v>
      </c>
      <c r="CU123">
        <v>9.1645913433169426E-2</v>
      </c>
      <c r="CV123">
        <v>-1</v>
      </c>
      <c r="CW123">
        <v>0</v>
      </c>
      <c r="CX123">
        <v>0</v>
      </c>
      <c r="CY123" t="s">
        <v>333</v>
      </c>
      <c r="CZ123">
        <v>2.3645900000000002</v>
      </c>
      <c r="DA123">
        <v>2.7138200000000001</v>
      </c>
      <c r="DB123">
        <v>0.12892500000000001</v>
      </c>
      <c r="DC123">
        <v>0.14623900000000001</v>
      </c>
      <c r="DD123">
        <v>0.11149199999999999</v>
      </c>
      <c r="DE123">
        <v>8.0434800000000001E-2</v>
      </c>
      <c r="DF123">
        <v>31810.9</v>
      </c>
      <c r="DG123">
        <v>27523.8</v>
      </c>
      <c r="DH123">
        <v>31176.5</v>
      </c>
      <c r="DI123">
        <v>28091</v>
      </c>
      <c r="DJ123">
        <v>37608.9</v>
      </c>
      <c r="DK123">
        <v>36734.1</v>
      </c>
      <c r="DL123">
        <v>44369.4</v>
      </c>
      <c r="DM123">
        <v>42579.9</v>
      </c>
      <c r="DN123">
        <v>1.4778199999999999</v>
      </c>
      <c r="DO123">
        <v>2.04962</v>
      </c>
      <c r="DP123">
        <v>0.105277</v>
      </c>
      <c r="DQ123">
        <v>0.19242999999999999</v>
      </c>
      <c r="DR123">
        <v>25.265000000000001</v>
      </c>
      <c r="DS123">
        <v>25.025300000000001</v>
      </c>
      <c r="DT123">
        <v>56.7</v>
      </c>
      <c r="DU123">
        <v>29.2</v>
      </c>
      <c r="DV123">
        <v>23.285699999999999</v>
      </c>
      <c r="DW123">
        <v>61.782499999999999</v>
      </c>
      <c r="DX123">
        <v>35.789299999999997</v>
      </c>
      <c r="DY123">
        <v>1</v>
      </c>
      <c r="DZ123">
        <v>-8.8092000000000004E-2</v>
      </c>
      <c r="EA123">
        <v>0.17011200000000001</v>
      </c>
      <c r="EB123">
        <v>20.189299999999999</v>
      </c>
      <c r="EC123">
        <v>5.2411000000000003</v>
      </c>
      <c r="ED123">
        <v>12.039899999999999</v>
      </c>
      <c r="EE123">
        <v>5.0170000000000003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1.8646400000000001</v>
      </c>
      <c r="EM123">
        <v>1.8691899999999999</v>
      </c>
      <c r="EN123">
        <v>1.8672599999999999</v>
      </c>
      <c r="EO123">
        <v>1.8633999999999999</v>
      </c>
      <c r="EP123">
        <v>1.8645099999999999</v>
      </c>
      <c r="EQ123">
        <v>1.87015</v>
      </c>
      <c r="ER123">
        <v>1.86944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-0.34200000000000003</v>
      </c>
      <c r="FG123">
        <v>0.31</v>
      </c>
      <c r="FH123">
        <v>0.1121710645629533</v>
      </c>
      <c r="FI123">
        <v>-6.1462078757559423E-4</v>
      </c>
      <c r="FJ123">
        <v>-1.8861989874597051E-7</v>
      </c>
      <c r="FK123">
        <v>1.1980462299894961E-10</v>
      </c>
      <c r="FL123">
        <v>0.30996499999999833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28.3</v>
      </c>
      <c r="FU123">
        <v>28.2</v>
      </c>
      <c r="FV123">
        <v>1.78345</v>
      </c>
      <c r="FW123">
        <v>2.5769000000000002</v>
      </c>
      <c r="FX123">
        <v>1.5490699999999999</v>
      </c>
      <c r="FY123">
        <v>2.3290999999999999</v>
      </c>
      <c r="FZ123">
        <v>1.50146</v>
      </c>
      <c r="GA123">
        <v>2.4194300000000002</v>
      </c>
      <c r="GB123">
        <v>33.941299999999998</v>
      </c>
      <c r="GC123">
        <v>23.991199999999999</v>
      </c>
      <c r="GD123">
        <v>19</v>
      </c>
      <c r="GE123">
        <v>283.89499999999998</v>
      </c>
      <c r="GF123">
        <v>595.05499999999995</v>
      </c>
      <c r="GG123">
        <v>24.378599999999999</v>
      </c>
      <c r="GH123">
        <v>26.275400000000001</v>
      </c>
      <c r="GI123">
        <v>30.0001</v>
      </c>
      <c r="GJ123">
        <v>26.4238</v>
      </c>
      <c r="GK123">
        <v>26.414000000000001</v>
      </c>
      <c r="GL123">
        <v>35.651499999999999</v>
      </c>
      <c r="GM123">
        <v>42.904899999999998</v>
      </c>
      <c r="GN123">
        <v>90.911100000000005</v>
      </c>
      <c r="GO123">
        <v>24.374300000000002</v>
      </c>
      <c r="GP123">
        <v>800</v>
      </c>
      <c r="GQ123">
        <v>14.954599999999999</v>
      </c>
      <c r="GR123">
        <v>99.754499999999993</v>
      </c>
      <c r="GS123">
        <v>99.605800000000002</v>
      </c>
    </row>
    <row r="124" spans="1:201" x14ac:dyDescent="0.25">
      <c r="A124">
        <v>108</v>
      </c>
      <c r="B124">
        <v>1690227885.5</v>
      </c>
      <c r="C124">
        <v>1315.900000095367</v>
      </c>
      <c r="D124" t="s">
        <v>547</v>
      </c>
      <c r="E124" t="s">
        <v>548</v>
      </c>
      <c r="F124" t="s">
        <v>330</v>
      </c>
      <c r="H124">
        <v>1690227885.5</v>
      </c>
      <c r="I124">
        <f t="shared" si="30"/>
        <v>8.0504255551060915E-4</v>
      </c>
      <c r="J124">
        <f t="shared" si="31"/>
        <v>0.8050425555106091</v>
      </c>
      <c r="K124">
        <f t="shared" si="32"/>
        <v>12.605902250175649</v>
      </c>
      <c r="L124">
        <f t="shared" si="33"/>
        <v>658.327</v>
      </c>
      <c r="M124">
        <f t="shared" si="34"/>
        <v>244.14661776766513</v>
      </c>
      <c r="N124">
        <f t="shared" si="35"/>
        <v>24.211405029859872</v>
      </c>
      <c r="O124">
        <f t="shared" si="36"/>
        <v>65.284630132621601</v>
      </c>
      <c r="P124">
        <f t="shared" si="37"/>
        <v>5.0665856449508342E-2</v>
      </c>
      <c r="Q124">
        <f t="shared" si="38"/>
        <v>2.1341132401355556</v>
      </c>
      <c r="R124">
        <f t="shared" si="39"/>
        <v>5.0006982445699205E-2</v>
      </c>
      <c r="S124">
        <f t="shared" si="40"/>
        <v>3.1312847349358228E-2</v>
      </c>
      <c r="T124">
        <f t="shared" si="41"/>
        <v>276.115132206</v>
      </c>
      <c r="U124">
        <f t="shared" si="42"/>
        <v>28.333723971885298</v>
      </c>
      <c r="V124">
        <f t="shared" si="43"/>
        <v>28.333723971885298</v>
      </c>
      <c r="W124">
        <f t="shared" si="44"/>
        <v>3.8692976990162915</v>
      </c>
      <c r="X124">
        <f t="shared" si="45"/>
        <v>67.094807068289597</v>
      </c>
      <c r="Y124">
        <f t="shared" si="46"/>
        <v>2.3226809018014403</v>
      </c>
      <c r="Z124">
        <f t="shared" si="47"/>
        <v>3.4617893743064174</v>
      </c>
      <c r="AA124">
        <f t="shared" si="48"/>
        <v>1.5466167972148512</v>
      </c>
      <c r="AB124">
        <f t="shared" si="49"/>
        <v>-35.502376698017862</v>
      </c>
      <c r="AC124">
        <f t="shared" si="50"/>
        <v>-218.62896363555234</v>
      </c>
      <c r="AD124">
        <f t="shared" si="51"/>
        <v>-22.193944424890386</v>
      </c>
      <c r="AE124">
        <f t="shared" si="52"/>
        <v>-0.21015255246058473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52628.110271828948</v>
      </c>
      <c r="AK124">
        <f t="shared" si="56"/>
        <v>1800</v>
      </c>
      <c r="AL124">
        <f t="shared" si="57"/>
        <v>1499.1110046000001</v>
      </c>
      <c r="AM124">
        <f t="shared" si="58"/>
        <v>0.83283944700000001</v>
      </c>
      <c r="AN124">
        <f t="shared" si="59"/>
        <v>0.15339729566999999</v>
      </c>
      <c r="AO124">
        <v>32.4</v>
      </c>
      <c r="AP124">
        <v>0.5</v>
      </c>
      <c r="AQ124" t="s">
        <v>331</v>
      </c>
      <c r="AR124">
        <v>2</v>
      </c>
      <c r="AS124">
        <v>1690227885.5</v>
      </c>
      <c r="AT124">
        <v>658.327</v>
      </c>
      <c r="AU124">
        <v>800.10900000000004</v>
      </c>
      <c r="AV124">
        <v>23.421800000000001</v>
      </c>
      <c r="AW124">
        <v>14.9361</v>
      </c>
      <c r="AX124">
        <v>658.66700000000003</v>
      </c>
      <c r="AY124">
        <v>23.111799999999999</v>
      </c>
      <c r="AZ124">
        <v>300.18099999999998</v>
      </c>
      <c r="BA124">
        <v>99.067499999999995</v>
      </c>
      <c r="BB124">
        <v>9.9980799999999995E-2</v>
      </c>
      <c r="BC124">
        <v>26.433499999999999</v>
      </c>
      <c r="BD124">
        <v>27.0366</v>
      </c>
      <c r="BE124">
        <v>28.168800000000001</v>
      </c>
      <c r="BF124">
        <v>0</v>
      </c>
      <c r="BG124">
        <v>0</v>
      </c>
      <c r="BH124">
        <v>10028.799999999999</v>
      </c>
      <c r="BI124">
        <v>1071.92</v>
      </c>
      <c r="BJ124">
        <v>1.5137799999999999</v>
      </c>
      <c r="BK124">
        <v>-141.78200000000001</v>
      </c>
      <c r="BL124">
        <v>674.11599999999999</v>
      </c>
      <c r="BM124">
        <v>812.24</v>
      </c>
      <c r="BN124">
        <v>8.4856400000000001</v>
      </c>
      <c r="BO124">
        <v>800.10900000000004</v>
      </c>
      <c r="BP124">
        <v>14.9361</v>
      </c>
      <c r="BQ124">
        <v>2.3203299999999998</v>
      </c>
      <c r="BR124">
        <v>1.4796800000000001</v>
      </c>
      <c r="BS124">
        <v>19.818300000000001</v>
      </c>
      <c r="BT124">
        <v>12.7598</v>
      </c>
      <c r="BU124">
        <v>1800</v>
      </c>
      <c r="BV124">
        <v>0.91</v>
      </c>
      <c r="BW124">
        <v>3.4008299999999998E-2</v>
      </c>
      <c r="BX124">
        <v>2.1997599999999999E-2</v>
      </c>
      <c r="BY124">
        <v>3.3994299999999998E-2</v>
      </c>
      <c r="BZ124">
        <v>26</v>
      </c>
      <c r="CA124">
        <v>33528.300000000003</v>
      </c>
      <c r="CB124">
        <v>1690226183.5999999</v>
      </c>
      <c r="CC124" t="s">
        <v>332</v>
      </c>
      <c r="CD124">
        <v>1690226177.5999999</v>
      </c>
      <c r="CE124">
        <v>1690226183.5999999</v>
      </c>
      <c r="CF124">
        <v>12</v>
      </c>
      <c r="CG124">
        <v>-0.255</v>
      </c>
      <c r="CH124">
        <v>0.113</v>
      </c>
      <c r="CI124">
        <v>-0.439</v>
      </c>
      <c r="CJ124">
        <v>0.31</v>
      </c>
      <c r="CK124">
        <v>800</v>
      </c>
      <c r="CL124">
        <v>25</v>
      </c>
      <c r="CM124">
        <v>0.02</v>
      </c>
      <c r="CN124">
        <v>0.03</v>
      </c>
      <c r="CO124">
        <v>-138.91</v>
      </c>
      <c r="CP124">
        <v>-15.828209059233259</v>
      </c>
      <c r="CQ124">
        <v>1.561852917718364</v>
      </c>
      <c r="CR124">
        <v>-1</v>
      </c>
      <c r="CS124">
        <v>8.3353917073170738</v>
      </c>
      <c r="CT124">
        <v>0.81261951219512951</v>
      </c>
      <c r="CU124">
        <v>8.1942971480986976E-2</v>
      </c>
      <c r="CV124">
        <v>-1</v>
      </c>
      <c r="CW124">
        <v>0</v>
      </c>
      <c r="CX124">
        <v>0</v>
      </c>
      <c r="CY124" t="s">
        <v>333</v>
      </c>
      <c r="CZ124">
        <v>2.3643900000000002</v>
      </c>
      <c r="DA124">
        <v>2.7138</v>
      </c>
      <c r="DB124">
        <v>0.12854699999999999</v>
      </c>
      <c r="DC124">
        <v>0.14624100000000001</v>
      </c>
      <c r="DD124">
        <v>0.111512</v>
      </c>
      <c r="DE124">
        <v>7.9930200000000007E-2</v>
      </c>
      <c r="DF124">
        <v>31825</v>
      </c>
      <c r="DG124">
        <v>27523.8</v>
      </c>
      <c r="DH124">
        <v>31176.7</v>
      </c>
      <c r="DI124">
        <v>28091.1</v>
      </c>
      <c r="DJ124">
        <v>37608.400000000001</v>
      </c>
      <c r="DK124">
        <v>36754.400000000001</v>
      </c>
      <c r="DL124">
        <v>44369.8</v>
      </c>
      <c r="DM124">
        <v>42580</v>
      </c>
      <c r="DN124">
        <v>1.4775199999999999</v>
      </c>
      <c r="DO124">
        <v>2.0493999999999999</v>
      </c>
      <c r="DP124">
        <v>0.108052</v>
      </c>
      <c r="DQ124">
        <v>0.19192699999999999</v>
      </c>
      <c r="DR124">
        <v>25.267099999999999</v>
      </c>
      <c r="DS124">
        <v>25.027899999999999</v>
      </c>
      <c r="DT124">
        <v>56.6</v>
      </c>
      <c r="DU124">
        <v>29.2</v>
      </c>
      <c r="DV124">
        <v>23.244199999999999</v>
      </c>
      <c r="DW124">
        <v>61.412500000000001</v>
      </c>
      <c r="DX124">
        <v>35.957500000000003</v>
      </c>
      <c r="DY124">
        <v>1</v>
      </c>
      <c r="DZ124">
        <v>-8.8079299999999999E-2</v>
      </c>
      <c r="EA124">
        <v>0.16419400000000001</v>
      </c>
      <c r="EB124">
        <v>20.189399999999999</v>
      </c>
      <c r="EC124">
        <v>5.2411000000000003</v>
      </c>
      <c r="ED124">
        <v>12.039899999999999</v>
      </c>
      <c r="EE124">
        <v>5.0168499999999998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1.8689100000000001</v>
      </c>
      <c r="EL124">
        <v>1.8646400000000001</v>
      </c>
      <c r="EM124">
        <v>1.8692</v>
      </c>
      <c r="EN124">
        <v>1.86724</v>
      </c>
      <c r="EO124">
        <v>1.8633999999999999</v>
      </c>
      <c r="EP124">
        <v>1.86453</v>
      </c>
      <c r="EQ124">
        <v>1.87015</v>
      </c>
      <c r="ER124">
        <v>1.8694299999999999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-0.34</v>
      </c>
      <c r="FG124">
        <v>0.31</v>
      </c>
      <c r="FH124">
        <v>0.1121710645629533</v>
      </c>
      <c r="FI124">
        <v>-6.1462078757559423E-4</v>
      </c>
      <c r="FJ124">
        <v>-1.8861989874597051E-7</v>
      </c>
      <c r="FK124">
        <v>1.1980462299894961E-10</v>
      </c>
      <c r="FL124">
        <v>0.30996499999999833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28.5</v>
      </c>
      <c r="FU124">
        <v>28.4</v>
      </c>
      <c r="FV124">
        <v>1.78345</v>
      </c>
      <c r="FW124">
        <v>2.5830099999999998</v>
      </c>
      <c r="FX124">
        <v>1.5490699999999999</v>
      </c>
      <c r="FY124">
        <v>2.3290999999999999</v>
      </c>
      <c r="FZ124">
        <v>1.50146</v>
      </c>
      <c r="GA124">
        <v>2.31812</v>
      </c>
      <c r="GB124">
        <v>33.941299999999998</v>
      </c>
      <c r="GC124">
        <v>23.982399999999998</v>
      </c>
      <c r="GD124">
        <v>19</v>
      </c>
      <c r="GE124">
        <v>283.75599999999997</v>
      </c>
      <c r="GF124">
        <v>594.84</v>
      </c>
      <c r="GG124">
        <v>24.377099999999999</v>
      </c>
      <c r="GH124">
        <v>26.273399999999999</v>
      </c>
      <c r="GI124">
        <v>30.0002</v>
      </c>
      <c r="GJ124">
        <v>26.421299999999999</v>
      </c>
      <c r="GK124">
        <v>26.411799999999999</v>
      </c>
      <c r="GL124">
        <v>35.645200000000003</v>
      </c>
      <c r="GM124">
        <v>43.207599999999999</v>
      </c>
      <c r="GN124">
        <v>90.523300000000006</v>
      </c>
      <c r="GO124">
        <v>24.3765</v>
      </c>
      <c r="GP124">
        <v>800</v>
      </c>
      <c r="GQ124">
        <v>14.815099999999999</v>
      </c>
      <c r="GR124">
        <v>99.755300000000005</v>
      </c>
      <c r="GS124">
        <v>99.606099999999998</v>
      </c>
    </row>
    <row r="125" spans="1:201" x14ac:dyDescent="0.25">
      <c r="A125">
        <v>109</v>
      </c>
      <c r="B125">
        <v>1690227895.5</v>
      </c>
      <c r="C125">
        <v>1325.900000095367</v>
      </c>
      <c r="D125" t="s">
        <v>549</v>
      </c>
      <c r="E125" t="s">
        <v>550</v>
      </c>
      <c r="F125" t="s">
        <v>330</v>
      </c>
      <c r="H125">
        <v>1690227895.5</v>
      </c>
      <c r="I125">
        <f t="shared" si="30"/>
        <v>8.1716999342844082E-4</v>
      </c>
      <c r="J125">
        <f t="shared" si="31"/>
        <v>0.81716999342844088</v>
      </c>
      <c r="K125">
        <f t="shared" si="32"/>
        <v>12.844622524805745</v>
      </c>
      <c r="L125">
        <f t="shared" si="33"/>
        <v>655.66200000000003</v>
      </c>
      <c r="M125">
        <f t="shared" si="34"/>
        <v>239.67958880446835</v>
      </c>
      <c r="N125">
        <f t="shared" si="35"/>
        <v>23.768393985061394</v>
      </c>
      <c r="O125">
        <f t="shared" si="36"/>
        <v>65.020274837616</v>
      </c>
      <c r="P125">
        <f t="shared" si="37"/>
        <v>5.1394872534504442E-2</v>
      </c>
      <c r="Q125">
        <f t="shared" si="38"/>
        <v>2.127695028431333</v>
      </c>
      <c r="R125">
        <f t="shared" si="39"/>
        <v>5.0715022697458208E-2</v>
      </c>
      <c r="S125">
        <f t="shared" si="40"/>
        <v>3.1757221722328977E-2</v>
      </c>
      <c r="T125">
        <f t="shared" si="41"/>
        <v>276.11346159580239</v>
      </c>
      <c r="U125">
        <f t="shared" si="42"/>
        <v>28.340572060381096</v>
      </c>
      <c r="V125">
        <f t="shared" si="43"/>
        <v>28.340572060381096</v>
      </c>
      <c r="W125">
        <f t="shared" si="44"/>
        <v>3.8708388418115849</v>
      </c>
      <c r="X125">
        <f t="shared" si="45"/>
        <v>67.076541474005595</v>
      </c>
      <c r="Y125">
        <f t="shared" si="46"/>
        <v>2.3228567610847999</v>
      </c>
      <c r="Z125">
        <f t="shared" si="47"/>
        <v>3.46299423023321</v>
      </c>
      <c r="AA125">
        <f t="shared" si="48"/>
        <v>1.547982080726785</v>
      </c>
      <c r="AB125">
        <f t="shared" si="49"/>
        <v>-36.037196710194237</v>
      </c>
      <c r="AC125">
        <f t="shared" si="50"/>
        <v>-218.08020435551853</v>
      </c>
      <c r="AD125">
        <f t="shared" si="51"/>
        <v>-22.206431555897122</v>
      </c>
      <c r="AE125">
        <f t="shared" si="52"/>
        <v>-0.21037102580751821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52349.872301128278</v>
      </c>
      <c r="AK125">
        <f t="shared" si="56"/>
        <v>1799.99</v>
      </c>
      <c r="AL125">
        <f t="shared" si="57"/>
        <v>1499.1024134069899</v>
      </c>
      <c r="AM125">
        <f t="shared" si="58"/>
        <v>0.83283930099999992</v>
      </c>
      <c r="AN125">
        <f t="shared" si="59"/>
        <v>0.15339721975999998</v>
      </c>
      <c r="AO125">
        <v>32.4</v>
      </c>
      <c r="AP125">
        <v>0.5</v>
      </c>
      <c r="AQ125" t="s">
        <v>331</v>
      </c>
      <c r="AR125">
        <v>2</v>
      </c>
      <c r="AS125">
        <v>1690227895.5</v>
      </c>
      <c r="AT125">
        <v>655.66200000000003</v>
      </c>
      <c r="AU125">
        <v>800.07799999999997</v>
      </c>
      <c r="AV125">
        <v>23.4236</v>
      </c>
      <c r="AW125">
        <v>14.8104</v>
      </c>
      <c r="AX125">
        <v>656</v>
      </c>
      <c r="AY125">
        <v>23.113600000000002</v>
      </c>
      <c r="AZ125">
        <v>300.19200000000001</v>
      </c>
      <c r="BA125">
        <v>99.067300000000003</v>
      </c>
      <c r="BB125">
        <v>0.100068</v>
      </c>
      <c r="BC125">
        <v>26.439399999999999</v>
      </c>
      <c r="BD125">
        <v>26.9846</v>
      </c>
      <c r="BE125">
        <v>28.178899999999999</v>
      </c>
      <c r="BF125">
        <v>0</v>
      </c>
      <c r="BG125">
        <v>0</v>
      </c>
      <c r="BH125">
        <v>9973.75</v>
      </c>
      <c r="BI125">
        <v>1071.97</v>
      </c>
      <c r="BJ125">
        <v>1.5137799999999999</v>
      </c>
      <c r="BK125">
        <v>-144.416</v>
      </c>
      <c r="BL125">
        <v>671.38800000000003</v>
      </c>
      <c r="BM125">
        <v>812.10599999999999</v>
      </c>
      <c r="BN125">
        <v>8.6131100000000007</v>
      </c>
      <c r="BO125">
        <v>800.07799999999997</v>
      </c>
      <c r="BP125">
        <v>14.8104</v>
      </c>
      <c r="BQ125">
        <v>2.3205100000000001</v>
      </c>
      <c r="BR125">
        <v>1.46723</v>
      </c>
      <c r="BS125">
        <v>19.819500000000001</v>
      </c>
      <c r="BT125">
        <v>12.6309</v>
      </c>
      <c r="BU125">
        <v>1799.99</v>
      </c>
      <c r="BV125">
        <v>0.91000099999999995</v>
      </c>
      <c r="BW125">
        <v>3.4007799999999998E-2</v>
      </c>
      <c r="BX125">
        <v>2.1997300000000001E-2</v>
      </c>
      <c r="BY125">
        <v>3.3993799999999998E-2</v>
      </c>
      <c r="BZ125">
        <v>26</v>
      </c>
      <c r="CA125">
        <v>33528.199999999997</v>
      </c>
      <c r="CB125">
        <v>1690226183.5999999</v>
      </c>
      <c r="CC125" t="s">
        <v>332</v>
      </c>
      <c r="CD125">
        <v>1690226177.5999999</v>
      </c>
      <c r="CE125">
        <v>1690226183.5999999</v>
      </c>
      <c r="CF125">
        <v>12</v>
      </c>
      <c r="CG125">
        <v>-0.255</v>
      </c>
      <c r="CH125">
        <v>0.113</v>
      </c>
      <c r="CI125">
        <v>-0.439</v>
      </c>
      <c r="CJ125">
        <v>0.31</v>
      </c>
      <c r="CK125">
        <v>800</v>
      </c>
      <c r="CL125">
        <v>25</v>
      </c>
      <c r="CM125">
        <v>0.02</v>
      </c>
      <c r="CN125">
        <v>0.03</v>
      </c>
      <c r="CO125">
        <v>-141.30458536585371</v>
      </c>
      <c r="CP125">
        <v>-16.50961672473878</v>
      </c>
      <c r="CQ125">
        <v>1.6285257132788</v>
      </c>
      <c r="CR125">
        <v>-1</v>
      </c>
      <c r="CS125">
        <v>8.4636139024390236</v>
      </c>
      <c r="CT125">
        <v>0.86500118466900533</v>
      </c>
      <c r="CU125">
        <v>8.634719871677593E-2</v>
      </c>
      <c r="CV125">
        <v>-1</v>
      </c>
      <c r="CW125">
        <v>0</v>
      </c>
      <c r="CX125">
        <v>0</v>
      </c>
      <c r="CY125" t="s">
        <v>333</v>
      </c>
      <c r="CZ125">
        <v>2.36442</v>
      </c>
      <c r="DA125">
        <v>2.7138399999999998</v>
      </c>
      <c r="DB125">
        <v>0.128187</v>
      </c>
      <c r="DC125">
        <v>0.146235</v>
      </c>
      <c r="DD125">
        <v>0.11151800000000001</v>
      </c>
      <c r="DE125">
        <v>7.9436499999999993E-2</v>
      </c>
      <c r="DF125">
        <v>31838.5</v>
      </c>
      <c r="DG125">
        <v>27523.599999999999</v>
      </c>
      <c r="DH125">
        <v>31177</v>
      </c>
      <c r="DI125">
        <v>28090.7</v>
      </c>
      <c r="DJ125">
        <v>37608.5</v>
      </c>
      <c r="DK125">
        <v>36773.800000000003</v>
      </c>
      <c r="DL125">
        <v>44370.400000000001</v>
      </c>
      <c r="DM125">
        <v>42579.5</v>
      </c>
      <c r="DN125">
        <v>1.4777</v>
      </c>
      <c r="DO125">
        <v>2.0493000000000001</v>
      </c>
      <c r="DP125">
        <v>0.10483000000000001</v>
      </c>
      <c r="DQ125">
        <v>0.192299</v>
      </c>
      <c r="DR125">
        <v>25.267800000000001</v>
      </c>
      <c r="DS125">
        <v>25.032</v>
      </c>
      <c r="DT125">
        <v>56.5</v>
      </c>
      <c r="DU125">
        <v>29.2</v>
      </c>
      <c r="DV125">
        <v>23.2029</v>
      </c>
      <c r="DW125">
        <v>61.672499999999999</v>
      </c>
      <c r="DX125">
        <v>36.754800000000003</v>
      </c>
      <c r="DY125">
        <v>1</v>
      </c>
      <c r="DZ125">
        <v>-8.8119900000000001E-2</v>
      </c>
      <c r="EA125">
        <v>0.30868200000000001</v>
      </c>
      <c r="EB125">
        <v>20.1889</v>
      </c>
      <c r="EC125">
        <v>5.2409499999999998</v>
      </c>
      <c r="ED125">
        <v>12.039899999999999</v>
      </c>
      <c r="EE125">
        <v>5.0168999999999997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1.86893</v>
      </c>
      <c r="EL125">
        <v>1.86467</v>
      </c>
      <c r="EM125">
        <v>1.8692</v>
      </c>
      <c r="EN125">
        <v>1.86724</v>
      </c>
      <c r="EO125">
        <v>1.8633999999999999</v>
      </c>
      <c r="EP125">
        <v>1.8645099999999999</v>
      </c>
      <c r="EQ125">
        <v>1.87015</v>
      </c>
      <c r="ER125">
        <v>1.8694599999999999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-0.33800000000000002</v>
      </c>
      <c r="FG125">
        <v>0.31</v>
      </c>
      <c r="FH125">
        <v>0.1121710645629533</v>
      </c>
      <c r="FI125">
        <v>-6.1462078757559423E-4</v>
      </c>
      <c r="FJ125">
        <v>-1.8861989874597051E-7</v>
      </c>
      <c r="FK125">
        <v>1.1980462299894961E-10</v>
      </c>
      <c r="FL125">
        <v>0.30996499999999833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28.6</v>
      </c>
      <c r="FU125">
        <v>28.5</v>
      </c>
      <c r="FV125">
        <v>1.78223</v>
      </c>
      <c r="FW125">
        <v>2.5793499999999998</v>
      </c>
      <c r="FX125">
        <v>1.5490699999999999</v>
      </c>
      <c r="FY125">
        <v>2.3290999999999999</v>
      </c>
      <c r="FZ125">
        <v>1.50146</v>
      </c>
      <c r="GA125">
        <v>2.36694</v>
      </c>
      <c r="GB125">
        <v>33.941299999999998</v>
      </c>
      <c r="GC125">
        <v>23.991199999999999</v>
      </c>
      <c r="GD125">
        <v>19</v>
      </c>
      <c r="GE125">
        <v>283.82100000000003</v>
      </c>
      <c r="GF125">
        <v>594.73099999999999</v>
      </c>
      <c r="GG125">
        <v>24.3371</v>
      </c>
      <c r="GH125">
        <v>26.2712</v>
      </c>
      <c r="GI125">
        <v>30.0002</v>
      </c>
      <c r="GJ125">
        <v>26.4191</v>
      </c>
      <c r="GK125">
        <v>26.409600000000001</v>
      </c>
      <c r="GL125">
        <v>35.643000000000001</v>
      </c>
      <c r="GM125">
        <v>43.804600000000001</v>
      </c>
      <c r="GN125">
        <v>90.150499999999994</v>
      </c>
      <c r="GO125">
        <v>24.327500000000001</v>
      </c>
      <c r="GP125">
        <v>800</v>
      </c>
      <c r="GQ125">
        <v>14.682</v>
      </c>
      <c r="GR125">
        <v>99.756500000000003</v>
      </c>
      <c r="GS125">
        <v>99.604799999999997</v>
      </c>
    </row>
    <row r="126" spans="1:201" x14ac:dyDescent="0.25">
      <c r="A126">
        <v>110</v>
      </c>
      <c r="B126">
        <v>1690227905.5</v>
      </c>
      <c r="C126">
        <v>1335.900000095367</v>
      </c>
      <c r="D126" t="s">
        <v>551</v>
      </c>
      <c r="E126" t="s">
        <v>552</v>
      </c>
      <c r="F126" t="s">
        <v>330</v>
      </c>
      <c r="H126">
        <v>1690227905.5</v>
      </c>
      <c r="I126">
        <f t="shared" si="30"/>
        <v>8.3062707578866312E-4</v>
      </c>
      <c r="J126">
        <f t="shared" si="31"/>
        <v>0.83062707578866313</v>
      </c>
      <c r="K126">
        <f t="shared" si="32"/>
        <v>13.08663080123628</v>
      </c>
      <c r="L126">
        <f t="shared" si="33"/>
        <v>652.97500000000002</v>
      </c>
      <c r="M126">
        <f t="shared" si="34"/>
        <v>237.07864904603719</v>
      </c>
      <c r="N126">
        <f t="shared" si="35"/>
        <v>23.510738986573568</v>
      </c>
      <c r="O126">
        <f t="shared" si="36"/>
        <v>64.754564999975003</v>
      </c>
      <c r="P126">
        <f t="shared" si="37"/>
        <v>5.2372379202133175E-2</v>
      </c>
      <c r="Q126">
        <f t="shared" si="38"/>
        <v>2.1313551909522079</v>
      </c>
      <c r="R126">
        <f t="shared" si="39"/>
        <v>5.1667808493235511E-2</v>
      </c>
      <c r="S126">
        <f t="shared" si="40"/>
        <v>3.2354893473510858E-2</v>
      </c>
      <c r="T126">
        <f t="shared" si="41"/>
        <v>276.11341976403486</v>
      </c>
      <c r="U126">
        <f t="shared" si="42"/>
        <v>28.325625915359449</v>
      </c>
      <c r="V126">
        <f t="shared" si="43"/>
        <v>28.325625915359449</v>
      </c>
      <c r="W126">
        <f t="shared" si="44"/>
        <v>3.8674759451919454</v>
      </c>
      <c r="X126">
        <f t="shared" si="45"/>
        <v>67.108786687987575</v>
      </c>
      <c r="Y126">
        <f t="shared" si="46"/>
        <v>2.3229730201644996</v>
      </c>
      <c r="Z126">
        <f t="shared" si="47"/>
        <v>3.4615035300292654</v>
      </c>
      <c r="AA126">
        <f t="shared" si="48"/>
        <v>1.5445029250274458</v>
      </c>
      <c r="AB126">
        <f t="shared" si="49"/>
        <v>-36.630654042280042</v>
      </c>
      <c r="AC126">
        <f t="shared" si="50"/>
        <v>-217.57677128738692</v>
      </c>
      <c r="AD126">
        <f t="shared" si="51"/>
        <v>-22.114663018218469</v>
      </c>
      <c r="AE126">
        <f t="shared" si="52"/>
        <v>-0.2086685838505673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52509.140283662018</v>
      </c>
      <c r="AK126">
        <f t="shared" si="56"/>
        <v>1799.99</v>
      </c>
      <c r="AL126">
        <f t="shared" si="57"/>
        <v>1499.1032432023799</v>
      </c>
      <c r="AM126">
        <f t="shared" si="58"/>
        <v>0.83283976199999998</v>
      </c>
      <c r="AN126">
        <f t="shared" si="59"/>
        <v>0.15339719652000003</v>
      </c>
      <c r="AO126">
        <v>32.4</v>
      </c>
      <c r="AP126">
        <v>0.5</v>
      </c>
      <c r="AQ126" t="s">
        <v>331</v>
      </c>
      <c r="AR126">
        <v>2</v>
      </c>
      <c r="AS126">
        <v>1690227905.5</v>
      </c>
      <c r="AT126">
        <v>652.97500000000002</v>
      </c>
      <c r="AU126">
        <v>800.08199999999999</v>
      </c>
      <c r="AV126">
        <v>23.424499999999998</v>
      </c>
      <c r="AW126">
        <v>14.669</v>
      </c>
      <c r="AX126">
        <v>653.31200000000001</v>
      </c>
      <c r="AY126">
        <v>23.114599999999999</v>
      </c>
      <c r="AZ126">
        <v>300.17599999999999</v>
      </c>
      <c r="BA126">
        <v>99.0685</v>
      </c>
      <c r="BB126">
        <v>0.100021</v>
      </c>
      <c r="BC126">
        <v>26.432099999999998</v>
      </c>
      <c r="BD126">
        <v>26.991800000000001</v>
      </c>
      <c r="BE126">
        <v>28.1768</v>
      </c>
      <c r="BF126">
        <v>0</v>
      </c>
      <c r="BG126">
        <v>0</v>
      </c>
      <c r="BH126">
        <v>10005</v>
      </c>
      <c r="BI126">
        <v>1071.98</v>
      </c>
      <c r="BJ126">
        <v>1.5137799999999999</v>
      </c>
      <c r="BK126">
        <v>-147.107</v>
      </c>
      <c r="BL126">
        <v>668.63800000000003</v>
      </c>
      <c r="BM126">
        <v>811.99300000000005</v>
      </c>
      <c r="BN126">
        <v>8.7555499999999995</v>
      </c>
      <c r="BO126">
        <v>800.08199999999999</v>
      </c>
      <c r="BP126">
        <v>14.669</v>
      </c>
      <c r="BQ126">
        <v>2.32063</v>
      </c>
      <c r="BR126">
        <v>1.4532400000000001</v>
      </c>
      <c r="BS126">
        <v>19.8203</v>
      </c>
      <c r="BT126">
        <v>12.4848</v>
      </c>
      <c r="BU126">
        <v>1799.99</v>
      </c>
      <c r="BV126">
        <v>0.91000400000000004</v>
      </c>
      <c r="BW126">
        <v>3.4006799999999997E-2</v>
      </c>
      <c r="BX126">
        <v>2.1996600000000002E-2</v>
      </c>
      <c r="BY126">
        <v>3.3992799999999997E-2</v>
      </c>
      <c r="BZ126">
        <v>26</v>
      </c>
      <c r="CA126">
        <v>33528.300000000003</v>
      </c>
      <c r="CB126">
        <v>1690226183.5999999</v>
      </c>
      <c r="CC126" t="s">
        <v>332</v>
      </c>
      <c r="CD126">
        <v>1690226177.5999999</v>
      </c>
      <c r="CE126">
        <v>1690226183.5999999</v>
      </c>
      <c r="CF126">
        <v>12</v>
      </c>
      <c r="CG126">
        <v>-0.255</v>
      </c>
      <c r="CH126">
        <v>0.113</v>
      </c>
      <c r="CI126">
        <v>-0.439</v>
      </c>
      <c r="CJ126">
        <v>0.31</v>
      </c>
      <c r="CK126">
        <v>800</v>
      </c>
      <c r="CL126">
        <v>25</v>
      </c>
      <c r="CM126">
        <v>0.02</v>
      </c>
      <c r="CN126">
        <v>0.03</v>
      </c>
      <c r="CO126">
        <v>-144.19900000000001</v>
      </c>
      <c r="CP126">
        <v>-15.9334784240151</v>
      </c>
      <c r="CQ126">
        <v>1.533513156122245</v>
      </c>
      <c r="CR126">
        <v>-1</v>
      </c>
      <c r="CS126">
        <v>8.6150570000000002</v>
      </c>
      <c r="CT126">
        <v>0.78887166979361967</v>
      </c>
      <c r="CU126">
        <v>7.6895582356855757E-2</v>
      </c>
      <c r="CV126">
        <v>-1</v>
      </c>
      <c r="CW126">
        <v>0</v>
      </c>
      <c r="CX126">
        <v>0</v>
      </c>
      <c r="CY126" t="s">
        <v>333</v>
      </c>
      <c r="CZ126">
        <v>2.3643999999999998</v>
      </c>
      <c r="DA126">
        <v>2.7138200000000001</v>
      </c>
      <c r="DB126">
        <v>0.12782499999999999</v>
      </c>
      <c r="DC126">
        <v>0.146235</v>
      </c>
      <c r="DD126">
        <v>0.111523</v>
      </c>
      <c r="DE126">
        <v>7.88798E-2</v>
      </c>
      <c r="DF126">
        <v>31851.8</v>
      </c>
      <c r="DG126">
        <v>27523.8</v>
      </c>
      <c r="DH126">
        <v>31177.200000000001</v>
      </c>
      <c r="DI126">
        <v>28090.9</v>
      </c>
      <c r="DJ126">
        <v>37608.199999999997</v>
      </c>
      <c r="DK126">
        <v>36796.5</v>
      </c>
      <c r="DL126">
        <v>44370.3</v>
      </c>
      <c r="DM126">
        <v>42580</v>
      </c>
      <c r="DN126">
        <v>1.4773499999999999</v>
      </c>
      <c r="DO126">
        <v>2.0486200000000001</v>
      </c>
      <c r="DP126">
        <v>0.10505299999999999</v>
      </c>
      <c r="DQ126">
        <v>0.19216900000000001</v>
      </c>
      <c r="DR126">
        <v>25.2713</v>
      </c>
      <c r="DS126">
        <v>25.032</v>
      </c>
      <c r="DT126">
        <v>56.5</v>
      </c>
      <c r="DU126">
        <v>29.2</v>
      </c>
      <c r="DV126">
        <v>23.2074</v>
      </c>
      <c r="DW126">
        <v>61.572499999999998</v>
      </c>
      <c r="DX126">
        <v>35.621000000000002</v>
      </c>
      <c r="DY126">
        <v>1</v>
      </c>
      <c r="DZ126">
        <v>-8.8600100000000001E-2</v>
      </c>
      <c r="EA126">
        <v>0.13353499999999999</v>
      </c>
      <c r="EB126">
        <v>20.189399999999999</v>
      </c>
      <c r="EC126">
        <v>5.2409499999999998</v>
      </c>
      <c r="ED126">
        <v>12.039899999999999</v>
      </c>
      <c r="EE126">
        <v>5.0171000000000001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1.8646400000000001</v>
      </c>
      <c r="EM126">
        <v>1.8691899999999999</v>
      </c>
      <c r="EN126">
        <v>1.8672299999999999</v>
      </c>
      <c r="EO126">
        <v>1.8633999999999999</v>
      </c>
      <c r="EP126">
        <v>1.8645099999999999</v>
      </c>
      <c r="EQ126">
        <v>1.8701399999999999</v>
      </c>
      <c r="ER126">
        <v>1.86941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-0.33700000000000002</v>
      </c>
      <c r="FG126">
        <v>0.30990000000000001</v>
      </c>
      <c r="FH126">
        <v>0.1121710645629533</v>
      </c>
      <c r="FI126">
        <v>-6.1462078757559423E-4</v>
      </c>
      <c r="FJ126">
        <v>-1.8861989874597051E-7</v>
      </c>
      <c r="FK126">
        <v>1.1980462299894961E-10</v>
      </c>
      <c r="FL126">
        <v>0.30996499999999833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28.8</v>
      </c>
      <c r="FU126">
        <v>28.7</v>
      </c>
      <c r="FV126">
        <v>1.78223</v>
      </c>
      <c r="FW126">
        <v>2.5866699999999998</v>
      </c>
      <c r="FX126">
        <v>1.5490699999999999</v>
      </c>
      <c r="FY126">
        <v>2.3290999999999999</v>
      </c>
      <c r="FZ126">
        <v>1.50146</v>
      </c>
      <c r="GA126">
        <v>2.3742700000000001</v>
      </c>
      <c r="GB126">
        <v>33.941299999999998</v>
      </c>
      <c r="GC126">
        <v>23.982399999999998</v>
      </c>
      <c r="GD126">
        <v>19</v>
      </c>
      <c r="GE126">
        <v>283.661</v>
      </c>
      <c r="GF126">
        <v>594.14</v>
      </c>
      <c r="GG126">
        <v>24.354299999999999</v>
      </c>
      <c r="GH126">
        <v>26.269500000000001</v>
      </c>
      <c r="GI126">
        <v>29.9998</v>
      </c>
      <c r="GJ126">
        <v>26.416899999999998</v>
      </c>
      <c r="GK126">
        <v>26.407399999999999</v>
      </c>
      <c r="GL126">
        <v>35.637799999999999</v>
      </c>
      <c r="GM126">
        <v>44.103000000000002</v>
      </c>
      <c r="GN126">
        <v>89.765299999999996</v>
      </c>
      <c r="GO126">
        <v>24.360600000000002</v>
      </c>
      <c r="GP126">
        <v>800</v>
      </c>
      <c r="GQ126">
        <v>14.543100000000001</v>
      </c>
      <c r="GR126">
        <v>99.756600000000006</v>
      </c>
      <c r="GS126">
        <v>99.605800000000002</v>
      </c>
    </row>
    <row r="127" spans="1:201" x14ac:dyDescent="0.25">
      <c r="A127">
        <v>111</v>
      </c>
      <c r="B127">
        <v>1690227915.5</v>
      </c>
      <c r="C127">
        <v>1345.900000095367</v>
      </c>
      <c r="D127" t="s">
        <v>553</v>
      </c>
      <c r="E127" t="s">
        <v>554</v>
      </c>
      <c r="F127" t="s">
        <v>330</v>
      </c>
      <c r="H127">
        <v>1690227915.5</v>
      </c>
      <c r="I127">
        <f t="shared" si="30"/>
        <v>8.4880427891613887E-4</v>
      </c>
      <c r="J127">
        <f t="shared" si="31"/>
        <v>0.84880427891613885</v>
      </c>
      <c r="K127">
        <f t="shared" si="32"/>
        <v>13.320840140720616</v>
      </c>
      <c r="L127">
        <f t="shared" si="33"/>
        <v>650.33900000000006</v>
      </c>
      <c r="M127">
        <f t="shared" si="34"/>
        <v>236.2067812103621</v>
      </c>
      <c r="N127">
        <f t="shared" si="35"/>
        <v>23.42440776515221</v>
      </c>
      <c r="O127">
        <f t="shared" si="36"/>
        <v>64.49351641608601</v>
      </c>
      <c r="P127">
        <f t="shared" si="37"/>
        <v>5.3551101747421413E-2</v>
      </c>
      <c r="Q127">
        <f t="shared" si="38"/>
        <v>2.1296846066249246</v>
      </c>
      <c r="R127">
        <f t="shared" si="39"/>
        <v>5.2814130580245158E-2</v>
      </c>
      <c r="S127">
        <f t="shared" si="40"/>
        <v>3.3074200570594521E-2</v>
      </c>
      <c r="T127">
        <f t="shared" si="41"/>
        <v>276.11479836000001</v>
      </c>
      <c r="U127">
        <f t="shared" si="42"/>
        <v>28.327132267884021</v>
      </c>
      <c r="V127">
        <f t="shared" si="43"/>
        <v>28.327132267884021</v>
      </c>
      <c r="W127">
        <f t="shared" si="44"/>
        <v>3.8678147603975797</v>
      </c>
      <c r="X127">
        <f t="shared" si="45"/>
        <v>67.106062004924198</v>
      </c>
      <c r="Y127">
        <f t="shared" si="46"/>
        <v>2.3237694095976003</v>
      </c>
      <c r="Z127">
        <f t="shared" si="47"/>
        <v>3.4628308384823474</v>
      </c>
      <c r="AA127">
        <f t="shared" si="48"/>
        <v>1.5440453507999794</v>
      </c>
      <c r="AB127">
        <f t="shared" si="49"/>
        <v>-37.432268700201725</v>
      </c>
      <c r="AC127">
        <f t="shared" si="50"/>
        <v>-216.83288332865871</v>
      </c>
      <c r="AD127">
        <f t="shared" si="51"/>
        <v>-22.057222443154352</v>
      </c>
      <c r="AE127">
        <f t="shared" si="52"/>
        <v>-0.20757611201477744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52435.874829728302</v>
      </c>
      <c r="AK127">
        <f t="shared" si="56"/>
        <v>1800</v>
      </c>
      <c r="AL127">
        <f t="shared" si="57"/>
        <v>1499.1108929999998</v>
      </c>
      <c r="AM127">
        <f t="shared" si="58"/>
        <v>0.83283938499999988</v>
      </c>
      <c r="AN127">
        <f t="shared" si="59"/>
        <v>0.15339711019999999</v>
      </c>
      <c r="AO127">
        <v>32.4</v>
      </c>
      <c r="AP127">
        <v>0.5</v>
      </c>
      <c r="AQ127" t="s">
        <v>331</v>
      </c>
      <c r="AR127">
        <v>2</v>
      </c>
      <c r="AS127">
        <v>1690227915.5</v>
      </c>
      <c r="AT127">
        <v>650.33900000000006</v>
      </c>
      <c r="AU127">
        <v>800.05399999999997</v>
      </c>
      <c r="AV127">
        <v>23.432400000000001</v>
      </c>
      <c r="AW127">
        <v>14.486800000000001</v>
      </c>
      <c r="AX127">
        <v>650.673</v>
      </c>
      <c r="AY127">
        <v>23.122399999999999</v>
      </c>
      <c r="AZ127">
        <v>300.22399999999999</v>
      </c>
      <c r="BA127">
        <v>99.069000000000003</v>
      </c>
      <c r="BB127">
        <v>0.100074</v>
      </c>
      <c r="BC127">
        <v>26.438600000000001</v>
      </c>
      <c r="BD127">
        <v>26.9815</v>
      </c>
      <c r="BE127">
        <v>28.1676</v>
      </c>
      <c r="BF127">
        <v>0</v>
      </c>
      <c r="BG127">
        <v>0</v>
      </c>
      <c r="BH127">
        <v>9990.6200000000008</v>
      </c>
      <c r="BI127">
        <v>1072.1600000000001</v>
      </c>
      <c r="BJ127">
        <v>1.5137799999999999</v>
      </c>
      <c r="BK127">
        <v>-149.71600000000001</v>
      </c>
      <c r="BL127">
        <v>665.94299999999998</v>
      </c>
      <c r="BM127">
        <v>811.81500000000005</v>
      </c>
      <c r="BN127">
        <v>8.9456500000000005</v>
      </c>
      <c r="BO127">
        <v>800.05399999999997</v>
      </c>
      <c r="BP127">
        <v>14.486800000000001</v>
      </c>
      <c r="BQ127">
        <v>2.3214299999999999</v>
      </c>
      <c r="BR127">
        <v>1.43519</v>
      </c>
      <c r="BS127">
        <v>19.825800000000001</v>
      </c>
      <c r="BT127">
        <v>12.294600000000001</v>
      </c>
      <c r="BU127">
        <v>1800</v>
      </c>
      <c r="BV127">
        <v>0.91000400000000004</v>
      </c>
      <c r="BW127">
        <v>3.4006599999999998E-2</v>
      </c>
      <c r="BX127">
        <v>2.1996499999999999E-2</v>
      </c>
      <c r="BY127">
        <v>3.3992599999999998E-2</v>
      </c>
      <c r="BZ127">
        <v>25.958300000000001</v>
      </c>
      <c r="CA127">
        <v>33528.400000000001</v>
      </c>
      <c r="CB127">
        <v>1690226183.5999999</v>
      </c>
      <c r="CC127" t="s">
        <v>332</v>
      </c>
      <c r="CD127">
        <v>1690226177.5999999</v>
      </c>
      <c r="CE127">
        <v>1690226183.5999999</v>
      </c>
      <c r="CF127">
        <v>12</v>
      </c>
      <c r="CG127">
        <v>-0.255</v>
      </c>
      <c r="CH127">
        <v>0.113</v>
      </c>
      <c r="CI127">
        <v>-0.439</v>
      </c>
      <c r="CJ127">
        <v>0.31</v>
      </c>
      <c r="CK127">
        <v>800</v>
      </c>
      <c r="CL127">
        <v>25</v>
      </c>
      <c r="CM127">
        <v>0.02</v>
      </c>
      <c r="CN127">
        <v>0.03</v>
      </c>
      <c r="CO127">
        <v>-146.87457499999999</v>
      </c>
      <c r="CP127">
        <v>-16.141497185740761</v>
      </c>
      <c r="CQ127">
        <v>1.553273074631436</v>
      </c>
      <c r="CR127">
        <v>-1</v>
      </c>
      <c r="CS127">
        <v>8.7499707499999992</v>
      </c>
      <c r="CT127">
        <v>0.88938675422136637</v>
      </c>
      <c r="CU127">
        <v>8.6155123451466809E-2</v>
      </c>
      <c r="CV127">
        <v>-1</v>
      </c>
      <c r="CW127">
        <v>0</v>
      </c>
      <c r="CX127">
        <v>0</v>
      </c>
      <c r="CY127" t="s">
        <v>333</v>
      </c>
      <c r="CZ127">
        <v>2.36456</v>
      </c>
      <c r="DA127">
        <v>2.7138599999999999</v>
      </c>
      <c r="DB127">
        <v>0.127469</v>
      </c>
      <c r="DC127">
        <v>0.14623</v>
      </c>
      <c r="DD127">
        <v>0.111551</v>
      </c>
      <c r="DE127">
        <v>7.8158699999999998E-2</v>
      </c>
      <c r="DF127">
        <v>31864.400000000001</v>
      </c>
      <c r="DG127">
        <v>27524.1</v>
      </c>
      <c r="DH127">
        <v>31176.7</v>
      </c>
      <c r="DI127">
        <v>28091</v>
      </c>
      <c r="DJ127">
        <v>37606.699999999997</v>
      </c>
      <c r="DK127">
        <v>36825.199999999997</v>
      </c>
      <c r="DL127">
        <v>44370.1</v>
      </c>
      <c r="DM127">
        <v>42579.9</v>
      </c>
      <c r="DN127">
        <v>1.4778</v>
      </c>
      <c r="DO127">
        <v>2.0486499999999999</v>
      </c>
      <c r="DP127">
        <v>0.10455</v>
      </c>
      <c r="DQ127">
        <v>0.19161</v>
      </c>
      <c r="DR127">
        <v>25.269300000000001</v>
      </c>
      <c r="DS127">
        <v>25.032</v>
      </c>
      <c r="DT127">
        <v>56.4</v>
      </c>
      <c r="DU127">
        <v>29.2</v>
      </c>
      <c r="DV127">
        <v>23.159500000000001</v>
      </c>
      <c r="DW127">
        <v>62.042499999999997</v>
      </c>
      <c r="DX127">
        <v>36.890999999999998</v>
      </c>
      <c r="DY127">
        <v>1</v>
      </c>
      <c r="DZ127">
        <v>-8.9006600000000005E-2</v>
      </c>
      <c r="EA127">
        <v>0.183333</v>
      </c>
      <c r="EB127">
        <v>20.189299999999999</v>
      </c>
      <c r="EC127">
        <v>5.2411000000000003</v>
      </c>
      <c r="ED127">
        <v>12.039899999999999</v>
      </c>
      <c r="EE127">
        <v>5.0170000000000003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1.86463</v>
      </c>
      <c r="EM127">
        <v>1.8691899999999999</v>
      </c>
      <c r="EN127">
        <v>1.8672200000000001</v>
      </c>
      <c r="EO127">
        <v>1.8633999999999999</v>
      </c>
      <c r="EP127">
        <v>1.8645099999999999</v>
      </c>
      <c r="EQ127">
        <v>1.8701300000000001</v>
      </c>
      <c r="ER127">
        <v>1.8694500000000001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-0.33400000000000002</v>
      </c>
      <c r="FG127">
        <v>0.31</v>
      </c>
      <c r="FH127">
        <v>0.1121710645629533</v>
      </c>
      <c r="FI127">
        <v>-6.1462078757559423E-4</v>
      </c>
      <c r="FJ127">
        <v>-1.8861989874597051E-7</v>
      </c>
      <c r="FK127">
        <v>1.1980462299894961E-10</v>
      </c>
      <c r="FL127">
        <v>0.30996499999999833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29</v>
      </c>
      <c r="FU127">
        <v>28.9</v>
      </c>
      <c r="FV127">
        <v>1.78223</v>
      </c>
      <c r="FW127">
        <v>2.5842299999999998</v>
      </c>
      <c r="FX127">
        <v>1.5490699999999999</v>
      </c>
      <c r="FY127">
        <v>2.3290999999999999</v>
      </c>
      <c r="FZ127">
        <v>1.50146</v>
      </c>
      <c r="GA127">
        <v>2.32178</v>
      </c>
      <c r="GB127">
        <v>33.941299999999998</v>
      </c>
      <c r="GC127">
        <v>23.982399999999998</v>
      </c>
      <c r="GD127">
        <v>19</v>
      </c>
      <c r="GE127">
        <v>283.84399999999999</v>
      </c>
      <c r="GF127">
        <v>594.13499999999999</v>
      </c>
      <c r="GG127">
        <v>24.3644</v>
      </c>
      <c r="GH127">
        <v>26.268599999999999</v>
      </c>
      <c r="GI127">
        <v>30</v>
      </c>
      <c r="GJ127">
        <v>26.4147</v>
      </c>
      <c r="GK127">
        <v>26.405200000000001</v>
      </c>
      <c r="GL127">
        <v>35.631300000000003</v>
      </c>
      <c r="GM127">
        <v>44.375900000000001</v>
      </c>
      <c r="GN127">
        <v>89.393199999999993</v>
      </c>
      <c r="GO127">
        <v>24.3597</v>
      </c>
      <c r="GP127">
        <v>800</v>
      </c>
      <c r="GQ127">
        <v>14.4025</v>
      </c>
      <c r="GR127">
        <v>99.755700000000004</v>
      </c>
      <c r="GS127">
        <v>99.605800000000002</v>
      </c>
    </row>
    <row r="128" spans="1:201" x14ac:dyDescent="0.25">
      <c r="A128">
        <v>112</v>
      </c>
      <c r="B128">
        <v>1690227925.5</v>
      </c>
      <c r="C128">
        <v>1355.900000095367</v>
      </c>
      <c r="D128" t="s">
        <v>555</v>
      </c>
      <c r="E128" t="s">
        <v>556</v>
      </c>
      <c r="F128" t="s">
        <v>330</v>
      </c>
      <c r="H128">
        <v>1690227925.5</v>
      </c>
      <c r="I128">
        <f t="shared" si="30"/>
        <v>8.5769536389443402E-4</v>
      </c>
      <c r="J128">
        <f t="shared" si="31"/>
        <v>0.85769536389443402</v>
      </c>
      <c r="K128">
        <f t="shared" si="32"/>
        <v>13.548164024580258</v>
      </c>
      <c r="L128">
        <f t="shared" si="33"/>
        <v>647.74699999999996</v>
      </c>
      <c r="M128">
        <f t="shared" si="34"/>
        <v>231.80141582509268</v>
      </c>
      <c r="N128">
        <f t="shared" si="35"/>
        <v>22.987668475738438</v>
      </c>
      <c r="O128">
        <f t="shared" si="36"/>
        <v>64.236852217458591</v>
      </c>
      <c r="P128">
        <f t="shared" si="37"/>
        <v>5.4213450006306688E-2</v>
      </c>
      <c r="Q128">
        <f t="shared" si="38"/>
        <v>2.1318119570677592</v>
      </c>
      <c r="R128">
        <f t="shared" si="39"/>
        <v>5.3459016508564355E-2</v>
      </c>
      <c r="S128">
        <f t="shared" si="40"/>
        <v>3.3478793509709462E-2</v>
      </c>
      <c r="T128">
        <f t="shared" si="41"/>
        <v>276.11481709799995</v>
      </c>
      <c r="U128">
        <f t="shared" si="42"/>
        <v>28.315033216879275</v>
      </c>
      <c r="V128">
        <f t="shared" si="43"/>
        <v>28.315033216879275</v>
      </c>
      <c r="W128">
        <f t="shared" si="44"/>
        <v>3.8650941215236858</v>
      </c>
      <c r="X128">
        <f t="shared" si="45"/>
        <v>67.131922676505411</v>
      </c>
      <c r="Y128">
        <f t="shared" si="46"/>
        <v>2.32366422643056</v>
      </c>
      <c r="Z128">
        <f t="shared" si="47"/>
        <v>3.461340199695766</v>
      </c>
      <c r="AA128">
        <f t="shared" si="48"/>
        <v>1.5414298950931258</v>
      </c>
      <c r="AB128">
        <f t="shared" si="49"/>
        <v>-37.824365547744542</v>
      </c>
      <c r="AC128">
        <f t="shared" si="50"/>
        <v>-216.49792244650459</v>
      </c>
      <c r="AD128">
        <f t="shared" si="51"/>
        <v>-21.999039337967261</v>
      </c>
      <c r="AE128">
        <f t="shared" si="52"/>
        <v>-0.20651023421643799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52529.041788297633</v>
      </c>
      <c r="AK128">
        <f t="shared" si="56"/>
        <v>1800</v>
      </c>
      <c r="AL128">
        <f t="shared" si="57"/>
        <v>1499.1113088</v>
      </c>
      <c r="AM128">
        <f t="shared" si="58"/>
        <v>0.832839616</v>
      </c>
      <c r="AN128">
        <f t="shared" si="59"/>
        <v>0.15339712060999997</v>
      </c>
      <c r="AO128">
        <v>32.4</v>
      </c>
      <c r="AP128">
        <v>0.5</v>
      </c>
      <c r="AQ128" t="s">
        <v>331</v>
      </c>
      <c r="AR128">
        <v>2</v>
      </c>
      <c r="AS128">
        <v>1690227925.5</v>
      </c>
      <c r="AT128">
        <v>647.74699999999996</v>
      </c>
      <c r="AU128">
        <v>799.97699999999998</v>
      </c>
      <c r="AV128">
        <v>23.4312</v>
      </c>
      <c r="AW128">
        <v>14.390499999999999</v>
      </c>
      <c r="AX128">
        <v>648.08000000000004</v>
      </c>
      <c r="AY128">
        <v>23.121300000000002</v>
      </c>
      <c r="AZ128">
        <v>300.178</v>
      </c>
      <c r="BA128">
        <v>99.069699999999997</v>
      </c>
      <c r="BB128">
        <v>9.9963800000000005E-2</v>
      </c>
      <c r="BC128">
        <v>26.4313</v>
      </c>
      <c r="BD128">
        <v>26.982099999999999</v>
      </c>
      <c r="BE128">
        <v>28.144200000000001</v>
      </c>
      <c r="BF128">
        <v>0</v>
      </c>
      <c r="BG128">
        <v>0</v>
      </c>
      <c r="BH128">
        <v>10008.799999999999</v>
      </c>
      <c r="BI128">
        <v>1072.19</v>
      </c>
      <c r="BJ128">
        <v>1.4815499999999999</v>
      </c>
      <c r="BK128">
        <v>-152.22999999999999</v>
      </c>
      <c r="BL128">
        <v>663.28899999999999</v>
      </c>
      <c r="BM128">
        <v>811.65700000000004</v>
      </c>
      <c r="BN128">
        <v>9.0407100000000007</v>
      </c>
      <c r="BO128">
        <v>799.97699999999998</v>
      </c>
      <c r="BP128">
        <v>14.390499999999999</v>
      </c>
      <c r="BQ128">
        <v>2.3213300000000001</v>
      </c>
      <c r="BR128">
        <v>1.42567</v>
      </c>
      <c r="BS128">
        <v>19.825199999999999</v>
      </c>
      <c r="BT128">
        <v>12.1934</v>
      </c>
      <c r="BU128">
        <v>1800</v>
      </c>
      <c r="BV128">
        <v>0.91000499999999995</v>
      </c>
      <c r="BW128">
        <v>3.4006300000000003E-2</v>
      </c>
      <c r="BX128">
        <v>2.19963E-2</v>
      </c>
      <c r="BY128">
        <v>3.3992300000000003E-2</v>
      </c>
      <c r="BZ128">
        <v>26</v>
      </c>
      <c r="CA128">
        <v>33528.300000000003</v>
      </c>
      <c r="CB128">
        <v>1690226183.5999999</v>
      </c>
      <c r="CC128" t="s">
        <v>332</v>
      </c>
      <c r="CD128">
        <v>1690226177.5999999</v>
      </c>
      <c r="CE128">
        <v>1690226183.5999999</v>
      </c>
      <c r="CF128">
        <v>12</v>
      </c>
      <c r="CG128">
        <v>-0.255</v>
      </c>
      <c r="CH128">
        <v>0.113</v>
      </c>
      <c r="CI128">
        <v>-0.439</v>
      </c>
      <c r="CJ128">
        <v>0.31</v>
      </c>
      <c r="CK128">
        <v>800</v>
      </c>
      <c r="CL128">
        <v>25</v>
      </c>
      <c r="CM128">
        <v>0.02</v>
      </c>
      <c r="CN128">
        <v>0.03</v>
      </c>
      <c r="CO128">
        <v>-149.32080487804879</v>
      </c>
      <c r="CP128">
        <v>-15.526766550522879</v>
      </c>
      <c r="CQ128">
        <v>1.5313742468379981</v>
      </c>
      <c r="CR128">
        <v>-1</v>
      </c>
      <c r="CS128">
        <v>8.8889417073170733</v>
      </c>
      <c r="CT128">
        <v>0.89997533101045557</v>
      </c>
      <c r="CU128">
        <v>9.02012151749427E-2</v>
      </c>
      <c r="CV128">
        <v>-1</v>
      </c>
      <c r="CW128">
        <v>0</v>
      </c>
      <c r="CX128">
        <v>0</v>
      </c>
      <c r="CY128" t="s">
        <v>333</v>
      </c>
      <c r="CZ128">
        <v>2.3643800000000001</v>
      </c>
      <c r="DA128">
        <v>2.7137600000000002</v>
      </c>
      <c r="DB128">
        <v>0.12711700000000001</v>
      </c>
      <c r="DC128">
        <v>0.14621999999999999</v>
      </c>
      <c r="DD128">
        <v>0.111549</v>
      </c>
      <c r="DE128">
        <v>7.7776999999999999E-2</v>
      </c>
      <c r="DF128">
        <v>31876.9</v>
      </c>
      <c r="DG128">
        <v>27524.6</v>
      </c>
      <c r="DH128">
        <v>31176.400000000001</v>
      </c>
      <c r="DI128">
        <v>28091.200000000001</v>
      </c>
      <c r="DJ128">
        <v>37606.300000000003</v>
      </c>
      <c r="DK128">
        <v>36840.699999999997</v>
      </c>
      <c r="DL128">
        <v>44369.4</v>
      </c>
      <c r="DM128">
        <v>42580.1</v>
      </c>
      <c r="DN128">
        <v>1.4776</v>
      </c>
      <c r="DO128">
        <v>2.0487799999999998</v>
      </c>
      <c r="DP128">
        <v>0.104588</v>
      </c>
      <c r="DQ128">
        <v>0.19017600000000001</v>
      </c>
      <c r="DR128">
        <v>25.269300000000001</v>
      </c>
      <c r="DS128">
        <v>25.032</v>
      </c>
      <c r="DT128">
        <v>56.3</v>
      </c>
      <c r="DU128">
        <v>29.2</v>
      </c>
      <c r="DV128">
        <v>23.121200000000002</v>
      </c>
      <c r="DW128">
        <v>61.942500000000003</v>
      </c>
      <c r="DX128">
        <v>35.616999999999997</v>
      </c>
      <c r="DY128">
        <v>1</v>
      </c>
      <c r="DZ128">
        <v>-8.8930400000000007E-2</v>
      </c>
      <c r="EA128">
        <v>0.12724099999999999</v>
      </c>
      <c r="EB128">
        <v>20.189299999999999</v>
      </c>
      <c r="EC128">
        <v>5.2408000000000001</v>
      </c>
      <c r="ED128">
        <v>12.039899999999999</v>
      </c>
      <c r="EE128">
        <v>5.0170000000000003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1.8646400000000001</v>
      </c>
      <c r="EM128">
        <v>1.8691800000000001</v>
      </c>
      <c r="EN128">
        <v>1.8672200000000001</v>
      </c>
      <c r="EO128">
        <v>1.8633999999999999</v>
      </c>
      <c r="EP128">
        <v>1.86449</v>
      </c>
      <c r="EQ128">
        <v>1.87012</v>
      </c>
      <c r="ER128">
        <v>1.8694200000000001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-0.33300000000000002</v>
      </c>
      <c r="FG128">
        <v>0.30990000000000001</v>
      </c>
      <c r="FH128">
        <v>0.1121710645629533</v>
      </c>
      <c r="FI128">
        <v>-6.1462078757559423E-4</v>
      </c>
      <c r="FJ128">
        <v>-1.8861989874597051E-7</v>
      </c>
      <c r="FK128">
        <v>1.1980462299894961E-10</v>
      </c>
      <c r="FL128">
        <v>0.30996499999999833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29.1</v>
      </c>
      <c r="FU128">
        <v>29</v>
      </c>
      <c r="FV128">
        <v>1.78223</v>
      </c>
      <c r="FW128">
        <v>2.5866699999999998</v>
      </c>
      <c r="FX128">
        <v>1.5490699999999999</v>
      </c>
      <c r="FY128">
        <v>2.3290999999999999</v>
      </c>
      <c r="FZ128">
        <v>1.50146</v>
      </c>
      <c r="GA128">
        <v>2.3925800000000002</v>
      </c>
      <c r="GB128">
        <v>33.941299999999998</v>
      </c>
      <c r="GC128">
        <v>23.991199999999999</v>
      </c>
      <c r="GD128">
        <v>19</v>
      </c>
      <c r="GE128">
        <v>283.74900000000002</v>
      </c>
      <c r="GF128">
        <v>594.21500000000003</v>
      </c>
      <c r="GG128">
        <v>24.3687</v>
      </c>
      <c r="GH128">
        <v>26.266400000000001</v>
      </c>
      <c r="GI128">
        <v>30</v>
      </c>
      <c r="GJ128">
        <v>26.412500000000001</v>
      </c>
      <c r="GK128">
        <v>26.402999999999999</v>
      </c>
      <c r="GL128">
        <v>35.629199999999997</v>
      </c>
      <c r="GM128">
        <v>44.653199999999998</v>
      </c>
      <c r="GN128">
        <v>88.630300000000005</v>
      </c>
      <c r="GO128">
        <v>24.374400000000001</v>
      </c>
      <c r="GP128">
        <v>800</v>
      </c>
      <c r="GQ128">
        <v>14.268599999999999</v>
      </c>
      <c r="GR128">
        <v>99.754400000000004</v>
      </c>
      <c r="GS128">
        <v>99.606300000000005</v>
      </c>
    </row>
    <row r="129" spans="1:201" x14ac:dyDescent="0.25">
      <c r="A129">
        <v>113</v>
      </c>
      <c r="B129">
        <v>1690227935.5</v>
      </c>
      <c r="C129">
        <v>1365.900000095367</v>
      </c>
      <c r="D129" t="s">
        <v>557</v>
      </c>
      <c r="E129" t="s">
        <v>558</v>
      </c>
      <c r="F129" t="s">
        <v>330</v>
      </c>
      <c r="H129">
        <v>1690227935.5</v>
      </c>
      <c r="I129">
        <f t="shared" si="30"/>
        <v>8.7225546594799487E-4</v>
      </c>
      <c r="J129">
        <f t="shared" si="31"/>
        <v>0.87225546594799486</v>
      </c>
      <c r="K129">
        <f t="shared" si="32"/>
        <v>13.781586686085907</v>
      </c>
      <c r="L129">
        <f t="shared" si="33"/>
        <v>645.29100000000005</v>
      </c>
      <c r="M129">
        <f t="shared" si="34"/>
        <v>229.22203086989205</v>
      </c>
      <c r="N129">
        <f t="shared" si="35"/>
        <v>22.731230419522451</v>
      </c>
      <c r="O129">
        <f t="shared" si="36"/>
        <v>63.991486128006009</v>
      </c>
      <c r="P129">
        <f t="shared" si="37"/>
        <v>5.5133536106677296E-2</v>
      </c>
      <c r="Q129">
        <f t="shared" si="38"/>
        <v>2.1313351885062923</v>
      </c>
      <c r="R129">
        <f t="shared" si="39"/>
        <v>5.4353304339707392E-2</v>
      </c>
      <c r="S129">
        <f t="shared" si="40"/>
        <v>3.4039996064370123E-2</v>
      </c>
      <c r="T129">
        <f t="shared" si="41"/>
        <v>276.11485457399999</v>
      </c>
      <c r="U129">
        <f t="shared" si="42"/>
        <v>28.31702784855656</v>
      </c>
      <c r="V129">
        <f t="shared" si="43"/>
        <v>28.31702784855656</v>
      </c>
      <c r="W129">
        <f t="shared" si="44"/>
        <v>3.8655425270796435</v>
      </c>
      <c r="X129">
        <f t="shared" si="45"/>
        <v>67.10894730224355</v>
      </c>
      <c r="Y129">
        <f t="shared" si="46"/>
        <v>2.3237870876645998</v>
      </c>
      <c r="Z129">
        <f t="shared" si="47"/>
        <v>3.4627082990868376</v>
      </c>
      <c r="AA129">
        <f t="shared" si="48"/>
        <v>1.5417554394150437</v>
      </c>
      <c r="AB129">
        <f t="shared" si="49"/>
        <v>-38.466466048306572</v>
      </c>
      <c r="AC129">
        <f t="shared" si="50"/>
        <v>-215.90883562654557</v>
      </c>
      <c r="AD129">
        <f t="shared" si="51"/>
        <v>-21.945039765938493</v>
      </c>
      <c r="AE129">
        <f t="shared" si="52"/>
        <v>-0.20548686679063621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52507.204634819667</v>
      </c>
      <c r="AK129">
        <f t="shared" si="56"/>
        <v>1800</v>
      </c>
      <c r="AL129">
        <f t="shared" si="57"/>
        <v>1499.1121404</v>
      </c>
      <c r="AM129">
        <f t="shared" si="58"/>
        <v>0.83284007800000004</v>
      </c>
      <c r="AN129">
        <f t="shared" si="59"/>
        <v>0.15339714142999999</v>
      </c>
      <c r="AO129">
        <v>32.4</v>
      </c>
      <c r="AP129">
        <v>0.5</v>
      </c>
      <c r="AQ129" t="s">
        <v>331</v>
      </c>
      <c r="AR129">
        <v>2</v>
      </c>
      <c r="AS129">
        <v>1690227935.5</v>
      </c>
      <c r="AT129">
        <v>645.29100000000005</v>
      </c>
      <c r="AU129">
        <v>800.09799999999996</v>
      </c>
      <c r="AV129">
        <v>23.4331</v>
      </c>
      <c r="AW129">
        <v>14.2402</v>
      </c>
      <c r="AX129">
        <v>645.62199999999996</v>
      </c>
      <c r="AY129">
        <v>23.123100000000001</v>
      </c>
      <c r="AZ129">
        <v>300.21899999999999</v>
      </c>
      <c r="BA129">
        <v>99.066800000000001</v>
      </c>
      <c r="BB129">
        <v>0.100066</v>
      </c>
      <c r="BC129">
        <v>26.437999999999999</v>
      </c>
      <c r="BD129">
        <v>27.010999999999999</v>
      </c>
      <c r="BE129">
        <v>28.153600000000001</v>
      </c>
      <c r="BF129">
        <v>0</v>
      </c>
      <c r="BG129">
        <v>0</v>
      </c>
      <c r="BH129">
        <v>10005</v>
      </c>
      <c r="BI129">
        <v>1072.26</v>
      </c>
      <c r="BJ129">
        <v>1.25027</v>
      </c>
      <c r="BK129">
        <v>-154.80699999999999</v>
      </c>
      <c r="BL129">
        <v>660.77499999999998</v>
      </c>
      <c r="BM129">
        <v>811.65599999999995</v>
      </c>
      <c r="BN129">
        <v>9.1929499999999997</v>
      </c>
      <c r="BO129">
        <v>800.09799999999996</v>
      </c>
      <c r="BP129">
        <v>14.2402</v>
      </c>
      <c r="BQ129">
        <v>2.3214399999999999</v>
      </c>
      <c r="BR129">
        <v>1.41073</v>
      </c>
      <c r="BS129">
        <v>19.826000000000001</v>
      </c>
      <c r="BT129">
        <v>12.0334</v>
      </c>
      <c r="BU129">
        <v>1800</v>
      </c>
      <c r="BV129">
        <v>0.91000700000000001</v>
      </c>
      <c r="BW129">
        <v>3.40057E-2</v>
      </c>
      <c r="BX129">
        <v>2.1995899999999999E-2</v>
      </c>
      <c r="BY129">
        <v>3.39917E-2</v>
      </c>
      <c r="BZ129">
        <v>26</v>
      </c>
      <c r="CA129">
        <v>33528.400000000001</v>
      </c>
      <c r="CB129">
        <v>1690226183.5999999</v>
      </c>
      <c r="CC129" t="s">
        <v>332</v>
      </c>
      <c r="CD129">
        <v>1690226177.5999999</v>
      </c>
      <c r="CE129">
        <v>1690226183.5999999</v>
      </c>
      <c r="CF129">
        <v>12</v>
      </c>
      <c r="CG129">
        <v>-0.255</v>
      </c>
      <c r="CH129">
        <v>0.113</v>
      </c>
      <c r="CI129">
        <v>-0.439</v>
      </c>
      <c r="CJ129">
        <v>0.31</v>
      </c>
      <c r="CK129">
        <v>800</v>
      </c>
      <c r="CL129">
        <v>25</v>
      </c>
      <c r="CM129">
        <v>0.02</v>
      </c>
      <c r="CN129">
        <v>0.03</v>
      </c>
      <c r="CO129">
        <v>-151.92690243902439</v>
      </c>
      <c r="CP129">
        <v>-15.76799999999999</v>
      </c>
      <c r="CQ129">
        <v>1.555568954103179</v>
      </c>
      <c r="CR129">
        <v>-1</v>
      </c>
      <c r="CS129">
        <v>9.035691951219512</v>
      </c>
      <c r="CT129">
        <v>0.79890229965157933</v>
      </c>
      <c r="CU129">
        <v>8.0797516027367733E-2</v>
      </c>
      <c r="CV129">
        <v>-1</v>
      </c>
      <c r="CW129">
        <v>0</v>
      </c>
      <c r="CX129">
        <v>0</v>
      </c>
      <c r="CY129" t="s">
        <v>333</v>
      </c>
      <c r="CZ129">
        <v>2.3645700000000001</v>
      </c>
      <c r="DA129">
        <v>2.7138599999999999</v>
      </c>
      <c r="DB129">
        <v>0.126779</v>
      </c>
      <c r="DC129">
        <v>0.146229</v>
      </c>
      <c r="DD129">
        <v>0.111552</v>
      </c>
      <c r="DE129">
        <v>7.7175300000000002E-2</v>
      </c>
      <c r="DF129">
        <v>31890</v>
      </c>
      <c r="DG129">
        <v>27524.3</v>
      </c>
      <c r="DH129">
        <v>31177.1</v>
      </c>
      <c r="DI129">
        <v>28091.1</v>
      </c>
      <c r="DJ129">
        <v>37606.9</v>
      </c>
      <c r="DK129">
        <v>36864.800000000003</v>
      </c>
      <c r="DL129">
        <v>44370.400000000001</v>
      </c>
      <c r="DM129">
        <v>42580.1</v>
      </c>
      <c r="DN129">
        <v>1.4781200000000001</v>
      </c>
      <c r="DO129">
        <v>2.0482200000000002</v>
      </c>
      <c r="DP129">
        <v>0.106487</v>
      </c>
      <c r="DQ129">
        <v>0.19075300000000001</v>
      </c>
      <c r="DR129">
        <v>25.267099999999999</v>
      </c>
      <c r="DS129">
        <v>25.032</v>
      </c>
      <c r="DT129">
        <v>56.2</v>
      </c>
      <c r="DU129">
        <v>29.2</v>
      </c>
      <c r="DV129">
        <v>23.081700000000001</v>
      </c>
      <c r="DW129">
        <v>61.482500000000002</v>
      </c>
      <c r="DX129">
        <v>36.0777</v>
      </c>
      <c r="DY129">
        <v>1</v>
      </c>
      <c r="DZ129">
        <v>-8.9471499999999995E-2</v>
      </c>
      <c r="EA129">
        <v>0.10625</v>
      </c>
      <c r="EB129">
        <v>20.1892</v>
      </c>
      <c r="EC129">
        <v>5.2413999999999996</v>
      </c>
      <c r="ED129">
        <v>12.039899999999999</v>
      </c>
      <c r="EE129">
        <v>5.01715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1.8691899999999999</v>
      </c>
      <c r="EN129">
        <v>1.8672200000000001</v>
      </c>
      <c r="EO129">
        <v>1.8633999999999999</v>
      </c>
      <c r="EP129">
        <v>1.86449</v>
      </c>
      <c r="EQ129">
        <v>1.8701300000000001</v>
      </c>
      <c r="ER129">
        <v>1.8694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-0.33100000000000002</v>
      </c>
      <c r="FG129">
        <v>0.31</v>
      </c>
      <c r="FH129">
        <v>0.1121710645629533</v>
      </c>
      <c r="FI129">
        <v>-6.1462078757559423E-4</v>
      </c>
      <c r="FJ129">
        <v>-1.8861989874597051E-7</v>
      </c>
      <c r="FK129">
        <v>1.1980462299894961E-10</v>
      </c>
      <c r="FL129">
        <v>0.30996499999999833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29.3</v>
      </c>
      <c r="FU129">
        <v>29.2</v>
      </c>
      <c r="FV129">
        <v>1.78101</v>
      </c>
      <c r="FW129">
        <v>2.5878899999999998</v>
      </c>
      <c r="FX129">
        <v>1.5490699999999999</v>
      </c>
      <c r="FY129">
        <v>2.3278799999999999</v>
      </c>
      <c r="FZ129">
        <v>1.50146</v>
      </c>
      <c r="GA129">
        <v>2.32422</v>
      </c>
      <c r="GB129">
        <v>33.963900000000002</v>
      </c>
      <c r="GC129">
        <v>23.982399999999998</v>
      </c>
      <c r="GD129">
        <v>19</v>
      </c>
      <c r="GE129">
        <v>283.964</v>
      </c>
      <c r="GF129">
        <v>593.72799999999995</v>
      </c>
      <c r="GG129">
        <v>24.3888</v>
      </c>
      <c r="GH129">
        <v>26.264199999999999</v>
      </c>
      <c r="GI129">
        <v>29.9999</v>
      </c>
      <c r="GJ129">
        <v>26.4102</v>
      </c>
      <c r="GK129">
        <v>26.4008</v>
      </c>
      <c r="GL129">
        <v>35.619599999999998</v>
      </c>
      <c r="GM129">
        <v>44.938299999999998</v>
      </c>
      <c r="GN129">
        <v>88.242400000000004</v>
      </c>
      <c r="GO129">
        <v>24.392099999999999</v>
      </c>
      <c r="GP129">
        <v>800</v>
      </c>
      <c r="GQ129">
        <v>14.133599999999999</v>
      </c>
      <c r="GR129">
        <v>99.756600000000006</v>
      </c>
      <c r="GS129">
        <v>99.606300000000005</v>
      </c>
    </row>
    <row r="130" spans="1:201" x14ac:dyDescent="0.25">
      <c r="A130">
        <v>114</v>
      </c>
      <c r="B130">
        <v>1690227945.5</v>
      </c>
      <c r="C130">
        <v>1375.900000095367</v>
      </c>
      <c r="D130" t="s">
        <v>559</v>
      </c>
      <c r="E130" t="s">
        <v>560</v>
      </c>
      <c r="F130" t="s">
        <v>330</v>
      </c>
      <c r="H130">
        <v>1690227945.5</v>
      </c>
      <c r="I130">
        <f t="shared" si="30"/>
        <v>8.847306166654055E-4</v>
      </c>
      <c r="J130">
        <f t="shared" si="31"/>
        <v>0.88473061666540553</v>
      </c>
      <c r="K130">
        <f t="shared" si="32"/>
        <v>14.006427069690657</v>
      </c>
      <c r="L130">
        <f t="shared" si="33"/>
        <v>642.75699999999995</v>
      </c>
      <c r="M130">
        <f t="shared" si="34"/>
        <v>226.27607419653773</v>
      </c>
      <c r="N130">
        <f t="shared" si="35"/>
        <v>22.439256799425092</v>
      </c>
      <c r="O130">
        <f t="shared" si="36"/>
        <v>63.740673572498984</v>
      </c>
      <c r="P130">
        <f t="shared" si="37"/>
        <v>5.5976190284117787E-2</v>
      </c>
      <c r="Q130">
        <f t="shared" si="38"/>
        <v>2.1293752759529108</v>
      </c>
      <c r="R130">
        <f t="shared" si="39"/>
        <v>5.5171385257106902E-2</v>
      </c>
      <c r="S130">
        <f t="shared" si="40"/>
        <v>3.4553460343343508E-2</v>
      </c>
      <c r="T130">
        <f t="shared" si="41"/>
        <v>276.11320270324069</v>
      </c>
      <c r="U130">
        <f t="shared" si="42"/>
        <v>28.313134244426891</v>
      </c>
      <c r="V130">
        <f t="shared" si="43"/>
        <v>28.313134244426891</v>
      </c>
      <c r="W130">
        <f t="shared" si="44"/>
        <v>3.8646672629158285</v>
      </c>
      <c r="X130">
        <f t="shared" si="45"/>
        <v>67.120390152047023</v>
      </c>
      <c r="Y130">
        <f t="shared" si="46"/>
        <v>2.3240325370877999</v>
      </c>
      <c r="Z130">
        <f t="shared" si="47"/>
        <v>3.4624836533625571</v>
      </c>
      <c r="AA130">
        <f t="shared" si="48"/>
        <v>1.5406347258280286</v>
      </c>
      <c r="AB130">
        <f t="shared" si="49"/>
        <v>-39.01662019494438</v>
      </c>
      <c r="AC130">
        <f t="shared" si="50"/>
        <v>-215.38958964740158</v>
      </c>
      <c r="AD130">
        <f t="shared" si="51"/>
        <v>-21.91186640053532</v>
      </c>
      <c r="AE130">
        <f t="shared" si="52"/>
        <v>-0.20487353964060162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52422.790311379154</v>
      </c>
      <c r="AK130">
        <f t="shared" si="56"/>
        <v>1799.99</v>
      </c>
      <c r="AL130">
        <f t="shared" si="57"/>
        <v>1499.10396499837</v>
      </c>
      <c r="AM130">
        <f t="shared" si="58"/>
        <v>0.83284016299999997</v>
      </c>
      <c r="AN130">
        <f t="shared" si="59"/>
        <v>0.15339707592999999</v>
      </c>
      <c r="AO130">
        <v>32.4</v>
      </c>
      <c r="AP130">
        <v>0.5</v>
      </c>
      <c r="AQ130" t="s">
        <v>331</v>
      </c>
      <c r="AR130">
        <v>2</v>
      </c>
      <c r="AS130">
        <v>1690227945.5</v>
      </c>
      <c r="AT130">
        <v>642.75699999999995</v>
      </c>
      <c r="AU130">
        <v>800.005</v>
      </c>
      <c r="AV130">
        <v>23.435400000000001</v>
      </c>
      <c r="AW130">
        <v>14.113899999999999</v>
      </c>
      <c r="AX130">
        <v>643.08600000000001</v>
      </c>
      <c r="AY130">
        <v>23.125399999999999</v>
      </c>
      <c r="AZ130">
        <v>300.31099999999998</v>
      </c>
      <c r="BA130">
        <v>99.067499999999995</v>
      </c>
      <c r="BB130">
        <v>0.100107</v>
      </c>
      <c r="BC130">
        <v>26.436900000000001</v>
      </c>
      <c r="BD130">
        <v>27.003699999999998</v>
      </c>
      <c r="BE130">
        <v>28.154299999999999</v>
      </c>
      <c r="BF130">
        <v>0</v>
      </c>
      <c r="BG130">
        <v>0</v>
      </c>
      <c r="BH130">
        <v>9988.1200000000008</v>
      </c>
      <c r="BI130">
        <v>1072.22</v>
      </c>
      <c r="BJ130">
        <v>1.44791</v>
      </c>
      <c r="BK130">
        <v>-157.24799999999999</v>
      </c>
      <c r="BL130">
        <v>658.18200000000002</v>
      </c>
      <c r="BM130">
        <v>811.45799999999997</v>
      </c>
      <c r="BN130">
        <v>9.3215199999999996</v>
      </c>
      <c r="BO130">
        <v>800.005</v>
      </c>
      <c r="BP130">
        <v>14.113899999999999</v>
      </c>
      <c r="BQ130">
        <v>2.3216899999999998</v>
      </c>
      <c r="BR130">
        <v>1.3982300000000001</v>
      </c>
      <c r="BS130">
        <v>19.8277</v>
      </c>
      <c r="BT130">
        <v>11.898400000000001</v>
      </c>
      <c r="BU130">
        <v>1799.99</v>
      </c>
      <c r="BV130">
        <v>0.91000899999999996</v>
      </c>
      <c r="BW130">
        <v>3.4004899999999998E-2</v>
      </c>
      <c r="BX130">
        <v>2.1995399999999998E-2</v>
      </c>
      <c r="BY130">
        <v>3.3990899999999998E-2</v>
      </c>
      <c r="BZ130">
        <v>26</v>
      </c>
      <c r="CA130">
        <v>33528.300000000003</v>
      </c>
      <c r="CB130">
        <v>1690226183.5999999</v>
      </c>
      <c r="CC130" t="s">
        <v>332</v>
      </c>
      <c r="CD130">
        <v>1690226177.5999999</v>
      </c>
      <c r="CE130">
        <v>1690226183.5999999</v>
      </c>
      <c r="CF130">
        <v>12</v>
      </c>
      <c r="CG130">
        <v>-0.255</v>
      </c>
      <c r="CH130">
        <v>0.113</v>
      </c>
      <c r="CI130">
        <v>-0.439</v>
      </c>
      <c r="CJ130">
        <v>0.31</v>
      </c>
      <c r="CK130">
        <v>800</v>
      </c>
      <c r="CL130">
        <v>25</v>
      </c>
      <c r="CM130">
        <v>0.02</v>
      </c>
      <c r="CN130">
        <v>0.03</v>
      </c>
      <c r="CO130">
        <v>-154.64830000000001</v>
      </c>
      <c r="CP130">
        <v>-14.76783489681001</v>
      </c>
      <c r="CQ130">
        <v>1.4233213305504839</v>
      </c>
      <c r="CR130">
        <v>-1</v>
      </c>
      <c r="CS130">
        <v>9.1768805000000011</v>
      </c>
      <c r="CT130">
        <v>0.81174596622888318</v>
      </c>
      <c r="CU130">
        <v>7.946376542015858E-2</v>
      </c>
      <c r="CV130">
        <v>-1</v>
      </c>
      <c r="CW130">
        <v>0</v>
      </c>
      <c r="CX130">
        <v>0</v>
      </c>
      <c r="CY130" t="s">
        <v>333</v>
      </c>
      <c r="CZ130">
        <v>2.3648500000000001</v>
      </c>
      <c r="DA130">
        <v>2.7138900000000001</v>
      </c>
      <c r="DB130">
        <v>0.12643499999999999</v>
      </c>
      <c r="DC130">
        <v>0.14621600000000001</v>
      </c>
      <c r="DD130">
        <v>0.11156099999999999</v>
      </c>
      <c r="DE130">
        <v>7.6670600000000005E-2</v>
      </c>
      <c r="DF130">
        <v>31902.400000000001</v>
      </c>
      <c r="DG130">
        <v>27524.799999999999</v>
      </c>
      <c r="DH130">
        <v>31176.9</v>
      </c>
      <c r="DI130">
        <v>28091.3</v>
      </c>
      <c r="DJ130">
        <v>37606.300000000003</v>
      </c>
      <c r="DK130">
        <v>36885.199999999997</v>
      </c>
      <c r="DL130">
        <v>44370.3</v>
      </c>
      <c r="DM130">
        <v>42580.4</v>
      </c>
      <c r="DN130">
        <v>1.4781200000000001</v>
      </c>
      <c r="DO130">
        <v>2.0478700000000001</v>
      </c>
      <c r="DP130">
        <v>0.10604</v>
      </c>
      <c r="DQ130">
        <v>0.19079099999999999</v>
      </c>
      <c r="DR130">
        <v>25.267099999999999</v>
      </c>
      <c r="DS130">
        <v>25.032</v>
      </c>
      <c r="DT130">
        <v>56.1</v>
      </c>
      <c r="DU130">
        <v>29.2</v>
      </c>
      <c r="DV130">
        <v>23.0396</v>
      </c>
      <c r="DW130">
        <v>61.802500000000002</v>
      </c>
      <c r="DX130">
        <v>36.538499999999999</v>
      </c>
      <c r="DY130">
        <v>1</v>
      </c>
      <c r="DZ130">
        <v>-8.93293E-2</v>
      </c>
      <c r="EA130">
        <v>0.22403899999999999</v>
      </c>
      <c r="EB130">
        <v>20.1891</v>
      </c>
      <c r="EC130">
        <v>5.2409499999999998</v>
      </c>
      <c r="ED130">
        <v>12.039899999999999</v>
      </c>
      <c r="EE130">
        <v>5.0168499999999998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1.8691899999999999</v>
      </c>
      <c r="EN130">
        <v>1.86724</v>
      </c>
      <c r="EO130">
        <v>1.8633999999999999</v>
      </c>
      <c r="EP130">
        <v>1.86452</v>
      </c>
      <c r="EQ130">
        <v>1.87012</v>
      </c>
      <c r="ER130">
        <v>1.8694200000000001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-0.32900000000000001</v>
      </c>
      <c r="FG130">
        <v>0.31</v>
      </c>
      <c r="FH130">
        <v>0.1121710645629533</v>
      </c>
      <c r="FI130">
        <v>-6.1462078757559423E-4</v>
      </c>
      <c r="FJ130">
        <v>-1.8861989874597051E-7</v>
      </c>
      <c r="FK130">
        <v>1.1980462299894961E-10</v>
      </c>
      <c r="FL130">
        <v>0.30996499999999833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29.5</v>
      </c>
      <c r="FU130">
        <v>29.4</v>
      </c>
      <c r="FV130">
        <v>1.78101</v>
      </c>
      <c r="FW130">
        <v>2.5805699999999998</v>
      </c>
      <c r="FX130">
        <v>1.5490699999999999</v>
      </c>
      <c r="FY130">
        <v>2.3278799999999999</v>
      </c>
      <c r="FZ130">
        <v>1.50146</v>
      </c>
      <c r="GA130">
        <v>2.3791500000000001</v>
      </c>
      <c r="GB130">
        <v>33.941299999999998</v>
      </c>
      <c r="GC130">
        <v>23.991199999999999</v>
      </c>
      <c r="GD130">
        <v>19</v>
      </c>
      <c r="GE130">
        <v>283.95400000000001</v>
      </c>
      <c r="GF130">
        <v>593.41</v>
      </c>
      <c r="GG130">
        <v>24.3736</v>
      </c>
      <c r="GH130">
        <v>26.262799999999999</v>
      </c>
      <c r="GI130">
        <v>30</v>
      </c>
      <c r="GJ130">
        <v>26.408100000000001</v>
      </c>
      <c r="GK130">
        <v>26.398599999999998</v>
      </c>
      <c r="GL130">
        <v>35.615000000000002</v>
      </c>
      <c r="GM130">
        <v>45.491500000000002</v>
      </c>
      <c r="GN130">
        <v>87.859099999999998</v>
      </c>
      <c r="GO130">
        <v>24.367000000000001</v>
      </c>
      <c r="GP130">
        <v>800</v>
      </c>
      <c r="GQ130">
        <v>13.994899999999999</v>
      </c>
      <c r="GR130">
        <v>99.756299999999996</v>
      </c>
      <c r="GS130">
        <v>99.606899999999996</v>
      </c>
    </row>
    <row r="131" spans="1:201" x14ac:dyDescent="0.25">
      <c r="A131">
        <v>115</v>
      </c>
      <c r="B131">
        <v>1690227955.5</v>
      </c>
      <c r="C131">
        <v>1385.900000095367</v>
      </c>
      <c r="D131" t="s">
        <v>561</v>
      </c>
      <c r="E131" t="s">
        <v>562</v>
      </c>
      <c r="F131" t="s">
        <v>330</v>
      </c>
      <c r="H131">
        <v>1690227955.5</v>
      </c>
      <c r="I131">
        <f t="shared" si="30"/>
        <v>8.9710038687439489E-4</v>
      </c>
      <c r="J131">
        <f t="shared" si="31"/>
        <v>0.89710038687439486</v>
      </c>
      <c r="K131">
        <f t="shared" si="32"/>
        <v>14.249638098859503</v>
      </c>
      <c r="L131">
        <f t="shared" si="33"/>
        <v>640.12800000000004</v>
      </c>
      <c r="M131">
        <f t="shared" si="34"/>
        <v>222.63792556249544</v>
      </c>
      <c r="N131">
        <f t="shared" si="35"/>
        <v>22.07949913759462</v>
      </c>
      <c r="O131">
        <f t="shared" si="36"/>
        <v>63.482920029196798</v>
      </c>
      <c r="P131">
        <f t="shared" si="37"/>
        <v>5.6803220849506508E-2</v>
      </c>
      <c r="Q131">
        <f t="shared" si="38"/>
        <v>2.1344487006399944</v>
      </c>
      <c r="R131">
        <f t="shared" si="39"/>
        <v>5.5976587005119767E-2</v>
      </c>
      <c r="S131">
        <f t="shared" si="40"/>
        <v>3.5058634487016016E-2</v>
      </c>
      <c r="T131">
        <f t="shared" si="41"/>
        <v>276.11469484200001</v>
      </c>
      <c r="U131">
        <f t="shared" si="42"/>
        <v>28.309478261791547</v>
      </c>
      <c r="V131">
        <f t="shared" si="43"/>
        <v>28.309478261791547</v>
      </c>
      <c r="W131">
        <f t="shared" si="44"/>
        <v>3.8638455723399043</v>
      </c>
      <c r="X131">
        <f t="shared" si="45"/>
        <v>67.102623002899733</v>
      </c>
      <c r="Y131">
        <f t="shared" si="46"/>
        <v>2.3240614966322601</v>
      </c>
      <c r="Z131">
        <f t="shared" si="47"/>
        <v>3.4634435922599174</v>
      </c>
      <c r="AA131">
        <f t="shared" si="48"/>
        <v>1.5397840757076442</v>
      </c>
      <c r="AB131">
        <f t="shared" si="49"/>
        <v>-39.562127061160815</v>
      </c>
      <c r="AC131">
        <f t="shared" si="50"/>
        <v>-214.94123140813403</v>
      </c>
      <c r="AD131">
        <f t="shared" si="51"/>
        <v>-21.814391716822154</v>
      </c>
      <c r="AE131">
        <f t="shared" si="52"/>
        <v>-0.20305534411699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52641.307342779583</v>
      </c>
      <c r="AK131">
        <f t="shared" si="56"/>
        <v>1800</v>
      </c>
      <c r="AL131">
        <f t="shared" si="57"/>
        <v>1499.1131232</v>
      </c>
      <c r="AM131">
        <f t="shared" si="58"/>
        <v>0.83284062400000003</v>
      </c>
      <c r="AN131">
        <f t="shared" si="59"/>
        <v>0.15339705269000001</v>
      </c>
      <c r="AO131">
        <v>32.4</v>
      </c>
      <c r="AP131">
        <v>0.5</v>
      </c>
      <c r="AQ131" t="s">
        <v>331</v>
      </c>
      <c r="AR131">
        <v>2</v>
      </c>
      <c r="AS131">
        <v>1690227955.5</v>
      </c>
      <c r="AT131">
        <v>640.12800000000004</v>
      </c>
      <c r="AU131">
        <v>800.08</v>
      </c>
      <c r="AV131">
        <v>23.4346</v>
      </c>
      <c r="AW131">
        <v>13.9816</v>
      </c>
      <c r="AX131">
        <v>640.45500000000004</v>
      </c>
      <c r="AY131">
        <v>23.124600000000001</v>
      </c>
      <c r="AZ131">
        <v>300.274</v>
      </c>
      <c r="BA131">
        <v>99.072299999999998</v>
      </c>
      <c r="BB131">
        <v>9.9928100000000006E-2</v>
      </c>
      <c r="BC131">
        <v>26.441600000000001</v>
      </c>
      <c r="BD131">
        <v>27.009799999999998</v>
      </c>
      <c r="BE131">
        <v>28.145399999999999</v>
      </c>
      <c r="BF131">
        <v>0</v>
      </c>
      <c r="BG131">
        <v>0</v>
      </c>
      <c r="BH131">
        <v>10031.200000000001</v>
      </c>
      <c r="BI131">
        <v>1072.04</v>
      </c>
      <c r="BJ131">
        <v>1.4577199999999999</v>
      </c>
      <c r="BK131">
        <v>-159.952</v>
      </c>
      <c r="BL131">
        <v>655.48900000000003</v>
      </c>
      <c r="BM131">
        <v>811.42499999999995</v>
      </c>
      <c r="BN131">
        <v>9.4529899999999998</v>
      </c>
      <c r="BO131">
        <v>800.08</v>
      </c>
      <c r="BP131">
        <v>13.9816</v>
      </c>
      <c r="BQ131">
        <v>2.32172</v>
      </c>
      <c r="BR131">
        <v>1.3851899999999999</v>
      </c>
      <c r="BS131">
        <v>19.8279</v>
      </c>
      <c r="BT131">
        <v>11.756500000000001</v>
      </c>
      <c r="BU131">
        <v>1800</v>
      </c>
      <c r="BV131">
        <v>0.91001200000000004</v>
      </c>
      <c r="BW131">
        <v>3.4003899999999997E-2</v>
      </c>
      <c r="BX131">
        <v>2.1994699999999999E-2</v>
      </c>
      <c r="BY131">
        <v>3.3989900000000003E-2</v>
      </c>
      <c r="BZ131">
        <v>26</v>
      </c>
      <c r="CA131">
        <v>33528.5</v>
      </c>
      <c r="CB131">
        <v>1690226183.5999999</v>
      </c>
      <c r="CC131" t="s">
        <v>332</v>
      </c>
      <c r="CD131">
        <v>1690226177.5999999</v>
      </c>
      <c r="CE131">
        <v>1690226183.5999999</v>
      </c>
      <c r="CF131">
        <v>12</v>
      </c>
      <c r="CG131">
        <v>-0.255</v>
      </c>
      <c r="CH131">
        <v>0.113</v>
      </c>
      <c r="CI131">
        <v>-0.439</v>
      </c>
      <c r="CJ131">
        <v>0.31</v>
      </c>
      <c r="CK131">
        <v>800</v>
      </c>
      <c r="CL131">
        <v>25</v>
      </c>
      <c r="CM131">
        <v>0.02</v>
      </c>
      <c r="CN131">
        <v>0.03</v>
      </c>
      <c r="CO131">
        <v>-157.2061219512195</v>
      </c>
      <c r="CP131">
        <v>-15.36878048780482</v>
      </c>
      <c r="CQ131">
        <v>1.517136973013314</v>
      </c>
      <c r="CR131">
        <v>-1</v>
      </c>
      <c r="CS131">
        <v>9.322544878048781</v>
      </c>
      <c r="CT131">
        <v>0.89061407665508108</v>
      </c>
      <c r="CU131">
        <v>8.8712910659430363E-2</v>
      </c>
      <c r="CV131">
        <v>-1</v>
      </c>
      <c r="CW131">
        <v>0</v>
      </c>
      <c r="CX131">
        <v>0</v>
      </c>
      <c r="CY131" t="s">
        <v>333</v>
      </c>
      <c r="CZ131">
        <v>2.3647499999999999</v>
      </c>
      <c r="DA131">
        <v>2.7137500000000001</v>
      </c>
      <c r="DB131">
        <v>0.126081</v>
      </c>
      <c r="DC131">
        <v>0.146231</v>
      </c>
      <c r="DD131">
        <v>0.111565</v>
      </c>
      <c r="DE131">
        <v>7.6143199999999994E-2</v>
      </c>
      <c r="DF131">
        <v>31915.1</v>
      </c>
      <c r="DG131">
        <v>27524.3</v>
      </c>
      <c r="DH131">
        <v>31176.7</v>
      </c>
      <c r="DI131">
        <v>28091.3</v>
      </c>
      <c r="DJ131">
        <v>37605.9</v>
      </c>
      <c r="DK131">
        <v>36906.300000000003</v>
      </c>
      <c r="DL131">
        <v>44370</v>
      </c>
      <c r="DM131">
        <v>42580.3</v>
      </c>
      <c r="DN131">
        <v>1.4785699999999999</v>
      </c>
      <c r="DO131">
        <v>2.0480499999999999</v>
      </c>
      <c r="DP131">
        <v>0.10641299999999999</v>
      </c>
      <c r="DQ131">
        <v>0.190195</v>
      </c>
      <c r="DR131">
        <v>25.267099999999999</v>
      </c>
      <c r="DS131">
        <v>25.032800000000002</v>
      </c>
      <c r="DT131">
        <v>56</v>
      </c>
      <c r="DU131">
        <v>29.2</v>
      </c>
      <c r="DV131">
        <v>22.9971</v>
      </c>
      <c r="DW131">
        <v>61.582500000000003</v>
      </c>
      <c r="DX131">
        <v>35.633000000000003</v>
      </c>
      <c r="DY131">
        <v>1</v>
      </c>
      <c r="DZ131">
        <v>-8.8445099999999999E-2</v>
      </c>
      <c r="EA131">
        <v>0.25475500000000001</v>
      </c>
      <c r="EB131">
        <v>20.1891</v>
      </c>
      <c r="EC131">
        <v>5.2408000000000001</v>
      </c>
      <c r="ED131">
        <v>12.039899999999999</v>
      </c>
      <c r="EE131">
        <v>5.0170500000000002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1.8689100000000001</v>
      </c>
      <c r="EL131">
        <v>1.8646199999999999</v>
      </c>
      <c r="EM131">
        <v>1.8692</v>
      </c>
      <c r="EN131">
        <v>1.8672599999999999</v>
      </c>
      <c r="EO131">
        <v>1.8633999999999999</v>
      </c>
      <c r="EP131">
        <v>1.86452</v>
      </c>
      <c r="EQ131">
        <v>1.8701300000000001</v>
      </c>
      <c r="ER131">
        <v>1.8694500000000001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-0.32700000000000001</v>
      </c>
      <c r="FG131">
        <v>0.31</v>
      </c>
      <c r="FH131">
        <v>0.1121710645629533</v>
      </c>
      <c r="FI131">
        <v>-6.1462078757559423E-4</v>
      </c>
      <c r="FJ131">
        <v>-1.8861989874597051E-7</v>
      </c>
      <c r="FK131">
        <v>1.1980462299894961E-10</v>
      </c>
      <c r="FL131">
        <v>0.30996499999999833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29.6</v>
      </c>
      <c r="FU131">
        <v>29.5</v>
      </c>
      <c r="FV131">
        <v>1.78101</v>
      </c>
      <c r="FW131">
        <v>2.5830099999999998</v>
      </c>
      <c r="FX131">
        <v>1.5490699999999999</v>
      </c>
      <c r="FY131">
        <v>2.3278799999999999</v>
      </c>
      <c r="FZ131">
        <v>1.50146</v>
      </c>
      <c r="GA131">
        <v>2.4035600000000001</v>
      </c>
      <c r="GB131">
        <v>33.963900000000002</v>
      </c>
      <c r="GC131">
        <v>23.991199999999999</v>
      </c>
      <c r="GD131">
        <v>19</v>
      </c>
      <c r="GE131">
        <v>284.13799999999998</v>
      </c>
      <c r="GF131">
        <v>593.53099999999995</v>
      </c>
      <c r="GG131">
        <v>24.3521</v>
      </c>
      <c r="GH131">
        <v>26.262</v>
      </c>
      <c r="GI131">
        <v>30.000599999999999</v>
      </c>
      <c r="GJ131">
        <v>26.406099999999999</v>
      </c>
      <c r="GK131">
        <v>26.3964</v>
      </c>
      <c r="GL131">
        <v>35.610700000000001</v>
      </c>
      <c r="GM131">
        <v>45.766500000000001</v>
      </c>
      <c r="GN131">
        <v>87.470299999999995</v>
      </c>
      <c r="GO131">
        <v>24.347200000000001</v>
      </c>
      <c r="GP131">
        <v>800</v>
      </c>
      <c r="GQ131">
        <v>13.8619</v>
      </c>
      <c r="GR131">
        <v>99.755600000000001</v>
      </c>
      <c r="GS131">
        <v>99.606700000000004</v>
      </c>
    </row>
    <row r="132" spans="1:201" x14ac:dyDescent="0.25">
      <c r="A132">
        <v>116</v>
      </c>
      <c r="B132">
        <v>1690227965.5</v>
      </c>
      <c r="C132">
        <v>1395.900000095367</v>
      </c>
      <c r="D132" t="s">
        <v>563</v>
      </c>
      <c r="E132" t="s">
        <v>564</v>
      </c>
      <c r="F132" t="s">
        <v>330</v>
      </c>
      <c r="H132">
        <v>1690227965.5</v>
      </c>
      <c r="I132">
        <f t="shared" si="30"/>
        <v>9.1027945935731635E-4</v>
      </c>
      <c r="J132">
        <f t="shared" si="31"/>
        <v>0.91027945935731636</v>
      </c>
      <c r="K132">
        <f t="shared" si="32"/>
        <v>14.462180086316705</v>
      </c>
      <c r="L132">
        <f t="shared" si="33"/>
        <v>637.726</v>
      </c>
      <c r="M132">
        <f t="shared" si="34"/>
        <v>220.33902200664124</v>
      </c>
      <c r="N132">
        <f t="shared" si="35"/>
        <v>21.850348998720513</v>
      </c>
      <c r="O132">
        <f t="shared" si="36"/>
        <v>63.241342993425995</v>
      </c>
      <c r="P132">
        <f t="shared" si="37"/>
        <v>5.7669436233679539E-2</v>
      </c>
      <c r="Q132">
        <f t="shared" si="38"/>
        <v>2.127471812583515</v>
      </c>
      <c r="R132">
        <f t="shared" si="39"/>
        <v>5.6814853762525382E-2</v>
      </c>
      <c r="S132">
        <f t="shared" si="40"/>
        <v>3.558500947941852E-2</v>
      </c>
      <c r="T132">
        <f t="shared" si="41"/>
        <v>276.11442156600003</v>
      </c>
      <c r="U132">
        <f t="shared" si="42"/>
        <v>28.305745485702378</v>
      </c>
      <c r="V132">
        <f t="shared" si="43"/>
        <v>28.305745485702378</v>
      </c>
      <c r="W132">
        <f t="shared" si="44"/>
        <v>3.8630067794917293</v>
      </c>
      <c r="X132">
        <f t="shared" si="45"/>
        <v>67.111640427553581</v>
      </c>
      <c r="Y132">
        <f t="shared" si="46"/>
        <v>2.3237295793074999</v>
      </c>
      <c r="Z132">
        <f t="shared" si="47"/>
        <v>3.4624836533625571</v>
      </c>
      <c r="AA132">
        <f t="shared" si="48"/>
        <v>1.5392772001842294</v>
      </c>
      <c r="AB132">
        <f t="shared" si="49"/>
        <v>-40.143324157657652</v>
      </c>
      <c r="AC132">
        <f t="shared" si="50"/>
        <v>-214.34958840073506</v>
      </c>
      <c r="AD132">
        <f t="shared" si="51"/>
        <v>-21.824768767915703</v>
      </c>
      <c r="AE132">
        <f t="shared" si="52"/>
        <v>-0.20325976030838433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52340.677468869173</v>
      </c>
      <c r="AK132">
        <f t="shared" si="56"/>
        <v>1800</v>
      </c>
      <c r="AL132">
        <f t="shared" si="57"/>
        <v>1499.1125976000001</v>
      </c>
      <c r="AM132">
        <f t="shared" si="58"/>
        <v>0.83284033200000007</v>
      </c>
      <c r="AN132">
        <f t="shared" si="59"/>
        <v>0.15339690087000002</v>
      </c>
      <c r="AO132">
        <v>32.4</v>
      </c>
      <c r="AP132">
        <v>0.5</v>
      </c>
      <c r="AQ132" t="s">
        <v>331</v>
      </c>
      <c r="AR132">
        <v>2</v>
      </c>
      <c r="AS132">
        <v>1690227965.5</v>
      </c>
      <c r="AT132">
        <v>637.726</v>
      </c>
      <c r="AU132">
        <v>800.08799999999997</v>
      </c>
      <c r="AV132">
        <v>23.432500000000001</v>
      </c>
      <c r="AW132">
        <v>13.8377</v>
      </c>
      <c r="AX132">
        <v>638.05200000000002</v>
      </c>
      <c r="AY132">
        <v>23.122499999999999</v>
      </c>
      <c r="AZ132">
        <v>300.18299999999999</v>
      </c>
      <c r="BA132">
        <v>99.066900000000004</v>
      </c>
      <c r="BB132">
        <v>0.100051</v>
      </c>
      <c r="BC132">
        <v>26.436900000000001</v>
      </c>
      <c r="BD132">
        <v>27.002199999999998</v>
      </c>
      <c r="BE132">
        <v>28.158899999999999</v>
      </c>
      <c r="BF132">
        <v>0</v>
      </c>
      <c r="BG132">
        <v>0</v>
      </c>
      <c r="BH132">
        <v>9971.8799999999992</v>
      </c>
      <c r="BI132">
        <v>1071.98</v>
      </c>
      <c r="BJ132">
        <v>1.4577199999999999</v>
      </c>
      <c r="BK132">
        <v>-162.36099999999999</v>
      </c>
      <c r="BL132">
        <v>653.02800000000002</v>
      </c>
      <c r="BM132">
        <v>811.31399999999996</v>
      </c>
      <c r="BN132">
        <v>9.5947800000000001</v>
      </c>
      <c r="BO132">
        <v>800.08799999999997</v>
      </c>
      <c r="BP132">
        <v>13.8377</v>
      </c>
      <c r="BQ132">
        <v>2.32138</v>
      </c>
      <c r="BR132">
        <v>1.37086</v>
      </c>
      <c r="BS132">
        <v>19.825600000000001</v>
      </c>
      <c r="BT132">
        <v>11.5991</v>
      </c>
      <c r="BU132">
        <v>1800</v>
      </c>
      <c r="BV132">
        <v>0.91001399999999999</v>
      </c>
      <c r="BW132">
        <v>3.4002900000000003E-2</v>
      </c>
      <c r="BX132">
        <v>2.1994099999999999E-2</v>
      </c>
      <c r="BY132">
        <v>3.3988900000000002E-2</v>
      </c>
      <c r="BZ132">
        <v>26</v>
      </c>
      <c r="CA132">
        <v>33528.5</v>
      </c>
      <c r="CB132">
        <v>1690226183.5999999</v>
      </c>
      <c r="CC132" t="s">
        <v>332</v>
      </c>
      <c r="CD132">
        <v>1690226177.5999999</v>
      </c>
      <c r="CE132">
        <v>1690226183.5999999</v>
      </c>
      <c r="CF132">
        <v>12</v>
      </c>
      <c r="CG132">
        <v>-0.255</v>
      </c>
      <c r="CH132">
        <v>0.113</v>
      </c>
      <c r="CI132">
        <v>-0.439</v>
      </c>
      <c r="CJ132">
        <v>0.31</v>
      </c>
      <c r="CK132">
        <v>800</v>
      </c>
      <c r="CL132">
        <v>25</v>
      </c>
      <c r="CM132">
        <v>0.02</v>
      </c>
      <c r="CN132">
        <v>0.03</v>
      </c>
      <c r="CO132">
        <v>-159.686475</v>
      </c>
      <c r="CP132">
        <v>-15.164521575985001</v>
      </c>
      <c r="CQ132">
        <v>1.45994996468201</v>
      </c>
      <c r="CR132">
        <v>-1</v>
      </c>
      <c r="CS132">
        <v>9.4514364999999998</v>
      </c>
      <c r="CT132">
        <v>0.68775309568478227</v>
      </c>
      <c r="CU132">
        <v>6.7465779642349177E-2</v>
      </c>
      <c r="CV132">
        <v>-1</v>
      </c>
      <c r="CW132">
        <v>0</v>
      </c>
      <c r="CX132">
        <v>0</v>
      </c>
      <c r="CY132" t="s">
        <v>333</v>
      </c>
      <c r="CZ132">
        <v>2.3644599999999998</v>
      </c>
      <c r="DA132">
        <v>2.7138200000000001</v>
      </c>
      <c r="DB132">
        <v>0.125746</v>
      </c>
      <c r="DC132">
        <v>0.14622099999999999</v>
      </c>
      <c r="DD132">
        <v>0.111552</v>
      </c>
      <c r="DE132">
        <v>7.5559200000000007E-2</v>
      </c>
      <c r="DF132">
        <v>31927</v>
      </c>
      <c r="DG132">
        <v>27524.7</v>
      </c>
      <c r="DH132">
        <v>31176.400000000001</v>
      </c>
      <c r="DI132">
        <v>28091.3</v>
      </c>
      <c r="DJ132">
        <v>37606.1</v>
      </c>
      <c r="DK132">
        <v>36929.599999999999</v>
      </c>
      <c r="DL132">
        <v>44369.599999999999</v>
      </c>
      <c r="DM132">
        <v>42580.2</v>
      </c>
      <c r="DN132">
        <v>1.47837</v>
      </c>
      <c r="DO132">
        <v>2.0476999999999999</v>
      </c>
      <c r="DP132">
        <v>0.105742</v>
      </c>
      <c r="DQ132">
        <v>0.19094</v>
      </c>
      <c r="DR132">
        <v>25.270499999999998</v>
      </c>
      <c r="DS132">
        <v>25.034199999999998</v>
      </c>
      <c r="DT132">
        <v>55.9</v>
      </c>
      <c r="DU132">
        <v>29.2</v>
      </c>
      <c r="DV132">
        <v>22.958400000000001</v>
      </c>
      <c r="DW132">
        <v>61.842500000000001</v>
      </c>
      <c r="DX132">
        <v>36.939100000000003</v>
      </c>
      <c r="DY132">
        <v>1</v>
      </c>
      <c r="DZ132">
        <v>-8.93013E-2</v>
      </c>
      <c r="EA132">
        <v>0.123423</v>
      </c>
      <c r="EB132">
        <v>20.189399999999999</v>
      </c>
      <c r="EC132">
        <v>5.2411000000000003</v>
      </c>
      <c r="ED132">
        <v>12.039899999999999</v>
      </c>
      <c r="EE132">
        <v>5.0171000000000001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</v>
      </c>
      <c r="EL132">
        <v>1.8646199999999999</v>
      </c>
      <c r="EM132">
        <v>1.8692</v>
      </c>
      <c r="EN132">
        <v>1.8672299999999999</v>
      </c>
      <c r="EO132">
        <v>1.8633999999999999</v>
      </c>
      <c r="EP132">
        <v>1.8645</v>
      </c>
      <c r="EQ132">
        <v>1.87015</v>
      </c>
      <c r="ER132">
        <v>1.8694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-0.32600000000000001</v>
      </c>
      <c r="FG132">
        <v>0.31</v>
      </c>
      <c r="FH132">
        <v>0.1121710645629533</v>
      </c>
      <c r="FI132">
        <v>-6.1462078757559423E-4</v>
      </c>
      <c r="FJ132">
        <v>-1.8861989874597051E-7</v>
      </c>
      <c r="FK132">
        <v>1.1980462299894961E-10</v>
      </c>
      <c r="FL132">
        <v>0.30996499999999833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29.8</v>
      </c>
      <c r="FU132">
        <v>29.7</v>
      </c>
      <c r="FV132">
        <v>1.78101</v>
      </c>
      <c r="FW132">
        <v>2.5854499999999998</v>
      </c>
      <c r="FX132">
        <v>1.5490699999999999</v>
      </c>
      <c r="FY132">
        <v>2.3278799999999999</v>
      </c>
      <c r="FZ132">
        <v>1.50146</v>
      </c>
      <c r="GA132">
        <v>2.2973599999999998</v>
      </c>
      <c r="GB132">
        <v>33.963900000000002</v>
      </c>
      <c r="GC132">
        <v>23.982399999999998</v>
      </c>
      <c r="GD132">
        <v>19</v>
      </c>
      <c r="GE132">
        <v>284.04199999999997</v>
      </c>
      <c r="GF132">
        <v>593.21199999999999</v>
      </c>
      <c r="GG132">
        <v>24.332999999999998</v>
      </c>
      <c r="GH132">
        <v>26.259799999999998</v>
      </c>
      <c r="GI132">
        <v>29.9998</v>
      </c>
      <c r="GJ132">
        <v>26.4038</v>
      </c>
      <c r="GK132">
        <v>26.394100000000002</v>
      </c>
      <c r="GL132">
        <v>35.602699999999999</v>
      </c>
      <c r="GM132">
        <v>46.036900000000003</v>
      </c>
      <c r="GN132">
        <v>86.7059</v>
      </c>
      <c r="GO132">
        <v>24.352799999999998</v>
      </c>
      <c r="GP132">
        <v>800</v>
      </c>
      <c r="GQ132">
        <v>13.7264</v>
      </c>
      <c r="GR132">
        <v>99.7547</v>
      </c>
      <c r="GS132">
        <v>99.606700000000004</v>
      </c>
    </row>
    <row r="133" spans="1:201" x14ac:dyDescent="0.25">
      <c r="A133">
        <v>117</v>
      </c>
      <c r="B133">
        <v>1690227975.5</v>
      </c>
      <c r="C133">
        <v>1405.900000095367</v>
      </c>
      <c r="D133" t="s">
        <v>565</v>
      </c>
      <c r="E133" t="s">
        <v>566</v>
      </c>
      <c r="F133" t="s">
        <v>330</v>
      </c>
      <c r="H133">
        <v>1690227975.5</v>
      </c>
      <c r="I133">
        <f t="shared" si="30"/>
        <v>9.2457651486869941E-4</v>
      </c>
      <c r="J133">
        <f t="shared" si="31"/>
        <v>0.92457651486869941</v>
      </c>
      <c r="K133">
        <f t="shared" si="32"/>
        <v>14.683559528296581</v>
      </c>
      <c r="L133">
        <f t="shared" si="33"/>
        <v>635.25900000000001</v>
      </c>
      <c r="M133">
        <f t="shared" si="34"/>
        <v>218.39172403875969</v>
      </c>
      <c r="N133">
        <f t="shared" si="35"/>
        <v>21.65786957851223</v>
      </c>
      <c r="O133">
        <f t="shared" si="36"/>
        <v>62.998525384296606</v>
      </c>
      <c r="P133">
        <f t="shared" si="37"/>
        <v>5.8628698346518418E-2</v>
      </c>
      <c r="Q133">
        <f t="shared" si="38"/>
        <v>2.1318841878248342</v>
      </c>
      <c r="R133">
        <f t="shared" si="39"/>
        <v>5.7747482164770818E-2</v>
      </c>
      <c r="S133">
        <f t="shared" si="40"/>
        <v>3.6170246751083379E-2</v>
      </c>
      <c r="T133">
        <f t="shared" si="41"/>
        <v>276.114398472</v>
      </c>
      <c r="U133">
        <f t="shared" si="42"/>
        <v>28.303935616787662</v>
      </c>
      <c r="V133">
        <f t="shared" si="43"/>
        <v>28.303935616787662</v>
      </c>
      <c r="W133">
        <f t="shared" si="44"/>
        <v>3.8626001406734365</v>
      </c>
      <c r="X133">
        <f t="shared" si="45"/>
        <v>67.103104656048089</v>
      </c>
      <c r="Y133">
        <f t="shared" si="46"/>
        <v>2.3243523315839396</v>
      </c>
      <c r="Z133">
        <f t="shared" si="47"/>
        <v>3.4638521473751855</v>
      </c>
      <c r="AA133">
        <f t="shared" si="48"/>
        <v>1.5382478090894969</v>
      </c>
      <c r="AB133">
        <f t="shared" si="49"/>
        <v>-40.773824305709645</v>
      </c>
      <c r="AC133">
        <f t="shared" si="50"/>
        <v>-213.81607484823476</v>
      </c>
      <c r="AD133">
        <f t="shared" si="51"/>
        <v>-21.725917371252212</v>
      </c>
      <c r="AE133">
        <f t="shared" si="52"/>
        <v>-0.20141805319661898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52530.009589193891</v>
      </c>
      <c r="AK133">
        <f t="shared" si="56"/>
        <v>1800</v>
      </c>
      <c r="AL133">
        <f t="shared" si="57"/>
        <v>1499.1138432</v>
      </c>
      <c r="AM133">
        <f t="shared" si="58"/>
        <v>0.83284102400000004</v>
      </c>
      <c r="AN133">
        <f t="shared" si="59"/>
        <v>0.15339688804000001</v>
      </c>
      <c r="AO133">
        <v>32.4</v>
      </c>
      <c r="AP133">
        <v>0.5</v>
      </c>
      <c r="AQ133" t="s">
        <v>331</v>
      </c>
      <c r="AR133">
        <v>2</v>
      </c>
      <c r="AS133">
        <v>1690227975.5</v>
      </c>
      <c r="AT133">
        <v>635.25900000000001</v>
      </c>
      <c r="AU133">
        <v>800.048</v>
      </c>
      <c r="AV133">
        <v>23.438099999999999</v>
      </c>
      <c r="AW133">
        <v>13.694800000000001</v>
      </c>
      <c r="AX133">
        <v>635.58299999999997</v>
      </c>
      <c r="AY133">
        <v>23.1282</v>
      </c>
      <c r="AZ133">
        <v>300.24900000000002</v>
      </c>
      <c r="BA133">
        <v>99.069900000000004</v>
      </c>
      <c r="BB133">
        <v>9.99274E-2</v>
      </c>
      <c r="BC133">
        <v>26.4436</v>
      </c>
      <c r="BD133">
        <v>27.0063</v>
      </c>
      <c r="BE133">
        <v>28.140599999999999</v>
      </c>
      <c r="BF133">
        <v>0</v>
      </c>
      <c r="BG133">
        <v>0</v>
      </c>
      <c r="BH133">
        <v>10009.4</v>
      </c>
      <c r="BI133">
        <v>1071.96</v>
      </c>
      <c r="BJ133">
        <v>1.4577199999999999</v>
      </c>
      <c r="BK133">
        <v>-164.78899999999999</v>
      </c>
      <c r="BL133">
        <v>650.50599999999997</v>
      </c>
      <c r="BM133">
        <v>811.15700000000004</v>
      </c>
      <c r="BN133">
        <v>9.7433399999999999</v>
      </c>
      <c r="BO133">
        <v>800.048</v>
      </c>
      <c r="BP133">
        <v>13.694800000000001</v>
      </c>
      <c r="BQ133">
        <v>2.3220100000000001</v>
      </c>
      <c r="BR133">
        <v>1.3567400000000001</v>
      </c>
      <c r="BS133">
        <v>19.829899999999999</v>
      </c>
      <c r="BT133">
        <v>11.442600000000001</v>
      </c>
      <c r="BU133">
        <v>1800</v>
      </c>
      <c r="BV133">
        <v>0.91001799999999999</v>
      </c>
      <c r="BW133">
        <v>3.40016E-2</v>
      </c>
      <c r="BX133">
        <v>2.1993200000000001E-2</v>
      </c>
      <c r="BY133">
        <v>3.39876E-2</v>
      </c>
      <c r="BZ133">
        <v>26</v>
      </c>
      <c r="CA133">
        <v>33528.400000000001</v>
      </c>
      <c r="CB133">
        <v>1690226183.5999999</v>
      </c>
      <c r="CC133" t="s">
        <v>332</v>
      </c>
      <c r="CD133">
        <v>1690226177.5999999</v>
      </c>
      <c r="CE133">
        <v>1690226183.5999999</v>
      </c>
      <c r="CF133">
        <v>12</v>
      </c>
      <c r="CG133">
        <v>-0.255</v>
      </c>
      <c r="CH133">
        <v>0.113</v>
      </c>
      <c r="CI133">
        <v>-0.439</v>
      </c>
      <c r="CJ133">
        <v>0.31</v>
      </c>
      <c r="CK133">
        <v>800</v>
      </c>
      <c r="CL133">
        <v>25</v>
      </c>
      <c r="CM133">
        <v>0.02</v>
      </c>
      <c r="CN133">
        <v>0.03</v>
      </c>
      <c r="CO133">
        <v>-161.97219512195119</v>
      </c>
      <c r="CP133">
        <v>-14.59896167247391</v>
      </c>
      <c r="CQ133">
        <v>1.4413102646552509</v>
      </c>
      <c r="CR133">
        <v>-1</v>
      </c>
      <c r="CS133">
        <v>9.5689821951219507</v>
      </c>
      <c r="CT133">
        <v>0.8865622996515844</v>
      </c>
      <c r="CU133">
        <v>8.8173083180869E-2</v>
      </c>
      <c r="CV133">
        <v>-1</v>
      </c>
      <c r="CW133">
        <v>0</v>
      </c>
      <c r="CX133">
        <v>0</v>
      </c>
      <c r="CY133" t="s">
        <v>333</v>
      </c>
      <c r="CZ133">
        <v>2.3646600000000002</v>
      </c>
      <c r="DA133">
        <v>2.71373</v>
      </c>
      <c r="DB133">
        <v>0.12541099999999999</v>
      </c>
      <c r="DC133">
        <v>0.14621899999999999</v>
      </c>
      <c r="DD133">
        <v>0.11157499999999999</v>
      </c>
      <c r="DE133">
        <v>7.4983099999999997E-2</v>
      </c>
      <c r="DF133">
        <v>31939.3</v>
      </c>
      <c r="DG133">
        <v>27524.9</v>
      </c>
      <c r="DH133">
        <v>31176.5</v>
      </c>
      <c r="DI133">
        <v>28091.4</v>
      </c>
      <c r="DJ133">
        <v>37605.1</v>
      </c>
      <c r="DK133">
        <v>36953.1</v>
      </c>
      <c r="DL133">
        <v>44369.599999999999</v>
      </c>
      <c r="DM133">
        <v>42580.7</v>
      </c>
      <c r="DN133">
        <v>1.4782</v>
      </c>
      <c r="DO133">
        <v>2.04732</v>
      </c>
      <c r="DP133">
        <v>0.105668</v>
      </c>
      <c r="DQ133">
        <v>0.18965499999999999</v>
      </c>
      <c r="DR133">
        <v>25.2758</v>
      </c>
      <c r="DS133">
        <v>25.036899999999999</v>
      </c>
      <c r="DT133">
        <v>55.8</v>
      </c>
      <c r="DU133">
        <v>29.2</v>
      </c>
      <c r="DV133">
        <v>22.9191</v>
      </c>
      <c r="DW133">
        <v>61.712499999999999</v>
      </c>
      <c r="DX133">
        <v>35.941499999999998</v>
      </c>
      <c r="DY133">
        <v>1</v>
      </c>
      <c r="DZ133">
        <v>-8.9603699999999994E-2</v>
      </c>
      <c r="EA133">
        <v>0.179532</v>
      </c>
      <c r="EB133">
        <v>20.189299999999999</v>
      </c>
      <c r="EC133">
        <v>5.2409499999999998</v>
      </c>
      <c r="ED133">
        <v>12.039899999999999</v>
      </c>
      <c r="EE133">
        <v>5.0168499999999998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1.8689100000000001</v>
      </c>
      <c r="EL133">
        <v>1.8646400000000001</v>
      </c>
      <c r="EM133">
        <v>1.8692</v>
      </c>
      <c r="EN133">
        <v>1.86724</v>
      </c>
      <c r="EO133">
        <v>1.8633999999999999</v>
      </c>
      <c r="EP133">
        <v>1.86452</v>
      </c>
      <c r="EQ133">
        <v>1.87015</v>
      </c>
      <c r="ER133">
        <v>1.8694200000000001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-0.32400000000000001</v>
      </c>
      <c r="FG133">
        <v>0.30990000000000001</v>
      </c>
      <c r="FH133">
        <v>0.1121710645629533</v>
      </c>
      <c r="FI133">
        <v>-6.1462078757559423E-4</v>
      </c>
      <c r="FJ133">
        <v>-1.8861989874597051E-7</v>
      </c>
      <c r="FK133">
        <v>1.1980462299894961E-10</v>
      </c>
      <c r="FL133">
        <v>0.30996499999999833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30</v>
      </c>
      <c r="FU133">
        <v>29.9</v>
      </c>
      <c r="FV133">
        <v>1.78101</v>
      </c>
      <c r="FW133">
        <v>2.5817899999999998</v>
      </c>
      <c r="FX133">
        <v>1.5490699999999999</v>
      </c>
      <c r="FY133">
        <v>2.3278799999999999</v>
      </c>
      <c r="FZ133">
        <v>1.50146</v>
      </c>
      <c r="GA133">
        <v>2.4108900000000002</v>
      </c>
      <c r="GB133">
        <v>33.963900000000002</v>
      </c>
      <c r="GC133">
        <v>23.991199999999999</v>
      </c>
      <c r="GD133">
        <v>19</v>
      </c>
      <c r="GE133">
        <v>283.96300000000002</v>
      </c>
      <c r="GF133">
        <v>592.87300000000005</v>
      </c>
      <c r="GG133">
        <v>24.353200000000001</v>
      </c>
      <c r="GH133">
        <v>26.2576</v>
      </c>
      <c r="GI133">
        <v>30</v>
      </c>
      <c r="GJ133">
        <v>26.402799999999999</v>
      </c>
      <c r="GK133">
        <v>26.3919</v>
      </c>
      <c r="GL133">
        <v>35.601199999999999</v>
      </c>
      <c r="GM133">
        <v>46.343600000000002</v>
      </c>
      <c r="GN133">
        <v>86.328800000000001</v>
      </c>
      <c r="GO133">
        <v>24.351600000000001</v>
      </c>
      <c r="GP133">
        <v>800</v>
      </c>
      <c r="GQ133">
        <v>13.586600000000001</v>
      </c>
      <c r="GR133">
        <v>99.7547</v>
      </c>
      <c r="GS133">
        <v>99.607500000000002</v>
      </c>
    </row>
    <row r="134" spans="1:201" x14ac:dyDescent="0.25">
      <c r="A134">
        <v>118</v>
      </c>
      <c r="B134">
        <v>1690227985.5</v>
      </c>
      <c r="C134">
        <v>1415.900000095367</v>
      </c>
      <c r="D134" t="s">
        <v>567</v>
      </c>
      <c r="E134" t="s">
        <v>568</v>
      </c>
      <c r="F134" t="s">
        <v>330</v>
      </c>
      <c r="H134">
        <v>1690227985.5</v>
      </c>
      <c r="I134">
        <f t="shared" si="30"/>
        <v>9.3983333434975453E-4</v>
      </c>
      <c r="J134">
        <f t="shared" si="31"/>
        <v>0.93983333434975458</v>
      </c>
      <c r="K134">
        <f t="shared" si="32"/>
        <v>14.908579247727245</v>
      </c>
      <c r="L134">
        <f t="shared" si="33"/>
        <v>632.73800000000006</v>
      </c>
      <c r="M134">
        <f t="shared" si="34"/>
        <v>216.88817267738253</v>
      </c>
      <c r="N134">
        <f t="shared" si="35"/>
        <v>21.509022394793021</v>
      </c>
      <c r="O134">
        <f t="shared" si="36"/>
        <v>62.749276016450004</v>
      </c>
      <c r="P134">
        <f t="shared" si="37"/>
        <v>5.9682125042464403E-2</v>
      </c>
      <c r="Q134">
        <f t="shared" si="38"/>
        <v>2.1289799662115354</v>
      </c>
      <c r="R134">
        <f t="shared" si="39"/>
        <v>5.876799847426744E-2</v>
      </c>
      <c r="S134">
        <f t="shared" si="40"/>
        <v>3.6810963336677036E-2</v>
      </c>
      <c r="T134">
        <f t="shared" si="41"/>
        <v>276.114243096</v>
      </c>
      <c r="U134">
        <f t="shared" si="42"/>
        <v>28.298718308293758</v>
      </c>
      <c r="V134">
        <f t="shared" si="43"/>
        <v>28.298718308293758</v>
      </c>
      <c r="W134">
        <f t="shared" si="44"/>
        <v>3.8614281320456789</v>
      </c>
      <c r="X134">
        <f t="shared" si="45"/>
        <v>67.128371051619666</v>
      </c>
      <c r="Y134">
        <f t="shared" si="46"/>
        <v>2.3249258416900003</v>
      </c>
      <c r="Z134">
        <f t="shared" si="47"/>
        <v>3.4634027390627473</v>
      </c>
      <c r="AA134">
        <f t="shared" si="48"/>
        <v>1.5365022903556786</v>
      </c>
      <c r="AB134">
        <f t="shared" si="49"/>
        <v>-41.446650044824175</v>
      </c>
      <c r="AC134">
        <f t="shared" si="50"/>
        <v>-213.17847831341388</v>
      </c>
      <c r="AD134">
        <f t="shared" si="51"/>
        <v>-21.689875663240326</v>
      </c>
      <c r="AE134">
        <f t="shared" si="52"/>
        <v>-0.20076092547836311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52405.020378762449</v>
      </c>
      <c r="AK134">
        <f t="shared" si="56"/>
        <v>1800</v>
      </c>
      <c r="AL134">
        <f t="shared" si="57"/>
        <v>1499.1131645999999</v>
      </c>
      <c r="AM134">
        <f t="shared" si="58"/>
        <v>0.83284064699999993</v>
      </c>
      <c r="AN134">
        <f t="shared" si="59"/>
        <v>0.15339680172</v>
      </c>
      <c r="AO134">
        <v>32.4</v>
      </c>
      <c r="AP134">
        <v>0.5</v>
      </c>
      <c r="AQ134" t="s">
        <v>331</v>
      </c>
      <c r="AR134">
        <v>2</v>
      </c>
      <c r="AS134">
        <v>1690227985.5</v>
      </c>
      <c r="AT134">
        <v>632.73800000000006</v>
      </c>
      <c r="AU134">
        <v>800.07100000000003</v>
      </c>
      <c r="AV134">
        <v>23.4436</v>
      </c>
      <c r="AW134">
        <v>13.5374</v>
      </c>
      <c r="AX134">
        <v>633.05999999999995</v>
      </c>
      <c r="AY134">
        <v>23.133700000000001</v>
      </c>
      <c r="AZ134">
        <v>300.18299999999999</v>
      </c>
      <c r="BA134">
        <v>99.070999999999998</v>
      </c>
      <c r="BB134">
        <v>0.100025</v>
      </c>
      <c r="BC134">
        <v>26.441400000000002</v>
      </c>
      <c r="BD134">
        <v>26.983599999999999</v>
      </c>
      <c r="BE134">
        <v>28.123999999999999</v>
      </c>
      <c r="BF134">
        <v>0</v>
      </c>
      <c r="BG134">
        <v>0</v>
      </c>
      <c r="BH134">
        <v>9984.3799999999992</v>
      </c>
      <c r="BI134">
        <v>1071.97</v>
      </c>
      <c r="BJ134">
        <v>1.4016500000000001</v>
      </c>
      <c r="BK134">
        <v>-167.333</v>
      </c>
      <c r="BL134">
        <v>647.928</v>
      </c>
      <c r="BM134">
        <v>811.05</v>
      </c>
      <c r="BN134">
        <v>9.9062300000000008</v>
      </c>
      <c r="BO134">
        <v>800.07100000000003</v>
      </c>
      <c r="BP134">
        <v>13.5374</v>
      </c>
      <c r="BQ134">
        <v>2.3225799999999999</v>
      </c>
      <c r="BR134">
        <v>1.3411599999999999</v>
      </c>
      <c r="BS134">
        <v>19.8339</v>
      </c>
      <c r="BT134">
        <v>11.2683</v>
      </c>
      <c r="BU134">
        <v>1800</v>
      </c>
      <c r="BV134">
        <v>0.91001799999999999</v>
      </c>
      <c r="BW134">
        <v>3.4001400000000001E-2</v>
      </c>
      <c r="BX134">
        <v>2.1993100000000002E-2</v>
      </c>
      <c r="BY134">
        <v>3.3987400000000001E-2</v>
      </c>
      <c r="BZ134">
        <v>26</v>
      </c>
      <c r="CA134">
        <v>33528.5</v>
      </c>
      <c r="CB134">
        <v>1690226183.5999999</v>
      </c>
      <c r="CC134" t="s">
        <v>332</v>
      </c>
      <c r="CD134">
        <v>1690226177.5999999</v>
      </c>
      <c r="CE134">
        <v>1690226183.5999999</v>
      </c>
      <c r="CF134">
        <v>12</v>
      </c>
      <c r="CG134">
        <v>-0.255</v>
      </c>
      <c r="CH134">
        <v>0.113</v>
      </c>
      <c r="CI134">
        <v>-0.439</v>
      </c>
      <c r="CJ134">
        <v>0.31</v>
      </c>
      <c r="CK134">
        <v>800</v>
      </c>
      <c r="CL134">
        <v>25</v>
      </c>
      <c r="CM134">
        <v>0.02</v>
      </c>
      <c r="CN134">
        <v>0.03</v>
      </c>
      <c r="CO134">
        <v>-164.68280487804881</v>
      </c>
      <c r="CP134">
        <v>-15.188717770034851</v>
      </c>
      <c r="CQ134">
        <v>1.4992895426364909</v>
      </c>
      <c r="CR134">
        <v>-1</v>
      </c>
      <c r="CS134">
        <v>9.73515219512195</v>
      </c>
      <c r="CT134">
        <v>0.96298243902441472</v>
      </c>
      <c r="CU134">
        <v>9.5586276581898597E-2</v>
      </c>
      <c r="CV134">
        <v>-1</v>
      </c>
      <c r="CW134">
        <v>0</v>
      </c>
      <c r="CX134">
        <v>0</v>
      </c>
      <c r="CY134" t="s">
        <v>333</v>
      </c>
      <c r="CZ134">
        <v>2.3644799999999999</v>
      </c>
      <c r="DA134">
        <v>2.7138</v>
      </c>
      <c r="DB134">
        <v>0.12506600000000001</v>
      </c>
      <c r="DC134">
        <v>0.14622099999999999</v>
      </c>
      <c r="DD134">
        <v>0.111595</v>
      </c>
      <c r="DE134">
        <v>7.4344499999999994E-2</v>
      </c>
      <c r="DF134">
        <v>31951.8</v>
      </c>
      <c r="DG134">
        <v>27525.1</v>
      </c>
      <c r="DH134">
        <v>31176.400000000001</v>
      </c>
      <c r="DI134">
        <v>28091.7</v>
      </c>
      <c r="DJ134">
        <v>37604.199999999997</v>
      </c>
      <c r="DK134">
        <v>36979.1</v>
      </c>
      <c r="DL134">
        <v>44369.599999999999</v>
      </c>
      <c r="DM134">
        <v>42581.3</v>
      </c>
      <c r="DN134">
        <v>1.47828</v>
      </c>
      <c r="DO134">
        <v>2.0471300000000001</v>
      </c>
      <c r="DP134">
        <v>0.104029</v>
      </c>
      <c r="DQ134">
        <v>0.18842500000000001</v>
      </c>
      <c r="DR134">
        <v>25.279900000000001</v>
      </c>
      <c r="DS134">
        <v>25.040400000000002</v>
      </c>
      <c r="DT134">
        <v>55.7</v>
      </c>
      <c r="DU134">
        <v>29.2</v>
      </c>
      <c r="DV134">
        <v>22.874199999999998</v>
      </c>
      <c r="DW134">
        <v>61.462499999999999</v>
      </c>
      <c r="DX134">
        <v>35.945500000000003</v>
      </c>
      <c r="DY134">
        <v>1</v>
      </c>
      <c r="DZ134">
        <v>-8.9715500000000004E-2</v>
      </c>
      <c r="EA134">
        <v>0.176977</v>
      </c>
      <c r="EB134">
        <v>20.1891</v>
      </c>
      <c r="EC134">
        <v>5.2408000000000001</v>
      </c>
      <c r="ED134">
        <v>12.039899999999999</v>
      </c>
      <c r="EE134">
        <v>5.0164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1.86463</v>
      </c>
      <c r="EM134">
        <v>1.8692</v>
      </c>
      <c r="EN134">
        <v>1.8672500000000001</v>
      </c>
      <c r="EO134">
        <v>1.8633999999999999</v>
      </c>
      <c r="EP134">
        <v>1.8645</v>
      </c>
      <c r="EQ134">
        <v>1.87015</v>
      </c>
      <c r="ER134">
        <v>1.86947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-0.32200000000000001</v>
      </c>
      <c r="FG134">
        <v>0.30990000000000001</v>
      </c>
      <c r="FH134">
        <v>0.1121710645629533</v>
      </c>
      <c r="FI134">
        <v>-6.1462078757559423E-4</v>
      </c>
      <c r="FJ134">
        <v>-1.8861989874597051E-7</v>
      </c>
      <c r="FK134">
        <v>1.1980462299894961E-10</v>
      </c>
      <c r="FL134">
        <v>0.30996499999999833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30.1</v>
      </c>
      <c r="FU134">
        <v>30</v>
      </c>
      <c r="FV134">
        <v>1.77979</v>
      </c>
      <c r="FW134">
        <v>2.5842299999999998</v>
      </c>
      <c r="FX134">
        <v>1.5490699999999999</v>
      </c>
      <c r="FY134">
        <v>2.3278799999999999</v>
      </c>
      <c r="FZ134">
        <v>1.50146</v>
      </c>
      <c r="GA134">
        <v>2.4023400000000001</v>
      </c>
      <c r="GB134">
        <v>33.941299999999998</v>
      </c>
      <c r="GC134">
        <v>23.991199999999999</v>
      </c>
      <c r="GD134">
        <v>19</v>
      </c>
      <c r="GE134">
        <v>283.988</v>
      </c>
      <c r="GF134">
        <v>592.68100000000004</v>
      </c>
      <c r="GG134">
        <v>24.344100000000001</v>
      </c>
      <c r="GH134">
        <v>26.2576</v>
      </c>
      <c r="GI134">
        <v>30</v>
      </c>
      <c r="GJ134">
        <v>26.4011</v>
      </c>
      <c r="GK134">
        <v>26.389800000000001</v>
      </c>
      <c r="GL134">
        <v>35.5944</v>
      </c>
      <c r="GM134">
        <v>46.642099999999999</v>
      </c>
      <c r="GN134">
        <v>85.947699999999998</v>
      </c>
      <c r="GO134">
        <v>24.348500000000001</v>
      </c>
      <c r="GP134">
        <v>800</v>
      </c>
      <c r="GQ134">
        <v>13.4491</v>
      </c>
      <c r="GR134">
        <v>99.754599999999996</v>
      </c>
      <c r="GS134">
        <v>99.608699999999999</v>
      </c>
    </row>
    <row r="135" spans="1:201" x14ac:dyDescent="0.25">
      <c r="A135">
        <v>119</v>
      </c>
      <c r="B135">
        <v>1690227995.5</v>
      </c>
      <c r="C135">
        <v>1425.900000095367</v>
      </c>
      <c r="D135" t="s">
        <v>569</v>
      </c>
      <c r="E135" t="s">
        <v>570</v>
      </c>
      <c r="F135" t="s">
        <v>330</v>
      </c>
      <c r="H135">
        <v>1690227995.5</v>
      </c>
      <c r="I135">
        <f t="shared" si="30"/>
        <v>9.4886295519418674E-4</v>
      </c>
      <c r="J135">
        <f t="shared" si="31"/>
        <v>0.94886295519418673</v>
      </c>
      <c r="K135">
        <f t="shared" si="32"/>
        <v>15.125180612864051</v>
      </c>
      <c r="L135">
        <f t="shared" si="33"/>
        <v>630.39300000000003</v>
      </c>
      <c r="M135">
        <f t="shared" si="34"/>
        <v>212.87899944425675</v>
      </c>
      <c r="N135">
        <f t="shared" si="35"/>
        <v>21.11138408415049</v>
      </c>
      <c r="O135">
        <f t="shared" si="36"/>
        <v>62.516588210687999</v>
      </c>
      <c r="P135">
        <f t="shared" si="37"/>
        <v>6.0297088565161708E-2</v>
      </c>
      <c r="Q135">
        <f t="shared" si="38"/>
        <v>2.1279546725471739</v>
      </c>
      <c r="R135">
        <f t="shared" si="39"/>
        <v>5.9363743414925597E-2</v>
      </c>
      <c r="S135">
        <f t="shared" si="40"/>
        <v>3.7184993492221423E-2</v>
      </c>
      <c r="T135">
        <f t="shared" si="41"/>
        <v>276.11409621600006</v>
      </c>
      <c r="U135">
        <f t="shared" si="42"/>
        <v>28.294080919060526</v>
      </c>
      <c r="V135">
        <f t="shared" si="43"/>
        <v>28.294080919060526</v>
      </c>
      <c r="W135">
        <f t="shared" si="44"/>
        <v>3.8603866560560216</v>
      </c>
      <c r="X135">
        <f t="shared" si="45"/>
        <v>67.130463122569779</v>
      </c>
      <c r="Y135">
        <f t="shared" si="46"/>
        <v>2.3246829320192002</v>
      </c>
      <c r="Z135">
        <f t="shared" si="47"/>
        <v>3.4629329575377592</v>
      </c>
      <c r="AA135">
        <f t="shared" si="48"/>
        <v>1.5357037240368214</v>
      </c>
      <c r="AB135">
        <f t="shared" si="49"/>
        <v>-41.844856324063635</v>
      </c>
      <c r="AC135">
        <f t="shared" si="50"/>
        <v>-212.80766321918807</v>
      </c>
      <c r="AD135">
        <f t="shared" si="51"/>
        <v>-21.661828499874943</v>
      </c>
      <c r="AE135">
        <f t="shared" si="52"/>
        <v>-0.20025182712660694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52361.19456275634</v>
      </c>
      <c r="AK135">
        <f t="shared" si="56"/>
        <v>1800</v>
      </c>
      <c r="AL135">
        <f t="shared" si="57"/>
        <v>1499.1131916000002</v>
      </c>
      <c r="AM135">
        <f t="shared" si="58"/>
        <v>0.83284066200000006</v>
      </c>
      <c r="AN135">
        <f t="shared" si="59"/>
        <v>0.15339672012000002</v>
      </c>
      <c r="AO135">
        <v>32.4</v>
      </c>
      <c r="AP135">
        <v>0.5</v>
      </c>
      <c r="AQ135" t="s">
        <v>331</v>
      </c>
      <c r="AR135">
        <v>2</v>
      </c>
      <c r="AS135">
        <v>1690227995.5</v>
      </c>
      <c r="AT135">
        <v>630.39300000000003</v>
      </c>
      <c r="AU135">
        <v>800.11</v>
      </c>
      <c r="AV135">
        <v>23.441199999999998</v>
      </c>
      <c r="AW135">
        <v>13.439299999999999</v>
      </c>
      <c r="AX135">
        <v>630.71299999999997</v>
      </c>
      <c r="AY135">
        <v>23.1312</v>
      </c>
      <c r="AZ135">
        <v>300.16800000000001</v>
      </c>
      <c r="BA135">
        <v>99.070800000000006</v>
      </c>
      <c r="BB135">
        <v>0.10001599999999999</v>
      </c>
      <c r="BC135">
        <v>26.4391</v>
      </c>
      <c r="BD135">
        <v>26.9726</v>
      </c>
      <c r="BE135">
        <v>28.1343</v>
      </c>
      <c r="BF135">
        <v>0</v>
      </c>
      <c r="BG135">
        <v>0</v>
      </c>
      <c r="BH135">
        <v>9975.6200000000008</v>
      </c>
      <c r="BI135">
        <v>1071.99</v>
      </c>
      <c r="BJ135">
        <v>1.4016500000000001</v>
      </c>
      <c r="BK135">
        <v>-169.71700000000001</v>
      </c>
      <c r="BL135">
        <v>645.524</v>
      </c>
      <c r="BM135">
        <v>811.00900000000001</v>
      </c>
      <c r="BN135">
        <v>10.001899999999999</v>
      </c>
      <c r="BO135">
        <v>800.11</v>
      </c>
      <c r="BP135">
        <v>13.439299999999999</v>
      </c>
      <c r="BQ135">
        <v>2.3223400000000001</v>
      </c>
      <c r="BR135">
        <v>1.33144</v>
      </c>
      <c r="BS135">
        <v>19.8322</v>
      </c>
      <c r="BT135">
        <v>11.1586</v>
      </c>
      <c r="BU135">
        <v>1800</v>
      </c>
      <c r="BV135">
        <v>0.91002000000000005</v>
      </c>
      <c r="BW135">
        <v>3.4000500000000003E-2</v>
      </c>
      <c r="BX135">
        <v>2.1992600000000001E-2</v>
      </c>
      <c r="BY135">
        <v>3.3986599999999999E-2</v>
      </c>
      <c r="BZ135">
        <v>26</v>
      </c>
      <c r="CA135">
        <v>33528.5</v>
      </c>
      <c r="CB135">
        <v>1690226183.5999999</v>
      </c>
      <c r="CC135" t="s">
        <v>332</v>
      </c>
      <c r="CD135">
        <v>1690226177.5999999</v>
      </c>
      <c r="CE135">
        <v>1690226183.5999999</v>
      </c>
      <c r="CF135">
        <v>12</v>
      </c>
      <c r="CG135">
        <v>-0.255</v>
      </c>
      <c r="CH135">
        <v>0.113</v>
      </c>
      <c r="CI135">
        <v>-0.439</v>
      </c>
      <c r="CJ135">
        <v>0.31</v>
      </c>
      <c r="CK135">
        <v>800</v>
      </c>
      <c r="CL135">
        <v>25</v>
      </c>
      <c r="CM135">
        <v>0.02</v>
      </c>
      <c r="CN135">
        <v>0.03</v>
      </c>
      <c r="CO135">
        <v>-167.14868292682931</v>
      </c>
      <c r="CP135">
        <v>-14.569797909407299</v>
      </c>
      <c r="CQ135">
        <v>1.43840530668302</v>
      </c>
      <c r="CR135">
        <v>-1</v>
      </c>
      <c r="CS135">
        <v>9.8764429268292684</v>
      </c>
      <c r="CT135">
        <v>0.79488564459930955</v>
      </c>
      <c r="CU135">
        <v>7.9640496263472707E-2</v>
      </c>
      <c r="CV135">
        <v>-1</v>
      </c>
      <c r="CW135">
        <v>0</v>
      </c>
      <c r="CX135">
        <v>0</v>
      </c>
      <c r="CY135" t="s">
        <v>333</v>
      </c>
      <c r="CZ135">
        <v>2.3644400000000001</v>
      </c>
      <c r="DA135">
        <v>2.7137799999999999</v>
      </c>
      <c r="DB135">
        <v>0.12474200000000001</v>
      </c>
      <c r="DC135">
        <v>0.14622399999999999</v>
      </c>
      <c r="DD135">
        <v>0.11158700000000001</v>
      </c>
      <c r="DE135">
        <v>7.3944499999999996E-2</v>
      </c>
      <c r="DF135">
        <v>31963.9</v>
      </c>
      <c r="DG135">
        <v>27524.7</v>
      </c>
      <c r="DH135">
        <v>31176.6</v>
      </c>
      <c r="DI135">
        <v>28091.5</v>
      </c>
      <c r="DJ135">
        <v>37604.699999999997</v>
      </c>
      <c r="DK135">
        <v>36994.9</v>
      </c>
      <c r="DL135">
        <v>44369.9</v>
      </c>
      <c r="DM135">
        <v>42580.9</v>
      </c>
      <c r="DN135">
        <v>1.4787999999999999</v>
      </c>
      <c r="DO135">
        <v>2.0471499999999998</v>
      </c>
      <c r="DP135">
        <v>0.103228</v>
      </c>
      <c r="DQ135">
        <v>0.18892800000000001</v>
      </c>
      <c r="DR135">
        <v>25.282</v>
      </c>
      <c r="DS135">
        <v>25.042400000000001</v>
      </c>
      <c r="DT135">
        <v>55.5</v>
      </c>
      <c r="DU135">
        <v>29.2</v>
      </c>
      <c r="DV135">
        <v>22.795300000000001</v>
      </c>
      <c r="DW135">
        <v>61.692500000000003</v>
      </c>
      <c r="DX135">
        <v>36.794899999999998</v>
      </c>
      <c r="DY135">
        <v>1</v>
      </c>
      <c r="DZ135">
        <v>-9.00508E-2</v>
      </c>
      <c r="EA135">
        <v>0.107475</v>
      </c>
      <c r="EB135">
        <v>20.189299999999999</v>
      </c>
      <c r="EC135">
        <v>5.2409499999999998</v>
      </c>
      <c r="ED135">
        <v>12.039899999999999</v>
      </c>
      <c r="EE135">
        <v>5.0170500000000002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1.8689199999999999</v>
      </c>
      <c r="EL135">
        <v>1.86463</v>
      </c>
      <c r="EM135">
        <v>1.8692</v>
      </c>
      <c r="EN135">
        <v>1.8672500000000001</v>
      </c>
      <c r="EO135">
        <v>1.8633999999999999</v>
      </c>
      <c r="EP135">
        <v>1.8645099999999999</v>
      </c>
      <c r="EQ135">
        <v>1.87015</v>
      </c>
      <c r="ER135">
        <v>1.8694299999999999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-0.32</v>
      </c>
      <c r="FG135">
        <v>0.31</v>
      </c>
      <c r="FH135">
        <v>0.1121710645629533</v>
      </c>
      <c r="FI135">
        <v>-6.1462078757559423E-4</v>
      </c>
      <c r="FJ135">
        <v>-1.8861989874597051E-7</v>
      </c>
      <c r="FK135">
        <v>1.1980462299894961E-10</v>
      </c>
      <c r="FL135">
        <v>0.30996499999999833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30.3</v>
      </c>
      <c r="FU135">
        <v>30.2</v>
      </c>
      <c r="FV135">
        <v>1.77979</v>
      </c>
      <c r="FW135">
        <v>2.5830099999999998</v>
      </c>
      <c r="FX135">
        <v>1.5490699999999999</v>
      </c>
      <c r="FY135">
        <v>2.3278799999999999</v>
      </c>
      <c r="FZ135">
        <v>1.50146</v>
      </c>
      <c r="GA135">
        <v>2.34619</v>
      </c>
      <c r="GB135">
        <v>33.963900000000002</v>
      </c>
      <c r="GC135">
        <v>23.991199999999999</v>
      </c>
      <c r="GD135">
        <v>19</v>
      </c>
      <c r="GE135">
        <v>284.20299999999997</v>
      </c>
      <c r="GF135">
        <v>592.67600000000004</v>
      </c>
      <c r="GG135">
        <v>24.364899999999999</v>
      </c>
      <c r="GH135">
        <v>26.255400000000002</v>
      </c>
      <c r="GI135">
        <v>30</v>
      </c>
      <c r="GJ135">
        <v>26.399100000000001</v>
      </c>
      <c r="GK135">
        <v>26.387499999999999</v>
      </c>
      <c r="GL135">
        <v>35.588900000000002</v>
      </c>
      <c r="GM135">
        <v>47.213000000000001</v>
      </c>
      <c r="GN135">
        <v>85.168300000000002</v>
      </c>
      <c r="GO135">
        <v>24.372800000000002</v>
      </c>
      <c r="GP135">
        <v>800</v>
      </c>
      <c r="GQ135">
        <v>13.312200000000001</v>
      </c>
      <c r="GR135">
        <v>99.755300000000005</v>
      </c>
      <c r="GS135">
        <v>99.607900000000001</v>
      </c>
    </row>
    <row r="136" spans="1:201" x14ac:dyDescent="0.25">
      <c r="A136">
        <v>120</v>
      </c>
      <c r="B136">
        <v>1690228005.5</v>
      </c>
      <c r="C136">
        <v>1435.900000095367</v>
      </c>
      <c r="D136" t="s">
        <v>571</v>
      </c>
      <c r="E136" t="s">
        <v>572</v>
      </c>
      <c r="F136" t="s">
        <v>330</v>
      </c>
      <c r="H136">
        <v>1690228005.5</v>
      </c>
      <c r="I136">
        <f t="shared" si="30"/>
        <v>9.6643647850847816E-4</v>
      </c>
      <c r="J136">
        <f t="shared" si="31"/>
        <v>0.96643647850847814</v>
      </c>
      <c r="K136">
        <f t="shared" si="32"/>
        <v>15.336013705139859</v>
      </c>
      <c r="L136">
        <f t="shared" si="33"/>
        <v>628.01099999999997</v>
      </c>
      <c r="M136">
        <f t="shared" si="34"/>
        <v>213.06501106620541</v>
      </c>
      <c r="N136">
        <f t="shared" si="35"/>
        <v>21.129120415366216</v>
      </c>
      <c r="O136">
        <f t="shared" si="36"/>
        <v>62.278268847489898</v>
      </c>
      <c r="P136">
        <f t="shared" si="37"/>
        <v>6.1533071022217285E-2</v>
      </c>
      <c r="Q136">
        <f t="shared" si="38"/>
        <v>2.1346943634678843</v>
      </c>
      <c r="R136">
        <f t="shared" si="39"/>
        <v>6.0564418003265279E-2</v>
      </c>
      <c r="S136">
        <f t="shared" si="40"/>
        <v>3.7938520660813012E-2</v>
      </c>
      <c r="T136">
        <f t="shared" si="41"/>
        <v>276.11416267200002</v>
      </c>
      <c r="U136">
        <f t="shared" si="42"/>
        <v>28.286334704042574</v>
      </c>
      <c r="V136">
        <f t="shared" si="43"/>
        <v>28.286334704042574</v>
      </c>
      <c r="W136">
        <f t="shared" si="44"/>
        <v>3.8586475390027131</v>
      </c>
      <c r="X136">
        <f t="shared" si="45"/>
        <v>67.141043808985302</v>
      </c>
      <c r="Y136">
        <f t="shared" si="46"/>
        <v>2.3255567610897203</v>
      </c>
      <c r="Z136">
        <f t="shared" si="47"/>
        <v>3.4636887202794684</v>
      </c>
      <c r="AA136">
        <f t="shared" si="48"/>
        <v>1.5330907779129928</v>
      </c>
      <c r="AB136">
        <f t="shared" si="49"/>
        <v>-42.619848702223884</v>
      </c>
      <c r="AC136">
        <f t="shared" si="50"/>
        <v>-212.16437592870571</v>
      </c>
      <c r="AD136">
        <f t="shared" si="51"/>
        <v>-21.527726015835459</v>
      </c>
      <c r="AE136">
        <f t="shared" si="52"/>
        <v>-0.19778797476504906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52651.621036112381</v>
      </c>
      <c r="AK136">
        <f t="shared" si="56"/>
        <v>1800</v>
      </c>
      <c r="AL136">
        <f t="shared" si="57"/>
        <v>1499.1141492000002</v>
      </c>
      <c r="AM136">
        <f t="shared" si="58"/>
        <v>0.83284119400000012</v>
      </c>
      <c r="AN136">
        <f t="shared" si="59"/>
        <v>0.15339675704</v>
      </c>
      <c r="AO136">
        <v>32.4</v>
      </c>
      <c r="AP136">
        <v>0.5</v>
      </c>
      <c r="AQ136" t="s">
        <v>331</v>
      </c>
      <c r="AR136">
        <v>2</v>
      </c>
      <c r="AS136">
        <v>1690228005.5</v>
      </c>
      <c r="AT136">
        <v>628.01099999999997</v>
      </c>
      <c r="AU136">
        <v>800.09100000000001</v>
      </c>
      <c r="AV136">
        <v>23.450800000000001</v>
      </c>
      <c r="AW136">
        <v>13.264200000000001</v>
      </c>
      <c r="AX136">
        <v>628.33000000000004</v>
      </c>
      <c r="AY136">
        <v>23.140799999999999</v>
      </c>
      <c r="AZ136">
        <v>300.18099999999998</v>
      </c>
      <c r="BA136">
        <v>99.067499999999995</v>
      </c>
      <c r="BB136">
        <v>9.9980899999999998E-2</v>
      </c>
      <c r="BC136">
        <v>26.442799999999998</v>
      </c>
      <c r="BD136">
        <v>26.994499999999999</v>
      </c>
      <c r="BE136">
        <v>28.111599999999999</v>
      </c>
      <c r="BF136">
        <v>0</v>
      </c>
      <c r="BG136">
        <v>0</v>
      </c>
      <c r="BH136">
        <v>10033.799999999999</v>
      </c>
      <c r="BI136">
        <v>1072.1500000000001</v>
      </c>
      <c r="BJ136">
        <v>1.4016500000000001</v>
      </c>
      <c r="BK136">
        <v>-172.08</v>
      </c>
      <c r="BL136">
        <v>643.09199999999998</v>
      </c>
      <c r="BM136">
        <v>810.84699999999998</v>
      </c>
      <c r="BN136">
        <v>10.186500000000001</v>
      </c>
      <c r="BO136">
        <v>800.09100000000001</v>
      </c>
      <c r="BP136">
        <v>13.264200000000001</v>
      </c>
      <c r="BQ136">
        <v>2.32321</v>
      </c>
      <c r="BR136">
        <v>1.3140499999999999</v>
      </c>
      <c r="BS136">
        <v>19.838200000000001</v>
      </c>
      <c r="BT136">
        <v>10.960599999999999</v>
      </c>
      <c r="BU136">
        <v>1800</v>
      </c>
      <c r="BV136">
        <v>0.910022</v>
      </c>
      <c r="BW136">
        <v>3.4000000000000002E-2</v>
      </c>
      <c r="BX136">
        <v>2.19922E-2</v>
      </c>
      <c r="BY136">
        <v>3.3986000000000002E-2</v>
      </c>
      <c r="BZ136">
        <v>26</v>
      </c>
      <c r="CA136">
        <v>33528.5</v>
      </c>
      <c r="CB136">
        <v>1690226183.5999999</v>
      </c>
      <c r="CC136" t="s">
        <v>332</v>
      </c>
      <c r="CD136">
        <v>1690226177.5999999</v>
      </c>
      <c r="CE136">
        <v>1690226183.5999999</v>
      </c>
      <c r="CF136">
        <v>12</v>
      </c>
      <c r="CG136">
        <v>-0.255</v>
      </c>
      <c r="CH136">
        <v>0.113</v>
      </c>
      <c r="CI136">
        <v>-0.439</v>
      </c>
      <c r="CJ136">
        <v>0.31</v>
      </c>
      <c r="CK136">
        <v>800</v>
      </c>
      <c r="CL136">
        <v>25</v>
      </c>
      <c r="CM136">
        <v>0.02</v>
      </c>
      <c r="CN136">
        <v>0.03</v>
      </c>
      <c r="CO136">
        <v>-169.5687073170732</v>
      </c>
      <c r="CP136">
        <v>-14.512536585365959</v>
      </c>
      <c r="CQ136">
        <v>1.431869956690653</v>
      </c>
      <c r="CR136">
        <v>-1</v>
      </c>
      <c r="CS136">
        <v>10.007805609756099</v>
      </c>
      <c r="CT136">
        <v>0.80583658536585157</v>
      </c>
      <c r="CU136">
        <v>8.0525806711757908E-2</v>
      </c>
      <c r="CV136">
        <v>-1</v>
      </c>
      <c r="CW136">
        <v>0</v>
      </c>
      <c r="CX136">
        <v>0</v>
      </c>
      <c r="CY136" t="s">
        <v>333</v>
      </c>
      <c r="CZ136">
        <v>2.3644599999999998</v>
      </c>
      <c r="DA136">
        <v>2.7138</v>
      </c>
      <c r="DB136">
        <v>0.12441000000000001</v>
      </c>
      <c r="DC136">
        <v>0.14621400000000001</v>
      </c>
      <c r="DD136">
        <v>0.11161600000000001</v>
      </c>
      <c r="DE136">
        <v>7.3225299999999993E-2</v>
      </c>
      <c r="DF136">
        <v>31976.400000000001</v>
      </c>
      <c r="DG136">
        <v>27525.3</v>
      </c>
      <c r="DH136">
        <v>31177</v>
      </c>
      <c r="DI136">
        <v>28091.8</v>
      </c>
      <c r="DJ136">
        <v>37604</v>
      </c>
      <c r="DK136">
        <v>37023.800000000003</v>
      </c>
      <c r="DL136">
        <v>44370.6</v>
      </c>
      <c r="DM136">
        <v>42581.1</v>
      </c>
      <c r="DN136">
        <v>1.4785200000000001</v>
      </c>
      <c r="DO136">
        <v>2.0470199999999998</v>
      </c>
      <c r="DP136">
        <v>0.104494</v>
      </c>
      <c r="DQ136">
        <v>0.187363</v>
      </c>
      <c r="DR136">
        <v>25.283200000000001</v>
      </c>
      <c r="DS136">
        <v>25.045300000000001</v>
      </c>
      <c r="DT136">
        <v>55.4</v>
      </c>
      <c r="DU136">
        <v>29.2</v>
      </c>
      <c r="DV136">
        <v>22.752199999999998</v>
      </c>
      <c r="DW136">
        <v>61.592399999999998</v>
      </c>
      <c r="DX136">
        <v>35.705100000000002</v>
      </c>
      <c r="DY136">
        <v>1</v>
      </c>
      <c r="DZ136">
        <v>-8.9842500000000006E-2</v>
      </c>
      <c r="EA136">
        <v>0.233292</v>
      </c>
      <c r="EB136">
        <v>20.189</v>
      </c>
      <c r="EC136">
        <v>5.2411000000000003</v>
      </c>
      <c r="ED136">
        <v>12.039899999999999</v>
      </c>
      <c r="EE136">
        <v>5.0170000000000003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1.8646199999999999</v>
      </c>
      <c r="EM136">
        <v>1.8692</v>
      </c>
      <c r="EN136">
        <v>1.8672299999999999</v>
      </c>
      <c r="EO136">
        <v>1.8633999999999999</v>
      </c>
      <c r="EP136">
        <v>1.86452</v>
      </c>
      <c r="EQ136">
        <v>1.87015</v>
      </c>
      <c r="ER136">
        <v>1.8694200000000001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-0.31900000000000001</v>
      </c>
      <c r="FG136">
        <v>0.31</v>
      </c>
      <c r="FH136">
        <v>0.1121710645629533</v>
      </c>
      <c r="FI136">
        <v>-6.1462078757559423E-4</v>
      </c>
      <c r="FJ136">
        <v>-1.8861989874597051E-7</v>
      </c>
      <c r="FK136">
        <v>1.1980462299894961E-10</v>
      </c>
      <c r="FL136">
        <v>0.30996499999999833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30.5</v>
      </c>
      <c r="FU136">
        <v>30.4</v>
      </c>
      <c r="FV136">
        <v>1.77979</v>
      </c>
      <c r="FW136">
        <v>2.5817899999999998</v>
      </c>
      <c r="FX136">
        <v>1.5490699999999999</v>
      </c>
      <c r="FY136">
        <v>2.3278799999999999</v>
      </c>
      <c r="FZ136">
        <v>1.50146</v>
      </c>
      <c r="GA136">
        <v>2.3974600000000001</v>
      </c>
      <c r="GB136">
        <v>33.963900000000002</v>
      </c>
      <c r="GC136">
        <v>23.991199999999999</v>
      </c>
      <c r="GD136">
        <v>19</v>
      </c>
      <c r="GE136">
        <v>284.07600000000002</v>
      </c>
      <c r="GF136">
        <v>592.54700000000003</v>
      </c>
      <c r="GG136">
        <v>24.387799999999999</v>
      </c>
      <c r="GH136">
        <v>26.2532</v>
      </c>
      <c r="GI136">
        <v>30.0002</v>
      </c>
      <c r="GJ136">
        <v>26.396999999999998</v>
      </c>
      <c r="GK136">
        <v>26.385300000000001</v>
      </c>
      <c r="GL136">
        <v>35.585799999999999</v>
      </c>
      <c r="GM136">
        <v>47.495699999999999</v>
      </c>
      <c r="GN136">
        <v>84.775599999999997</v>
      </c>
      <c r="GO136">
        <v>24.369399999999999</v>
      </c>
      <c r="GP136">
        <v>800</v>
      </c>
      <c r="GQ136">
        <v>13.1648</v>
      </c>
      <c r="GR136">
        <v>99.756699999999995</v>
      </c>
      <c r="GS136">
        <v>99.608599999999996</v>
      </c>
    </row>
    <row r="137" spans="1:201" x14ac:dyDescent="0.25">
      <c r="A137">
        <v>121</v>
      </c>
      <c r="B137">
        <v>1690228015.5</v>
      </c>
      <c r="C137">
        <v>1445.900000095367</v>
      </c>
      <c r="D137" t="s">
        <v>573</v>
      </c>
      <c r="E137" t="s">
        <v>574</v>
      </c>
      <c r="F137" t="s">
        <v>330</v>
      </c>
      <c r="H137">
        <v>1690228015.5</v>
      </c>
      <c r="I137">
        <f t="shared" si="30"/>
        <v>9.7717717265679454E-4</v>
      </c>
      <c r="J137">
        <f t="shared" si="31"/>
        <v>0.9771771726567946</v>
      </c>
      <c r="K137">
        <f t="shared" si="32"/>
        <v>15.545813345620836</v>
      </c>
      <c r="L137">
        <f t="shared" si="33"/>
        <v>625.62099999999998</v>
      </c>
      <c r="M137">
        <f t="shared" si="34"/>
        <v>209.59456225887365</v>
      </c>
      <c r="N137">
        <f t="shared" si="35"/>
        <v>20.785499236643929</v>
      </c>
      <c r="O137">
        <f t="shared" si="36"/>
        <v>62.042853964250995</v>
      </c>
      <c r="P137">
        <f t="shared" si="37"/>
        <v>6.2207842327489687E-2</v>
      </c>
      <c r="Q137">
        <f t="shared" si="38"/>
        <v>2.1321764792652402</v>
      </c>
      <c r="R137">
        <f t="shared" si="39"/>
        <v>6.1216863754666694E-2</v>
      </c>
      <c r="S137">
        <f t="shared" si="40"/>
        <v>3.8348260324724201E-2</v>
      </c>
      <c r="T137">
        <f t="shared" si="41"/>
        <v>276.11404304400003</v>
      </c>
      <c r="U137">
        <f t="shared" si="42"/>
        <v>28.285366557603194</v>
      </c>
      <c r="V137">
        <f t="shared" si="43"/>
        <v>28.285366557603194</v>
      </c>
      <c r="W137">
        <f t="shared" si="44"/>
        <v>3.8584302267103725</v>
      </c>
      <c r="X137">
        <f t="shared" si="45"/>
        <v>67.115267014873922</v>
      </c>
      <c r="Y137">
        <f t="shared" si="46"/>
        <v>2.3247736177112999</v>
      </c>
      <c r="Z137">
        <f t="shared" si="47"/>
        <v>3.4638521473751855</v>
      </c>
      <c r="AA137">
        <f t="shared" si="48"/>
        <v>1.5336566089990726</v>
      </c>
      <c r="AB137">
        <f t="shared" si="49"/>
        <v>-43.093513314164639</v>
      </c>
      <c r="AC137">
        <f t="shared" si="50"/>
        <v>-211.71087858118844</v>
      </c>
      <c r="AD137">
        <f t="shared" si="51"/>
        <v>-21.507060182158256</v>
      </c>
      <c r="AE137">
        <f t="shared" si="52"/>
        <v>-0.19740903351132033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52542.643110710516</v>
      </c>
      <c r="AK137">
        <f t="shared" si="56"/>
        <v>1800</v>
      </c>
      <c r="AL137">
        <f t="shared" si="57"/>
        <v>1499.1131033999998</v>
      </c>
      <c r="AM137">
        <f t="shared" si="58"/>
        <v>0.8328406129999999</v>
      </c>
      <c r="AN137">
        <f t="shared" si="59"/>
        <v>0.15339669058000002</v>
      </c>
      <c r="AO137">
        <v>32.4</v>
      </c>
      <c r="AP137">
        <v>0.5</v>
      </c>
      <c r="AQ137" t="s">
        <v>331</v>
      </c>
      <c r="AR137">
        <v>2</v>
      </c>
      <c r="AS137">
        <v>1690228015.5</v>
      </c>
      <c r="AT137">
        <v>625.62099999999998</v>
      </c>
      <c r="AU137">
        <v>800.05200000000002</v>
      </c>
      <c r="AV137">
        <v>23.442299999999999</v>
      </c>
      <c r="AW137">
        <v>13.1401</v>
      </c>
      <c r="AX137">
        <v>625.93799999999999</v>
      </c>
      <c r="AY137">
        <v>23.132300000000001</v>
      </c>
      <c r="AZ137">
        <v>300.11399999999998</v>
      </c>
      <c r="BA137">
        <v>99.07</v>
      </c>
      <c r="BB137">
        <v>0.10003099999999999</v>
      </c>
      <c r="BC137">
        <v>26.4436</v>
      </c>
      <c r="BD137">
        <v>26.9834</v>
      </c>
      <c r="BE137">
        <v>28.1404</v>
      </c>
      <c r="BF137">
        <v>0</v>
      </c>
      <c r="BG137">
        <v>0</v>
      </c>
      <c r="BH137">
        <v>10011.9</v>
      </c>
      <c r="BI137">
        <v>1072.1099999999999</v>
      </c>
      <c r="BJ137">
        <v>1.4016500000000001</v>
      </c>
      <c r="BK137">
        <v>-174.43100000000001</v>
      </c>
      <c r="BL137">
        <v>640.63900000000001</v>
      </c>
      <c r="BM137">
        <v>810.70500000000004</v>
      </c>
      <c r="BN137">
        <v>10.302199999999999</v>
      </c>
      <c r="BO137">
        <v>800.05200000000002</v>
      </c>
      <c r="BP137">
        <v>13.1401</v>
      </c>
      <c r="BQ137">
        <v>2.3224300000000002</v>
      </c>
      <c r="BR137">
        <v>1.30179</v>
      </c>
      <c r="BS137">
        <v>19.832799999999999</v>
      </c>
      <c r="BT137">
        <v>10.8195</v>
      </c>
      <c r="BU137">
        <v>1800</v>
      </c>
      <c r="BV137">
        <v>0.91001900000000002</v>
      </c>
      <c r="BW137">
        <v>3.3999500000000002E-2</v>
      </c>
      <c r="BX137">
        <v>2.1991900000000002E-2</v>
      </c>
      <c r="BY137">
        <v>3.3989400000000003E-2</v>
      </c>
      <c r="BZ137">
        <v>26</v>
      </c>
      <c r="CA137">
        <v>33528.6</v>
      </c>
      <c r="CB137">
        <v>1690226183.5999999</v>
      </c>
      <c r="CC137" t="s">
        <v>332</v>
      </c>
      <c r="CD137">
        <v>1690226177.5999999</v>
      </c>
      <c r="CE137">
        <v>1690226183.5999999</v>
      </c>
      <c r="CF137">
        <v>12</v>
      </c>
      <c r="CG137">
        <v>-0.255</v>
      </c>
      <c r="CH137">
        <v>0.113</v>
      </c>
      <c r="CI137">
        <v>-0.439</v>
      </c>
      <c r="CJ137">
        <v>0.31</v>
      </c>
      <c r="CK137">
        <v>800</v>
      </c>
      <c r="CL137">
        <v>25</v>
      </c>
      <c r="CM137">
        <v>0.02</v>
      </c>
      <c r="CN137">
        <v>0.03</v>
      </c>
      <c r="CO137">
        <v>-171.70965853658541</v>
      </c>
      <c r="CP137">
        <v>-13.964362369338181</v>
      </c>
      <c r="CQ137">
        <v>1.3773434063487899</v>
      </c>
      <c r="CR137">
        <v>-1</v>
      </c>
      <c r="CS137">
        <v>10.140403658536581</v>
      </c>
      <c r="CT137">
        <v>0.9357029268292465</v>
      </c>
      <c r="CU137">
        <v>9.3517158899136643E-2</v>
      </c>
      <c r="CV137">
        <v>-1</v>
      </c>
      <c r="CW137">
        <v>0</v>
      </c>
      <c r="CX137">
        <v>0</v>
      </c>
      <c r="CY137" t="s">
        <v>333</v>
      </c>
      <c r="CZ137">
        <v>2.3642799999999999</v>
      </c>
      <c r="DA137">
        <v>2.7138300000000002</v>
      </c>
      <c r="DB137">
        <v>0.124082</v>
      </c>
      <c r="DC137">
        <v>0.14621100000000001</v>
      </c>
      <c r="DD137">
        <v>0.111591</v>
      </c>
      <c r="DE137">
        <v>7.2717000000000004E-2</v>
      </c>
      <c r="DF137">
        <v>31988.3</v>
      </c>
      <c r="DG137">
        <v>27525.7</v>
      </c>
      <c r="DH137">
        <v>31176.9</v>
      </c>
      <c r="DI137">
        <v>28092</v>
      </c>
      <c r="DJ137">
        <v>37604.800000000003</v>
      </c>
      <c r="DK137">
        <v>37044.6</v>
      </c>
      <c r="DL137">
        <v>44370.2</v>
      </c>
      <c r="DM137">
        <v>42581.599999999999</v>
      </c>
      <c r="DN137">
        <v>1.4785999999999999</v>
      </c>
      <c r="DO137">
        <v>2.04678</v>
      </c>
      <c r="DP137">
        <v>0.103619</v>
      </c>
      <c r="DQ137">
        <v>0.18887200000000001</v>
      </c>
      <c r="DR137">
        <v>25.2864</v>
      </c>
      <c r="DS137">
        <v>25.049499999999998</v>
      </c>
      <c r="DT137">
        <v>55.3</v>
      </c>
      <c r="DU137">
        <v>29.2</v>
      </c>
      <c r="DV137">
        <v>22.709099999999999</v>
      </c>
      <c r="DW137">
        <v>61.492400000000004</v>
      </c>
      <c r="DX137">
        <v>36.253999999999998</v>
      </c>
      <c r="DY137">
        <v>1</v>
      </c>
      <c r="DZ137">
        <v>-8.9677300000000001E-2</v>
      </c>
      <c r="EA137">
        <v>0.24213000000000001</v>
      </c>
      <c r="EB137">
        <v>20.189299999999999</v>
      </c>
      <c r="EC137">
        <v>5.24125</v>
      </c>
      <c r="ED137">
        <v>12.039899999999999</v>
      </c>
      <c r="EE137">
        <v>5.01715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1.8646400000000001</v>
      </c>
      <c r="EM137">
        <v>1.8692</v>
      </c>
      <c r="EN137">
        <v>1.8672500000000001</v>
      </c>
      <c r="EO137">
        <v>1.8633999999999999</v>
      </c>
      <c r="EP137">
        <v>1.86452</v>
      </c>
      <c r="EQ137">
        <v>1.8701300000000001</v>
      </c>
      <c r="ER137">
        <v>1.8694500000000001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-0.317</v>
      </c>
      <c r="FG137">
        <v>0.31</v>
      </c>
      <c r="FH137">
        <v>0.1121710645629533</v>
      </c>
      <c r="FI137">
        <v>-6.1462078757559423E-4</v>
      </c>
      <c r="FJ137">
        <v>-1.8861989874597051E-7</v>
      </c>
      <c r="FK137">
        <v>1.1980462299894961E-10</v>
      </c>
      <c r="FL137">
        <v>0.30996499999999833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30.6</v>
      </c>
      <c r="FU137">
        <v>30.5</v>
      </c>
      <c r="FV137">
        <v>1.77979</v>
      </c>
      <c r="FW137">
        <v>2.5903299999999998</v>
      </c>
      <c r="FX137">
        <v>1.5490699999999999</v>
      </c>
      <c r="FY137">
        <v>2.3278799999999999</v>
      </c>
      <c r="FZ137">
        <v>1.50146</v>
      </c>
      <c r="GA137">
        <v>2.31812</v>
      </c>
      <c r="GB137">
        <v>33.963900000000002</v>
      </c>
      <c r="GC137">
        <v>23.973700000000001</v>
      </c>
      <c r="GD137">
        <v>19</v>
      </c>
      <c r="GE137">
        <v>284.09800000000001</v>
      </c>
      <c r="GF137">
        <v>592.31700000000001</v>
      </c>
      <c r="GG137">
        <v>24.363900000000001</v>
      </c>
      <c r="GH137">
        <v>26.2532</v>
      </c>
      <c r="GI137">
        <v>29.9999</v>
      </c>
      <c r="GJ137">
        <v>26.3947</v>
      </c>
      <c r="GK137">
        <v>26.383500000000002</v>
      </c>
      <c r="GL137">
        <v>35.5792</v>
      </c>
      <c r="GM137">
        <v>47.767699999999998</v>
      </c>
      <c r="GN137">
        <v>84.379099999999994</v>
      </c>
      <c r="GO137">
        <v>24.358499999999999</v>
      </c>
      <c r="GP137">
        <v>800</v>
      </c>
      <c r="GQ137">
        <v>13.0351</v>
      </c>
      <c r="GR137">
        <v>99.756100000000004</v>
      </c>
      <c r="GS137">
        <v>99.6096</v>
      </c>
    </row>
    <row r="138" spans="1:201" x14ac:dyDescent="0.25">
      <c r="A138">
        <v>122</v>
      </c>
      <c r="B138">
        <v>1690228025.5</v>
      </c>
      <c r="C138">
        <v>1455.900000095367</v>
      </c>
      <c r="D138" t="s">
        <v>575</v>
      </c>
      <c r="E138" t="s">
        <v>576</v>
      </c>
      <c r="F138" t="s">
        <v>330</v>
      </c>
      <c r="H138">
        <v>1690228025.5</v>
      </c>
      <c r="I138">
        <f t="shared" si="30"/>
        <v>9.9226765307807102E-4</v>
      </c>
      <c r="J138">
        <f t="shared" si="31"/>
        <v>0.99226765307807108</v>
      </c>
      <c r="K138">
        <f t="shared" si="32"/>
        <v>15.750311247910055</v>
      </c>
      <c r="L138">
        <f t="shared" si="33"/>
        <v>623.32799999999997</v>
      </c>
      <c r="M138">
        <f t="shared" si="34"/>
        <v>208.27290592840549</v>
      </c>
      <c r="N138">
        <f t="shared" si="35"/>
        <v>20.653658261444871</v>
      </c>
      <c r="O138">
        <f t="shared" si="36"/>
        <v>61.813145782943991</v>
      </c>
      <c r="P138">
        <f t="shared" si="37"/>
        <v>6.3185679860244662E-2</v>
      </c>
      <c r="Q138">
        <f t="shared" si="38"/>
        <v>2.1277568726735918</v>
      </c>
      <c r="R138">
        <f t="shared" si="39"/>
        <v>6.2161492302426506E-2</v>
      </c>
      <c r="S138">
        <f t="shared" si="40"/>
        <v>3.8941569007062082E-2</v>
      </c>
      <c r="T138">
        <f t="shared" si="41"/>
        <v>276.11254205291101</v>
      </c>
      <c r="U138">
        <f t="shared" si="42"/>
        <v>28.285456645825754</v>
      </c>
      <c r="V138">
        <f t="shared" si="43"/>
        <v>28.285456645825754</v>
      </c>
      <c r="W138">
        <f t="shared" si="44"/>
        <v>3.858450447661677</v>
      </c>
      <c r="X138">
        <f t="shared" si="45"/>
        <v>67.109531459025803</v>
      </c>
      <c r="Y138">
        <f t="shared" si="46"/>
        <v>2.3248354431473999</v>
      </c>
      <c r="Z138">
        <f t="shared" si="47"/>
        <v>3.4642403137128803</v>
      </c>
      <c r="AA138">
        <f t="shared" si="48"/>
        <v>1.5336150045142771</v>
      </c>
      <c r="AB138">
        <f t="shared" si="49"/>
        <v>-43.759003500742935</v>
      </c>
      <c r="AC138">
        <f t="shared" si="50"/>
        <v>-211.06442324809399</v>
      </c>
      <c r="AD138">
        <f t="shared" si="51"/>
        <v>-21.486138240884365</v>
      </c>
      <c r="AE138">
        <f t="shared" si="52"/>
        <v>-0.19702293681029914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52351.451000870649</v>
      </c>
      <c r="AK138">
        <f t="shared" si="56"/>
        <v>1799.99</v>
      </c>
      <c r="AL138">
        <f t="shared" si="57"/>
        <v>1499.1019796093999</v>
      </c>
      <c r="AM138">
        <f t="shared" si="58"/>
        <v>0.83283905999999996</v>
      </c>
      <c r="AN138">
        <f t="shared" si="59"/>
        <v>0.15339670890000001</v>
      </c>
      <c r="AO138">
        <v>32.4</v>
      </c>
      <c r="AP138">
        <v>0.5</v>
      </c>
      <c r="AQ138" t="s">
        <v>331</v>
      </c>
      <c r="AR138">
        <v>2</v>
      </c>
      <c r="AS138">
        <v>1690228025.5</v>
      </c>
      <c r="AT138">
        <v>623.32799999999997</v>
      </c>
      <c r="AU138">
        <v>799.98699999999997</v>
      </c>
      <c r="AV138">
        <v>23.4438</v>
      </c>
      <c r="AW138">
        <v>12.985900000000001</v>
      </c>
      <c r="AX138">
        <v>623.64300000000003</v>
      </c>
      <c r="AY138">
        <v>23.133900000000001</v>
      </c>
      <c r="AZ138">
        <v>300.21100000000001</v>
      </c>
      <c r="BA138">
        <v>99.066299999999998</v>
      </c>
      <c r="BB138">
        <v>0.100023</v>
      </c>
      <c r="BC138">
        <v>26.445499999999999</v>
      </c>
      <c r="BD138">
        <v>26.9831</v>
      </c>
      <c r="BE138">
        <v>28.127500000000001</v>
      </c>
      <c r="BF138">
        <v>0</v>
      </c>
      <c r="BG138">
        <v>0</v>
      </c>
      <c r="BH138">
        <v>9974.3799999999992</v>
      </c>
      <c r="BI138">
        <v>1072.0999999999999</v>
      </c>
      <c r="BJ138">
        <v>1.3736200000000001</v>
      </c>
      <c r="BK138">
        <v>-176.65899999999999</v>
      </c>
      <c r="BL138">
        <v>638.29200000000003</v>
      </c>
      <c r="BM138">
        <v>810.51199999999994</v>
      </c>
      <c r="BN138">
        <v>10.458</v>
      </c>
      <c r="BO138">
        <v>799.98699999999997</v>
      </c>
      <c r="BP138">
        <v>12.985900000000001</v>
      </c>
      <c r="BQ138">
        <v>2.3224999999999998</v>
      </c>
      <c r="BR138">
        <v>1.2864599999999999</v>
      </c>
      <c r="BS138">
        <v>19.833300000000001</v>
      </c>
      <c r="BT138">
        <v>10.6416</v>
      </c>
      <c r="BU138">
        <v>1799.99</v>
      </c>
      <c r="BV138">
        <v>0.91000300000000001</v>
      </c>
      <c r="BW138">
        <v>3.3998100000000003E-2</v>
      </c>
      <c r="BX138">
        <v>2.1991E-2</v>
      </c>
      <c r="BY138">
        <v>3.4007599999999999E-2</v>
      </c>
      <c r="BZ138">
        <v>26</v>
      </c>
      <c r="CA138">
        <v>33528.400000000001</v>
      </c>
      <c r="CB138">
        <v>1690226183.5999999</v>
      </c>
      <c r="CC138" t="s">
        <v>332</v>
      </c>
      <c r="CD138">
        <v>1690226177.5999999</v>
      </c>
      <c r="CE138">
        <v>1690226183.5999999</v>
      </c>
      <c r="CF138">
        <v>12</v>
      </c>
      <c r="CG138">
        <v>-0.255</v>
      </c>
      <c r="CH138">
        <v>0.113</v>
      </c>
      <c r="CI138">
        <v>-0.439</v>
      </c>
      <c r="CJ138">
        <v>0.31</v>
      </c>
      <c r="CK138">
        <v>800</v>
      </c>
      <c r="CL138">
        <v>25</v>
      </c>
      <c r="CM138">
        <v>0.02</v>
      </c>
      <c r="CN138">
        <v>0.03</v>
      </c>
      <c r="CO138">
        <v>-174.25412499999999</v>
      </c>
      <c r="CP138">
        <v>-14.39298686679175</v>
      </c>
      <c r="CQ138">
        <v>1.385259672182438</v>
      </c>
      <c r="CR138">
        <v>-1</v>
      </c>
      <c r="CS138">
        <v>10.3002725</v>
      </c>
      <c r="CT138">
        <v>0.81375647279548458</v>
      </c>
      <c r="CU138">
        <v>8.0401035402225984E-2</v>
      </c>
      <c r="CV138">
        <v>-1</v>
      </c>
      <c r="CW138">
        <v>0</v>
      </c>
      <c r="CX138">
        <v>0</v>
      </c>
      <c r="CY138" t="s">
        <v>333</v>
      </c>
      <c r="CZ138">
        <v>2.3645999999999998</v>
      </c>
      <c r="DA138">
        <v>2.7137899999999999</v>
      </c>
      <c r="DB138">
        <v>0.12376</v>
      </c>
      <c r="DC138">
        <v>0.14619499999999999</v>
      </c>
      <c r="DD138">
        <v>0.111593</v>
      </c>
      <c r="DE138">
        <v>7.2077600000000006E-2</v>
      </c>
      <c r="DF138">
        <v>32000.3</v>
      </c>
      <c r="DG138">
        <v>27526.5</v>
      </c>
      <c r="DH138">
        <v>31177.1</v>
      </c>
      <c r="DI138">
        <v>28092.3</v>
      </c>
      <c r="DJ138">
        <v>37605</v>
      </c>
      <c r="DK138">
        <v>37070.800000000003</v>
      </c>
      <c r="DL138">
        <v>44370.6</v>
      </c>
      <c r="DM138">
        <v>42582.2</v>
      </c>
      <c r="DN138">
        <v>1.4789000000000001</v>
      </c>
      <c r="DO138">
        <v>2.0467300000000002</v>
      </c>
      <c r="DP138">
        <v>0.10334</v>
      </c>
      <c r="DQ138">
        <v>0.18786600000000001</v>
      </c>
      <c r="DR138">
        <v>25.290700000000001</v>
      </c>
      <c r="DS138">
        <v>25.053000000000001</v>
      </c>
      <c r="DT138">
        <v>55.1</v>
      </c>
      <c r="DU138">
        <v>29.2</v>
      </c>
      <c r="DV138">
        <v>22.6294</v>
      </c>
      <c r="DW138">
        <v>61.752400000000002</v>
      </c>
      <c r="DX138">
        <v>36.662700000000001</v>
      </c>
      <c r="DY138">
        <v>1</v>
      </c>
      <c r="DZ138">
        <v>-9.0216000000000005E-2</v>
      </c>
      <c r="EA138">
        <v>0.122056</v>
      </c>
      <c r="EB138">
        <v>20.189299999999999</v>
      </c>
      <c r="EC138">
        <v>5.2406499999999996</v>
      </c>
      <c r="ED138">
        <v>12.039899999999999</v>
      </c>
      <c r="EE138">
        <v>5.0170500000000002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1.86463</v>
      </c>
      <c r="EM138">
        <v>1.8692</v>
      </c>
      <c r="EN138">
        <v>1.86724</v>
      </c>
      <c r="EO138">
        <v>1.8633999999999999</v>
      </c>
      <c r="EP138">
        <v>1.8645099999999999</v>
      </c>
      <c r="EQ138">
        <v>1.8701399999999999</v>
      </c>
      <c r="ER138">
        <v>1.8694500000000001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-0.315</v>
      </c>
      <c r="FG138">
        <v>0.30990000000000001</v>
      </c>
      <c r="FH138">
        <v>0.1121710645629533</v>
      </c>
      <c r="FI138">
        <v>-6.1462078757559423E-4</v>
      </c>
      <c r="FJ138">
        <v>-1.8861989874597051E-7</v>
      </c>
      <c r="FK138">
        <v>1.1980462299894961E-10</v>
      </c>
      <c r="FL138">
        <v>0.30996499999999833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30.8</v>
      </c>
      <c r="FU138">
        <v>30.7</v>
      </c>
      <c r="FV138">
        <v>1.77979</v>
      </c>
      <c r="FW138">
        <v>2.5793499999999998</v>
      </c>
      <c r="FX138">
        <v>1.5490699999999999</v>
      </c>
      <c r="FY138">
        <v>2.3278799999999999</v>
      </c>
      <c r="FZ138">
        <v>1.50146</v>
      </c>
      <c r="GA138">
        <v>2.3730500000000001</v>
      </c>
      <c r="GB138">
        <v>33.963900000000002</v>
      </c>
      <c r="GC138">
        <v>23.991199999999999</v>
      </c>
      <c r="GD138">
        <v>19</v>
      </c>
      <c r="GE138">
        <v>284.22300000000001</v>
      </c>
      <c r="GF138">
        <v>592.26300000000003</v>
      </c>
      <c r="GG138">
        <v>24.370799999999999</v>
      </c>
      <c r="GH138">
        <v>26.250900000000001</v>
      </c>
      <c r="GI138">
        <v>29.9999</v>
      </c>
      <c r="GJ138">
        <v>26.393899999999999</v>
      </c>
      <c r="GK138">
        <v>26.382400000000001</v>
      </c>
      <c r="GL138">
        <v>35.577199999999998</v>
      </c>
      <c r="GM138">
        <v>48.054299999999998</v>
      </c>
      <c r="GN138">
        <v>83.631</v>
      </c>
      <c r="GO138">
        <v>24.380299999999998</v>
      </c>
      <c r="GP138">
        <v>800</v>
      </c>
      <c r="GQ138">
        <v>12.897</v>
      </c>
      <c r="GR138">
        <v>99.756900000000002</v>
      </c>
      <c r="GS138">
        <v>99.610900000000001</v>
      </c>
    </row>
    <row r="139" spans="1:201" x14ac:dyDescent="0.25">
      <c r="A139">
        <v>123</v>
      </c>
      <c r="B139">
        <v>1690228035.5</v>
      </c>
      <c r="C139">
        <v>1465.900000095367</v>
      </c>
      <c r="D139" t="s">
        <v>577</v>
      </c>
      <c r="E139" t="s">
        <v>578</v>
      </c>
      <c r="F139" t="s">
        <v>330</v>
      </c>
      <c r="H139">
        <v>1690228035.5</v>
      </c>
      <c r="I139">
        <f t="shared" si="30"/>
        <v>1.0029249945699027E-3</v>
      </c>
      <c r="J139">
        <f t="shared" si="31"/>
        <v>1.0029249945699026</v>
      </c>
      <c r="K139">
        <f t="shared" si="32"/>
        <v>15.965643643566596</v>
      </c>
      <c r="L139">
        <f t="shared" si="33"/>
        <v>621.01</v>
      </c>
      <c r="M139">
        <f t="shared" si="34"/>
        <v>205.07367381014711</v>
      </c>
      <c r="N139">
        <f t="shared" si="35"/>
        <v>20.336797762970473</v>
      </c>
      <c r="O139">
        <f t="shared" si="36"/>
        <v>61.584476174520006</v>
      </c>
      <c r="P139">
        <f t="shared" si="37"/>
        <v>6.3908814327116398E-2</v>
      </c>
      <c r="Q139">
        <f t="shared" si="38"/>
        <v>2.126975151684523</v>
      </c>
      <c r="R139">
        <f t="shared" si="39"/>
        <v>6.2860881112455566E-2</v>
      </c>
      <c r="S139">
        <f t="shared" si="40"/>
        <v>3.9380771993752728E-2</v>
      </c>
      <c r="T139">
        <f t="shared" si="41"/>
        <v>276.11418949200004</v>
      </c>
      <c r="U139">
        <f t="shared" si="42"/>
        <v>28.283758608383565</v>
      </c>
      <c r="V139">
        <f t="shared" si="43"/>
        <v>28.283758608383565</v>
      </c>
      <c r="W139">
        <f t="shared" si="44"/>
        <v>3.8580693264600434</v>
      </c>
      <c r="X139">
        <f t="shared" si="45"/>
        <v>67.114455662159614</v>
      </c>
      <c r="Y139">
        <f t="shared" si="46"/>
        <v>2.3251980046440002</v>
      </c>
      <c r="Z139">
        <f t="shared" si="47"/>
        <v>3.4645263553183976</v>
      </c>
      <c r="AA139">
        <f t="shared" si="48"/>
        <v>1.5328713218160432</v>
      </c>
      <c r="AB139">
        <f t="shared" si="49"/>
        <v>-44.228992260532706</v>
      </c>
      <c r="AC139">
        <f t="shared" si="50"/>
        <v>-210.63162949792869</v>
      </c>
      <c r="AD139">
        <f t="shared" si="51"/>
        <v>-21.449928231311347</v>
      </c>
      <c r="AE139">
        <f t="shared" si="52"/>
        <v>-0.19636049777270159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52317.549609426198</v>
      </c>
      <c r="AK139">
        <f t="shared" si="56"/>
        <v>1800</v>
      </c>
      <c r="AL139">
        <f t="shared" si="57"/>
        <v>1499.1107921999999</v>
      </c>
      <c r="AM139">
        <f t="shared" si="58"/>
        <v>0.83283932899999991</v>
      </c>
      <c r="AN139">
        <f t="shared" si="59"/>
        <v>0.15339677194000001</v>
      </c>
      <c r="AO139">
        <v>32.4</v>
      </c>
      <c r="AP139">
        <v>0.5</v>
      </c>
      <c r="AQ139" t="s">
        <v>331</v>
      </c>
      <c r="AR139">
        <v>2</v>
      </c>
      <c r="AS139">
        <v>1690228035.5</v>
      </c>
      <c r="AT139">
        <v>621.01</v>
      </c>
      <c r="AU139">
        <v>800.03300000000002</v>
      </c>
      <c r="AV139">
        <v>23.446999999999999</v>
      </c>
      <c r="AW139">
        <v>12.8772</v>
      </c>
      <c r="AX139">
        <v>621.32399999999996</v>
      </c>
      <c r="AY139">
        <v>23.137</v>
      </c>
      <c r="AZ139">
        <v>300.22199999999998</v>
      </c>
      <c r="BA139">
        <v>99.068200000000004</v>
      </c>
      <c r="BB139">
        <v>0.100052</v>
      </c>
      <c r="BC139">
        <v>26.446899999999999</v>
      </c>
      <c r="BD139">
        <v>27.0105</v>
      </c>
      <c r="BE139">
        <v>28.110700000000001</v>
      </c>
      <c r="BF139">
        <v>0</v>
      </c>
      <c r="BG139">
        <v>0</v>
      </c>
      <c r="BH139">
        <v>9967.5</v>
      </c>
      <c r="BI139">
        <v>1072.1600000000001</v>
      </c>
      <c r="BJ139">
        <v>1.4016500000000001</v>
      </c>
      <c r="BK139">
        <v>-179.023</v>
      </c>
      <c r="BL139">
        <v>635.91999999999996</v>
      </c>
      <c r="BM139">
        <v>810.47</v>
      </c>
      <c r="BN139">
        <v>10.569800000000001</v>
      </c>
      <c r="BO139">
        <v>800.03300000000002</v>
      </c>
      <c r="BP139">
        <v>12.8772</v>
      </c>
      <c r="BQ139">
        <v>2.3228499999999999</v>
      </c>
      <c r="BR139">
        <v>1.27572</v>
      </c>
      <c r="BS139">
        <v>19.835799999999999</v>
      </c>
      <c r="BT139">
        <v>10.5158</v>
      </c>
      <c r="BU139">
        <v>1800</v>
      </c>
      <c r="BV139">
        <v>0.91000199999999998</v>
      </c>
      <c r="BW139">
        <v>3.3997699999999999E-2</v>
      </c>
      <c r="BX139">
        <v>2.1990699999999998E-2</v>
      </c>
      <c r="BY139">
        <v>3.40098E-2</v>
      </c>
      <c r="BZ139">
        <v>26</v>
      </c>
      <c r="CA139">
        <v>33528.5</v>
      </c>
      <c r="CB139">
        <v>1690226183.5999999</v>
      </c>
      <c r="CC139" t="s">
        <v>332</v>
      </c>
      <c r="CD139">
        <v>1690226177.5999999</v>
      </c>
      <c r="CE139">
        <v>1690226183.5999999</v>
      </c>
      <c r="CF139">
        <v>12</v>
      </c>
      <c r="CG139">
        <v>-0.255</v>
      </c>
      <c r="CH139">
        <v>0.113</v>
      </c>
      <c r="CI139">
        <v>-0.439</v>
      </c>
      <c r="CJ139">
        <v>0.31</v>
      </c>
      <c r="CK139">
        <v>800</v>
      </c>
      <c r="CL139">
        <v>25</v>
      </c>
      <c r="CM139">
        <v>0.02</v>
      </c>
      <c r="CN139">
        <v>0.03</v>
      </c>
      <c r="CO139">
        <v>-176.5942</v>
      </c>
      <c r="CP139">
        <v>-13.950371482175999</v>
      </c>
      <c r="CQ139">
        <v>1.3443573222919569</v>
      </c>
      <c r="CR139">
        <v>-1</v>
      </c>
      <c r="CS139">
        <v>10.430035</v>
      </c>
      <c r="CT139">
        <v>0.7875151969980887</v>
      </c>
      <c r="CU139">
        <v>7.7807469275127966E-2</v>
      </c>
      <c r="CV139">
        <v>-1</v>
      </c>
      <c r="CW139">
        <v>0</v>
      </c>
      <c r="CX139">
        <v>0</v>
      </c>
      <c r="CY139" t="s">
        <v>333</v>
      </c>
      <c r="CZ139">
        <v>2.36463</v>
      </c>
      <c r="DA139">
        <v>2.7138100000000001</v>
      </c>
      <c r="DB139">
        <v>0.12343999999999999</v>
      </c>
      <c r="DC139">
        <v>0.146202</v>
      </c>
      <c r="DD139">
        <v>0.111606</v>
      </c>
      <c r="DE139">
        <v>7.1628700000000003E-2</v>
      </c>
      <c r="DF139">
        <v>32011.5</v>
      </c>
      <c r="DG139">
        <v>27526.7</v>
      </c>
      <c r="DH139">
        <v>31176.6</v>
      </c>
      <c r="DI139">
        <v>28092.7</v>
      </c>
      <c r="DJ139">
        <v>37603.699999999997</v>
      </c>
      <c r="DK139">
        <v>37089.1</v>
      </c>
      <c r="DL139">
        <v>44369.7</v>
      </c>
      <c r="DM139">
        <v>42582.7</v>
      </c>
      <c r="DN139">
        <v>1.47895</v>
      </c>
      <c r="DO139">
        <v>2.04623</v>
      </c>
      <c r="DP139">
        <v>0.10496</v>
      </c>
      <c r="DQ139">
        <v>0.18671199999999999</v>
      </c>
      <c r="DR139">
        <v>25.291599999999999</v>
      </c>
      <c r="DS139">
        <v>25.055099999999999</v>
      </c>
      <c r="DT139">
        <v>55</v>
      </c>
      <c r="DU139">
        <v>29.2</v>
      </c>
      <c r="DV139">
        <v>22.5886</v>
      </c>
      <c r="DW139">
        <v>62.072400000000002</v>
      </c>
      <c r="DX139">
        <v>35.625</v>
      </c>
      <c r="DY139">
        <v>1</v>
      </c>
      <c r="DZ139">
        <v>-9.0807899999999997E-2</v>
      </c>
      <c r="EA139">
        <v>0.142127</v>
      </c>
      <c r="EB139">
        <v>20.189299999999999</v>
      </c>
      <c r="EC139">
        <v>5.2409499999999998</v>
      </c>
      <c r="ED139">
        <v>12.039899999999999</v>
      </c>
      <c r="EE139">
        <v>5.0170500000000002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</v>
      </c>
      <c r="EL139">
        <v>1.8646199999999999</v>
      </c>
      <c r="EM139">
        <v>1.8692</v>
      </c>
      <c r="EN139">
        <v>1.8672500000000001</v>
      </c>
      <c r="EO139">
        <v>1.8633999999999999</v>
      </c>
      <c r="EP139">
        <v>1.86449</v>
      </c>
      <c r="EQ139">
        <v>1.8701300000000001</v>
      </c>
      <c r="ER139">
        <v>1.86941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-0.314</v>
      </c>
      <c r="FG139">
        <v>0.31</v>
      </c>
      <c r="FH139">
        <v>0.1121710645629533</v>
      </c>
      <c r="FI139">
        <v>-6.1462078757559423E-4</v>
      </c>
      <c r="FJ139">
        <v>-1.8861989874597051E-7</v>
      </c>
      <c r="FK139">
        <v>1.1980462299894961E-10</v>
      </c>
      <c r="FL139">
        <v>0.30996499999999833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31</v>
      </c>
      <c r="FU139">
        <v>30.9</v>
      </c>
      <c r="FV139">
        <v>1.77979</v>
      </c>
      <c r="FW139">
        <v>2.5866699999999998</v>
      </c>
      <c r="FX139">
        <v>1.5490699999999999</v>
      </c>
      <c r="FY139">
        <v>2.3278799999999999</v>
      </c>
      <c r="FZ139">
        <v>1.50146</v>
      </c>
      <c r="GA139">
        <v>2.3889200000000002</v>
      </c>
      <c r="GB139">
        <v>33.963900000000002</v>
      </c>
      <c r="GC139">
        <v>23.991199999999999</v>
      </c>
      <c r="GD139">
        <v>19</v>
      </c>
      <c r="GE139">
        <v>284.238</v>
      </c>
      <c r="GF139">
        <v>591.827</v>
      </c>
      <c r="GG139">
        <v>24.399000000000001</v>
      </c>
      <c r="GH139">
        <v>26.250900000000001</v>
      </c>
      <c r="GI139">
        <v>29.9999</v>
      </c>
      <c r="GJ139">
        <v>26.392499999999998</v>
      </c>
      <c r="GK139">
        <v>26.3809</v>
      </c>
      <c r="GL139">
        <v>35.572000000000003</v>
      </c>
      <c r="GM139">
        <v>48.624299999999998</v>
      </c>
      <c r="GN139">
        <v>83.252499999999998</v>
      </c>
      <c r="GO139">
        <v>24.395499999999998</v>
      </c>
      <c r="GP139">
        <v>800</v>
      </c>
      <c r="GQ139">
        <v>12.7544</v>
      </c>
      <c r="GR139">
        <v>99.755200000000002</v>
      </c>
      <c r="GS139">
        <v>99.612099999999998</v>
      </c>
    </row>
    <row r="140" spans="1:201" x14ac:dyDescent="0.25">
      <c r="A140">
        <v>124</v>
      </c>
      <c r="B140">
        <v>1690228045.5</v>
      </c>
      <c r="C140">
        <v>1475.900000095367</v>
      </c>
      <c r="D140" t="s">
        <v>579</v>
      </c>
      <c r="E140" t="s">
        <v>580</v>
      </c>
      <c r="F140" t="s">
        <v>330</v>
      </c>
      <c r="H140">
        <v>1690228045.5</v>
      </c>
      <c r="I140">
        <f t="shared" si="30"/>
        <v>1.0163026862479141E-3</v>
      </c>
      <c r="J140">
        <f t="shared" si="31"/>
        <v>1.0163026862479141</v>
      </c>
      <c r="K140">
        <f t="shared" si="32"/>
        <v>16.162917507694832</v>
      </c>
      <c r="L140">
        <f t="shared" si="33"/>
        <v>618.71199999999999</v>
      </c>
      <c r="M140">
        <f t="shared" si="34"/>
        <v>203.22207520544336</v>
      </c>
      <c r="N140">
        <f t="shared" si="35"/>
        <v>20.153164532957188</v>
      </c>
      <c r="O140">
        <f t="shared" si="36"/>
        <v>61.3565466345608</v>
      </c>
      <c r="P140">
        <f t="shared" si="37"/>
        <v>6.4771971331046563E-2</v>
      </c>
      <c r="Q140">
        <f t="shared" si="38"/>
        <v>2.1308389301137489</v>
      </c>
      <c r="R140">
        <f t="shared" si="39"/>
        <v>6.3697713483119242E-2</v>
      </c>
      <c r="S140">
        <f t="shared" si="40"/>
        <v>3.9906104630980571E-2</v>
      </c>
      <c r="T140">
        <f t="shared" si="41"/>
        <v>276.11262267446313</v>
      </c>
      <c r="U140">
        <f t="shared" si="42"/>
        <v>28.282443958413761</v>
      </c>
      <c r="V140">
        <f t="shared" si="43"/>
        <v>28.282443958413761</v>
      </c>
      <c r="W140">
        <f t="shared" si="44"/>
        <v>3.8577742783855338</v>
      </c>
      <c r="X140">
        <f t="shared" si="45"/>
        <v>67.079355911620127</v>
      </c>
      <c r="Y140">
        <f t="shared" si="46"/>
        <v>2.3248592829652397</v>
      </c>
      <c r="Z140">
        <f t="shared" si="47"/>
        <v>3.4658342367334884</v>
      </c>
      <c r="AA140">
        <f t="shared" si="48"/>
        <v>1.5329149954202941</v>
      </c>
      <c r="AB140">
        <f t="shared" si="49"/>
        <v>-44.818948463533012</v>
      </c>
      <c r="AC140">
        <f t="shared" si="50"/>
        <v>-210.12801260832953</v>
      </c>
      <c r="AD140">
        <f t="shared" si="51"/>
        <v>-21.360381134586653</v>
      </c>
      <c r="AE140">
        <f t="shared" si="52"/>
        <v>-0.19471953198606684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52483.118234833557</v>
      </c>
      <c r="AK140">
        <f t="shared" si="56"/>
        <v>1799.99</v>
      </c>
      <c r="AL140">
        <f t="shared" si="57"/>
        <v>1499.10194180961</v>
      </c>
      <c r="AM140">
        <f t="shared" si="58"/>
        <v>0.832839039</v>
      </c>
      <c r="AN140">
        <f t="shared" si="59"/>
        <v>0.15339675369000003</v>
      </c>
      <c r="AO140">
        <v>32.4</v>
      </c>
      <c r="AP140">
        <v>0.5</v>
      </c>
      <c r="AQ140" t="s">
        <v>331</v>
      </c>
      <c r="AR140">
        <v>2</v>
      </c>
      <c r="AS140">
        <v>1690228045.5</v>
      </c>
      <c r="AT140">
        <v>618.71199999999999</v>
      </c>
      <c r="AU140">
        <v>800.01599999999996</v>
      </c>
      <c r="AV140">
        <v>23.4436</v>
      </c>
      <c r="AW140">
        <v>12.727600000000001</v>
      </c>
      <c r="AX140">
        <v>619.024</v>
      </c>
      <c r="AY140">
        <v>23.133700000000001</v>
      </c>
      <c r="AZ140">
        <v>300.077</v>
      </c>
      <c r="BA140">
        <v>99.068200000000004</v>
      </c>
      <c r="BB140">
        <v>9.9985900000000003E-2</v>
      </c>
      <c r="BC140">
        <v>26.453299999999999</v>
      </c>
      <c r="BD140">
        <v>26.974399999999999</v>
      </c>
      <c r="BE140">
        <v>28.1219</v>
      </c>
      <c r="BF140">
        <v>0</v>
      </c>
      <c r="BG140">
        <v>0</v>
      </c>
      <c r="BH140">
        <v>10000.6</v>
      </c>
      <c r="BI140">
        <v>1072.17</v>
      </c>
      <c r="BJ140">
        <v>1.4016500000000001</v>
      </c>
      <c r="BK140">
        <v>-181.304</v>
      </c>
      <c r="BL140">
        <v>633.56500000000005</v>
      </c>
      <c r="BM140">
        <v>810.32899999999995</v>
      </c>
      <c r="BN140">
        <v>10.716100000000001</v>
      </c>
      <c r="BO140">
        <v>800.01599999999996</v>
      </c>
      <c r="BP140">
        <v>12.727600000000001</v>
      </c>
      <c r="BQ140">
        <v>2.3225199999999999</v>
      </c>
      <c r="BR140">
        <v>1.2608999999999999</v>
      </c>
      <c r="BS140">
        <v>19.833400000000001</v>
      </c>
      <c r="BT140">
        <v>10.3407</v>
      </c>
      <c r="BU140">
        <v>1799.99</v>
      </c>
      <c r="BV140">
        <v>0.909999</v>
      </c>
      <c r="BW140">
        <v>3.3996899999999997E-2</v>
      </c>
      <c r="BX140">
        <v>2.1990200000000001E-2</v>
      </c>
      <c r="BY140">
        <v>3.4014099999999999E-2</v>
      </c>
      <c r="BZ140">
        <v>26</v>
      </c>
      <c r="CA140">
        <v>33528.400000000001</v>
      </c>
      <c r="CB140">
        <v>1690226183.5999999</v>
      </c>
      <c r="CC140" t="s">
        <v>332</v>
      </c>
      <c r="CD140">
        <v>1690226177.5999999</v>
      </c>
      <c r="CE140">
        <v>1690226183.5999999</v>
      </c>
      <c r="CF140">
        <v>12</v>
      </c>
      <c r="CG140">
        <v>-0.255</v>
      </c>
      <c r="CH140">
        <v>0.113</v>
      </c>
      <c r="CI140">
        <v>-0.439</v>
      </c>
      <c r="CJ140">
        <v>0.31</v>
      </c>
      <c r="CK140">
        <v>800</v>
      </c>
      <c r="CL140">
        <v>25</v>
      </c>
      <c r="CM140">
        <v>0.02</v>
      </c>
      <c r="CN140">
        <v>0.03</v>
      </c>
      <c r="CO140">
        <v>-178.87705</v>
      </c>
      <c r="CP140">
        <v>-13.930536585365131</v>
      </c>
      <c r="CQ140">
        <v>1.343103178277828</v>
      </c>
      <c r="CR140">
        <v>-1</v>
      </c>
      <c r="CS140">
        <v>10.5712425</v>
      </c>
      <c r="CT140">
        <v>0.91520262664165597</v>
      </c>
      <c r="CU140">
        <v>8.9286348025608142E-2</v>
      </c>
      <c r="CV140">
        <v>-1</v>
      </c>
      <c r="CW140">
        <v>0</v>
      </c>
      <c r="CX140">
        <v>0</v>
      </c>
      <c r="CY140" t="s">
        <v>333</v>
      </c>
      <c r="CZ140">
        <v>2.36416</v>
      </c>
      <c r="DA140">
        <v>2.7137799999999999</v>
      </c>
      <c r="DB140">
        <v>0.12312099999999999</v>
      </c>
      <c r="DC140">
        <v>0.14619699999999999</v>
      </c>
      <c r="DD140">
        <v>0.111595</v>
      </c>
      <c r="DE140">
        <v>7.1006600000000003E-2</v>
      </c>
      <c r="DF140">
        <v>32023.5</v>
      </c>
      <c r="DG140">
        <v>27526.799999999999</v>
      </c>
      <c r="DH140">
        <v>31177</v>
      </c>
      <c r="DI140">
        <v>28092.7</v>
      </c>
      <c r="DJ140">
        <v>37604.6</v>
      </c>
      <c r="DK140">
        <v>37114.199999999997</v>
      </c>
      <c r="DL140">
        <v>44370.3</v>
      </c>
      <c r="DM140">
        <v>42582.9</v>
      </c>
      <c r="DN140">
        <v>1.47885</v>
      </c>
      <c r="DO140">
        <v>2.0463200000000001</v>
      </c>
      <c r="DP140">
        <v>0.102688</v>
      </c>
      <c r="DQ140">
        <v>0.187196</v>
      </c>
      <c r="DR140">
        <v>25.2927</v>
      </c>
      <c r="DS140">
        <v>25.058499999999999</v>
      </c>
      <c r="DT140">
        <v>54.9</v>
      </c>
      <c r="DU140">
        <v>29.2</v>
      </c>
      <c r="DV140">
        <v>22.542200000000001</v>
      </c>
      <c r="DW140">
        <v>61.732399999999998</v>
      </c>
      <c r="DX140">
        <v>36.590499999999999</v>
      </c>
      <c r="DY140">
        <v>1</v>
      </c>
      <c r="DZ140">
        <v>-9.0129600000000004E-2</v>
      </c>
      <c r="EA140">
        <v>0.181117</v>
      </c>
      <c r="EB140">
        <v>20.1892</v>
      </c>
      <c r="EC140">
        <v>5.2409499999999998</v>
      </c>
      <c r="ED140">
        <v>12.039899999999999</v>
      </c>
      <c r="EE140">
        <v>5.0170500000000002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1.8692</v>
      </c>
      <c r="EN140">
        <v>1.86724</v>
      </c>
      <c r="EO140">
        <v>1.8633999999999999</v>
      </c>
      <c r="EP140">
        <v>1.8645</v>
      </c>
      <c r="EQ140">
        <v>1.8701399999999999</v>
      </c>
      <c r="ER140">
        <v>1.8694299999999999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-0.312</v>
      </c>
      <c r="FG140">
        <v>0.30990000000000001</v>
      </c>
      <c r="FH140">
        <v>0.1121710645629533</v>
      </c>
      <c r="FI140">
        <v>-6.1462078757559423E-4</v>
      </c>
      <c r="FJ140">
        <v>-1.8861989874597051E-7</v>
      </c>
      <c r="FK140">
        <v>1.1980462299894961E-10</v>
      </c>
      <c r="FL140">
        <v>0.30996499999999833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31.1</v>
      </c>
      <c r="FU140">
        <v>31</v>
      </c>
      <c r="FV140">
        <v>1.7785599999999999</v>
      </c>
      <c r="FW140">
        <v>2.5915499999999998</v>
      </c>
      <c r="FX140">
        <v>1.5490699999999999</v>
      </c>
      <c r="FY140">
        <v>2.3278799999999999</v>
      </c>
      <c r="FZ140">
        <v>1.50024</v>
      </c>
      <c r="GA140">
        <v>2.2827099999999998</v>
      </c>
      <c r="GB140">
        <v>33.963900000000002</v>
      </c>
      <c r="GC140">
        <v>23.982399999999998</v>
      </c>
      <c r="GD140">
        <v>19</v>
      </c>
      <c r="GE140">
        <v>284.185</v>
      </c>
      <c r="GF140">
        <v>591.88499999999999</v>
      </c>
      <c r="GG140">
        <v>24.386700000000001</v>
      </c>
      <c r="GH140">
        <v>26.248699999999999</v>
      </c>
      <c r="GI140">
        <v>30.0001</v>
      </c>
      <c r="GJ140">
        <v>26.3903</v>
      </c>
      <c r="GK140">
        <v>26.378699999999998</v>
      </c>
      <c r="GL140">
        <v>35.568300000000001</v>
      </c>
      <c r="GM140">
        <v>48.624299999999998</v>
      </c>
      <c r="GN140">
        <v>82.4846</v>
      </c>
      <c r="GO140">
        <v>24.387</v>
      </c>
      <c r="GP140">
        <v>800</v>
      </c>
      <c r="GQ140">
        <v>12.621499999999999</v>
      </c>
      <c r="GR140">
        <v>99.756399999999999</v>
      </c>
      <c r="GS140">
        <v>99.612399999999994</v>
      </c>
    </row>
    <row r="141" spans="1:201" x14ac:dyDescent="0.25">
      <c r="A141">
        <v>125</v>
      </c>
      <c r="B141">
        <v>1690228055.5</v>
      </c>
      <c r="C141">
        <v>1485.900000095367</v>
      </c>
      <c r="D141" t="s">
        <v>581</v>
      </c>
      <c r="E141" t="s">
        <v>582</v>
      </c>
      <c r="F141" t="s">
        <v>330</v>
      </c>
      <c r="H141">
        <v>1690228055.5</v>
      </c>
      <c r="I141">
        <f t="shared" si="30"/>
        <v>1.0279881846977977E-3</v>
      </c>
      <c r="J141">
        <f t="shared" si="31"/>
        <v>1.0279881846977976</v>
      </c>
      <c r="K141">
        <f t="shared" si="32"/>
        <v>16.365119696466888</v>
      </c>
      <c r="L141">
        <f t="shared" si="33"/>
        <v>616.54700000000003</v>
      </c>
      <c r="M141">
        <f t="shared" si="34"/>
        <v>201.17526797044704</v>
      </c>
      <c r="N141">
        <f t="shared" si="35"/>
        <v>19.950517929534747</v>
      </c>
      <c r="O141">
        <f t="shared" si="36"/>
        <v>61.142863643197998</v>
      </c>
      <c r="P141">
        <f t="shared" si="37"/>
        <v>6.5601384876057878E-2</v>
      </c>
      <c r="Q141">
        <f t="shared" si="38"/>
        <v>2.1339891709144072</v>
      </c>
      <c r="R141">
        <f t="shared" si="39"/>
        <v>6.4501288040267016E-2</v>
      </c>
      <c r="S141">
        <f t="shared" si="40"/>
        <v>4.0410607696798162E-2</v>
      </c>
      <c r="T141">
        <f t="shared" si="41"/>
        <v>276.11503731000005</v>
      </c>
      <c r="U141">
        <f t="shared" si="42"/>
        <v>28.272944647425874</v>
      </c>
      <c r="V141">
        <f t="shared" si="43"/>
        <v>28.272944647425874</v>
      </c>
      <c r="W141">
        <f t="shared" si="44"/>
        <v>3.8556429243645276</v>
      </c>
      <c r="X141">
        <f t="shared" si="45"/>
        <v>67.077171816995445</v>
      </c>
      <c r="Y141">
        <f t="shared" si="46"/>
        <v>2.3243723202422002</v>
      </c>
      <c r="Z141">
        <f t="shared" si="47"/>
        <v>3.4652211136505766</v>
      </c>
      <c r="AA141">
        <f t="shared" si="48"/>
        <v>1.5312706041223274</v>
      </c>
      <c r="AB141">
        <f t="shared" si="49"/>
        <v>-45.334278945172876</v>
      </c>
      <c r="AC141">
        <f t="shared" si="50"/>
        <v>-209.69093641500118</v>
      </c>
      <c r="AD141">
        <f t="shared" si="51"/>
        <v>-21.283153525521392</v>
      </c>
      <c r="AE141">
        <f t="shared" si="52"/>
        <v>-0.19333157569539594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52619.841099628582</v>
      </c>
      <c r="AK141">
        <f t="shared" si="56"/>
        <v>1800</v>
      </c>
      <c r="AL141">
        <f t="shared" si="57"/>
        <v>1499.1105420000001</v>
      </c>
      <c r="AM141">
        <f t="shared" si="58"/>
        <v>0.83283919000000006</v>
      </c>
      <c r="AN141">
        <f t="shared" si="59"/>
        <v>0.15339724295000004</v>
      </c>
      <c r="AO141">
        <v>32.4</v>
      </c>
      <c r="AP141">
        <v>0.5</v>
      </c>
      <c r="AQ141" t="s">
        <v>331</v>
      </c>
      <c r="AR141">
        <v>2</v>
      </c>
      <c r="AS141">
        <v>1690228055.5</v>
      </c>
      <c r="AT141">
        <v>616.54700000000003</v>
      </c>
      <c r="AU141">
        <v>800.02099999999996</v>
      </c>
      <c r="AV141">
        <v>23.438300000000002</v>
      </c>
      <c r="AW141">
        <v>12.603</v>
      </c>
      <c r="AX141">
        <v>616.85799999999995</v>
      </c>
      <c r="AY141">
        <v>23.128299999999999</v>
      </c>
      <c r="AZ141">
        <v>300.18700000000001</v>
      </c>
      <c r="BA141">
        <v>99.069800000000001</v>
      </c>
      <c r="BB141">
        <v>0.100034</v>
      </c>
      <c r="BC141">
        <v>26.450299999999999</v>
      </c>
      <c r="BD141">
        <v>26.988</v>
      </c>
      <c r="BE141">
        <v>28.120100000000001</v>
      </c>
      <c r="BF141">
        <v>0</v>
      </c>
      <c r="BG141">
        <v>0</v>
      </c>
      <c r="BH141">
        <v>10027.5</v>
      </c>
      <c r="BI141">
        <v>1072.06</v>
      </c>
      <c r="BJ141">
        <v>1.4016500000000001</v>
      </c>
      <c r="BK141">
        <v>-183.47399999999999</v>
      </c>
      <c r="BL141">
        <v>631.34500000000003</v>
      </c>
      <c r="BM141">
        <v>810.23299999999995</v>
      </c>
      <c r="BN141">
        <v>10.8353</v>
      </c>
      <c r="BO141">
        <v>800.02099999999996</v>
      </c>
      <c r="BP141">
        <v>12.603</v>
      </c>
      <c r="BQ141">
        <v>2.3220299999999998</v>
      </c>
      <c r="BR141">
        <v>1.24858</v>
      </c>
      <c r="BS141">
        <v>19.829999999999998</v>
      </c>
      <c r="BT141">
        <v>10.1937</v>
      </c>
      <c r="BU141">
        <v>1800</v>
      </c>
      <c r="BV141">
        <v>0.90999300000000005</v>
      </c>
      <c r="BW141">
        <v>3.3996100000000001E-2</v>
      </c>
      <c r="BX141">
        <v>2.19975E-2</v>
      </c>
      <c r="BY141">
        <v>3.4013300000000003E-2</v>
      </c>
      <c r="BZ141">
        <v>26</v>
      </c>
      <c r="CA141">
        <v>33528.5</v>
      </c>
      <c r="CB141">
        <v>1690226183.5999999</v>
      </c>
      <c r="CC141" t="s">
        <v>332</v>
      </c>
      <c r="CD141">
        <v>1690226177.5999999</v>
      </c>
      <c r="CE141">
        <v>1690226183.5999999</v>
      </c>
      <c r="CF141">
        <v>12</v>
      </c>
      <c r="CG141">
        <v>-0.255</v>
      </c>
      <c r="CH141">
        <v>0.113</v>
      </c>
      <c r="CI141">
        <v>-0.439</v>
      </c>
      <c r="CJ141">
        <v>0.31</v>
      </c>
      <c r="CK141">
        <v>800</v>
      </c>
      <c r="CL141">
        <v>25</v>
      </c>
      <c r="CM141">
        <v>0.02</v>
      </c>
      <c r="CN141">
        <v>0.03</v>
      </c>
      <c r="CO141">
        <v>-181.139275</v>
      </c>
      <c r="CP141">
        <v>-13.30436397748532</v>
      </c>
      <c r="CQ141">
        <v>1.281011475114489</v>
      </c>
      <c r="CR141">
        <v>-1</v>
      </c>
      <c r="CS141">
        <v>10.704762499999999</v>
      </c>
      <c r="CT141">
        <v>0.72517711069417234</v>
      </c>
      <c r="CU141">
        <v>7.1514787587952683E-2</v>
      </c>
      <c r="CV141">
        <v>-1</v>
      </c>
      <c r="CW141">
        <v>0</v>
      </c>
      <c r="CX141">
        <v>0</v>
      </c>
      <c r="CY141" t="s">
        <v>333</v>
      </c>
      <c r="CZ141">
        <v>2.3645499999999999</v>
      </c>
      <c r="DA141">
        <v>2.7138499999999999</v>
      </c>
      <c r="DB141">
        <v>0.122822</v>
      </c>
      <c r="DC141">
        <v>0.146199</v>
      </c>
      <c r="DD141">
        <v>0.111579</v>
      </c>
      <c r="DE141">
        <v>7.04877E-2</v>
      </c>
      <c r="DF141">
        <v>32034.400000000001</v>
      </c>
      <c r="DG141">
        <v>27526.5</v>
      </c>
      <c r="DH141">
        <v>31177</v>
      </c>
      <c r="DI141">
        <v>28092.400000000001</v>
      </c>
      <c r="DJ141">
        <v>37605.300000000003</v>
      </c>
      <c r="DK141">
        <v>37134.5</v>
      </c>
      <c r="DL141">
        <v>44370.400000000001</v>
      </c>
      <c r="DM141">
        <v>42582.3</v>
      </c>
      <c r="DN141">
        <v>1.4790000000000001</v>
      </c>
      <c r="DO141">
        <v>2.04603</v>
      </c>
      <c r="DP141">
        <v>0.103284</v>
      </c>
      <c r="DQ141">
        <v>0.18682299999999999</v>
      </c>
      <c r="DR141">
        <v>25.296500000000002</v>
      </c>
      <c r="DS141">
        <v>25.0627</v>
      </c>
      <c r="DT141">
        <v>54.8</v>
      </c>
      <c r="DU141">
        <v>29.2</v>
      </c>
      <c r="DV141">
        <v>22.504899999999999</v>
      </c>
      <c r="DW141">
        <v>61.632399999999997</v>
      </c>
      <c r="DX141">
        <v>36.382199999999997</v>
      </c>
      <c r="DY141">
        <v>1</v>
      </c>
      <c r="DZ141">
        <v>-9.0602100000000005E-2</v>
      </c>
      <c r="EA141">
        <v>0.13589899999999999</v>
      </c>
      <c r="EB141">
        <v>20.189299999999999</v>
      </c>
      <c r="EC141">
        <v>5.24125</v>
      </c>
      <c r="ED141">
        <v>12.039899999999999</v>
      </c>
      <c r="EE141">
        <v>5.0171000000000001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1.8646400000000001</v>
      </c>
      <c r="EM141">
        <v>1.8692</v>
      </c>
      <c r="EN141">
        <v>1.86727</v>
      </c>
      <c r="EO141">
        <v>1.8633999999999999</v>
      </c>
      <c r="EP141">
        <v>1.8645499999999999</v>
      </c>
      <c r="EQ141">
        <v>1.8701399999999999</v>
      </c>
      <c r="ER141">
        <v>1.86941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-0.311</v>
      </c>
      <c r="FG141">
        <v>0.31</v>
      </c>
      <c r="FH141">
        <v>0.1121710645629533</v>
      </c>
      <c r="FI141">
        <v>-6.1462078757559423E-4</v>
      </c>
      <c r="FJ141">
        <v>-1.8861989874597051E-7</v>
      </c>
      <c r="FK141">
        <v>1.1980462299894961E-10</v>
      </c>
      <c r="FL141">
        <v>0.30996499999999833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31.3</v>
      </c>
      <c r="FU141">
        <v>31.2</v>
      </c>
      <c r="FV141">
        <v>1.7785599999999999</v>
      </c>
      <c r="FW141">
        <v>2.5842299999999998</v>
      </c>
      <c r="FX141">
        <v>1.5490699999999999</v>
      </c>
      <c r="FY141">
        <v>2.3278799999999999</v>
      </c>
      <c r="FZ141">
        <v>1.50146</v>
      </c>
      <c r="GA141">
        <v>2.4023400000000001</v>
      </c>
      <c r="GB141">
        <v>33.963900000000002</v>
      </c>
      <c r="GC141">
        <v>23.991199999999999</v>
      </c>
      <c r="GD141">
        <v>19</v>
      </c>
      <c r="GE141">
        <v>284.23899999999998</v>
      </c>
      <c r="GF141">
        <v>591.60900000000004</v>
      </c>
      <c r="GG141">
        <v>24.401</v>
      </c>
      <c r="GH141">
        <v>26.248699999999999</v>
      </c>
      <c r="GI141">
        <v>30.0001</v>
      </c>
      <c r="GJ141">
        <v>26.388100000000001</v>
      </c>
      <c r="GK141">
        <v>26.3765</v>
      </c>
      <c r="GL141">
        <v>35.563099999999999</v>
      </c>
      <c r="GM141">
        <v>49.208500000000001</v>
      </c>
      <c r="GN141">
        <v>82.096000000000004</v>
      </c>
      <c r="GO141">
        <v>24.403700000000001</v>
      </c>
      <c r="GP141">
        <v>800</v>
      </c>
      <c r="GQ141">
        <v>12.4846</v>
      </c>
      <c r="GR141">
        <v>99.756500000000003</v>
      </c>
      <c r="GS141">
        <v>99.611199999999997</v>
      </c>
    </row>
    <row r="142" spans="1:201" x14ac:dyDescent="0.25">
      <c r="A142">
        <v>126</v>
      </c>
      <c r="B142">
        <v>1690228065.5</v>
      </c>
      <c r="C142">
        <v>1495.900000095367</v>
      </c>
      <c r="D142" t="s">
        <v>583</v>
      </c>
      <c r="E142" t="s">
        <v>584</v>
      </c>
      <c r="F142" t="s">
        <v>330</v>
      </c>
      <c r="H142">
        <v>1690228065.5</v>
      </c>
      <c r="I142">
        <f t="shared" si="30"/>
        <v>1.0425742390131514E-3</v>
      </c>
      <c r="J142">
        <f t="shared" si="31"/>
        <v>1.0425742390131514</v>
      </c>
      <c r="K142">
        <f t="shared" si="32"/>
        <v>16.572379936722559</v>
      </c>
      <c r="L142">
        <f t="shared" si="33"/>
        <v>614.25400000000002</v>
      </c>
      <c r="M142">
        <f t="shared" si="34"/>
        <v>199.53478868474366</v>
      </c>
      <c r="N142">
        <f t="shared" si="35"/>
        <v>19.787884947344892</v>
      </c>
      <c r="O142">
        <f t="shared" si="36"/>
        <v>60.915630605399997</v>
      </c>
      <c r="P142">
        <f t="shared" si="37"/>
        <v>6.6545980675209865E-2</v>
      </c>
      <c r="Q142">
        <f t="shared" si="38"/>
        <v>2.1318166635711977</v>
      </c>
      <c r="R142">
        <f t="shared" si="39"/>
        <v>6.541313756622627E-2</v>
      </c>
      <c r="S142">
        <f t="shared" si="40"/>
        <v>4.0983386075506639E-2</v>
      </c>
      <c r="T142">
        <f t="shared" si="41"/>
        <v>276.11659510200008</v>
      </c>
      <c r="U142">
        <f t="shared" si="42"/>
        <v>28.274251781846402</v>
      </c>
      <c r="V142">
        <f t="shared" si="43"/>
        <v>28.274251781846402</v>
      </c>
      <c r="W142">
        <f t="shared" si="44"/>
        <v>3.8559361442746911</v>
      </c>
      <c r="X142">
        <f t="shared" si="45"/>
        <v>67.064770489402875</v>
      </c>
      <c r="Y142">
        <f t="shared" si="46"/>
        <v>2.3245868120400002</v>
      </c>
      <c r="Z142">
        <f t="shared" si="47"/>
        <v>3.4661817151932484</v>
      </c>
      <c r="AA142">
        <f t="shared" si="48"/>
        <v>1.5313493322346909</v>
      </c>
      <c r="AB142">
        <f t="shared" si="49"/>
        <v>-45.977523940479976</v>
      </c>
      <c r="AC142">
        <f t="shared" si="50"/>
        <v>-209.08751685246298</v>
      </c>
      <c r="AD142">
        <f t="shared" si="51"/>
        <v>-21.244171359179042</v>
      </c>
      <c r="AE142">
        <f t="shared" si="52"/>
        <v>-0.19261705012192465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52525.096513930745</v>
      </c>
      <c r="AK142">
        <f t="shared" si="56"/>
        <v>1800</v>
      </c>
      <c r="AL142">
        <f t="shared" si="57"/>
        <v>1499.1113951999998</v>
      </c>
      <c r="AM142">
        <f t="shared" si="58"/>
        <v>0.83283966399999987</v>
      </c>
      <c r="AN142">
        <f t="shared" si="59"/>
        <v>0.15339810839000004</v>
      </c>
      <c r="AO142">
        <v>32.4</v>
      </c>
      <c r="AP142">
        <v>0.5</v>
      </c>
      <c r="AQ142" t="s">
        <v>331</v>
      </c>
      <c r="AR142">
        <v>2</v>
      </c>
      <c r="AS142">
        <v>1690228065.5</v>
      </c>
      <c r="AT142">
        <v>614.25400000000002</v>
      </c>
      <c r="AU142">
        <v>800.01400000000001</v>
      </c>
      <c r="AV142">
        <v>23.4404</v>
      </c>
      <c r="AW142">
        <v>12.4527</v>
      </c>
      <c r="AX142">
        <v>614.56299999999999</v>
      </c>
      <c r="AY142">
        <v>23.130500000000001</v>
      </c>
      <c r="AZ142">
        <v>300.22300000000001</v>
      </c>
      <c r="BA142">
        <v>99.070099999999996</v>
      </c>
      <c r="BB142">
        <v>0.1</v>
      </c>
      <c r="BC142">
        <v>26.454999999999998</v>
      </c>
      <c r="BD142">
        <v>26.935300000000002</v>
      </c>
      <c r="BE142">
        <v>28.133199999999999</v>
      </c>
      <c r="BF142">
        <v>0</v>
      </c>
      <c r="BG142">
        <v>0</v>
      </c>
      <c r="BH142">
        <v>10008.799999999999</v>
      </c>
      <c r="BI142">
        <v>1072.18</v>
      </c>
      <c r="BJ142">
        <v>1.39324</v>
      </c>
      <c r="BK142">
        <v>-185.761</v>
      </c>
      <c r="BL142">
        <v>628.99800000000005</v>
      </c>
      <c r="BM142">
        <v>810.10199999999998</v>
      </c>
      <c r="BN142">
        <v>10.9877</v>
      </c>
      <c r="BO142">
        <v>800.01400000000001</v>
      </c>
      <c r="BP142">
        <v>12.4527</v>
      </c>
      <c r="BQ142">
        <v>2.3222399999999999</v>
      </c>
      <c r="BR142">
        <v>1.23369</v>
      </c>
      <c r="BS142">
        <v>19.831499999999998</v>
      </c>
      <c r="BT142">
        <v>10.0144</v>
      </c>
      <c r="BU142">
        <v>1800</v>
      </c>
      <c r="BV142">
        <v>0.90998299999999999</v>
      </c>
      <c r="BW142">
        <v>3.3994900000000002E-2</v>
      </c>
      <c r="BX142">
        <v>2.20097E-2</v>
      </c>
      <c r="BY142">
        <v>3.4012100000000003E-2</v>
      </c>
      <c r="BZ142">
        <v>26</v>
      </c>
      <c r="CA142">
        <v>33528.199999999997</v>
      </c>
      <c r="CB142">
        <v>1690226183.5999999</v>
      </c>
      <c r="CC142" t="s">
        <v>332</v>
      </c>
      <c r="CD142">
        <v>1690226177.5999999</v>
      </c>
      <c r="CE142">
        <v>1690226183.5999999</v>
      </c>
      <c r="CF142">
        <v>12</v>
      </c>
      <c r="CG142">
        <v>-0.255</v>
      </c>
      <c r="CH142">
        <v>0.113</v>
      </c>
      <c r="CI142">
        <v>-0.439</v>
      </c>
      <c r="CJ142">
        <v>0.31</v>
      </c>
      <c r="CK142">
        <v>800</v>
      </c>
      <c r="CL142">
        <v>25</v>
      </c>
      <c r="CM142">
        <v>0.02</v>
      </c>
      <c r="CN142">
        <v>0.03</v>
      </c>
      <c r="CO142">
        <v>-183.349075</v>
      </c>
      <c r="CP142">
        <v>-13.16378611632202</v>
      </c>
      <c r="CQ142">
        <v>1.266578232631129</v>
      </c>
      <c r="CR142">
        <v>-1</v>
      </c>
      <c r="CS142">
        <v>10.8415125</v>
      </c>
      <c r="CT142">
        <v>0.94234333958722283</v>
      </c>
      <c r="CU142">
        <v>9.1655594994250245E-2</v>
      </c>
      <c r="CV142">
        <v>-1</v>
      </c>
      <c r="CW142">
        <v>0</v>
      </c>
      <c r="CX142">
        <v>0</v>
      </c>
      <c r="CY142" t="s">
        <v>333</v>
      </c>
      <c r="CZ142">
        <v>2.3646699999999998</v>
      </c>
      <c r="DA142">
        <v>2.7138</v>
      </c>
      <c r="DB142">
        <v>0.122501</v>
      </c>
      <c r="DC142">
        <v>0.14619499999999999</v>
      </c>
      <c r="DD142">
        <v>0.11158700000000001</v>
      </c>
      <c r="DE142">
        <v>6.9857600000000006E-2</v>
      </c>
      <c r="DF142">
        <v>32045.7</v>
      </c>
      <c r="DG142">
        <v>27526.3</v>
      </c>
      <c r="DH142">
        <v>31176.6</v>
      </c>
      <c r="DI142">
        <v>28092.1</v>
      </c>
      <c r="DJ142">
        <v>37604.400000000001</v>
      </c>
      <c r="DK142">
        <v>37159.4</v>
      </c>
      <c r="DL142">
        <v>44369.7</v>
      </c>
      <c r="DM142">
        <v>42581.9</v>
      </c>
      <c r="DN142">
        <v>1.4791000000000001</v>
      </c>
      <c r="DO142">
        <v>2.0459000000000001</v>
      </c>
      <c r="DP142">
        <v>9.98005E-2</v>
      </c>
      <c r="DQ142">
        <v>0.18740100000000001</v>
      </c>
      <c r="DR142">
        <v>25.300799999999999</v>
      </c>
      <c r="DS142">
        <v>25.066400000000002</v>
      </c>
      <c r="DT142">
        <v>54.6</v>
      </c>
      <c r="DU142">
        <v>29.2</v>
      </c>
      <c r="DV142">
        <v>22.419499999999999</v>
      </c>
      <c r="DW142">
        <v>61.8324</v>
      </c>
      <c r="DX142">
        <v>35.6571</v>
      </c>
      <c r="DY142">
        <v>1</v>
      </c>
      <c r="DZ142">
        <v>-9.0706300000000004E-2</v>
      </c>
      <c r="EA142">
        <v>7.3246199999999997E-2</v>
      </c>
      <c r="EB142">
        <v>20.189299999999999</v>
      </c>
      <c r="EC142">
        <v>5.2411000000000003</v>
      </c>
      <c r="ED142">
        <v>12.039899999999999</v>
      </c>
      <c r="EE142">
        <v>5.0171999999999999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1.8689100000000001</v>
      </c>
      <c r="EL142">
        <v>1.8646199999999999</v>
      </c>
      <c r="EM142">
        <v>1.8692</v>
      </c>
      <c r="EN142">
        <v>1.86724</v>
      </c>
      <c r="EO142">
        <v>1.8633999999999999</v>
      </c>
      <c r="EP142">
        <v>1.8645</v>
      </c>
      <c r="EQ142">
        <v>1.8701300000000001</v>
      </c>
      <c r="ER142">
        <v>1.8694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-0.309</v>
      </c>
      <c r="FG142">
        <v>0.30990000000000001</v>
      </c>
      <c r="FH142">
        <v>0.1121710645629533</v>
      </c>
      <c r="FI142">
        <v>-6.1462078757559423E-4</v>
      </c>
      <c r="FJ142">
        <v>-1.8861989874597051E-7</v>
      </c>
      <c r="FK142">
        <v>1.1980462299894961E-10</v>
      </c>
      <c r="FL142">
        <v>0.30996499999999833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31.5</v>
      </c>
      <c r="FU142">
        <v>31.4</v>
      </c>
      <c r="FV142">
        <v>1.7785599999999999</v>
      </c>
      <c r="FW142">
        <v>2.5878899999999998</v>
      </c>
      <c r="FX142">
        <v>1.5490699999999999</v>
      </c>
      <c r="FY142">
        <v>2.3278799999999999</v>
      </c>
      <c r="FZ142">
        <v>1.50146</v>
      </c>
      <c r="GA142">
        <v>2.3315399999999999</v>
      </c>
      <c r="GB142">
        <v>33.963900000000002</v>
      </c>
      <c r="GC142">
        <v>23.982399999999998</v>
      </c>
      <c r="GD142">
        <v>19</v>
      </c>
      <c r="GE142">
        <v>284.28300000000002</v>
      </c>
      <c r="GF142">
        <v>591.49099999999999</v>
      </c>
      <c r="GG142">
        <v>24.425599999999999</v>
      </c>
      <c r="GH142">
        <v>26.246500000000001</v>
      </c>
      <c r="GI142">
        <v>30</v>
      </c>
      <c r="GJ142">
        <v>26.388100000000001</v>
      </c>
      <c r="GK142">
        <v>26.3752</v>
      </c>
      <c r="GL142">
        <v>35.564599999999999</v>
      </c>
      <c r="GM142">
        <v>49.479100000000003</v>
      </c>
      <c r="GN142">
        <v>81.308899999999994</v>
      </c>
      <c r="GO142">
        <v>24.431999999999999</v>
      </c>
      <c r="GP142">
        <v>800</v>
      </c>
      <c r="GQ142">
        <v>12.345700000000001</v>
      </c>
      <c r="GR142">
        <v>99.755099999999999</v>
      </c>
      <c r="GS142">
        <v>99.610200000000006</v>
      </c>
    </row>
    <row r="143" spans="1:201" x14ac:dyDescent="0.25">
      <c r="A143">
        <v>127</v>
      </c>
      <c r="B143">
        <v>1690228075.5</v>
      </c>
      <c r="C143">
        <v>1505.900000095367</v>
      </c>
      <c r="D143" t="s">
        <v>585</v>
      </c>
      <c r="E143" t="s">
        <v>586</v>
      </c>
      <c r="F143" t="s">
        <v>330</v>
      </c>
      <c r="H143">
        <v>1690228075.5</v>
      </c>
      <c r="I143">
        <f t="shared" si="30"/>
        <v>1.0547274905322378E-3</v>
      </c>
      <c r="J143">
        <f t="shared" si="31"/>
        <v>1.0547274905322377</v>
      </c>
      <c r="K143">
        <f t="shared" si="32"/>
        <v>16.763941989359591</v>
      </c>
      <c r="L143">
        <f t="shared" si="33"/>
        <v>612.12</v>
      </c>
      <c r="M143">
        <f t="shared" si="34"/>
        <v>197.34175675139375</v>
      </c>
      <c r="N143">
        <f t="shared" si="35"/>
        <v>19.569793030828517</v>
      </c>
      <c r="O143">
        <f t="shared" si="36"/>
        <v>60.702113466648001</v>
      </c>
      <c r="P143">
        <f t="shared" si="37"/>
        <v>6.7308456538945613E-2</v>
      </c>
      <c r="Q143">
        <f t="shared" si="38"/>
        <v>2.1310485962095247</v>
      </c>
      <c r="R143">
        <f t="shared" si="39"/>
        <v>6.6149338524444795E-2</v>
      </c>
      <c r="S143">
        <f t="shared" si="40"/>
        <v>4.1445816054401882E-2</v>
      </c>
      <c r="T143">
        <f t="shared" si="41"/>
        <v>276.11500055125265</v>
      </c>
      <c r="U143">
        <f t="shared" si="42"/>
        <v>28.279282241193322</v>
      </c>
      <c r="V143">
        <f t="shared" si="43"/>
        <v>28.279282241193322</v>
      </c>
      <c r="W143">
        <f t="shared" si="44"/>
        <v>3.8570647719374045</v>
      </c>
      <c r="X143">
        <f t="shared" si="45"/>
        <v>67.047160269823948</v>
      </c>
      <c r="Y143">
        <f t="shared" si="46"/>
        <v>2.3251690100837998</v>
      </c>
      <c r="Z143">
        <f t="shared" si="47"/>
        <v>3.4679604635400101</v>
      </c>
      <c r="AA143">
        <f t="shared" si="48"/>
        <v>1.5318957618536047</v>
      </c>
      <c r="AB143">
        <f t="shared" si="49"/>
        <v>-46.513482332471682</v>
      </c>
      <c r="AC143">
        <f t="shared" si="50"/>
        <v>-208.59059499468751</v>
      </c>
      <c r="AD143">
        <f t="shared" si="51"/>
        <v>-21.202773576408248</v>
      </c>
      <c r="AE143">
        <f t="shared" si="52"/>
        <v>-0.19185035231478764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52490.328619061082</v>
      </c>
      <c r="AK143">
        <f t="shared" si="56"/>
        <v>1799.99</v>
      </c>
      <c r="AL143">
        <f t="shared" si="57"/>
        <v>1499.10348080106</v>
      </c>
      <c r="AM143">
        <f t="shared" si="58"/>
        <v>0.83283989400000003</v>
      </c>
      <c r="AN143">
        <f t="shared" si="59"/>
        <v>0.15339807474000003</v>
      </c>
      <c r="AO143">
        <v>32.4</v>
      </c>
      <c r="AP143">
        <v>0.5</v>
      </c>
      <c r="AQ143" t="s">
        <v>331</v>
      </c>
      <c r="AR143">
        <v>2</v>
      </c>
      <c r="AS143">
        <v>1690228075.5</v>
      </c>
      <c r="AT143">
        <v>612.12</v>
      </c>
      <c r="AU143">
        <v>800.13699999999994</v>
      </c>
      <c r="AV143">
        <v>23.446999999999999</v>
      </c>
      <c r="AW143">
        <v>12.323399999999999</v>
      </c>
      <c r="AX143">
        <v>612.42700000000002</v>
      </c>
      <c r="AY143">
        <v>23.137</v>
      </c>
      <c r="AZ143">
        <v>300.01</v>
      </c>
      <c r="BA143">
        <v>99.0672</v>
      </c>
      <c r="BB143">
        <v>9.9815399999999999E-2</v>
      </c>
      <c r="BC143">
        <v>26.463699999999999</v>
      </c>
      <c r="BD143">
        <v>27.002600000000001</v>
      </c>
      <c r="BE143">
        <v>28.116700000000002</v>
      </c>
      <c r="BF143">
        <v>0</v>
      </c>
      <c r="BG143">
        <v>0</v>
      </c>
      <c r="BH143">
        <v>10002.5</v>
      </c>
      <c r="BI143">
        <v>1072.1099999999999</v>
      </c>
      <c r="BJ143">
        <v>1.2334499999999999</v>
      </c>
      <c r="BK143">
        <v>-188.018</v>
      </c>
      <c r="BL143">
        <v>626.81700000000001</v>
      </c>
      <c r="BM143">
        <v>810.12099999999998</v>
      </c>
      <c r="BN143">
        <v>11.1236</v>
      </c>
      <c r="BO143">
        <v>800.13699999999994</v>
      </c>
      <c r="BP143">
        <v>12.323399999999999</v>
      </c>
      <c r="BQ143">
        <v>2.3228300000000002</v>
      </c>
      <c r="BR143">
        <v>1.2208399999999999</v>
      </c>
      <c r="BS143">
        <v>19.835599999999999</v>
      </c>
      <c r="BT143">
        <v>9.8581500000000002</v>
      </c>
      <c r="BU143">
        <v>1799.99</v>
      </c>
      <c r="BV143">
        <v>0.90998500000000004</v>
      </c>
      <c r="BW143">
        <v>3.3994200000000002E-2</v>
      </c>
      <c r="BX143">
        <v>2.20092E-2</v>
      </c>
      <c r="BY143">
        <v>3.4011399999999997E-2</v>
      </c>
      <c r="BZ143">
        <v>26</v>
      </c>
      <c r="CA143">
        <v>33528.1</v>
      </c>
      <c r="CB143">
        <v>1690226183.5999999</v>
      </c>
      <c r="CC143" t="s">
        <v>332</v>
      </c>
      <c r="CD143">
        <v>1690226177.5999999</v>
      </c>
      <c r="CE143">
        <v>1690226183.5999999</v>
      </c>
      <c r="CF143">
        <v>12</v>
      </c>
      <c r="CG143">
        <v>-0.255</v>
      </c>
      <c r="CH143">
        <v>0.113</v>
      </c>
      <c r="CI143">
        <v>-0.439</v>
      </c>
      <c r="CJ143">
        <v>0.31</v>
      </c>
      <c r="CK143">
        <v>800</v>
      </c>
      <c r="CL143">
        <v>25</v>
      </c>
      <c r="CM143">
        <v>0.02</v>
      </c>
      <c r="CN143">
        <v>0.03</v>
      </c>
      <c r="CO143">
        <v>-185.4225121951219</v>
      </c>
      <c r="CP143">
        <v>-13.60818815331047</v>
      </c>
      <c r="CQ143">
        <v>1.34261227212696</v>
      </c>
      <c r="CR143">
        <v>-1</v>
      </c>
      <c r="CS143">
        <v>10.970748780487799</v>
      </c>
      <c r="CT143">
        <v>0.79266480836236552</v>
      </c>
      <c r="CU143">
        <v>7.9804704066838678E-2</v>
      </c>
      <c r="CV143">
        <v>-1</v>
      </c>
      <c r="CW143">
        <v>0</v>
      </c>
      <c r="CX143">
        <v>0</v>
      </c>
      <c r="CY143" t="s">
        <v>333</v>
      </c>
      <c r="CZ143">
        <v>2.3639800000000002</v>
      </c>
      <c r="DA143">
        <v>2.7136100000000001</v>
      </c>
      <c r="DB143">
        <v>0.1222</v>
      </c>
      <c r="DC143">
        <v>0.146204</v>
      </c>
      <c r="DD143">
        <v>0.111606</v>
      </c>
      <c r="DE143">
        <v>6.93111E-2</v>
      </c>
      <c r="DF143">
        <v>32056.9</v>
      </c>
      <c r="DG143">
        <v>27526.400000000001</v>
      </c>
      <c r="DH143">
        <v>31176.799999999999</v>
      </c>
      <c r="DI143">
        <v>28092.5</v>
      </c>
      <c r="DJ143">
        <v>37603.699999999997</v>
      </c>
      <c r="DK143">
        <v>37181.800000000003</v>
      </c>
      <c r="DL143">
        <v>44370</v>
      </c>
      <c r="DM143">
        <v>42582.5</v>
      </c>
      <c r="DN143">
        <v>1.47872</v>
      </c>
      <c r="DO143">
        <v>2.0457700000000001</v>
      </c>
      <c r="DP143">
        <v>0.103656</v>
      </c>
      <c r="DQ143">
        <v>0.18606</v>
      </c>
      <c r="DR143">
        <v>25.305</v>
      </c>
      <c r="DS143">
        <v>25.0718</v>
      </c>
      <c r="DT143">
        <v>54.5</v>
      </c>
      <c r="DU143">
        <v>29.2</v>
      </c>
      <c r="DV143">
        <v>22.381900000000002</v>
      </c>
      <c r="DW143">
        <v>61.822400000000002</v>
      </c>
      <c r="DX143">
        <v>37.0473</v>
      </c>
      <c r="DY143">
        <v>1</v>
      </c>
      <c r="DZ143">
        <v>-9.1069600000000001E-2</v>
      </c>
      <c r="EA143">
        <v>-2.6495100000000001E-2</v>
      </c>
      <c r="EB143">
        <v>20.1892</v>
      </c>
      <c r="EC143">
        <v>5.2408000000000001</v>
      </c>
      <c r="ED143">
        <v>12.039899999999999</v>
      </c>
      <c r="EE143">
        <v>5.0160999999999998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1.8689199999999999</v>
      </c>
      <c r="EL143">
        <v>1.8646199999999999</v>
      </c>
      <c r="EM143">
        <v>1.8692</v>
      </c>
      <c r="EN143">
        <v>1.86727</v>
      </c>
      <c r="EO143">
        <v>1.8633999999999999</v>
      </c>
      <c r="EP143">
        <v>1.86453</v>
      </c>
      <c r="EQ143">
        <v>1.8701399999999999</v>
      </c>
      <c r="ER143">
        <v>1.86947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-0.307</v>
      </c>
      <c r="FG143">
        <v>0.31</v>
      </c>
      <c r="FH143">
        <v>0.1121710645629533</v>
      </c>
      <c r="FI143">
        <v>-6.1462078757559423E-4</v>
      </c>
      <c r="FJ143">
        <v>-1.8861989874597051E-7</v>
      </c>
      <c r="FK143">
        <v>1.1980462299894961E-10</v>
      </c>
      <c r="FL143">
        <v>0.30996499999999833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31.6</v>
      </c>
      <c r="FU143">
        <v>31.5</v>
      </c>
      <c r="FV143">
        <v>1.7785599999999999</v>
      </c>
      <c r="FW143">
        <v>2.5805699999999998</v>
      </c>
      <c r="FX143">
        <v>1.5490699999999999</v>
      </c>
      <c r="FY143">
        <v>2.3278799999999999</v>
      </c>
      <c r="FZ143">
        <v>1.50146</v>
      </c>
      <c r="GA143">
        <v>2.36084</v>
      </c>
      <c r="GB143">
        <v>33.963900000000002</v>
      </c>
      <c r="GC143">
        <v>23.982399999999998</v>
      </c>
      <c r="GD143">
        <v>19</v>
      </c>
      <c r="GE143">
        <v>284.11200000000002</v>
      </c>
      <c r="GF143">
        <v>591.375</v>
      </c>
      <c r="GG143">
        <v>24.487200000000001</v>
      </c>
      <c r="GH143">
        <v>26.246500000000001</v>
      </c>
      <c r="GI143">
        <v>29.9999</v>
      </c>
      <c r="GJ143">
        <v>26.3858</v>
      </c>
      <c r="GK143">
        <v>26.374300000000002</v>
      </c>
      <c r="GL143">
        <v>35.552700000000002</v>
      </c>
      <c r="GM143">
        <v>49.750599999999999</v>
      </c>
      <c r="GN143">
        <v>80.9101</v>
      </c>
      <c r="GO143">
        <v>24.4937</v>
      </c>
      <c r="GP143">
        <v>800</v>
      </c>
      <c r="GQ143">
        <v>12.204800000000001</v>
      </c>
      <c r="GR143">
        <v>99.755700000000004</v>
      </c>
      <c r="GS143">
        <v>99.611599999999996</v>
      </c>
    </row>
    <row r="144" spans="1:201" x14ac:dyDescent="0.25">
      <c r="A144">
        <v>128</v>
      </c>
      <c r="B144">
        <v>1690228085.5</v>
      </c>
      <c r="C144">
        <v>1515.900000095367</v>
      </c>
      <c r="D144" t="s">
        <v>587</v>
      </c>
      <c r="E144" t="s">
        <v>588</v>
      </c>
      <c r="F144" t="s">
        <v>330</v>
      </c>
      <c r="H144">
        <v>1690228085.5</v>
      </c>
      <c r="I144">
        <f t="shared" si="30"/>
        <v>1.0713650775493139E-3</v>
      </c>
      <c r="J144">
        <f t="shared" si="31"/>
        <v>1.071365077549314</v>
      </c>
      <c r="K144">
        <f t="shared" si="32"/>
        <v>16.952487855844872</v>
      </c>
      <c r="L144">
        <f t="shared" si="33"/>
        <v>610.02599999999995</v>
      </c>
      <c r="M144">
        <f t="shared" si="34"/>
        <v>196.45135378713687</v>
      </c>
      <c r="N144">
        <f t="shared" si="35"/>
        <v>19.481593555712973</v>
      </c>
      <c r="O144">
        <f t="shared" si="36"/>
        <v>60.494765555520004</v>
      </c>
      <c r="P144">
        <f t="shared" si="37"/>
        <v>6.827931253731942E-2</v>
      </c>
      <c r="Q144">
        <f t="shared" si="38"/>
        <v>2.1312723426106013</v>
      </c>
      <c r="R144">
        <f t="shared" si="39"/>
        <v>6.7086957314221346E-2</v>
      </c>
      <c r="S144">
        <f t="shared" si="40"/>
        <v>4.203474234065642E-2</v>
      </c>
      <c r="T144">
        <f t="shared" si="41"/>
        <v>276.11639677800002</v>
      </c>
      <c r="U144">
        <f t="shared" si="42"/>
        <v>28.289791401012746</v>
      </c>
      <c r="V144">
        <f t="shared" si="43"/>
        <v>28.289791401012746</v>
      </c>
      <c r="W144">
        <f t="shared" si="44"/>
        <v>3.8594235239688692</v>
      </c>
      <c r="X144">
        <f t="shared" si="45"/>
        <v>66.980587485310508</v>
      </c>
      <c r="Y144">
        <f t="shared" si="46"/>
        <v>2.3251213409280003</v>
      </c>
      <c r="Z144">
        <f t="shared" si="47"/>
        <v>3.4713361411437633</v>
      </c>
      <c r="AA144">
        <f t="shared" si="48"/>
        <v>1.534302183040869</v>
      </c>
      <c r="AB144">
        <f t="shared" si="49"/>
        <v>-47.247199919924739</v>
      </c>
      <c r="AC144">
        <f t="shared" si="50"/>
        <v>-207.9241412126519</v>
      </c>
      <c r="AD144">
        <f t="shared" si="51"/>
        <v>-21.135660417940468</v>
      </c>
      <c r="AE144">
        <f t="shared" si="52"/>
        <v>-0.19060477251710495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52497.104372048307</v>
      </c>
      <c r="AK144">
        <f t="shared" si="56"/>
        <v>1800</v>
      </c>
      <c r="AL144">
        <f t="shared" si="57"/>
        <v>1499.1125328000001</v>
      </c>
      <c r="AM144">
        <f t="shared" si="58"/>
        <v>0.83284029600000009</v>
      </c>
      <c r="AN144">
        <f t="shared" si="59"/>
        <v>0.15339799821000002</v>
      </c>
      <c r="AO144">
        <v>32.4</v>
      </c>
      <c r="AP144">
        <v>0.5</v>
      </c>
      <c r="AQ144" t="s">
        <v>331</v>
      </c>
      <c r="AR144">
        <v>2</v>
      </c>
      <c r="AS144">
        <v>1690228085.5</v>
      </c>
      <c r="AT144">
        <v>610.02599999999995</v>
      </c>
      <c r="AU144">
        <v>799.98199999999997</v>
      </c>
      <c r="AV144">
        <v>23.446400000000001</v>
      </c>
      <c r="AW144">
        <v>12.158200000000001</v>
      </c>
      <c r="AX144">
        <v>610.33199999999999</v>
      </c>
      <c r="AY144">
        <v>23.136399999999998</v>
      </c>
      <c r="AZ144">
        <v>300.29899999999998</v>
      </c>
      <c r="BA144">
        <v>99.067400000000006</v>
      </c>
      <c r="BB144">
        <v>0.10012</v>
      </c>
      <c r="BC144">
        <v>26.4802</v>
      </c>
      <c r="BD144">
        <v>26.989899999999999</v>
      </c>
      <c r="BE144">
        <v>28.1416</v>
      </c>
      <c r="BF144">
        <v>0</v>
      </c>
      <c r="BG144">
        <v>0</v>
      </c>
      <c r="BH144">
        <v>10004.4</v>
      </c>
      <c r="BI144">
        <v>1071.95</v>
      </c>
      <c r="BJ144">
        <v>1.23766</v>
      </c>
      <c r="BK144">
        <v>-189.95599999999999</v>
      </c>
      <c r="BL144">
        <v>624.67200000000003</v>
      </c>
      <c r="BM144">
        <v>809.82799999999997</v>
      </c>
      <c r="BN144">
        <v>11.2882</v>
      </c>
      <c r="BO144">
        <v>799.98199999999997</v>
      </c>
      <c r="BP144">
        <v>12.158200000000001</v>
      </c>
      <c r="BQ144">
        <v>2.3227699999999998</v>
      </c>
      <c r="BR144">
        <v>1.20448</v>
      </c>
      <c r="BS144">
        <v>19.8352</v>
      </c>
      <c r="BT144">
        <v>9.6570699999999992</v>
      </c>
      <c r="BU144">
        <v>1800</v>
      </c>
      <c r="BV144">
        <v>0.90998900000000005</v>
      </c>
      <c r="BW144">
        <v>3.3992700000000001E-2</v>
      </c>
      <c r="BX144">
        <v>2.2008300000000001E-2</v>
      </c>
      <c r="BY144">
        <v>3.4009900000000003E-2</v>
      </c>
      <c r="BZ144">
        <v>26</v>
      </c>
      <c r="CA144">
        <v>33528.199999999997</v>
      </c>
      <c r="CB144">
        <v>1690226183.5999999</v>
      </c>
      <c r="CC144" t="s">
        <v>332</v>
      </c>
      <c r="CD144">
        <v>1690226177.5999999</v>
      </c>
      <c r="CE144">
        <v>1690226183.5999999</v>
      </c>
      <c r="CF144">
        <v>12</v>
      </c>
      <c r="CG144">
        <v>-0.255</v>
      </c>
      <c r="CH144">
        <v>0.113</v>
      </c>
      <c r="CI144">
        <v>-0.439</v>
      </c>
      <c r="CJ144">
        <v>0.31</v>
      </c>
      <c r="CK144">
        <v>800</v>
      </c>
      <c r="CL144">
        <v>25</v>
      </c>
      <c r="CM144">
        <v>0.02</v>
      </c>
      <c r="CN144">
        <v>0.03</v>
      </c>
      <c r="CO144">
        <v>-187.81655000000001</v>
      </c>
      <c r="CP144">
        <v>-12.89833395872378</v>
      </c>
      <c r="CQ144">
        <v>1.2419947654881629</v>
      </c>
      <c r="CR144">
        <v>-1</v>
      </c>
      <c r="CS144">
        <v>11.130637500000001</v>
      </c>
      <c r="CT144">
        <v>1.044278048780483</v>
      </c>
      <c r="CU144">
        <v>0.10147128827284101</v>
      </c>
      <c r="CV144">
        <v>-1</v>
      </c>
      <c r="CW144">
        <v>0</v>
      </c>
      <c r="CX144">
        <v>0</v>
      </c>
      <c r="CY144" t="s">
        <v>333</v>
      </c>
      <c r="CZ144">
        <v>2.3649200000000001</v>
      </c>
      <c r="DA144">
        <v>2.7139199999999999</v>
      </c>
      <c r="DB144">
        <v>0.121907</v>
      </c>
      <c r="DC144">
        <v>0.14618300000000001</v>
      </c>
      <c r="DD144">
        <v>0.111605</v>
      </c>
      <c r="DE144">
        <v>6.8613099999999996E-2</v>
      </c>
      <c r="DF144">
        <v>32067.5</v>
      </c>
      <c r="DG144">
        <v>27527.3</v>
      </c>
      <c r="DH144">
        <v>31176.6</v>
      </c>
      <c r="DI144">
        <v>28092.7</v>
      </c>
      <c r="DJ144">
        <v>37603.599999999999</v>
      </c>
      <c r="DK144">
        <v>37210.1</v>
      </c>
      <c r="DL144">
        <v>44369.9</v>
      </c>
      <c r="DM144">
        <v>42582.9</v>
      </c>
      <c r="DN144">
        <v>1.47973</v>
      </c>
      <c r="DO144">
        <v>2.04555</v>
      </c>
      <c r="DP144">
        <v>0.102557</v>
      </c>
      <c r="DQ144">
        <v>0.18710299999999999</v>
      </c>
      <c r="DR144">
        <v>25.310400000000001</v>
      </c>
      <c r="DS144">
        <v>25.079699999999999</v>
      </c>
      <c r="DT144">
        <v>54.3</v>
      </c>
      <c r="DU144">
        <v>29.2</v>
      </c>
      <c r="DV144">
        <v>22.302600000000002</v>
      </c>
      <c r="DW144">
        <v>61.842399999999998</v>
      </c>
      <c r="DX144">
        <v>35.7973</v>
      </c>
      <c r="DY144">
        <v>1</v>
      </c>
      <c r="DZ144">
        <v>-9.1219499999999995E-2</v>
      </c>
      <c r="EA144">
        <v>3.9310999999999999E-2</v>
      </c>
      <c r="EB144">
        <v>20.189399999999999</v>
      </c>
      <c r="EC144">
        <v>5.2409499999999998</v>
      </c>
      <c r="ED144">
        <v>12.039899999999999</v>
      </c>
      <c r="EE144">
        <v>5.01675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1.8646400000000001</v>
      </c>
      <c r="EM144">
        <v>1.8692</v>
      </c>
      <c r="EN144">
        <v>1.8672299999999999</v>
      </c>
      <c r="EO144">
        <v>1.8633999999999999</v>
      </c>
      <c r="EP144">
        <v>1.8644799999999999</v>
      </c>
      <c r="EQ144">
        <v>1.8701399999999999</v>
      </c>
      <c r="ER144">
        <v>1.8694200000000001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-0.30599999999999999</v>
      </c>
      <c r="FG144">
        <v>0.31</v>
      </c>
      <c r="FH144">
        <v>0.1121710645629533</v>
      </c>
      <c r="FI144">
        <v>-6.1462078757559423E-4</v>
      </c>
      <c r="FJ144">
        <v>-1.8861989874597051E-7</v>
      </c>
      <c r="FK144">
        <v>1.1980462299894961E-10</v>
      </c>
      <c r="FL144">
        <v>0.30996499999999833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31.8</v>
      </c>
      <c r="FU144">
        <v>31.7</v>
      </c>
      <c r="FV144">
        <v>1.7785599999999999</v>
      </c>
      <c r="FW144">
        <v>2.5830099999999998</v>
      </c>
      <c r="FX144">
        <v>1.5490699999999999</v>
      </c>
      <c r="FY144">
        <v>2.3278799999999999</v>
      </c>
      <c r="FZ144">
        <v>1.50146</v>
      </c>
      <c r="GA144">
        <v>2.3913600000000002</v>
      </c>
      <c r="GB144">
        <v>33.941299999999998</v>
      </c>
      <c r="GC144">
        <v>23.991199999999999</v>
      </c>
      <c r="GD144">
        <v>19</v>
      </c>
      <c r="GE144">
        <v>284.53199999999998</v>
      </c>
      <c r="GF144">
        <v>591.16200000000003</v>
      </c>
      <c r="GG144">
        <v>24.5184</v>
      </c>
      <c r="GH144">
        <v>26.244299999999999</v>
      </c>
      <c r="GI144">
        <v>30.0001</v>
      </c>
      <c r="GJ144">
        <v>26.383900000000001</v>
      </c>
      <c r="GK144">
        <v>26.3721</v>
      </c>
      <c r="GL144">
        <v>35.550899999999999</v>
      </c>
      <c r="GM144">
        <v>49.750599999999999</v>
      </c>
      <c r="GN144">
        <v>80.163700000000006</v>
      </c>
      <c r="GO144">
        <v>24.5154</v>
      </c>
      <c r="GP144">
        <v>800</v>
      </c>
      <c r="GQ144">
        <v>12.066800000000001</v>
      </c>
      <c r="GR144">
        <v>99.755300000000005</v>
      </c>
      <c r="GS144">
        <v>99.612499999999997</v>
      </c>
    </row>
    <row r="145" spans="1:201" x14ac:dyDescent="0.25">
      <c r="A145">
        <v>129</v>
      </c>
      <c r="B145">
        <v>1690228095.5</v>
      </c>
      <c r="C145">
        <v>1525.900000095367</v>
      </c>
      <c r="D145" t="s">
        <v>589</v>
      </c>
      <c r="E145" t="s">
        <v>590</v>
      </c>
      <c r="F145" t="s">
        <v>330</v>
      </c>
      <c r="H145">
        <v>1690228095.5</v>
      </c>
      <c r="I145">
        <f t="shared" ref="I145:I208" si="60">(J145)/1000</f>
        <v>1.0821900270543943E-3</v>
      </c>
      <c r="J145">
        <f t="shared" ref="J145:J208" si="61">1000*AZ145*AH145*(AV145-AW145)/(100*AO145*(1000-AH145*AV145))</f>
        <v>1.0821900270543943</v>
      </c>
      <c r="K145">
        <f t="shared" ref="K145:K208" si="62">AZ145*AH145*(AU145-AT145*(1000-AH145*AW145)/(1000-AH145*AV145))/(100*AO145)</f>
        <v>17.134602252623594</v>
      </c>
      <c r="L145">
        <f t="shared" ref="L145:L208" si="63">AT145 - IF(AH145&gt;1, K145*AO145*100/(AJ145*BH145), 0)</f>
        <v>607.88300000000004</v>
      </c>
      <c r="M145">
        <f t="shared" ref="M145:M208" si="64">((S145-I145/2)*L145-K145)/(S145+I145/2)</f>
        <v>193.87590527470758</v>
      </c>
      <c r="N145">
        <f t="shared" ref="N145:N208" si="65">M145*(BA145+BB145)/1000</f>
        <v>19.226219197296331</v>
      </c>
      <c r="O145">
        <f t="shared" ref="O145:O208" si="66">(AT145 - IF(AH145&gt;1, K145*AO145*100/(AJ145*BH145), 0))*(BA145+BB145)/1000</f>
        <v>60.282332596977803</v>
      </c>
      <c r="P145">
        <f t="shared" ref="P145:P208" si="67">2/((1/R145-1/Q145)+SIGN(R145)*SQRT((1/R145-1/Q145)*(1/R145-1/Q145) + 4*AP145/((AP145+1)*(AP145+1))*(2*1/R145*1/Q145-1/Q145*1/Q145)))</f>
        <v>6.8939896525945163E-2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2.1306908443054482</v>
      </c>
      <c r="R145">
        <f t="shared" ref="R145:R208" si="69">I145*(1000-(1000*0.61365*EXP(17.502*V145/(240.97+V145))/(BA145+BB145)+AV145)/2)/(1000*0.61365*EXP(17.502*V145/(240.97+V145))/(BA145+BB145)-AV145)</f>
        <v>6.7724254229115863E-2</v>
      </c>
      <c r="S145">
        <f t="shared" ref="S145:S208" si="70">1/((AP145+1)/(P145/1.6)+1/(Q145/1.37)) + AP145/((AP145+1)/(P145/1.6) + AP145/(Q145/1.37))</f>
        <v>4.2435094041023629E-2</v>
      </c>
      <c r="T145">
        <f t="shared" ref="T145:T208" si="71">(AK145*AN145)</f>
        <v>276.11621830800004</v>
      </c>
      <c r="U145">
        <f t="shared" ref="U145:U208" si="72">(BC145+(T145+2*0.95*0.0000000567*(((BC145+$B$7)+273)^4-(BC145+273)^4)-44100*I145)/(1.84*29.3*Q145+8*0.95*0.0000000567*(BC145+273)^3))</f>
        <v>28.293351798493031</v>
      </c>
      <c r="V145">
        <f t="shared" ref="V145:V208" si="73">($C$7*BD145+$D$7*BE145+$E$7*U145)</f>
        <v>28.293351798493031</v>
      </c>
      <c r="W145">
        <f t="shared" ref="W145:W208" si="74">0.61365*EXP(17.502*V145/(240.97+V145))</f>
        <v>3.8602229307046101</v>
      </c>
      <c r="X145">
        <f t="shared" ref="X145:X208" si="75">(Y145/Z145*100)</f>
        <v>66.950009471303233</v>
      </c>
      <c r="Y145">
        <f t="shared" ref="Y145:Y208" si="76">AV145*(BA145+BB145)/1000</f>
        <v>2.32500554251832</v>
      </c>
      <c r="Z145">
        <f t="shared" ref="Z145:Z208" si="77">0.61365*EXP(17.502*BC145/(240.97+BC145))</f>
        <v>3.4727486386912116</v>
      </c>
      <c r="AA145">
        <f t="shared" ref="AA145:AA208" si="78">(W145-AV145*(BA145+BB145)/1000)</f>
        <v>1.5352173881862901</v>
      </c>
      <c r="AB145">
        <f t="shared" ref="AB145:AB208" si="79">(-I145*44100)</f>
        <v>-47.724580193098788</v>
      </c>
      <c r="AC145">
        <f t="shared" ref="AC145:AC208" si="80">2*29.3*Q145*0.92*(BC145-V145)</f>
        <v>-207.48379150928355</v>
      </c>
      <c r="AD145">
        <f t="shared" ref="AD145:AD208" si="81">2*0.95*0.0000000567*(((BC145+$B$7)+273)^4-(V145+273)^4)</f>
        <v>-21.097755827526587</v>
      </c>
      <c r="AE145">
        <f t="shared" ref="AE145:AE208" si="82">T145+AD145+AB145+AC145</f>
        <v>-0.18990922190886295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52470.789997024265</v>
      </c>
      <c r="AK145">
        <f t="shared" ref="AK145:AK208" si="86">$B$11*BI145+$C$11*BJ145+$D$11*BU145</f>
        <v>1800</v>
      </c>
      <c r="AL145">
        <f t="shared" ref="AL145:AL208" si="87">AK145*AM145</f>
        <v>1499.1130997999999</v>
      </c>
      <c r="AM145">
        <f t="shared" ref="AM145:AM208" si="88">($B$11*$D$9+$C$11*$D$9+$D$11*(BV145*$E$9+BW145*$F$9+BX145*$G$9+BY145*$H$9))/($B$11+$C$11+$D$11)</f>
        <v>0.83284061099999995</v>
      </c>
      <c r="AN145">
        <f t="shared" ref="AN145:AN208" si="89">($B$11*$K$9+$C$11*$K$9+$D$11*(BV145*$L$9+BW145*$M$9+BX145*$N$9+BY145*$O$9))/($B$11+$C$11+$D$11)</f>
        <v>0.15339789906000001</v>
      </c>
      <c r="AO145">
        <v>32.4</v>
      </c>
      <c r="AP145">
        <v>0.5</v>
      </c>
      <c r="AQ145" t="s">
        <v>331</v>
      </c>
      <c r="AR145">
        <v>2</v>
      </c>
      <c r="AS145">
        <v>1690228095.5</v>
      </c>
      <c r="AT145">
        <v>607.88300000000004</v>
      </c>
      <c r="AU145">
        <v>799.98699999999997</v>
      </c>
      <c r="AV145">
        <v>23.4452</v>
      </c>
      <c r="AW145">
        <v>12.034800000000001</v>
      </c>
      <c r="AX145">
        <v>608.18799999999999</v>
      </c>
      <c r="AY145">
        <v>23.135300000000001</v>
      </c>
      <c r="AZ145">
        <v>300.08499999999998</v>
      </c>
      <c r="BA145">
        <v>99.067700000000002</v>
      </c>
      <c r="BB145">
        <v>9.9956600000000007E-2</v>
      </c>
      <c r="BC145">
        <v>26.487100000000002</v>
      </c>
      <c r="BD145">
        <v>26.984400000000001</v>
      </c>
      <c r="BE145">
        <v>28.141100000000002</v>
      </c>
      <c r="BF145">
        <v>0</v>
      </c>
      <c r="BG145">
        <v>0</v>
      </c>
      <c r="BH145">
        <v>9999.3799999999992</v>
      </c>
      <c r="BI145">
        <v>1071.7</v>
      </c>
      <c r="BJ145">
        <v>1.28952</v>
      </c>
      <c r="BK145">
        <v>-192.10300000000001</v>
      </c>
      <c r="BL145">
        <v>622.47799999999995</v>
      </c>
      <c r="BM145">
        <v>809.73199999999997</v>
      </c>
      <c r="BN145">
        <v>11.410399999999999</v>
      </c>
      <c r="BO145">
        <v>799.98699999999997</v>
      </c>
      <c r="BP145">
        <v>12.034800000000001</v>
      </c>
      <c r="BQ145">
        <v>2.32267</v>
      </c>
      <c r="BR145">
        <v>1.1922600000000001</v>
      </c>
      <c r="BS145">
        <v>19.834499999999998</v>
      </c>
      <c r="BT145">
        <v>9.5052400000000006</v>
      </c>
      <c r="BU145">
        <v>1800</v>
      </c>
      <c r="BV145">
        <v>0.90999300000000005</v>
      </c>
      <c r="BW145">
        <v>3.3991199999999999E-2</v>
      </c>
      <c r="BX145">
        <v>2.20073E-2</v>
      </c>
      <c r="BY145">
        <v>3.4008400000000001E-2</v>
      </c>
      <c r="BZ145">
        <v>26</v>
      </c>
      <c r="CA145">
        <v>33528.300000000003</v>
      </c>
      <c r="CB145">
        <v>1690226183.5999999</v>
      </c>
      <c r="CC145" t="s">
        <v>332</v>
      </c>
      <c r="CD145">
        <v>1690226177.5999999</v>
      </c>
      <c r="CE145">
        <v>1690226183.5999999</v>
      </c>
      <c r="CF145">
        <v>12</v>
      </c>
      <c r="CG145">
        <v>-0.255</v>
      </c>
      <c r="CH145">
        <v>0.113</v>
      </c>
      <c r="CI145">
        <v>-0.439</v>
      </c>
      <c r="CJ145">
        <v>0.31</v>
      </c>
      <c r="CK145">
        <v>800</v>
      </c>
      <c r="CL145">
        <v>25</v>
      </c>
      <c r="CM145">
        <v>0.02</v>
      </c>
      <c r="CN145">
        <v>0.03</v>
      </c>
      <c r="CO145">
        <v>-189.96775609756099</v>
      </c>
      <c r="CP145">
        <v>-12.323351916376319</v>
      </c>
      <c r="CQ145">
        <v>1.2162217540998621</v>
      </c>
      <c r="CR145">
        <v>-1</v>
      </c>
      <c r="CS145">
        <v>11.278841463414629</v>
      </c>
      <c r="CT145">
        <v>0.73132264808364478</v>
      </c>
      <c r="CU145">
        <v>7.4228247123511726E-2</v>
      </c>
      <c r="CV145">
        <v>-1</v>
      </c>
      <c r="CW145">
        <v>0</v>
      </c>
      <c r="CX145">
        <v>0</v>
      </c>
      <c r="CY145" t="s">
        <v>333</v>
      </c>
      <c r="CZ145">
        <v>2.3642400000000001</v>
      </c>
      <c r="DA145">
        <v>2.7137500000000001</v>
      </c>
      <c r="DB145">
        <v>0.12160700000000001</v>
      </c>
      <c r="DC145">
        <v>0.14618200000000001</v>
      </c>
      <c r="DD145">
        <v>0.11160100000000001</v>
      </c>
      <c r="DE145">
        <v>6.8089200000000002E-2</v>
      </c>
      <c r="DF145">
        <v>32078.7</v>
      </c>
      <c r="DG145">
        <v>27527</v>
      </c>
      <c r="DH145">
        <v>31176.9</v>
      </c>
      <c r="DI145">
        <v>28092.5</v>
      </c>
      <c r="DJ145">
        <v>37604.300000000003</v>
      </c>
      <c r="DK145">
        <v>37230.800000000003</v>
      </c>
      <c r="DL145">
        <v>44370.6</v>
      </c>
      <c r="DM145">
        <v>42582.7</v>
      </c>
      <c r="DN145">
        <v>1.4790700000000001</v>
      </c>
      <c r="DO145">
        <v>2.0453999999999999</v>
      </c>
      <c r="DP145">
        <v>0.101756</v>
      </c>
      <c r="DQ145">
        <v>0.186469</v>
      </c>
      <c r="DR145">
        <v>25.318000000000001</v>
      </c>
      <c r="DS145">
        <v>25.089600000000001</v>
      </c>
      <c r="DT145">
        <v>54.1</v>
      </c>
      <c r="DU145">
        <v>29.2</v>
      </c>
      <c r="DV145">
        <v>22.220600000000001</v>
      </c>
      <c r="DW145">
        <v>61.742400000000004</v>
      </c>
      <c r="DX145">
        <v>36.362200000000001</v>
      </c>
      <c r="DY145">
        <v>1</v>
      </c>
      <c r="DZ145">
        <v>-9.1422799999999999E-2</v>
      </c>
      <c r="EA145">
        <v>1.4210199999999999E-2</v>
      </c>
      <c r="EB145">
        <v>20.189399999999999</v>
      </c>
      <c r="EC145">
        <v>5.2411000000000003</v>
      </c>
      <c r="ED145">
        <v>12.039899999999999</v>
      </c>
      <c r="EE145">
        <v>5.01675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1.86463</v>
      </c>
      <c r="EM145">
        <v>1.8692</v>
      </c>
      <c r="EN145">
        <v>1.8672299999999999</v>
      </c>
      <c r="EO145">
        <v>1.8633999999999999</v>
      </c>
      <c r="EP145">
        <v>1.8645</v>
      </c>
      <c r="EQ145">
        <v>1.87012</v>
      </c>
      <c r="ER145">
        <v>1.8694200000000001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-0.30499999999999999</v>
      </c>
      <c r="FG145">
        <v>0.30990000000000001</v>
      </c>
      <c r="FH145">
        <v>0.1121710645629533</v>
      </c>
      <c r="FI145">
        <v>-6.1462078757559423E-4</v>
      </c>
      <c r="FJ145">
        <v>-1.8861989874597051E-7</v>
      </c>
      <c r="FK145">
        <v>1.1980462299894961E-10</v>
      </c>
      <c r="FL145">
        <v>0.30996499999999833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32</v>
      </c>
      <c r="FU145">
        <v>31.9</v>
      </c>
      <c r="FV145">
        <v>1.7773399999999999</v>
      </c>
      <c r="FW145">
        <v>2.5903299999999998</v>
      </c>
      <c r="FX145">
        <v>1.5490699999999999</v>
      </c>
      <c r="FY145">
        <v>2.3278799999999999</v>
      </c>
      <c r="FZ145">
        <v>1.50146</v>
      </c>
      <c r="GA145">
        <v>2.3034699999999999</v>
      </c>
      <c r="GB145">
        <v>33.963900000000002</v>
      </c>
      <c r="GC145">
        <v>23.973700000000001</v>
      </c>
      <c r="GD145">
        <v>19</v>
      </c>
      <c r="GE145">
        <v>284.25299999999999</v>
      </c>
      <c r="GF145">
        <v>591.01199999999994</v>
      </c>
      <c r="GG145">
        <v>24.546900000000001</v>
      </c>
      <c r="GH145">
        <v>26.244299999999999</v>
      </c>
      <c r="GI145">
        <v>30</v>
      </c>
      <c r="GJ145">
        <v>26.383600000000001</v>
      </c>
      <c r="GK145">
        <v>26.369900000000001</v>
      </c>
      <c r="GL145">
        <v>35.545499999999997</v>
      </c>
      <c r="GM145">
        <v>50.056600000000003</v>
      </c>
      <c r="GN145">
        <v>79.787199999999999</v>
      </c>
      <c r="GO145">
        <v>24.548300000000001</v>
      </c>
      <c r="GP145">
        <v>800</v>
      </c>
      <c r="GQ145">
        <v>11.9278</v>
      </c>
      <c r="GR145">
        <v>99.756600000000006</v>
      </c>
      <c r="GS145">
        <v>99.611800000000002</v>
      </c>
    </row>
    <row r="146" spans="1:201" x14ac:dyDescent="0.25">
      <c r="A146">
        <v>130</v>
      </c>
      <c r="B146">
        <v>1690228105.5</v>
      </c>
      <c r="C146">
        <v>1535.900000095367</v>
      </c>
      <c r="D146" t="s">
        <v>591</v>
      </c>
      <c r="E146" t="s">
        <v>592</v>
      </c>
      <c r="F146" t="s">
        <v>330</v>
      </c>
      <c r="H146">
        <v>1690228105.5</v>
      </c>
      <c r="I146">
        <f t="shared" si="60"/>
        <v>1.0962082002047226E-3</v>
      </c>
      <c r="J146">
        <f t="shared" si="61"/>
        <v>1.0962082002047226</v>
      </c>
      <c r="K146">
        <f t="shared" si="62"/>
        <v>17.346849490219039</v>
      </c>
      <c r="L146">
        <f t="shared" si="63"/>
        <v>605.779</v>
      </c>
      <c r="M146">
        <f t="shared" si="64"/>
        <v>191.79632968292282</v>
      </c>
      <c r="N146">
        <f t="shared" si="65"/>
        <v>19.019793762240763</v>
      </c>
      <c r="O146">
        <f t="shared" si="66"/>
        <v>60.073055957557905</v>
      </c>
      <c r="P146">
        <f t="shared" si="67"/>
        <v>6.9803055003256245E-2</v>
      </c>
      <c r="Q146">
        <f t="shared" si="68"/>
        <v>2.1308912114763467</v>
      </c>
      <c r="R146">
        <f t="shared" si="69"/>
        <v>6.8557192798166758E-2</v>
      </c>
      <c r="S146">
        <f t="shared" si="70"/>
        <v>4.2958329112997989E-2</v>
      </c>
      <c r="T146">
        <f t="shared" si="71"/>
        <v>276.11622608399995</v>
      </c>
      <c r="U146">
        <f t="shared" si="72"/>
        <v>28.29899121967944</v>
      </c>
      <c r="V146">
        <f t="shared" si="73"/>
        <v>28.29899121967944</v>
      </c>
      <c r="W146">
        <f t="shared" si="74"/>
        <v>3.8614894307745189</v>
      </c>
      <c r="X146">
        <f t="shared" si="75"/>
        <v>66.916507163704907</v>
      </c>
      <c r="Y146">
        <f t="shared" si="76"/>
        <v>2.3253084914148499</v>
      </c>
      <c r="Z146">
        <f t="shared" si="77"/>
        <v>3.4749400259732663</v>
      </c>
      <c r="AA146">
        <f t="shared" si="78"/>
        <v>1.536180939359669</v>
      </c>
      <c r="AB146">
        <f t="shared" si="79"/>
        <v>-48.342781629028266</v>
      </c>
      <c r="AC146">
        <f t="shared" si="80"/>
        <v>-206.92194062743911</v>
      </c>
      <c r="AD146">
        <f t="shared" si="81"/>
        <v>-21.04036174413087</v>
      </c>
      <c r="AE146">
        <f t="shared" si="82"/>
        <v>-0.18885791659832307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52477.545183611037</v>
      </c>
      <c r="AK146">
        <f t="shared" si="86"/>
        <v>1800</v>
      </c>
      <c r="AL146">
        <f t="shared" si="87"/>
        <v>1499.1128243999999</v>
      </c>
      <c r="AM146">
        <f t="shared" si="88"/>
        <v>0.83284045799999995</v>
      </c>
      <c r="AN146">
        <f t="shared" si="89"/>
        <v>0.15339790337999998</v>
      </c>
      <c r="AO146">
        <v>32.4</v>
      </c>
      <c r="AP146">
        <v>0.5</v>
      </c>
      <c r="AQ146" t="s">
        <v>331</v>
      </c>
      <c r="AR146">
        <v>2</v>
      </c>
      <c r="AS146">
        <v>1690228105.5</v>
      </c>
      <c r="AT146">
        <v>605.779</v>
      </c>
      <c r="AU146">
        <v>800.17499999999995</v>
      </c>
      <c r="AV146">
        <v>23.448499999999999</v>
      </c>
      <c r="AW146">
        <v>11.894299999999999</v>
      </c>
      <c r="AX146">
        <v>606.08199999999999</v>
      </c>
      <c r="AY146">
        <v>23.138500000000001</v>
      </c>
      <c r="AZ146">
        <v>300.18799999999999</v>
      </c>
      <c r="BA146">
        <v>99.066699999999997</v>
      </c>
      <c r="BB146">
        <v>9.9920099999999998E-2</v>
      </c>
      <c r="BC146">
        <v>26.497800000000002</v>
      </c>
      <c r="BD146">
        <v>27.025200000000002</v>
      </c>
      <c r="BE146">
        <v>28.137599999999999</v>
      </c>
      <c r="BF146">
        <v>0</v>
      </c>
      <c r="BG146">
        <v>0</v>
      </c>
      <c r="BH146">
        <v>10001.200000000001</v>
      </c>
      <c r="BI146">
        <v>1071.6300000000001</v>
      </c>
      <c r="BJ146">
        <v>1.2334499999999999</v>
      </c>
      <c r="BK146">
        <v>-194.39599999999999</v>
      </c>
      <c r="BL146">
        <v>620.32399999999996</v>
      </c>
      <c r="BM146">
        <v>809.80700000000002</v>
      </c>
      <c r="BN146">
        <v>11.5542</v>
      </c>
      <c r="BO146">
        <v>800.17499999999995</v>
      </c>
      <c r="BP146">
        <v>11.894299999999999</v>
      </c>
      <c r="BQ146">
        <v>2.3229600000000001</v>
      </c>
      <c r="BR146">
        <v>1.1783300000000001</v>
      </c>
      <c r="BS146">
        <v>19.836500000000001</v>
      </c>
      <c r="BT146">
        <v>9.3305299999999995</v>
      </c>
      <c r="BU146">
        <v>1800</v>
      </c>
      <c r="BV146">
        <v>0.90999200000000002</v>
      </c>
      <c r="BW146">
        <v>3.3994799999999999E-2</v>
      </c>
      <c r="BX146">
        <v>2.2006399999999999E-2</v>
      </c>
      <c r="BY146">
        <v>3.4007000000000003E-2</v>
      </c>
      <c r="BZ146">
        <v>26</v>
      </c>
      <c r="CA146">
        <v>33528.199999999997</v>
      </c>
      <c r="CB146">
        <v>1690226183.5999999</v>
      </c>
      <c r="CC146" t="s">
        <v>332</v>
      </c>
      <c r="CD146">
        <v>1690226177.5999999</v>
      </c>
      <c r="CE146">
        <v>1690226183.5999999</v>
      </c>
      <c r="CF146">
        <v>12</v>
      </c>
      <c r="CG146">
        <v>-0.255</v>
      </c>
      <c r="CH146">
        <v>0.113</v>
      </c>
      <c r="CI146">
        <v>-0.439</v>
      </c>
      <c r="CJ146">
        <v>0.31</v>
      </c>
      <c r="CK146">
        <v>800</v>
      </c>
      <c r="CL146">
        <v>25</v>
      </c>
      <c r="CM146">
        <v>0.02</v>
      </c>
      <c r="CN146">
        <v>0.03</v>
      </c>
      <c r="CO146">
        <v>-191.8460731707317</v>
      </c>
      <c r="CP146">
        <v>-12.97668292682908</v>
      </c>
      <c r="CQ146">
        <v>1.2801743286440379</v>
      </c>
      <c r="CR146">
        <v>-1</v>
      </c>
      <c r="CS146">
        <v>11.388917073170729</v>
      </c>
      <c r="CT146">
        <v>0.78906480836240334</v>
      </c>
      <c r="CU146">
        <v>7.8435068384041587E-2</v>
      </c>
      <c r="CV146">
        <v>-1</v>
      </c>
      <c r="CW146">
        <v>0</v>
      </c>
      <c r="CX146">
        <v>0</v>
      </c>
      <c r="CY146" t="s">
        <v>333</v>
      </c>
      <c r="CZ146">
        <v>2.3645700000000001</v>
      </c>
      <c r="DA146">
        <v>2.7137099999999998</v>
      </c>
      <c r="DB146">
        <v>0.12131</v>
      </c>
      <c r="DC146">
        <v>0.146201</v>
      </c>
      <c r="DD146">
        <v>0.111612</v>
      </c>
      <c r="DE146">
        <v>6.7489499999999994E-2</v>
      </c>
      <c r="DF146">
        <v>32089.4</v>
      </c>
      <c r="DG146">
        <v>27526.5</v>
      </c>
      <c r="DH146">
        <v>31176.7</v>
      </c>
      <c r="DI146">
        <v>28092.6</v>
      </c>
      <c r="DJ146">
        <v>37603.599999999999</v>
      </c>
      <c r="DK146">
        <v>37255</v>
      </c>
      <c r="DL146">
        <v>44370.2</v>
      </c>
      <c r="DM146">
        <v>42582.9</v>
      </c>
      <c r="DN146">
        <v>1.4792700000000001</v>
      </c>
      <c r="DO146">
        <v>2.0449799999999998</v>
      </c>
      <c r="DP146">
        <v>0.103768</v>
      </c>
      <c r="DQ146">
        <v>0.18563099999999999</v>
      </c>
      <c r="DR146">
        <v>25.325900000000001</v>
      </c>
      <c r="DS146">
        <v>25.099799999999998</v>
      </c>
      <c r="DT146">
        <v>53.9</v>
      </c>
      <c r="DU146">
        <v>29.2</v>
      </c>
      <c r="DV146">
        <v>22.1342</v>
      </c>
      <c r="DW146">
        <v>61.612400000000001</v>
      </c>
      <c r="DX146">
        <v>36.670699999999997</v>
      </c>
      <c r="DY146">
        <v>1</v>
      </c>
      <c r="DZ146">
        <v>-9.0647900000000003E-2</v>
      </c>
      <c r="EA146">
        <v>0.41133199999999998</v>
      </c>
      <c r="EB146">
        <v>20.188700000000001</v>
      </c>
      <c r="EC146">
        <v>5.2411000000000003</v>
      </c>
      <c r="ED146">
        <v>12.039899999999999</v>
      </c>
      <c r="EE146">
        <v>5.0166000000000004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1.86463</v>
      </c>
      <c r="EM146">
        <v>1.8691899999999999</v>
      </c>
      <c r="EN146">
        <v>1.8672299999999999</v>
      </c>
      <c r="EO146">
        <v>1.8633999999999999</v>
      </c>
      <c r="EP146">
        <v>1.8645099999999999</v>
      </c>
      <c r="EQ146">
        <v>1.8701300000000001</v>
      </c>
      <c r="ER146">
        <v>1.8694500000000001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-0.30299999999999999</v>
      </c>
      <c r="FG146">
        <v>0.31</v>
      </c>
      <c r="FH146">
        <v>0.1121710645629533</v>
      </c>
      <c r="FI146">
        <v>-6.1462078757559423E-4</v>
      </c>
      <c r="FJ146">
        <v>-1.8861989874597051E-7</v>
      </c>
      <c r="FK146">
        <v>1.1980462299894961E-10</v>
      </c>
      <c r="FL146">
        <v>0.30996499999999833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32.1</v>
      </c>
      <c r="FU146">
        <v>32</v>
      </c>
      <c r="FV146">
        <v>1.7773399999999999</v>
      </c>
      <c r="FW146">
        <v>2.5878899999999998</v>
      </c>
      <c r="FX146">
        <v>1.5490699999999999</v>
      </c>
      <c r="FY146">
        <v>2.3278799999999999</v>
      </c>
      <c r="FZ146">
        <v>1.50146</v>
      </c>
      <c r="GA146">
        <v>2.2961399999999998</v>
      </c>
      <c r="GB146">
        <v>33.963900000000002</v>
      </c>
      <c r="GC146">
        <v>23.982399999999998</v>
      </c>
      <c r="GD146">
        <v>19</v>
      </c>
      <c r="GE146">
        <v>284.32799999999997</v>
      </c>
      <c r="GF146">
        <v>590.63699999999994</v>
      </c>
      <c r="GG146">
        <v>24.524100000000001</v>
      </c>
      <c r="GH146">
        <v>26.243500000000001</v>
      </c>
      <c r="GI146">
        <v>30.000800000000002</v>
      </c>
      <c r="GJ146">
        <v>26.381399999999999</v>
      </c>
      <c r="GK146">
        <v>26.368099999999998</v>
      </c>
      <c r="GL146">
        <v>35.5379</v>
      </c>
      <c r="GM146">
        <v>50.328299999999999</v>
      </c>
      <c r="GN146">
        <v>79.03</v>
      </c>
      <c r="GO146">
        <v>24.475000000000001</v>
      </c>
      <c r="GP146">
        <v>800</v>
      </c>
      <c r="GQ146">
        <v>11.886100000000001</v>
      </c>
      <c r="GR146">
        <v>99.755899999999997</v>
      </c>
      <c r="GS146">
        <v>99.612300000000005</v>
      </c>
    </row>
    <row r="147" spans="1:201" x14ac:dyDescent="0.25">
      <c r="A147">
        <v>131</v>
      </c>
      <c r="B147">
        <v>1690228115.5</v>
      </c>
      <c r="C147">
        <v>1545.900000095367</v>
      </c>
      <c r="D147" t="s">
        <v>593</v>
      </c>
      <c r="E147" t="s">
        <v>594</v>
      </c>
      <c r="F147" t="s">
        <v>330</v>
      </c>
      <c r="H147">
        <v>1690228115.5</v>
      </c>
      <c r="I147">
        <f t="shared" si="60"/>
        <v>1.1013484327374206E-3</v>
      </c>
      <c r="J147">
        <f t="shared" si="61"/>
        <v>1.1013484327374206</v>
      </c>
      <c r="K147">
        <f t="shared" si="62"/>
        <v>17.524744891249863</v>
      </c>
      <c r="L147">
        <f t="shared" si="63"/>
        <v>603.68399999999997</v>
      </c>
      <c r="M147">
        <f t="shared" si="64"/>
        <v>188.15447828759679</v>
      </c>
      <c r="N147">
        <f t="shared" si="65"/>
        <v>18.658616348429565</v>
      </c>
      <c r="O147">
        <f t="shared" si="66"/>
        <v>59.865214233531603</v>
      </c>
      <c r="P147">
        <f t="shared" si="67"/>
        <v>7.0241002470208536E-2</v>
      </c>
      <c r="Q147">
        <f t="shared" si="68"/>
        <v>2.1314015603441647</v>
      </c>
      <c r="R147">
        <f t="shared" si="69"/>
        <v>6.8979906480371306E-2</v>
      </c>
      <c r="S147">
        <f t="shared" si="70"/>
        <v>4.3223860126122449E-2</v>
      </c>
      <c r="T147">
        <f t="shared" si="71"/>
        <v>276.1161381</v>
      </c>
      <c r="U147">
        <f t="shared" si="72"/>
        <v>28.284526812473057</v>
      </c>
      <c r="V147">
        <f t="shared" si="73"/>
        <v>28.284526812473057</v>
      </c>
      <c r="W147">
        <f t="shared" si="74"/>
        <v>3.8582417443061168</v>
      </c>
      <c r="X147">
        <f t="shared" si="75"/>
        <v>66.935536703336439</v>
      </c>
      <c r="Y147">
        <f t="shared" si="76"/>
        <v>2.3242836720011799</v>
      </c>
      <c r="Z147">
        <f t="shared" si="77"/>
        <v>3.4724210583424284</v>
      </c>
      <c r="AA147">
        <f t="shared" si="78"/>
        <v>1.5339580723049369</v>
      </c>
      <c r="AB147">
        <f t="shared" si="79"/>
        <v>-48.569465883720248</v>
      </c>
      <c r="AC147">
        <f t="shared" si="80"/>
        <v>-206.7227905082695</v>
      </c>
      <c r="AD147">
        <f t="shared" si="81"/>
        <v>-21.012269663365434</v>
      </c>
      <c r="AE147">
        <f t="shared" si="82"/>
        <v>-0.18838795535518216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52501.736993423838</v>
      </c>
      <c r="AK147">
        <f t="shared" si="86"/>
        <v>1800</v>
      </c>
      <c r="AL147">
        <f t="shared" si="87"/>
        <v>1499.1085169999999</v>
      </c>
      <c r="AM147">
        <f t="shared" si="88"/>
        <v>0.83283806499999991</v>
      </c>
      <c r="AN147">
        <f t="shared" si="89"/>
        <v>0.15339785450000001</v>
      </c>
      <c r="AO147">
        <v>32.4</v>
      </c>
      <c r="AP147">
        <v>0.5</v>
      </c>
      <c r="AQ147" t="s">
        <v>331</v>
      </c>
      <c r="AR147">
        <v>2</v>
      </c>
      <c r="AS147">
        <v>1690228115.5</v>
      </c>
      <c r="AT147">
        <v>603.68399999999997</v>
      </c>
      <c r="AU147">
        <v>799.98</v>
      </c>
      <c r="AV147">
        <v>23.438199999999998</v>
      </c>
      <c r="AW147">
        <v>11.8314</v>
      </c>
      <c r="AX147">
        <v>603.98599999999999</v>
      </c>
      <c r="AY147">
        <v>23.128299999999999</v>
      </c>
      <c r="AZ147">
        <v>300.23200000000003</v>
      </c>
      <c r="BA147">
        <v>99.066500000000005</v>
      </c>
      <c r="BB147">
        <v>9.9974900000000005E-2</v>
      </c>
      <c r="BC147">
        <v>26.485499999999998</v>
      </c>
      <c r="BD147">
        <v>27.0351</v>
      </c>
      <c r="BE147">
        <v>28.1387</v>
      </c>
      <c r="BF147">
        <v>0</v>
      </c>
      <c r="BG147">
        <v>0</v>
      </c>
      <c r="BH147">
        <v>10005.6</v>
      </c>
      <c r="BI147">
        <v>1071.53</v>
      </c>
      <c r="BJ147">
        <v>1.28952</v>
      </c>
      <c r="BK147">
        <v>-196.29499999999999</v>
      </c>
      <c r="BL147">
        <v>618.173</v>
      </c>
      <c r="BM147">
        <v>809.55799999999999</v>
      </c>
      <c r="BN147">
        <v>11.6068</v>
      </c>
      <c r="BO147">
        <v>799.98</v>
      </c>
      <c r="BP147">
        <v>11.8314</v>
      </c>
      <c r="BQ147">
        <v>2.3219400000000001</v>
      </c>
      <c r="BR147">
        <v>1.1720999999999999</v>
      </c>
      <c r="BS147">
        <v>19.829499999999999</v>
      </c>
      <c r="BT147">
        <v>9.2518200000000004</v>
      </c>
      <c r="BU147">
        <v>1800</v>
      </c>
      <c r="BV147">
        <v>0.90998000000000001</v>
      </c>
      <c r="BW147">
        <v>3.4008400000000001E-2</v>
      </c>
      <c r="BX147">
        <v>2.2005500000000001E-2</v>
      </c>
      <c r="BY147">
        <v>3.4005599999999997E-2</v>
      </c>
      <c r="BZ147">
        <v>26</v>
      </c>
      <c r="CA147">
        <v>33528.199999999997</v>
      </c>
      <c r="CB147">
        <v>1690226183.5999999</v>
      </c>
      <c r="CC147" t="s">
        <v>332</v>
      </c>
      <c r="CD147">
        <v>1690226177.5999999</v>
      </c>
      <c r="CE147">
        <v>1690226183.5999999</v>
      </c>
      <c r="CF147">
        <v>12</v>
      </c>
      <c r="CG147">
        <v>-0.255</v>
      </c>
      <c r="CH147">
        <v>0.113</v>
      </c>
      <c r="CI147">
        <v>-0.439</v>
      </c>
      <c r="CJ147">
        <v>0.31</v>
      </c>
      <c r="CK147">
        <v>800</v>
      </c>
      <c r="CL147">
        <v>25</v>
      </c>
      <c r="CM147">
        <v>0.02</v>
      </c>
      <c r="CN147">
        <v>0.03</v>
      </c>
      <c r="CO147">
        <v>-193.97102439024391</v>
      </c>
      <c r="CP147">
        <v>-12.710655052264601</v>
      </c>
      <c r="CQ147">
        <v>1.254621553819139</v>
      </c>
      <c r="CR147">
        <v>-1</v>
      </c>
      <c r="CS147">
        <v>11.51371951219512</v>
      </c>
      <c r="CT147">
        <v>0.68505993031356627</v>
      </c>
      <c r="CU147">
        <v>6.8836558705358028E-2</v>
      </c>
      <c r="CV147">
        <v>-1</v>
      </c>
      <c r="CW147">
        <v>0</v>
      </c>
      <c r="CX147">
        <v>0</v>
      </c>
      <c r="CY147" t="s">
        <v>333</v>
      </c>
      <c r="CZ147">
        <v>2.3647200000000002</v>
      </c>
      <c r="DA147">
        <v>2.7137699999999998</v>
      </c>
      <c r="DB147">
        <v>0.121015</v>
      </c>
      <c r="DC147">
        <v>0.146176</v>
      </c>
      <c r="DD147">
        <v>0.111578</v>
      </c>
      <c r="DE147">
        <v>6.7220500000000002E-2</v>
      </c>
      <c r="DF147">
        <v>32100.5</v>
      </c>
      <c r="DG147">
        <v>27527.1</v>
      </c>
      <c r="DH147">
        <v>31177.1</v>
      </c>
      <c r="DI147">
        <v>28092.400000000001</v>
      </c>
      <c r="DJ147">
        <v>37605.4</v>
      </c>
      <c r="DK147">
        <v>37265.199999999997</v>
      </c>
      <c r="DL147">
        <v>44370.7</v>
      </c>
      <c r="DM147">
        <v>42582.2</v>
      </c>
      <c r="DN147">
        <v>1.4795199999999999</v>
      </c>
      <c r="DO147">
        <v>2.04495</v>
      </c>
      <c r="DP147">
        <v>0.103842</v>
      </c>
      <c r="DQ147">
        <v>0.18512799999999999</v>
      </c>
      <c r="DR147">
        <v>25.334599999999998</v>
      </c>
      <c r="DS147">
        <v>25.109200000000001</v>
      </c>
      <c r="DT147">
        <v>53.7</v>
      </c>
      <c r="DU147">
        <v>29.2</v>
      </c>
      <c r="DV147">
        <v>22.053899999999999</v>
      </c>
      <c r="DW147">
        <v>61.602400000000003</v>
      </c>
      <c r="DX147">
        <v>35.649000000000001</v>
      </c>
      <c r="DY147">
        <v>1</v>
      </c>
      <c r="DZ147">
        <v>-9.0360800000000005E-2</v>
      </c>
      <c r="EA147">
        <v>0.38012800000000002</v>
      </c>
      <c r="EB147">
        <v>20.187999999999999</v>
      </c>
      <c r="EC147">
        <v>5.2408000000000001</v>
      </c>
      <c r="ED147">
        <v>12.039899999999999</v>
      </c>
      <c r="EE147">
        <v>5.0166500000000003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1.86463</v>
      </c>
      <c r="EM147">
        <v>1.8691899999999999</v>
      </c>
      <c r="EN147">
        <v>1.8672299999999999</v>
      </c>
      <c r="EO147">
        <v>1.8633999999999999</v>
      </c>
      <c r="EP147">
        <v>1.8645099999999999</v>
      </c>
      <c r="EQ147">
        <v>1.8701300000000001</v>
      </c>
      <c r="ER147">
        <v>1.86944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-0.30199999999999999</v>
      </c>
      <c r="FG147">
        <v>0.30990000000000001</v>
      </c>
      <c r="FH147">
        <v>0.1121710645629533</v>
      </c>
      <c r="FI147">
        <v>-6.1462078757559423E-4</v>
      </c>
      <c r="FJ147">
        <v>-1.8861989874597051E-7</v>
      </c>
      <c r="FK147">
        <v>1.1980462299894961E-10</v>
      </c>
      <c r="FL147">
        <v>0.30996499999999833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32.299999999999997</v>
      </c>
      <c r="FU147">
        <v>32.200000000000003</v>
      </c>
      <c r="FV147">
        <v>1.7773399999999999</v>
      </c>
      <c r="FW147">
        <v>2.5866699999999998</v>
      </c>
      <c r="FX147">
        <v>1.5490699999999999</v>
      </c>
      <c r="FY147">
        <v>2.3278799999999999</v>
      </c>
      <c r="FZ147">
        <v>1.50146</v>
      </c>
      <c r="GA147">
        <v>2.3767100000000001</v>
      </c>
      <c r="GB147">
        <v>33.963900000000002</v>
      </c>
      <c r="GC147">
        <v>23.982399999999998</v>
      </c>
      <c r="GD147">
        <v>19</v>
      </c>
      <c r="GE147">
        <v>284.42500000000001</v>
      </c>
      <c r="GF147">
        <v>590.61099999999999</v>
      </c>
      <c r="GG147">
        <v>24.417999999999999</v>
      </c>
      <c r="GH147">
        <v>26.242100000000001</v>
      </c>
      <c r="GI147">
        <v>30.000299999999999</v>
      </c>
      <c r="GJ147">
        <v>26.379200000000001</v>
      </c>
      <c r="GK147">
        <v>26.367699999999999</v>
      </c>
      <c r="GL147">
        <v>35.542700000000004</v>
      </c>
      <c r="GM147">
        <v>50.328299999999999</v>
      </c>
      <c r="GN147">
        <v>78.634500000000003</v>
      </c>
      <c r="GO147">
        <v>24.411000000000001</v>
      </c>
      <c r="GP147">
        <v>800</v>
      </c>
      <c r="GQ147">
        <v>11.7737</v>
      </c>
      <c r="GR147">
        <v>99.757000000000005</v>
      </c>
      <c r="GS147">
        <v>99.611000000000004</v>
      </c>
    </row>
    <row r="148" spans="1:201" x14ac:dyDescent="0.25">
      <c r="A148">
        <v>132</v>
      </c>
      <c r="B148">
        <v>1690228125.5</v>
      </c>
      <c r="C148">
        <v>1555.900000095367</v>
      </c>
      <c r="D148" t="s">
        <v>595</v>
      </c>
      <c r="E148" t="s">
        <v>596</v>
      </c>
      <c r="F148" t="s">
        <v>330</v>
      </c>
      <c r="H148">
        <v>1690228125.5</v>
      </c>
      <c r="I148">
        <f t="shared" si="60"/>
        <v>1.1089497508040276E-3</v>
      </c>
      <c r="J148">
        <f t="shared" si="61"/>
        <v>1.1089497508040276</v>
      </c>
      <c r="K148">
        <f t="shared" si="62"/>
        <v>17.707871906200257</v>
      </c>
      <c r="L148">
        <f t="shared" si="63"/>
        <v>601.65700000000004</v>
      </c>
      <c r="M148">
        <f t="shared" si="64"/>
        <v>185.23884139314944</v>
      </c>
      <c r="N148">
        <f t="shared" si="65"/>
        <v>18.369368938059729</v>
      </c>
      <c r="O148">
        <f t="shared" si="66"/>
        <v>59.66383358935721</v>
      </c>
      <c r="P148">
        <f t="shared" si="67"/>
        <v>7.0813367279265974E-2</v>
      </c>
      <c r="Q148">
        <f t="shared" si="68"/>
        <v>2.1359066282609742</v>
      </c>
      <c r="R148">
        <f t="shared" si="69"/>
        <v>6.9534487743423828E-2</v>
      </c>
      <c r="S148">
        <f t="shared" si="70"/>
        <v>4.3572033315053882E-2</v>
      </c>
      <c r="T148">
        <f t="shared" si="71"/>
        <v>276.11619431399998</v>
      </c>
      <c r="U148">
        <f t="shared" si="72"/>
        <v>28.275938209185114</v>
      </c>
      <c r="V148">
        <f t="shared" si="73"/>
        <v>28.275938209185114</v>
      </c>
      <c r="W148">
        <f t="shared" si="74"/>
        <v>3.8563144769302808</v>
      </c>
      <c r="X148">
        <f t="shared" si="75"/>
        <v>66.939561373980112</v>
      </c>
      <c r="Y148">
        <f t="shared" si="76"/>
        <v>2.3240808353434801</v>
      </c>
      <c r="Z148">
        <f t="shared" si="77"/>
        <v>3.4719092680623191</v>
      </c>
      <c r="AA148">
        <f t="shared" si="78"/>
        <v>1.5322336415868008</v>
      </c>
      <c r="AB148">
        <f t="shared" si="79"/>
        <v>-48.904684010457615</v>
      </c>
      <c r="AC148">
        <f t="shared" si="80"/>
        <v>-206.45862439604025</v>
      </c>
      <c r="AD148">
        <f t="shared" si="81"/>
        <v>-20.939995213945981</v>
      </c>
      <c r="AE148">
        <f t="shared" si="82"/>
        <v>-0.18710930644385826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52696.991128989925</v>
      </c>
      <c r="AK148">
        <f t="shared" si="86"/>
        <v>1800</v>
      </c>
      <c r="AL148">
        <f t="shared" si="87"/>
        <v>1499.1097643999999</v>
      </c>
      <c r="AM148">
        <f t="shared" si="88"/>
        <v>0.83283875799999996</v>
      </c>
      <c r="AN148">
        <f t="shared" si="89"/>
        <v>0.15339788572999999</v>
      </c>
      <c r="AO148">
        <v>32.4</v>
      </c>
      <c r="AP148">
        <v>0.5</v>
      </c>
      <c r="AQ148" t="s">
        <v>331</v>
      </c>
      <c r="AR148">
        <v>2</v>
      </c>
      <c r="AS148">
        <v>1690228125.5</v>
      </c>
      <c r="AT148">
        <v>601.65700000000004</v>
      </c>
      <c r="AU148">
        <v>800.04899999999998</v>
      </c>
      <c r="AV148">
        <v>23.436299999999999</v>
      </c>
      <c r="AW148">
        <v>11.7438</v>
      </c>
      <c r="AX148">
        <v>601.95699999999999</v>
      </c>
      <c r="AY148">
        <v>23.126300000000001</v>
      </c>
      <c r="AZ148">
        <v>300.089</v>
      </c>
      <c r="BA148">
        <v>99.065899999999999</v>
      </c>
      <c r="BB148">
        <v>9.9959599999999996E-2</v>
      </c>
      <c r="BC148">
        <v>26.483000000000001</v>
      </c>
      <c r="BD148">
        <v>27.0459</v>
      </c>
      <c r="BE148">
        <v>28.114599999999999</v>
      </c>
      <c r="BF148">
        <v>0</v>
      </c>
      <c r="BG148">
        <v>0</v>
      </c>
      <c r="BH148">
        <v>10044.4</v>
      </c>
      <c r="BI148">
        <v>1071.5999999999999</v>
      </c>
      <c r="BJ148">
        <v>1.29793</v>
      </c>
      <c r="BK148">
        <v>-198.392</v>
      </c>
      <c r="BL148">
        <v>616.096</v>
      </c>
      <c r="BM148">
        <v>809.55600000000004</v>
      </c>
      <c r="BN148">
        <v>11.692500000000001</v>
      </c>
      <c r="BO148">
        <v>800.04899999999998</v>
      </c>
      <c r="BP148">
        <v>11.7438</v>
      </c>
      <c r="BQ148">
        <v>2.3217400000000001</v>
      </c>
      <c r="BR148">
        <v>1.1634100000000001</v>
      </c>
      <c r="BS148">
        <v>19.827999999999999</v>
      </c>
      <c r="BT148">
        <v>9.1414100000000005</v>
      </c>
      <c r="BU148">
        <v>1800</v>
      </c>
      <c r="BV148">
        <v>0.90998299999999999</v>
      </c>
      <c r="BW148">
        <v>3.4007500000000003E-2</v>
      </c>
      <c r="BX148">
        <v>2.2004900000000001E-2</v>
      </c>
      <c r="BY148">
        <v>3.4004699999999999E-2</v>
      </c>
      <c r="BZ148">
        <v>26</v>
      </c>
      <c r="CA148">
        <v>33528.300000000003</v>
      </c>
      <c r="CB148">
        <v>1690226183.5999999</v>
      </c>
      <c r="CC148" t="s">
        <v>332</v>
      </c>
      <c r="CD148">
        <v>1690226177.5999999</v>
      </c>
      <c r="CE148">
        <v>1690226183.5999999</v>
      </c>
      <c r="CF148">
        <v>12</v>
      </c>
      <c r="CG148">
        <v>-0.255</v>
      </c>
      <c r="CH148">
        <v>0.113</v>
      </c>
      <c r="CI148">
        <v>-0.439</v>
      </c>
      <c r="CJ148">
        <v>0.31</v>
      </c>
      <c r="CK148">
        <v>800</v>
      </c>
      <c r="CL148">
        <v>25</v>
      </c>
      <c r="CM148">
        <v>0.02</v>
      </c>
      <c r="CN148">
        <v>0.03</v>
      </c>
      <c r="CO148">
        <v>-196.210825</v>
      </c>
      <c r="CP148">
        <v>-12.516078799249209</v>
      </c>
      <c r="CQ148">
        <v>1.2065605639067609</v>
      </c>
      <c r="CR148">
        <v>-1</v>
      </c>
      <c r="CS148">
        <v>11.6099975</v>
      </c>
      <c r="CT148">
        <v>0.39390506566603178</v>
      </c>
      <c r="CU148">
        <v>3.8131715719988191E-2</v>
      </c>
      <c r="CV148">
        <v>-1</v>
      </c>
      <c r="CW148">
        <v>0</v>
      </c>
      <c r="CX148">
        <v>0</v>
      </c>
      <c r="CY148" t="s">
        <v>333</v>
      </c>
      <c r="CZ148">
        <v>2.3642400000000001</v>
      </c>
      <c r="DA148">
        <v>2.7137899999999999</v>
      </c>
      <c r="DB148">
        <v>0.120728</v>
      </c>
      <c r="DC148">
        <v>0.14618300000000001</v>
      </c>
      <c r="DD148">
        <v>0.11157</v>
      </c>
      <c r="DE148">
        <v>6.6844600000000004E-2</v>
      </c>
      <c r="DF148">
        <v>32111</v>
      </c>
      <c r="DG148">
        <v>27527.599999999999</v>
      </c>
      <c r="DH148">
        <v>31177.1</v>
      </c>
      <c r="DI148">
        <v>28093</v>
      </c>
      <c r="DJ148">
        <v>37605.5</v>
      </c>
      <c r="DK148">
        <v>37281.300000000003</v>
      </c>
      <c r="DL148">
        <v>44370.6</v>
      </c>
      <c r="DM148">
        <v>42583.4</v>
      </c>
      <c r="DN148">
        <v>1.4796</v>
      </c>
      <c r="DO148">
        <v>2.0447500000000001</v>
      </c>
      <c r="DP148">
        <v>0.103991</v>
      </c>
      <c r="DQ148">
        <v>0.18313499999999999</v>
      </c>
      <c r="DR148">
        <v>25.343</v>
      </c>
      <c r="DS148">
        <v>25.117699999999999</v>
      </c>
      <c r="DT148">
        <v>53.5</v>
      </c>
      <c r="DU148">
        <v>29.2</v>
      </c>
      <c r="DV148">
        <v>21.972300000000001</v>
      </c>
      <c r="DW148">
        <v>61.592399999999998</v>
      </c>
      <c r="DX148">
        <v>36.738799999999998</v>
      </c>
      <c r="DY148">
        <v>1</v>
      </c>
      <c r="DZ148">
        <v>-9.0310000000000001E-2</v>
      </c>
      <c r="EA148">
        <v>0.34049299999999999</v>
      </c>
      <c r="EB148">
        <v>20.188400000000001</v>
      </c>
      <c r="EC148">
        <v>5.2403500000000003</v>
      </c>
      <c r="ED148">
        <v>12.039899999999999</v>
      </c>
      <c r="EE148">
        <v>5.0166500000000003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1.8691899999999999</v>
      </c>
      <c r="EN148">
        <v>1.8672200000000001</v>
      </c>
      <c r="EO148">
        <v>1.8633999999999999</v>
      </c>
      <c r="EP148">
        <v>1.8645099999999999</v>
      </c>
      <c r="EQ148">
        <v>1.8701300000000001</v>
      </c>
      <c r="ER148">
        <v>1.86941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-0.3</v>
      </c>
      <c r="FG148">
        <v>0.31</v>
      </c>
      <c r="FH148">
        <v>0.1121710645629533</v>
      </c>
      <c r="FI148">
        <v>-6.1462078757559423E-4</v>
      </c>
      <c r="FJ148">
        <v>-1.8861989874597051E-7</v>
      </c>
      <c r="FK148">
        <v>1.1980462299894961E-10</v>
      </c>
      <c r="FL148">
        <v>0.30996499999999833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32.5</v>
      </c>
      <c r="FU148">
        <v>32.4</v>
      </c>
      <c r="FV148">
        <v>1.7773399999999999</v>
      </c>
      <c r="FW148">
        <v>2.5891099999999998</v>
      </c>
      <c r="FX148">
        <v>1.5490699999999999</v>
      </c>
      <c r="FY148">
        <v>2.3278799999999999</v>
      </c>
      <c r="FZ148">
        <v>1.50146</v>
      </c>
      <c r="GA148">
        <v>2.2936999999999999</v>
      </c>
      <c r="GB148">
        <v>33.963900000000002</v>
      </c>
      <c r="GC148">
        <v>23.982399999999998</v>
      </c>
      <c r="GD148">
        <v>19</v>
      </c>
      <c r="GE148">
        <v>284.45600000000002</v>
      </c>
      <c r="GF148">
        <v>590.41899999999998</v>
      </c>
      <c r="GG148">
        <v>24.346900000000002</v>
      </c>
      <c r="GH148">
        <v>26.241299999999999</v>
      </c>
      <c r="GI148">
        <v>30.0002</v>
      </c>
      <c r="GJ148">
        <v>26.378900000000002</v>
      </c>
      <c r="GK148">
        <v>26.365400000000001</v>
      </c>
      <c r="GL148">
        <v>35.536900000000003</v>
      </c>
      <c r="GM148">
        <v>50.328299999999999</v>
      </c>
      <c r="GN148">
        <v>77.884900000000002</v>
      </c>
      <c r="GO148">
        <v>24.352699999999999</v>
      </c>
      <c r="GP148">
        <v>800</v>
      </c>
      <c r="GQ148">
        <v>11.660600000000001</v>
      </c>
      <c r="GR148">
        <v>99.756799999999998</v>
      </c>
      <c r="GS148">
        <v>99.613500000000002</v>
      </c>
    </row>
    <row r="149" spans="1:201" x14ac:dyDescent="0.25">
      <c r="A149">
        <v>133</v>
      </c>
      <c r="B149">
        <v>1690228135.5</v>
      </c>
      <c r="C149">
        <v>1565.900000095367</v>
      </c>
      <c r="D149" t="s">
        <v>597</v>
      </c>
      <c r="E149" t="s">
        <v>598</v>
      </c>
      <c r="F149" t="s">
        <v>330</v>
      </c>
      <c r="H149">
        <v>1690228135.5</v>
      </c>
      <c r="I149">
        <f t="shared" si="60"/>
        <v>1.1235887410303972E-3</v>
      </c>
      <c r="J149">
        <f t="shared" si="61"/>
        <v>1.1235887410303973</v>
      </c>
      <c r="K149">
        <f t="shared" si="62"/>
        <v>17.907416007296177</v>
      </c>
      <c r="L149">
        <f t="shared" si="63"/>
        <v>599.51300000000003</v>
      </c>
      <c r="M149">
        <f t="shared" si="64"/>
        <v>184.75144861218803</v>
      </c>
      <c r="N149">
        <f t="shared" si="65"/>
        <v>18.321210508489475</v>
      </c>
      <c r="O149">
        <f t="shared" si="66"/>
        <v>59.451787566939004</v>
      </c>
      <c r="P149">
        <f t="shared" si="67"/>
        <v>7.1915600766126908E-2</v>
      </c>
      <c r="Q149">
        <f t="shared" si="68"/>
        <v>2.1295140575863041</v>
      </c>
      <c r="R149">
        <f t="shared" si="69"/>
        <v>7.0593118722511075E-2</v>
      </c>
      <c r="S149">
        <f t="shared" si="70"/>
        <v>4.4237493321472032E-2</v>
      </c>
      <c r="T149">
        <f t="shared" si="71"/>
        <v>276.1144631282383</v>
      </c>
      <c r="U149">
        <f t="shared" si="72"/>
        <v>28.268118086098426</v>
      </c>
      <c r="V149">
        <f t="shared" si="73"/>
        <v>28.268118086098426</v>
      </c>
      <c r="W149">
        <f t="shared" si="74"/>
        <v>3.8545603856431918</v>
      </c>
      <c r="X149">
        <f t="shared" si="75"/>
        <v>67.006492058910453</v>
      </c>
      <c r="Y149">
        <f t="shared" si="76"/>
        <v>2.3253623635470002</v>
      </c>
      <c r="Z149">
        <f t="shared" si="77"/>
        <v>3.4703538300476904</v>
      </c>
      <c r="AA149">
        <f t="shared" si="78"/>
        <v>1.5291980220961916</v>
      </c>
      <c r="AB149">
        <f t="shared" si="79"/>
        <v>-49.550263479440517</v>
      </c>
      <c r="AC149">
        <f t="shared" si="80"/>
        <v>-205.81544132815782</v>
      </c>
      <c r="AD149">
        <f t="shared" si="81"/>
        <v>-20.935812119477422</v>
      </c>
      <c r="AE149">
        <f t="shared" si="82"/>
        <v>-0.18705379883743944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52422.024316316893</v>
      </c>
      <c r="AK149">
        <f t="shared" si="86"/>
        <v>1799.99</v>
      </c>
      <c r="AL149">
        <f t="shared" si="87"/>
        <v>1499.10158721158</v>
      </c>
      <c r="AM149">
        <f t="shared" si="88"/>
        <v>0.83283884199999991</v>
      </c>
      <c r="AN149">
        <f t="shared" si="89"/>
        <v>0.15339777617</v>
      </c>
      <c r="AO149">
        <v>32.4</v>
      </c>
      <c r="AP149">
        <v>0.5</v>
      </c>
      <c r="AQ149" t="s">
        <v>331</v>
      </c>
      <c r="AR149">
        <v>2</v>
      </c>
      <c r="AS149">
        <v>1690228135.5</v>
      </c>
      <c r="AT149">
        <v>599.51300000000003</v>
      </c>
      <c r="AU149">
        <v>800.04899999999998</v>
      </c>
      <c r="AV149">
        <v>23.449000000000002</v>
      </c>
      <c r="AW149">
        <v>11.606999999999999</v>
      </c>
      <c r="AX149">
        <v>599.81100000000004</v>
      </c>
      <c r="AY149">
        <v>23.138999999999999</v>
      </c>
      <c r="AZ149">
        <v>300.20800000000003</v>
      </c>
      <c r="BA149">
        <v>99.066800000000001</v>
      </c>
      <c r="BB149">
        <v>0.10000299999999999</v>
      </c>
      <c r="BC149">
        <v>26.4754</v>
      </c>
      <c r="BD149">
        <v>27.014500000000002</v>
      </c>
      <c r="BE149">
        <v>28.120899999999999</v>
      </c>
      <c r="BF149">
        <v>0</v>
      </c>
      <c r="BG149">
        <v>0</v>
      </c>
      <c r="BH149">
        <v>9989.3799999999992</v>
      </c>
      <c r="BI149">
        <v>1071.57</v>
      </c>
      <c r="BJ149">
        <v>1.3455900000000001</v>
      </c>
      <c r="BK149">
        <v>-200.536</v>
      </c>
      <c r="BL149">
        <v>613.90899999999999</v>
      </c>
      <c r="BM149">
        <v>809.44399999999996</v>
      </c>
      <c r="BN149">
        <v>11.842000000000001</v>
      </c>
      <c r="BO149">
        <v>800.04899999999998</v>
      </c>
      <c r="BP149">
        <v>11.606999999999999</v>
      </c>
      <c r="BQ149">
        <v>2.3230200000000001</v>
      </c>
      <c r="BR149">
        <v>1.1498699999999999</v>
      </c>
      <c r="BS149">
        <v>19.8369</v>
      </c>
      <c r="BT149">
        <v>8.9678599999999999</v>
      </c>
      <c r="BU149">
        <v>1799.99</v>
      </c>
      <c r="BV149">
        <v>0.90998599999999996</v>
      </c>
      <c r="BW149">
        <v>3.4006300000000003E-2</v>
      </c>
      <c r="BX149">
        <v>2.2004099999999999E-2</v>
      </c>
      <c r="BY149">
        <v>3.4003499999999999E-2</v>
      </c>
      <c r="BZ149">
        <v>26</v>
      </c>
      <c r="CA149">
        <v>33528.199999999997</v>
      </c>
      <c r="CB149">
        <v>1690226183.5999999</v>
      </c>
      <c r="CC149" t="s">
        <v>332</v>
      </c>
      <c r="CD149">
        <v>1690226177.5999999</v>
      </c>
      <c r="CE149">
        <v>1690226183.5999999</v>
      </c>
      <c r="CF149">
        <v>12</v>
      </c>
      <c r="CG149">
        <v>-0.255</v>
      </c>
      <c r="CH149">
        <v>0.113</v>
      </c>
      <c r="CI149">
        <v>-0.439</v>
      </c>
      <c r="CJ149">
        <v>0.31</v>
      </c>
      <c r="CK149">
        <v>800</v>
      </c>
      <c r="CL149">
        <v>25</v>
      </c>
      <c r="CM149">
        <v>0.02</v>
      </c>
      <c r="CN149">
        <v>0.03</v>
      </c>
      <c r="CO149">
        <v>-198.10175609756101</v>
      </c>
      <c r="CP149">
        <v>-12.41082229965116</v>
      </c>
      <c r="CQ149">
        <v>1.2259207944113419</v>
      </c>
      <c r="CR149">
        <v>-1</v>
      </c>
      <c r="CS149">
        <v>11.685046341463419</v>
      </c>
      <c r="CT149">
        <v>0.60983414634147581</v>
      </c>
      <c r="CU149">
        <v>6.2144391649161523E-2</v>
      </c>
      <c r="CV149">
        <v>-1</v>
      </c>
      <c r="CW149">
        <v>0</v>
      </c>
      <c r="CX149">
        <v>0</v>
      </c>
      <c r="CY149" t="s">
        <v>333</v>
      </c>
      <c r="CZ149">
        <v>2.3646400000000001</v>
      </c>
      <c r="DA149">
        <v>2.7137899999999999</v>
      </c>
      <c r="DB149">
        <v>0.12042600000000001</v>
      </c>
      <c r="DC149">
        <v>0.14618200000000001</v>
      </c>
      <c r="DD149">
        <v>0.11161500000000001</v>
      </c>
      <c r="DE149">
        <v>6.6256700000000002E-2</v>
      </c>
      <c r="DF149">
        <v>32122.1</v>
      </c>
      <c r="DG149">
        <v>27527.5</v>
      </c>
      <c r="DH149">
        <v>31177.200000000001</v>
      </c>
      <c r="DI149">
        <v>28093</v>
      </c>
      <c r="DJ149">
        <v>37604.1</v>
      </c>
      <c r="DK149">
        <v>37304.699999999997</v>
      </c>
      <c r="DL149">
        <v>44371.1</v>
      </c>
      <c r="DM149">
        <v>42583.199999999997</v>
      </c>
      <c r="DN149">
        <v>1.4796</v>
      </c>
      <c r="DO149">
        <v>2.0444499999999999</v>
      </c>
      <c r="DP149">
        <v>0.101719</v>
      </c>
      <c r="DQ149">
        <v>0.18309800000000001</v>
      </c>
      <c r="DR149">
        <v>25.348800000000001</v>
      </c>
      <c r="DS149">
        <v>25.124700000000001</v>
      </c>
      <c r="DT149">
        <v>53.3</v>
      </c>
      <c r="DU149">
        <v>29.2</v>
      </c>
      <c r="DV149">
        <v>21.890799999999999</v>
      </c>
      <c r="DW149">
        <v>61.492400000000004</v>
      </c>
      <c r="DX149">
        <v>36.7027</v>
      </c>
      <c r="DY149">
        <v>1</v>
      </c>
      <c r="DZ149">
        <v>-9.0665700000000002E-2</v>
      </c>
      <c r="EA149">
        <v>0.48492600000000002</v>
      </c>
      <c r="EB149">
        <v>20.187999999999999</v>
      </c>
      <c r="EC149">
        <v>5.2398999999999996</v>
      </c>
      <c r="ED149">
        <v>12.039899999999999</v>
      </c>
      <c r="EE149">
        <v>5.0164999999999997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1.8646400000000001</v>
      </c>
      <c r="EM149">
        <v>1.8692</v>
      </c>
      <c r="EN149">
        <v>1.8672200000000001</v>
      </c>
      <c r="EO149">
        <v>1.8633999999999999</v>
      </c>
      <c r="EP149">
        <v>1.86452</v>
      </c>
      <c r="EQ149">
        <v>1.8701399999999999</v>
      </c>
      <c r="ER149">
        <v>1.8694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-0.29799999999999999</v>
      </c>
      <c r="FG149">
        <v>0.31</v>
      </c>
      <c r="FH149">
        <v>0.1121710645629533</v>
      </c>
      <c r="FI149">
        <v>-6.1462078757559423E-4</v>
      </c>
      <c r="FJ149">
        <v>-1.8861989874597051E-7</v>
      </c>
      <c r="FK149">
        <v>1.1980462299894961E-10</v>
      </c>
      <c r="FL149">
        <v>0.30996499999999833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32.6</v>
      </c>
      <c r="FU149">
        <v>32.5</v>
      </c>
      <c r="FV149">
        <v>1.7773399999999999</v>
      </c>
      <c r="FW149">
        <v>2.5878899999999998</v>
      </c>
      <c r="FX149">
        <v>1.5490699999999999</v>
      </c>
      <c r="FY149">
        <v>2.3278799999999999</v>
      </c>
      <c r="FZ149">
        <v>1.50146</v>
      </c>
      <c r="GA149">
        <v>2.31812</v>
      </c>
      <c r="GB149">
        <v>33.963900000000002</v>
      </c>
      <c r="GC149">
        <v>23.982399999999998</v>
      </c>
      <c r="GD149">
        <v>19</v>
      </c>
      <c r="GE149">
        <v>284.447</v>
      </c>
      <c r="GF149">
        <v>590.14400000000001</v>
      </c>
      <c r="GG149">
        <v>24.270499999999998</v>
      </c>
      <c r="GH149">
        <v>26.239899999999999</v>
      </c>
      <c r="GI149">
        <v>30</v>
      </c>
      <c r="GJ149">
        <v>26.376999999999999</v>
      </c>
      <c r="GK149">
        <v>26.363299999999999</v>
      </c>
      <c r="GL149">
        <v>35.535699999999999</v>
      </c>
      <c r="GM149">
        <v>50.598700000000001</v>
      </c>
      <c r="GN149">
        <v>77.514700000000005</v>
      </c>
      <c r="GO149">
        <v>24.2607</v>
      </c>
      <c r="GP149">
        <v>800</v>
      </c>
      <c r="GQ149">
        <v>11.536799999999999</v>
      </c>
      <c r="GR149">
        <v>99.7577</v>
      </c>
      <c r="GS149">
        <v>99.613200000000006</v>
      </c>
    </row>
    <row r="150" spans="1:201" x14ac:dyDescent="0.25">
      <c r="A150">
        <v>134</v>
      </c>
      <c r="B150">
        <v>1690228145.5</v>
      </c>
      <c r="C150">
        <v>1575.900000095367</v>
      </c>
      <c r="D150" t="s">
        <v>599</v>
      </c>
      <c r="E150" t="s">
        <v>600</v>
      </c>
      <c r="F150" t="s">
        <v>330</v>
      </c>
      <c r="H150">
        <v>1690228145.5</v>
      </c>
      <c r="I150">
        <f t="shared" si="60"/>
        <v>1.1309818251785504E-3</v>
      </c>
      <c r="J150">
        <f t="shared" si="61"/>
        <v>1.1309818251785504</v>
      </c>
      <c r="K150">
        <f t="shared" si="62"/>
        <v>18.080343672290706</v>
      </c>
      <c r="L150">
        <f t="shared" si="63"/>
        <v>597.71100000000001</v>
      </c>
      <c r="M150">
        <f t="shared" si="64"/>
        <v>182.44529381797219</v>
      </c>
      <c r="N150">
        <f t="shared" si="65"/>
        <v>18.092653198338095</v>
      </c>
      <c r="O150">
        <f t="shared" si="66"/>
        <v>59.273536793014202</v>
      </c>
      <c r="P150">
        <f t="shared" si="67"/>
        <v>7.2513965178728837E-2</v>
      </c>
      <c r="Q150">
        <f t="shared" si="68"/>
        <v>2.1351950924400653</v>
      </c>
      <c r="R150">
        <f t="shared" si="69"/>
        <v>7.1173111811156778E-2</v>
      </c>
      <c r="S150">
        <f t="shared" si="70"/>
        <v>4.4601600110762259E-2</v>
      </c>
      <c r="T150">
        <f t="shared" si="71"/>
        <v>276.11584061400004</v>
      </c>
      <c r="U150">
        <f t="shared" si="72"/>
        <v>28.253434095617404</v>
      </c>
      <c r="V150">
        <f t="shared" si="73"/>
        <v>28.253434095617404</v>
      </c>
      <c r="W150">
        <f t="shared" si="74"/>
        <v>3.8512685761853604</v>
      </c>
      <c r="X150">
        <f t="shared" si="75"/>
        <v>67.012665493054939</v>
      </c>
      <c r="Y150">
        <f t="shared" si="76"/>
        <v>2.32450725707844</v>
      </c>
      <c r="Z150">
        <f t="shared" si="77"/>
        <v>3.4687580921838537</v>
      </c>
      <c r="AA150">
        <f t="shared" si="78"/>
        <v>1.5267613191069205</v>
      </c>
      <c r="AB150">
        <f t="shared" si="79"/>
        <v>-49.876298490374069</v>
      </c>
      <c r="AC150">
        <f t="shared" si="80"/>
        <v>-205.57207346189386</v>
      </c>
      <c r="AD150">
        <f t="shared" si="81"/>
        <v>-20.853076164021388</v>
      </c>
      <c r="AE150">
        <f t="shared" si="82"/>
        <v>-0.18560750228928669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52668.93413791585</v>
      </c>
      <c r="AK150">
        <f t="shared" si="86"/>
        <v>1800</v>
      </c>
      <c r="AL150">
        <f t="shared" si="87"/>
        <v>1499.1102234000002</v>
      </c>
      <c r="AM150">
        <f t="shared" si="88"/>
        <v>0.83283901300000007</v>
      </c>
      <c r="AN150">
        <f t="shared" si="89"/>
        <v>0.15339768923000002</v>
      </c>
      <c r="AO150">
        <v>32.4</v>
      </c>
      <c r="AP150">
        <v>0.5</v>
      </c>
      <c r="AQ150" t="s">
        <v>331</v>
      </c>
      <c r="AR150">
        <v>2</v>
      </c>
      <c r="AS150">
        <v>1690228145.5</v>
      </c>
      <c r="AT150">
        <v>597.71100000000001</v>
      </c>
      <c r="AU150">
        <v>800.154</v>
      </c>
      <c r="AV150">
        <v>23.440200000000001</v>
      </c>
      <c r="AW150">
        <v>11.519299999999999</v>
      </c>
      <c r="AX150">
        <v>598.00800000000004</v>
      </c>
      <c r="AY150">
        <v>23.130199999999999</v>
      </c>
      <c r="AZ150">
        <v>300.18599999999998</v>
      </c>
      <c r="BA150">
        <v>99.067599999999999</v>
      </c>
      <c r="BB150">
        <v>9.9952200000000005E-2</v>
      </c>
      <c r="BC150">
        <v>26.467600000000001</v>
      </c>
      <c r="BD150">
        <v>27.001899999999999</v>
      </c>
      <c r="BE150">
        <v>28.095300000000002</v>
      </c>
      <c r="BF150">
        <v>0</v>
      </c>
      <c r="BG150">
        <v>0</v>
      </c>
      <c r="BH150">
        <v>10038.1</v>
      </c>
      <c r="BI150">
        <v>1071.58</v>
      </c>
      <c r="BJ150">
        <v>1.31755</v>
      </c>
      <c r="BK150">
        <v>-202.44399999999999</v>
      </c>
      <c r="BL150">
        <v>612.05700000000002</v>
      </c>
      <c r="BM150">
        <v>809.47900000000004</v>
      </c>
      <c r="BN150">
        <v>11.9209</v>
      </c>
      <c r="BO150">
        <v>800.154</v>
      </c>
      <c r="BP150">
        <v>11.519299999999999</v>
      </c>
      <c r="BQ150">
        <v>2.3221699999999998</v>
      </c>
      <c r="BR150">
        <v>1.1411899999999999</v>
      </c>
      <c r="BS150">
        <v>19.831</v>
      </c>
      <c r="BT150">
        <v>8.8556600000000003</v>
      </c>
      <c r="BU150">
        <v>1800</v>
      </c>
      <c r="BV150">
        <v>0.90998900000000005</v>
      </c>
      <c r="BW150">
        <v>3.4005100000000003E-2</v>
      </c>
      <c r="BX150">
        <v>2.2003399999999999E-2</v>
      </c>
      <c r="BY150">
        <v>3.4002299999999999E-2</v>
      </c>
      <c r="BZ150">
        <v>26</v>
      </c>
      <c r="CA150">
        <v>33528.199999999997</v>
      </c>
      <c r="CB150">
        <v>1690226183.5999999</v>
      </c>
      <c r="CC150" t="s">
        <v>332</v>
      </c>
      <c r="CD150">
        <v>1690226177.5999999</v>
      </c>
      <c r="CE150">
        <v>1690226183.5999999</v>
      </c>
      <c r="CF150">
        <v>12</v>
      </c>
      <c r="CG150">
        <v>-0.255</v>
      </c>
      <c r="CH150">
        <v>0.113</v>
      </c>
      <c r="CI150">
        <v>-0.439</v>
      </c>
      <c r="CJ150">
        <v>0.31</v>
      </c>
      <c r="CK150">
        <v>800</v>
      </c>
      <c r="CL150">
        <v>25</v>
      </c>
      <c r="CM150">
        <v>0.02</v>
      </c>
      <c r="CN150">
        <v>0.03</v>
      </c>
      <c r="CO150">
        <v>-200.25380000000001</v>
      </c>
      <c r="CP150">
        <v>-11.75770356472805</v>
      </c>
      <c r="CQ150">
        <v>1.1331748144042031</v>
      </c>
      <c r="CR150">
        <v>-1</v>
      </c>
      <c r="CS150">
        <v>11.81124</v>
      </c>
      <c r="CT150">
        <v>0.784928330206352</v>
      </c>
      <c r="CU150">
        <v>7.740691764952283E-2</v>
      </c>
      <c r="CV150">
        <v>-1</v>
      </c>
      <c r="CW150">
        <v>0</v>
      </c>
      <c r="CX150">
        <v>0</v>
      </c>
      <c r="CY150" t="s">
        <v>333</v>
      </c>
      <c r="CZ150">
        <v>2.36456</v>
      </c>
      <c r="DA150">
        <v>2.7137799999999999</v>
      </c>
      <c r="DB150">
        <v>0.120173</v>
      </c>
      <c r="DC150">
        <v>0.14619399999999999</v>
      </c>
      <c r="DD150">
        <v>0.11158700000000001</v>
      </c>
      <c r="DE150">
        <v>6.5878300000000001E-2</v>
      </c>
      <c r="DF150">
        <v>32131.5</v>
      </c>
      <c r="DG150">
        <v>27527.3</v>
      </c>
      <c r="DH150">
        <v>31177.3</v>
      </c>
      <c r="DI150">
        <v>28093.200000000001</v>
      </c>
      <c r="DJ150">
        <v>37605.199999999997</v>
      </c>
      <c r="DK150">
        <v>37320.1</v>
      </c>
      <c r="DL150">
        <v>44371</v>
      </c>
      <c r="DM150">
        <v>42583.5</v>
      </c>
      <c r="DN150">
        <v>1.47973</v>
      </c>
      <c r="DO150">
        <v>2.0443500000000001</v>
      </c>
      <c r="DP150">
        <v>0.10062</v>
      </c>
      <c r="DQ150">
        <v>0.181086</v>
      </c>
      <c r="DR150">
        <v>25.354199999999999</v>
      </c>
      <c r="DS150">
        <v>25.131900000000002</v>
      </c>
      <c r="DT150">
        <v>53.1</v>
      </c>
      <c r="DU150">
        <v>29.2</v>
      </c>
      <c r="DV150">
        <v>21.805700000000002</v>
      </c>
      <c r="DW150">
        <v>61.482399999999998</v>
      </c>
      <c r="DX150">
        <v>35.7532</v>
      </c>
      <c r="DY150">
        <v>1</v>
      </c>
      <c r="DZ150">
        <v>-9.0886700000000001E-2</v>
      </c>
      <c r="EA150">
        <v>0.38994000000000001</v>
      </c>
      <c r="EB150">
        <v>20.188400000000001</v>
      </c>
      <c r="EC150">
        <v>5.2404999999999999</v>
      </c>
      <c r="ED150">
        <v>12.039899999999999</v>
      </c>
      <c r="EE150">
        <v>5.0167999999999999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1.86463</v>
      </c>
      <c r="EM150">
        <v>1.8692</v>
      </c>
      <c r="EN150">
        <v>1.8672200000000001</v>
      </c>
      <c r="EO150">
        <v>1.8633999999999999</v>
      </c>
      <c r="EP150">
        <v>1.8645099999999999</v>
      </c>
      <c r="EQ150">
        <v>1.8701399999999999</v>
      </c>
      <c r="ER150">
        <v>1.8694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-0.29699999999999999</v>
      </c>
      <c r="FG150">
        <v>0.31</v>
      </c>
      <c r="FH150">
        <v>0.1121710645629533</v>
      </c>
      <c r="FI150">
        <v>-6.1462078757559423E-4</v>
      </c>
      <c r="FJ150">
        <v>-1.8861989874597051E-7</v>
      </c>
      <c r="FK150">
        <v>1.1980462299894961E-10</v>
      </c>
      <c r="FL150">
        <v>0.30996499999999833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32.799999999999997</v>
      </c>
      <c r="FU150">
        <v>32.700000000000003</v>
      </c>
      <c r="FV150">
        <v>1.7773399999999999</v>
      </c>
      <c r="FW150">
        <v>2.5903299999999998</v>
      </c>
      <c r="FX150">
        <v>1.5490699999999999</v>
      </c>
      <c r="FY150">
        <v>2.32666</v>
      </c>
      <c r="FZ150">
        <v>1.50146</v>
      </c>
      <c r="GA150">
        <v>2.3791500000000001</v>
      </c>
      <c r="GB150">
        <v>33.963900000000002</v>
      </c>
      <c r="GC150">
        <v>23.982399999999998</v>
      </c>
      <c r="GD150">
        <v>19</v>
      </c>
      <c r="GE150">
        <v>284.49099999999999</v>
      </c>
      <c r="GF150">
        <v>590.05999999999995</v>
      </c>
      <c r="GG150">
        <v>24.216200000000001</v>
      </c>
      <c r="GH150">
        <v>26.239599999999999</v>
      </c>
      <c r="GI150">
        <v>29.999700000000001</v>
      </c>
      <c r="GJ150">
        <v>26.3748</v>
      </c>
      <c r="GK150">
        <v>26.363299999999999</v>
      </c>
      <c r="GL150">
        <v>35.529400000000003</v>
      </c>
      <c r="GM150">
        <v>50.598700000000001</v>
      </c>
      <c r="GN150">
        <v>76.758300000000006</v>
      </c>
      <c r="GO150">
        <v>24.222799999999999</v>
      </c>
      <c r="GP150">
        <v>800</v>
      </c>
      <c r="GQ150">
        <v>11.4268</v>
      </c>
      <c r="GR150">
        <v>99.757800000000003</v>
      </c>
      <c r="GS150">
        <v>99.614000000000004</v>
      </c>
    </row>
    <row r="151" spans="1:201" x14ac:dyDescent="0.25">
      <c r="A151">
        <v>135</v>
      </c>
      <c r="B151">
        <v>1690228155.5</v>
      </c>
      <c r="C151">
        <v>1585.900000095367</v>
      </c>
      <c r="D151" t="s">
        <v>601</v>
      </c>
      <c r="E151" t="s">
        <v>602</v>
      </c>
      <c r="F151" t="s">
        <v>330</v>
      </c>
      <c r="H151">
        <v>1690228155.5</v>
      </c>
      <c r="I151">
        <f t="shared" si="60"/>
        <v>1.1415855140468191E-3</v>
      </c>
      <c r="J151">
        <f t="shared" si="61"/>
        <v>1.1415855140468192</v>
      </c>
      <c r="K151">
        <f t="shared" si="62"/>
        <v>18.226188536043839</v>
      </c>
      <c r="L151">
        <f t="shared" si="63"/>
        <v>595.83199999999999</v>
      </c>
      <c r="M151">
        <f t="shared" si="64"/>
        <v>181.19007558097564</v>
      </c>
      <c r="N151">
        <f t="shared" si="65"/>
        <v>17.968931261105283</v>
      </c>
      <c r="O151">
        <f t="shared" si="66"/>
        <v>59.089683675208008</v>
      </c>
      <c r="P151">
        <f t="shared" si="67"/>
        <v>7.3221821417359459E-2</v>
      </c>
      <c r="Q151">
        <f t="shared" si="68"/>
        <v>2.12365079136202</v>
      </c>
      <c r="R151">
        <f t="shared" si="69"/>
        <v>7.1847648112277063E-2</v>
      </c>
      <c r="S151">
        <f t="shared" si="70"/>
        <v>4.5026096034528638E-2</v>
      </c>
      <c r="T151">
        <f t="shared" si="71"/>
        <v>276.11572271400001</v>
      </c>
      <c r="U151">
        <f t="shared" si="72"/>
        <v>28.256044540869635</v>
      </c>
      <c r="V151">
        <f t="shared" si="73"/>
        <v>28.256044540869635</v>
      </c>
      <c r="W151">
        <f t="shared" si="74"/>
        <v>3.8518535980608415</v>
      </c>
      <c r="X151">
        <f t="shared" si="75"/>
        <v>67.042231790351593</v>
      </c>
      <c r="Y151">
        <f t="shared" si="76"/>
        <v>2.3251900408459005</v>
      </c>
      <c r="Z151">
        <f t="shared" si="77"/>
        <v>3.4682467733428455</v>
      </c>
      <c r="AA151">
        <f t="shared" si="78"/>
        <v>1.526663557214941</v>
      </c>
      <c r="AB151">
        <f t="shared" si="79"/>
        <v>-50.343921169464721</v>
      </c>
      <c r="AC151">
        <f t="shared" si="80"/>
        <v>-205.04570875152538</v>
      </c>
      <c r="AD151">
        <f t="shared" si="81"/>
        <v>-20.912763116466973</v>
      </c>
      <c r="AE151">
        <f t="shared" si="82"/>
        <v>-0.18667032345706502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52171.307202615448</v>
      </c>
      <c r="AK151">
        <f t="shared" si="86"/>
        <v>1800</v>
      </c>
      <c r="AL151">
        <f t="shared" si="87"/>
        <v>1499.1103763999997</v>
      </c>
      <c r="AM151">
        <f t="shared" si="88"/>
        <v>0.83283909799999989</v>
      </c>
      <c r="AN151">
        <f t="shared" si="89"/>
        <v>0.15339762373000002</v>
      </c>
      <c r="AO151">
        <v>32.4</v>
      </c>
      <c r="AP151">
        <v>0.5</v>
      </c>
      <c r="AQ151" t="s">
        <v>331</v>
      </c>
      <c r="AR151">
        <v>2</v>
      </c>
      <c r="AS151">
        <v>1690228155.5</v>
      </c>
      <c r="AT151">
        <v>595.83199999999999</v>
      </c>
      <c r="AU151">
        <v>799.94200000000001</v>
      </c>
      <c r="AV151">
        <v>23.446100000000001</v>
      </c>
      <c r="AW151">
        <v>11.4107</v>
      </c>
      <c r="AX151">
        <v>596.12699999999995</v>
      </c>
      <c r="AY151">
        <v>23.136099999999999</v>
      </c>
      <c r="AZ151">
        <v>300.11599999999999</v>
      </c>
      <c r="BA151">
        <v>99.071700000000007</v>
      </c>
      <c r="BB151">
        <v>0.100019</v>
      </c>
      <c r="BC151">
        <v>26.4651</v>
      </c>
      <c r="BD151">
        <v>26.978899999999999</v>
      </c>
      <c r="BE151">
        <v>28.104099999999999</v>
      </c>
      <c r="BF151">
        <v>0</v>
      </c>
      <c r="BG151">
        <v>0</v>
      </c>
      <c r="BH151">
        <v>9938.75</v>
      </c>
      <c r="BI151">
        <v>1071.6400000000001</v>
      </c>
      <c r="BJ151">
        <v>1.34138</v>
      </c>
      <c r="BK151">
        <v>-204.11</v>
      </c>
      <c r="BL151">
        <v>610.13699999999994</v>
      </c>
      <c r="BM151">
        <v>809.17499999999995</v>
      </c>
      <c r="BN151">
        <v>12.035399999999999</v>
      </c>
      <c r="BO151">
        <v>799.94200000000001</v>
      </c>
      <c r="BP151">
        <v>11.4107</v>
      </c>
      <c r="BQ151">
        <v>2.3228499999999999</v>
      </c>
      <c r="BR151">
        <v>1.1304799999999999</v>
      </c>
      <c r="BS151">
        <v>19.835699999999999</v>
      </c>
      <c r="BT151">
        <v>8.7161899999999992</v>
      </c>
      <c r="BU151">
        <v>1800</v>
      </c>
      <c r="BV151">
        <v>0.90999099999999999</v>
      </c>
      <c r="BW151">
        <v>3.4004300000000001E-2</v>
      </c>
      <c r="BX151">
        <v>2.2002899999999999E-2</v>
      </c>
      <c r="BY151">
        <v>3.4001499999999997E-2</v>
      </c>
      <c r="BZ151">
        <v>26</v>
      </c>
      <c r="CA151">
        <v>33528.199999999997</v>
      </c>
      <c r="CB151">
        <v>1690226183.5999999</v>
      </c>
      <c r="CC151" t="s">
        <v>332</v>
      </c>
      <c r="CD151">
        <v>1690226177.5999999</v>
      </c>
      <c r="CE151">
        <v>1690226183.5999999</v>
      </c>
      <c r="CF151">
        <v>12</v>
      </c>
      <c r="CG151">
        <v>-0.255</v>
      </c>
      <c r="CH151">
        <v>0.113</v>
      </c>
      <c r="CI151">
        <v>-0.439</v>
      </c>
      <c r="CJ151">
        <v>0.31</v>
      </c>
      <c r="CK151">
        <v>800</v>
      </c>
      <c r="CL151">
        <v>25</v>
      </c>
      <c r="CM151">
        <v>0.02</v>
      </c>
      <c r="CN151">
        <v>0.03</v>
      </c>
      <c r="CO151">
        <v>-202.06702439024389</v>
      </c>
      <c r="CP151">
        <v>-11.409073170731791</v>
      </c>
      <c r="CQ151">
        <v>1.1269299432378621</v>
      </c>
      <c r="CR151">
        <v>-1</v>
      </c>
      <c r="CS151">
        <v>11.9158512195122</v>
      </c>
      <c r="CT151">
        <v>0.55021463414633176</v>
      </c>
      <c r="CU151">
        <v>5.5523935168191693E-2</v>
      </c>
      <c r="CV151">
        <v>-1</v>
      </c>
      <c r="CW151">
        <v>0</v>
      </c>
      <c r="CX151">
        <v>0</v>
      </c>
      <c r="CY151" t="s">
        <v>333</v>
      </c>
      <c r="CZ151">
        <v>2.3643399999999999</v>
      </c>
      <c r="DA151">
        <v>2.7137600000000002</v>
      </c>
      <c r="DB151">
        <v>0.119911</v>
      </c>
      <c r="DC151">
        <v>0.146173</v>
      </c>
      <c r="DD151">
        <v>0.111611</v>
      </c>
      <c r="DE151">
        <v>6.5410800000000005E-2</v>
      </c>
      <c r="DF151">
        <v>32141.200000000001</v>
      </c>
      <c r="DG151">
        <v>27527.7</v>
      </c>
      <c r="DH151">
        <v>31177.5</v>
      </c>
      <c r="DI151">
        <v>28092.9</v>
      </c>
      <c r="DJ151">
        <v>37604.400000000001</v>
      </c>
      <c r="DK151">
        <v>37338.699999999997</v>
      </c>
      <c r="DL151">
        <v>44371.3</v>
      </c>
      <c r="DM151">
        <v>42583.3</v>
      </c>
      <c r="DN151">
        <v>1.4795499999999999</v>
      </c>
      <c r="DO151">
        <v>2.0437500000000002</v>
      </c>
      <c r="DP151">
        <v>9.8813300000000007E-2</v>
      </c>
      <c r="DQ151">
        <v>0.18127299999999999</v>
      </c>
      <c r="DR151">
        <v>25.360700000000001</v>
      </c>
      <c r="DS151">
        <v>25.137699999999999</v>
      </c>
      <c r="DT151">
        <v>52.9</v>
      </c>
      <c r="DU151">
        <v>29.2</v>
      </c>
      <c r="DV151">
        <v>21.720800000000001</v>
      </c>
      <c r="DW151">
        <v>62.072400000000002</v>
      </c>
      <c r="DX151">
        <v>36.482399999999998</v>
      </c>
      <c r="DY151">
        <v>1</v>
      </c>
      <c r="DZ151">
        <v>-9.12525E-2</v>
      </c>
      <c r="EA151">
        <v>-0.191168</v>
      </c>
      <c r="EB151">
        <v>20.1889</v>
      </c>
      <c r="EC151">
        <v>5.2406499999999996</v>
      </c>
      <c r="ED151">
        <v>12.039899999999999</v>
      </c>
      <c r="EE151">
        <v>5.0170000000000003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</v>
      </c>
      <c r="EL151">
        <v>1.8646400000000001</v>
      </c>
      <c r="EM151">
        <v>1.8692</v>
      </c>
      <c r="EN151">
        <v>1.8672299999999999</v>
      </c>
      <c r="EO151">
        <v>1.8633999999999999</v>
      </c>
      <c r="EP151">
        <v>1.8645</v>
      </c>
      <c r="EQ151">
        <v>1.8701300000000001</v>
      </c>
      <c r="ER151">
        <v>1.8694500000000001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-0.29499999999999998</v>
      </c>
      <c r="FG151">
        <v>0.31</v>
      </c>
      <c r="FH151">
        <v>0.1121710645629533</v>
      </c>
      <c r="FI151">
        <v>-6.1462078757559423E-4</v>
      </c>
      <c r="FJ151">
        <v>-1.8861989874597051E-7</v>
      </c>
      <c r="FK151">
        <v>1.1980462299894961E-10</v>
      </c>
      <c r="FL151">
        <v>0.30996499999999833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33</v>
      </c>
      <c r="FU151">
        <v>32.9</v>
      </c>
      <c r="FV151">
        <v>1.7773399999999999</v>
      </c>
      <c r="FW151">
        <v>2.5891099999999998</v>
      </c>
      <c r="FX151">
        <v>1.5490699999999999</v>
      </c>
      <c r="FY151">
        <v>2.3278799999999999</v>
      </c>
      <c r="FZ151">
        <v>1.50146</v>
      </c>
      <c r="GA151">
        <v>2.2888199999999999</v>
      </c>
      <c r="GB151">
        <v>33.963900000000002</v>
      </c>
      <c r="GC151">
        <v>23.973700000000001</v>
      </c>
      <c r="GD151">
        <v>19</v>
      </c>
      <c r="GE151">
        <v>284.41699999999997</v>
      </c>
      <c r="GF151">
        <v>589.53499999999997</v>
      </c>
      <c r="GG151">
        <v>24.268000000000001</v>
      </c>
      <c r="GH151">
        <v>26.2377</v>
      </c>
      <c r="GI151">
        <v>29.9998</v>
      </c>
      <c r="GJ151">
        <v>26.3748</v>
      </c>
      <c r="GK151">
        <v>26.3611</v>
      </c>
      <c r="GL151">
        <v>35.529699999999998</v>
      </c>
      <c r="GM151">
        <v>51.147500000000001</v>
      </c>
      <c r="GN151">
        <v>76.385499999999993</v>
      </c>
      <c r="GO151">
        <v>24.3385</v>
      </c>
      <c r="GP151">
        <v>800</v>
      </c>
      <c r="GQ151">
        <v>11.305999999999999</v>
      </c>
      <c r="GR151">
        <v>99.758399999999995</v>
      </c>
      <c r="GS151">
        <v>99.613299999999995</v>
      </c>
    </row>
    <row r="152" spans="1:201" x14ac:dyDescent="0.25">
      <c r="A152">
        <v>136</v>
      </c>
      <c r="B152">
        <v>1690228165.5</v>
      </c>
      <c r="C152">
        <v>1595.900000095367</v>
      </c>
      <c r="D152" t="s">
        <v>603</v>
      </c>
      <c r="E152" t="s">
        <v>604</v>
      </c>
      <c r="F152" t="s">
        <v>330</v>
      </c>
      <c r="H152">
        <v>1690228165.5</v>
      </c>
      <c r="I152">
        <f t="shared" si="60"/>
        <v>1.1594914957148822E-3</v>
      </c>
      <c r="J152">
        <f t="shared" si="61"/>
        <v>1.1594914957148823</v>
      </c>
      <c r="K152">
        <f t="shared" si="62"/>
        <v>18.390645145507218</v>
      </c>
      <c r="L152">
        <f t="shared" si="63"/>
        <v>594.02599999999995</v>
      </c>
      <c r="M152">
        <f t="shared" si="64"/>
        <v>183.1303735092535</v>
      </c>
      <c r="N152">
        <f t="shared" si="65"/>
        <v>18.160149347053864</v>
      </c>
      <c r="O152">
        <f t="shared" si="66"/>
        <v>58.906672166471196</v>
      </c>
      <c r="P152">
        <f t="shared" si="67"/>
        <v>7.4585672072458045E-2</v>
      </c>
      <c r="Q152">
        <f t="shared" si="68"/>
        <v>2.1320396702309505</v>
      </c>
      <c r="R152">
        <f t="shared" si="69"/>
        <v>7.316586057438336E-2</v>
      </c>
      <c r="S152">
        <f t="shared" si="70"/>
        <v>4.5853976128640617E-2</v>
      </c>
      <c r="T152">
        <f t="shared" si="71"/>
        <v>276.11558283599999</v>
      </c>
      <c r="U152">
        <f t="shared" si="72"/>
        <v>28.248691036294758</v>
      </c>
      <c r="V152">
        <f t="shared" si="73"/>
        <v>28.248691036294758</v>
      </c>
      <c r="W152">
        <f t="shared" si="74"/>
        <v>3.8502058166187552</v>
      </c>
      <c r="X152">
        <f t="shared" si="75"/>
        <v>67.092011764389937</v>
      </c>
      <c r="Y152">
        <f t="shared" si="76"/>
        <v>2.3276438603028802</v>
      </c>
      <c r="Z152">
        <f t="shared" si="77"/>
        <v>3.4693308474293079</v>
      </c>
      <c r="AA152">
        <f t="shared" si="78"/>
        <v>1.522561956315875</v>
      </c>
      <c r="AB152">
        <f t="shared" si="79"/>
        <v>-51.133574961026305</v>
      </c>
      <c r="AC152">
        <f t="shared" si="80"/>
        <v>-204.40125780916807</v>
      </c>
      <c r="AD152">
        <f t="shared" si="81"/>
        <v>-20.764793277808511</v>
      </c>
      <c r="AE152">
        <f t="shared" si="82"/>
        <v>-0.18404321200290497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52531.926572650373</v>
      </c>
      <c r="AK152">
        <f t="shared" si="86"/>
        <v>1800</v>
      </c>
      <c r="AL152">
        <f t="shared" si="87"/>
        <v>1499.1107886</v>
      </c>
      <c r="AM152">
        <f t="shared" si="88"/>
        <v>0.83283932699999996</v>
      </c>
      <c r="AN152">
        <f t="shared" si="89"/>
        <v>0.15339754602</v>
      </c>
      <c r="AO152">
        <v>32.4</v>
      </c>
      <c r="AP152">
        <v>0.5</v>
      </c>
      <c r="AQ152" t="s">
        <v>331</v>
      </c>
      <c r="AR152">
        <v>2</v>
      </c>
      <c r="AS152">
        <v>1690228165.5</v>
      </c>
      <c r="AT152">
        <v>594.02599999999995</v>
      </c>
      <c r="AU152">
        <v>800.01499999999999</v>
      </c>
      <c r="AV152">
        <v>23.4724</v>
      </c>
      <c r="AW152">
        <v>11.2479</v>
      </c>
      <c r="AX152">
        <v>594.32100000000003</v>
      </c>
      <c r="AY152">
        <v>23.162400000000002</v>
      </c>
      <c r="AZ152">
        <v>300.10000000000002</v>
      </c>
      <c r="BA152">
        <v>99.065299999999993</v>
      </c>
      <c r="BB152">
        <v>9.9841200000000005E-2</v>
      </c>
      <c r="BC152">
        <v>26.470400000000001</v>
      </c>
      <c r="BD152">
        <v>27.0017</v>
      </c>
      <c r="BE152">
        <v>28.096499999999999</v>
      </c>
      <c r="BF152">
        <v>0</v>
      </c>
      <c r="BG152">
        <v>0</v>
      </c>
      <c r="BH152">
        <v>10011.200000000001</v>
      </c>
      <c r="BI152">
        <v>1071.6300000000001</v>
      </c>
      <c r="BJ152">
        <v>1.33578</v>
      </c>
      <c r="BK152">
        <v>-205.989</v>
      </c>
      <c r="BL152">
        <v>608.30499999999995</v>
      </c>
      <c r="BM152">
        <v>809.11599999999999</v>
      </c>
      <c r="BN152">
        <v>12.224500000000001</v>
      </c>
      <c r="BO152">
        <v>800.01499999999999</v>
      </c>
      <c r="BP152">
        <v>11.2479</v>
      </c>
      <c r="BQ152">
        <v>2.3252999999999999</v>
      </c>
      <c r="BR152">
        <v>1.1142700000000001</v>
      </c>
      <c r="BS152">
        <v>19.852699999999999</v>
      </c>
      <c r="BT152">
        <v>8.5029400000000006</v>
      </c>
      <c r="BU152">
        <v>1800</v>
      </c>
      <c r="BV152">
        <v>0.90999399999999997</v>
      </c>
      <c r="BW152">
        <v>3.4003199999999997E-2</v>
      </c>
      <c r="BX152">
        <v>2.20021E-2</v>
      </c>
      <c r="BY152">
        <v>3.40004E-2</v>
      </c>
      <c r="BZ152">
        <v>26</v>
      </c>
      <c r="CA152">
        <v>33528.199999999997</v>
      </c>
      <c r="CB152">
        <v>1690226183.5999999</v>
      </c>
      <c r="CC152" t="s">
        <v>332</v>
      </c>
      <c r="CD152">
        <v>1690226177.5999999</v>
      </c>
      <c r="CE152">
        <v>1690226183.5999999</v>
      </c>
      <c r="CF152">
        <v>12</v>
      </c>
      <c r="CG152">
        <v>-0.255</v>
      </c>
      <c r="CH152">
        <v>0.113</v>
      </c>
      <c r="CI152">
        <v>-0.439</v>
      </c>
      <c r="CJ152">
        <v>0.31</v>
      </c>
      <c r="CK152">
        <v>800</v>
      </c>
      <c r="CL152">
        <v>25</v>
      </c>
      <c r="CM152">
        <v>0.02</v>
      </c>
      <c r="CN152">
        <v>0.03</v>
      </c>
      <c r="CO152">
        <v>-204.15085365853659</v>
      </c>
      <c r="CP152">
        <v>-11.2111567944256</v>
      </c>
      <c r="CQ152">
        <v>1.1089061532126849</v>
      </c>
      <c r="CR152">
        <v>-1</v>
      </c>
      <c r="CS152">
        <v>12.048721951219511</v>
      </c>
      <c r="CT152">
        <v>0.9709923344948036</v>
      </c>
      <c r="CU152">
        <v>9.7292835602665953E-2</v>
      </c>
      <c r="CV152">
        <v>-1</v>
      </c>
      <c r="CW152">
        <v>0</v>
      </c>
      <c r="CX152">
        <v>0</v>
      </c>
      <c r="CY152" t="s">
        <v>333</v>
      </c>
      <c r="CZ152">
        <v>2.3643000000000001</v>
      </c>
      <c r="DA152">
        <v>2.7136399999999998</v>
      </c>
      <c r="DB152">
        <v>0.119648</v>
      </c>
      <c r="DC152">
        <v>0.14616999999999999</v>
      </c>
      <c r="DD152">
        <v>0.111694</v>
      </c>
      <c r="DE152">
        <v>6.4698500000000006E-2</v>
      </c>
      <c r="DF152">
        <v>32151</v>
      </c>
      <c r="DG152">
        <v>27528.7</v>
      </c>
      <c r="DH152">
        <v>31177.599999999999</v>
      </c>
      <c r="DI152">
        <v>28093.8</v>
      </c>
      <c r="DJ152">
        <v>37600.800000000003</v>
      </c>
      <c r="DK152">
        <v>37368.300000000003</v>
      </c>
      <c r="DL152">
        <v>44371.3</v>
      </c>
      <c r="DM152">
        <v>42584.6</v>
      </c>
      <c r="DN152">
        <v>1.4796</v>
      </c>
      <c r="DO152">
        <v>2.0441500000000001</v>
      </c>
      <c r="DP152">
        <v>9.9893700000000002E-2</v>
      </c>
      <c r="DQ152">
        <v>0.18054600000000001</v>
      </c>
      <c r="DR152">
        <v>25.3659</v>
      </c>
      <c r="DS152">
        <v>25.141999999999999</v>
      </c>
      <c r="DT152">
        <v>52.7</v>
      </c>
      <c r="DU152">
        <v>29.2</v>
      </c>
      <c r="DV152">
        <v>21.6433</v>
      </c>
      <c r="DW152">
        <v>61.942399999999999</v>
      </c>
      <c r="DX152">
        <v>36.947099999999999</v>
      </c>
      <c r="DY152">
        <v>1</v>
      </c>
      <c r="DZ152">
        <v>-9.2157000000000003E-2</v>
      </c>
      <c r="EA152">
        <v>6.8877999999999995E-2</v>
      </c>
      <c r="EB152">
        <v>20.1889</v>
      </c>
      <c r="EC152">
        <v>5.2408000000000001</v>
      </c>
      <c r="ED152">
        <v>12.039899999999999</v>
      </c>
      <c r="EE152">
        <v>5.0168499999999998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1.8646400000000001</v>
      </c>
      <c r="EM152">
        <v>1.8691899999999999</v>
      </c>
      <c r="EN152">
        <v>1.8672299999999999</v>
      </c>
      <c r="EO152">
        <v>1.8633999999999999</v>
      </c>
      <c r="EP152">
        <v>1.8645099999999999</v>
      </c>
      <c r="EQ152">
        <v>1.8701300000000001</v>
      </c>
      <c r="ER152">
        <v>1.86947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-0.29499999999999998</v>
      </c>
      <c r="FG152">
        <v>0.31</v>
      </c>
      <c r="FH152">
        <v>0.1121710645629533</v>
      </c>
      <c r="FI152">
        <v>-6.1462078757559423E-4</v>
      </c>
      <c r="FJ152">
        <v>-1.8861989874597051E-7</v>
      </c>
      <c r="FK152">
        <v>1.1980462299894961E-10</v>
      </c>
      <c r="FL152">
        <v>0.30996499999999833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33.1</v>
      </c>
      <c r="FU152">
        <v>33</v>
      </c>
      <c r="FV152">
        <v>1.7761199999999999</v>
      </c>
      <c r="FW152">
        <v>2.5952099999999998</v>
      </c>
      <c r="FX152">
        <v>1.5490699999999999</v>
      </c>
      <c r="FY152">
        <v>2.32666</v>
      </c>
      <c r="FZ152">
        <v>1.50146</v>
      </c>
      <c r="GA152">
        <v>2.2863799999999999</v>
      </c>
      <c r="GB152">
        <v>33.963900000000002</v>
      </c>
      <c r="GC152">
        <v>23.982399999999998</v>
      </c>
      <c r="GD152">
        <v>19</v>
      </c>
      <c r="GE152">
        <v>284.428</v>
      </c>
      <c r="GF152">
        <v>589.84299999999996</v>
      </c>
      <c r="GG152">
        <v>24.374500000000001</v>
      </c>
      <c r="GH152">
        <v>26.2377</v>
      </c>
      <c r="GI152">
        <v>29.9999</v>
      </c>
      <c r="GJ152">
        <v>26.372599999999998</v>
      </c>
      <c r="GK152">
        <v>26.358899999999998</v>
      </c>
      <c r="GL152">
        <v>35.519100000000002</v>
      </c>
      <c r="GM152">
        <v>51.147500000000001</v>
      </c>
      <c r="GN152">
        <v>75.615899999999996</v>
      </c>
      <c r="GO152">
        <v>24.367699999999999</v>
      </c>
      <c r="GP152">
        <v>800</v>
      </c>
      <c r="GQ152">
        <v>11.167899999999999</v>
      </c>
      <c r="GR152">
        <v>99.758499999999998</v>
      </c>
      <c r="GS152">
        <v>99.616299999999995</v>
      </c>
    </row>
    <row r="153" spans="1:201" x14ac:dyDescent="0.25">
      <c r="A153">
        <v>137</v>
      </c>
      <c r="B153">
        <v>1690228175.5</v>
      </c>
      <c r="C153">
        <v>1605.900000095367</v>
      </c>
      <c r="D153" t="s">
        <v>605</v>
      </c>
      <c r="E153" t="s">
        <v>606</v>
      </c>
      <c r="F153" t="s">
        <v>330</v>
      </c>
      <c r="H153">
        <v>1690228175.5</v>
      </c>
      <c r="I153">
        <f t="shared" si="60"/>
        <v>1.1701271302697676E-3</v>
      </c>
      <c r="J153">
        <f t="shared" si="61"/>
        <v>1.1701271302697676</v>
      </c>
      <c r="K153">
        <f t="shared" si="62"/>
        <v>18.569039367997874</v>
      </c>
      <c r="L153">
        <f t="shared" si="63"/>
        <v>592.173</v>
      </c>
      <c r="M153">
        <f t="shared" si="64"/>
        <v>180.5707212737976</v>
      </c>
      <c r="N153">
        <f t="shared" si="65"/>
        <v>17.906708413956189</v>
      </c>
      <c r="O153">
        <f t="shared" si="66"/>
        <v>58.724189430129904</v>
      </c>
      <c r="P153">
        <f t="shared" si="67"/>
        <v>7.517847855074053E-2</v>
      </c>
      <c r="Q153">
        <f t="shared" si="68"/>
        <v>2.1320632039860872</v>
      </c>
      <c r="R153">
        <f t="shared" si="69"/>
        <v>7.3736258829237497E-2</v>
      </c>
      <c r="S153">
        <f t="shared" si="70"/>
        <v>4.6212435031621327E-2</v>
      </c>
      <c r="T153">
        <f t="shared" si="71"/>
        <v>276.115493286</v>
      </c>
      <c r="U153">
        <f t="shared" si="72"/>
        <v>28.259142145729133</v>
      </c>
      <c r="V153">
        <f t="shared" si="73"/>
        <v>28.259142145729133</v>
      </c>
      <c r="W153">
        <f t="shared" si="74"/>
        <v>3.8525478969111457</v>
      </c>
      <c r="X153">
        <f t="shared" si="75"/>
        <v>67.043023716822219</v>
      </c>
      <c r="Y153">
        <f t="shared" si="76"/>
        <v>2.32789254552072</v>
      </c>
      <c r="Z153">
        <f t="shared" si="77"/>
        <v>3.4722368062534339</v>
      </c>
      <c r="AA153">
        <f t="shared" si="78"/>
        <v>1.5246553513904257</v>
      </c>
      <c r="AB153">
        <f t="shared" si="79"/>
        <v>-51.60260644489675</v>
      </c>
      <c r="AC153">
        <f t="shared" si="80"/>
        <v>-203.97260232377721</v>
      </c>
      <c r="AD153">
        <f t="shared" si="81"/>
        <v>-20.723568386770175</v>
      </c>
      <c r="AE153">
        <f t="shared" si="82"/>
        <v>-0.18328386944415342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52530.496283501976</v>
      </c>
      <c r="AK153">
        <f t="shared" si="86"/>
        <v>1800</v>
      </c>
      <c r="AL153">
        <f t="shared" si="87"/>
        <v>1499.1110765999999</v>
      </c>
      <c r="AM153">
        <f t="shared" si="88"/>
        <v>0.83283948699999999</v>
      </c>
      <c r="AN153">
        <f t="shared" si="89"/>
        <v>0.15339749626999999</v>
      </c>
      <c r="AO153">
        <v>32.4</v>
      </c>
      <c r="AP153">
        <v>0.5</v>
      </c>
      <c r="AQ153" t="s">
        <v>331</v>
      </c>
      <c r="AR153">
        <v>2</v>
      </c>
      <c r="AS153">
        <v>1690228175.5</v>
      </c>
      <c r="AT153">
        <v>592.173</v>
      </c>
      <c r="AU153">
        <v>800.04</v>
      </c>
      <c r="AV153">
        <v>23.474399999999999</v>
      </c>
      <c r="AW153">
        <v>11.1433</v>
      </c>
      <c r="AX153">
        <v>592.46600000000001</v>
      </c>
      <c r="AY153">
        <v>23.1645</v>
      </c>
      <c r="AZ153">
        <v>300.23399999999998</v>
      </c>
      <c r="BA153">
        <v>99.067300000000003</v>
      </c>
      <c r="BB153">
        <v>9.99863E-2</v>
      </c>
      <c r="BC153">
        <v>26.4846</v>
      </c>
      <c r="BD153">
        <v>26.976600000000001</v>
      </c>
      <c r="BE153">
        <v>28.110099999999999</v>
      </c>
      <c r="BF153">
        <v>0</v>
      </c>
      <c r="BG153">
        <v>0</v>
      </c>
      <c r="BH153">
        <v>10011.200000000001</v>
      </c>
      <c r="BI153">
        <v>1071.6400000000001</v>
      </c>
      <c r="BJ153">
        <v>1.5137799999999999</v>
      </c>
      <c r="BK153">
        <v>-207.86699999999999</v>
      </c>
      <c r="BL153">
        <v>606.40800000000002</v>
      </c>
      <c r="BM153">
        <v>809.05600000000004</v>
      </c>
      <c r="BN153">
        <v>12.331099999999999</v>
      </c>
      <c r="BO153">
        <v>800.04</v>
      </c>
      <c r="BP153">
        <v>11.1433</v>
      </c>
      <c r="BQ153">
        <v>2.3255499999999998</v>
      </c>
      <c r="BR153">
        <v>1.1039399999999999</v>
      </c>
      <c r="BS153">
        <v>19.854500000000002</v>
      </c>
      <c r="BT153">
        <v>8.3655200000000001</v>
      </c>
      <c r="BU153">
        <v>1800</v>
      </c>
      <c r="BV153">
        <v>0.90999600000000003</v>
      </c>
      <c r="BW153">
        <v>3.4002400000000002E-2</v>
      </c>
      <c r="BX153">
        <v>2.20016E-2</v>
      </c>
      <c r="BY153">
        <v>3.3999700000000001E-2</v>
      </c>
      <c r="BZ153">
        <v>26</v>
      </c>
      <c r="CA153">
        <v>33528.400000000001</v>
      </c>
      <c r="CB153">
        <v>1690226183.5999999</v>
      </c>
      <c r="CC153" t="s">
        <v>332</v>
      </c>
      <c r="CD153">
        <v>1690226177.5999999</v>
      </c>
      <c r="CE153">
        <v>1690226183.5999999</v>
      </c>
      <c r="CF153">
        <v>12</v>
      </c>
      <c r="CG153">
        <v>-0.255</v>
      </c>
      <c r="CH153">
        <v>0.113</v>
      </c>
      <c r="CI153">
        <v>-0.439</v>
      </c>
      <c r="CJ153">
        <v>0.31</v>
      </c>
      <c r="CK153">
        <v>800</v>
      </c>
      <c r="CL153">
        <v>25</v>
      </c>
      <c r="CM153">
        <v>0.02</v>
      </c>
      <c r="CN153">
        <v>0.03</v>
      </c>
      <c r="CO153">
        <v>-205.80321951219511</v>
      </c>
      <c r="CP153">
        <v>-11.22372125435518</v>
      </c>
      <c r="CQ153">
        <v>1.110443693177118</v>
      </c>
      <c r="CR153">
        <v>-1</v>
      </c>
      <c r="CS153">
        <v>12.17838048780488</v>
      </c>
      <c r="CT153">
        <v>0.8707296167247538</v>
      </c>
      <c r="CU153">
        <v>8.8557836191844611E-2</v>
      </c>
      <c r="CV153">
        <v>-1</v>
      </c>
      <c r="CW153">
        <v>0</v>
      </c>
      <c r="CX153">
        <v>0</v>
      </c>
      <c r="CY153" t="s">
        <v>333</v>
      </c>
      <c r="CZ153">
        <v>2.3647499999999999</v>
      </c>
      <c r="DA153">
        <v>2.7137899999999999</v>
      </c>
      <c r="DB153">
        <v>0.11938600000000001</v>
      </c>
      <c r="DC153">
        <v>0.146174</v>
      </c>
      <c r="DD153">
        <v>0.111703</v>
      </c>
      <c r="DE153">
        <v>6.4242900000000006E-2</v>
      </c>
      <c r="DF153">
        <v>32161</v>
      </c>
      <c r="DG153">
        <v>27528.5</v>
      </c>
      <c r="DH153">
        <v>31178.1</v>
      </c>
      <c r="DI153">
        <v>28093.8</v>
      </c>
      <c r="DJ153">
        <v>37601</v>
      </c>
      <c r="DK153">
        <v>37386.300000000003</v>
      </c>
      <c r="DL153">
        <v>44372.1</v>
      </c>
      <c r="DM153">
        <v>42584.3</v>
      </c>
      <c r="DN153">
        <v>1.4799500000000001</v>
      </c>
      <c r="DO153">
        <v>2.04365</v>
      </c>
      <c r="DP153">
        <v>9.8142800000000002E-2</v>
      </c>
      <c r="DQ153">
        <v>0.181086</v>
      </c>
      <c r="DR153">
        <v>25.369499999999999</v>
      </c>
      <c r="DS153">
        <v>25.146799999999999</v>
      </c>
      <c r="DT153">
        <v>52.4</v>
      </c>
      <c r="DU153">
        <v>29.2</v>
      </c>
      <c r="DV153">
        <v>21.5215</v>
      </c>
      <c r="DW153">
        <v>61.242400000000004</v>
      </c>
      <c r="DX153">
        <v>35.841299999999997</v>
      </c>
      <c r="DY153">
        <v>1</v>
      </c>
      <c r="DZ153">
        <v>-9.1814000000000007E-2</v>
      </c>
      <c r="EA153">
        <v>0.18029400000000001</v>
      </c>
      <c r="EB153">
        <v>20.1892</v>
      </c>
      <c r="EC153">
        <v>5.2406499999999996</v>
      </c>
      <c r="ED153">
        <v>12.039899999999999</v>
      </c>
      <c r="EE153">
        <v>5.0171999999999999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1.8646400000000001</v>
      </c>
      <c r="EM153">
        <v>1.8691899999999999</v>
      </c>
      <c r="EN153">
        <v>1.8672200000000001</v>
      </c>
      <c r="EO153">
        <v>1.8633999999999999</v>
      </c>
      <c r="EP153">
        <v>1.8645099999999999</v>
      </c>
      <c r="EQ153">
        <v>1.8701300000000001</v>
      </c>
      <c r="ER153">
        <v>1.86947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-0.29299999999999998</v>
      </c>
      <c r="FG153">
        <v>0.30990000000000001</v>
      </c>
      <c r="FH153">
        <v>0.1121710645629533</v>
      </c>
      <c r="FI153">
        <v>-6.1462078757559423E-4</v>
      </c>
      <c r="FJ153">
        <v>-1.8861989874597051E-7</v>
      </c>
      <c r="FK153">
        <v>1.1980462299894961E-10</v>
      </c>
      <c r="FL153">
        <v>0.30996499999999833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33.299999999999997</v>
      </c>
      <c r="FU153">
        <v>33.200000000000003</v>
      </c>
      <c r="FV153">
        <v>1.7761199999999999</v>
      </c>
      <c r="FW153">
        <v>2.5817899999999998</v>
      </c>
      <c r="FX153">
        <v>1.5490699999999999</v>
      </c>
      <c r="FY153">
        <v>2.32666</v>
      </c>
      <c r="FZ153">
        <v>1.50146</v>
      </c>
      <c r="GA153">
        <v>2.3950200000000001</v>
      </c>
      <c r="GB153">
        <v>33.963900000000002</v>
      </c>
      <c r="GC153">
        <v>23.991199999999999</v>
      </c>
      <c r="GD153">
        <v>19</v>
      </c>
      <c r="GE153">
        <v>284.577</v>
      </c>
      <c r="GF153">
        <v>589.42499999999995</v>
      </c>
      <c r="GG153">
        <v>24.390999999999998</v>
      </c>
      <c r="GH153">
        <v>26.237400000000001</v>
      </c>
      <c r="GI153">
        <v>30.0002</v>
      </c>
      <c r="GJ153">
        <v>26.372299999999999</v>
      </c>
      <c r="GK153">
        <v>26.358699999999999</v>
      </c>
      <c r="GL153">
        <v>35.518999999999998</v>
      </c>
      <c r="GM153">
        <v>51.442300000000003</v>
      </c>
      <c r="GN153">
        <v>75.238100000000003</v>
      </c>
      <c r="GO153">
        <v>24.3809</v>
      </c>
      <c r="GP153">
        <v>800</v>
      </c>
      <c r="GQ153">
        <v>11.0442</v>
      </c>
      <c r="GR153">
        <v>99.760199999999998</v>
      </c>
      <c r="GS153">
        <v>99.616</v>
      </c>
    </row>
    <row r="154" spans="1:201" x14ac:dyDescent="0.25">
      <c r="A154">
        <v>138</v>
      </c>
      <c r="B154">
        <v>1690228185.5</v>
      </c>
      <c r="C154">
        <v>1615.900000095367</v>
      </c>
      <c r="D154" t="s">
        <v>607</v>
      </c>
      <c r="E154" t="s">
        <v>608</v>
      </c>
      <c r="F154" t="s">
        <v>330</v>
      </c>
      <c r="H154">
        <v>1690228185.5</v>
      </c>
      <c r="I154">
        <f t="shared" si="60"/>
        <v>1.1854176783781404E-3</v>
      </c>
      <c r="J154">
        <f t="shared" si="61"/>
        <v>1.1854176783781403</v>
      </c>
      <c r="K154">
        <f t="shared" si="62"/>
        <v>18.720859068714695</v>
      </c>
      <c r="L154">
        <f t="shared" si="63"/>
        <v>590.41999999999996</v>
      </c>
      <c r="M154">
        <f t="shared" si="64"/>
        <v>180.7270525481033</v>
      </c>
      <c r="N154">
        <f t="shared" si="65"/>
        <v>17.922013050398142</v>
      </c>
      <c r="O154">
        <f t="shared" si="66"/>
        <v>58.549701309379991</v>
      </c>
      <c r="P154">
        <f t="shared" si="67"/>
        <v>7.617151011075847E-2</v>
      </c>
      <c r="Q154">
        <f t="shared" si="68"/>
        <v>2.126074520199416</v>
      </c>
      <c r="R154">
        <f t="shared" si="69"/>
        <v>7.4687260730364691E-2</v>
      </c>
      <c r="S154">
        <f t="shared" si="70"/>
        <v>4.6810482978417133E-2</v>
      </c>
      <c r="T154">
        <f t="shared" si="71"/>
        <v>276.11552115000001</v>
      </c>
      <c r="U154">
        <f t="shared" si="72"/>
        <v>28.259736722201467</v>
      </c>
      <c r="V154">
        <f t="shared" si="73"/>
        <v>28.259736722201467</v>
      </c>
      <c r="W154">
        <f t="shared" si="74"/>
        <v>3.8526811780951906</v>
      </c>
      <c r="X154">
        <f t="shared" si="75"/>
        <v>67.034463693435583</v>
      </c>
      <c r="Y154">
        <f t="shared" si="76"/>
        <v>2.3277874541103998</v>
      </c>
      <c r="Z154">
        <f t="shared" si="77"/>
        <v>3.4725234243029388</v>
      </c>
      <c r="AA154">
        <f t="shared" si="78"/>
        <v>1.5248937239847908</v>
      </c>
      <c r="AB154">
        <f t="shared" si="79"/>
        <v>-52.276919616475993</v>
      </c>
      <c r="AC154">
        <f t="shared" si="80"/>
        <v>-203.30735184553257</v>
      </c>
      <c r="AD154">
        <f t="shared" si="81"/>
        <v>-20.714368599271527</v>
      </c>
      <c r="AE154">
        <f t="shared" si="82"/>
        <v>-0.18311891128007574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52271.876720471242</v>
      </c>
      <c r="AK154">
        <f t="shared" si="86"/>
        <v>1800</v>
      </c>
      <c r="AL154">
        <f t="shared" si="87"/>
        <v>1499.1121889999999</v>
      </c>
      <c r="AM154">
        <f t="shared" si="88"/>
        <v>0.83284010499999994</v>
      </c>
      <c r="AN154">
        <f t="shared" si="89"/>
        <v>0.15339751174999999</v>
      </c>
      <c r="AO154">
        <v>32.4</v>
      </c>
      <c r="AP154">
        <v>0.5</v>
      </c>
      <c r="AQ154" t="s">
        <v>331</v>
      </c>
      <c r="AR154">
        <v>2</v>
      </c>
      <c r="AS154">
        <v>1690228185.5</v>
      </c>
      <c r="AT154">
        <v>590.41999999999996</v>
      </c>
      <c r="AU154">
        <v>800.06700000000001</v>
      </c>
      <c r="AV154">
        <v>23.473600000000001</v>
      </c>
      <c r="AW154">
        <v>10.977399999999999</v>
      </c>
      <c r="AX154">
        <v>590.71199999999999</v>
      </c>
      <c r="AY154">
        <v>23.163599999999999</v>
      </c>
      <c r="AZ154">
        <v>300.13900000000001</v>
      </c>
      <c r="BA154">
        <v>99.066199999999995</v>
      </c>
      <c r="BB154">
        <v>9.9988999999999995E-2</v>
      </c>
      <c r="BC154">
        <v>26.486000000000001</v>
      </c>
      <c r="BD154">
        <v>26.977599999999999</v>
      </c>
      <c r="BE154">
        <v>28.136800000000001</v>
      </c>
      <c r="BF154">
        <v>0</v>
      </c>
      <c r="BG154">
        <v>0</v>
      </c>
      <c r="BH154">
        <v>9960</v>
      </c>
      <c r="BI154">
        <v>1071.67</v>
      </c>
      <c r="BJ154">
        <v>1.5137799999999999</v>
      </c>
      <c r="BK154">
        <v>-209.64699999999999</v>
      </c>
      <c r="BL154">
        <v>604.61300000000006</v>
      </c>
      <c r="BM154">
        <v>808.947</v>
      </c>
      <c r="BN154">
        <v>12.4961</v>
      </c>
      <c r="BO154">
        <v>800.06700000000001</v>
      </c>
      <c r="BP154">
        <v>10.977399999999999</v>
      </c>
      <c r="BQ154">
        <v>2.32544</v>
      </c>
      <c r="BR154">
        <v>1.0874900000000001</v>
      </c>
      <c r="BS154">
        <v>19.8537</v>
      </c>
      <c r="BT154">
        <v>8.1444899999999993</v>
      </c>
      <c r="BU154">
        <v>1800</v>
      </c>
      <c r="BV154">
        <v>0.909999</v>
      </c>
      <c r="BW154">
        <v>3.4001499999999997E-2</v>
      </c>
      <c r="BX154">
        <v>2.2001E-2</v>
      </c>
      <c r="BY154">
        <v>3.39987E-2</v>
      </c>
      <c r="BZ154">
        <v>26</v>
      </c>
      <c r="CA154">
        <v>33528.300000000003</v>
      </c>
      <c r="CB154">
        <v>1690226183.5999999</v>
      </c>
      <c r="CC154" t="s">
        <v>332</v>
      </c>
      <c r="CD154">
        <v>1690226177.5999999</v>
      </c>
      <c r="CE154">
        <v>1690226183.5999999</v>
      </c>
      <c r="CF154">
        <v>12</v>
      </c>
      <c r="CG154">
        <v>-0.255</v>
      </c>
      <c r="CH154">
        <v>0.113</v>
      </c>
      <c r="CI154">
        <v>-0.439</v>
      </c>
      <c r="CJ154">
        <v>0.31</v>
      </c>
      <c r="CK154">
        <v>800</v>
      </c>
      <c r="CL154">
        <v>25</v>
      </c>
      <c r="CM154">
        <v>0.02</v>
      </c>
      <c r="CN154">
        <v>0.03</v>
      </c>
      <c r="CO154">
        <v>-207.80058536585361</v>
      </c>
      <c r="CP154">
        <v>-11.12345644599251</v>
      </c>
      <c r="CQ154">
        <v>1.0991600335247049</v>
      </c>
      <c r="CR154">
        <v>-1</v>
      </c>
      <c r="CS154">
        <v>12.32846097560976</v>
      </c>
      <c r="CT154">
        <v>0.80922020905923497</v>
      </c>
      <c r="CU154">
        <v>8.1312783256996979E-2</v>
      </c>
      <c r="CV154">
        <v>-1</v>
      </c>
      <c r="CW154">
        <v>0</v>
      </c>
      <c r="CX154">
        <v>0</v>
      </c>
      <c r="CY154" t="s">
        <v>333</v>
      </c>
      <c r="CZ154">
        <v>2.3644500000000002</v>
      </c>
      <c r="DA154">
        <v>2.71374</v>
      </c>
      <c r="DB154">
        <v>0.11913600000000001</v>
      </c>
      <c r="DC154">
        <v>0.146173</v>
      </c>
      <c r="DD154">
        <v>0.11169900000000001</v>
      </c>
      <c r="DE154">
        <v>6.3514600000000004E-2</v>
      </c>
      <c r="DF154">
        <v>32170.400000000001</v>
      </c>
      <c r="DG154">
        <v>27528.9</v>
      </c>
      <c r="DH154">
        <v>31178.3</v>
      </c>
      <c r="DI154">
        <v>28094.1</v>
      </c>
      <c r="DJ154">
        <v>37601.199999999997</v>
      </c>
      <c r="DK154">
        <v>37415.9</v>
      </c>
      <c r="DL154">
        <v>44372.2</v>
      </c>
      <c r="DM154">
        <v>42584.800000000003</v>
      </c>
      <c r="DN154">
        <v>1.4798</v>
      </c>
      <c r="DO154">
        <v>2.0436999999999999</v>
      </c>
      <c r="DP154">
        <v>9.8068299999999997E-2</v>
      </c>
      <c r="DQ154">
        <v>0.18246499999999999</v>
      </c>
      <c r="DR154">
        <v>25.371700000000001</v>
      </c>
      <c r="DS154">
        <v>25.151</v>
      </c>
      <c r="DT154">
        <v>52.2</v>
      </c>
      <c r="DU154">
        <v>29.2</v>
      </c>
      <c r="DV154">
        <v>21.441199999999998</v>
      </c>
      <c r="DW154">
        <v>61.892400000000002</v>
      </c>
      <c r="DX154">
        <v>36.246000000000002</v>
      </c>
      <c r="DY154">
        <v>1</v>
      </c>
      <c r="DZ154">
        <v>-9.1623499999999997E-2</v>
      </c>
      <c r="EA154">
        <v>0.153442</v>
      </c>
      <c r="EB154">
        <v>20.1891</v>
      </c>
      <c r="EC154">
        <v>5.2411000000000003</v>
      </c>
      <c r="ED154">
        <v>12.039899999999999</v>
      </c>
      <c r="EE154">
        <v>5.0168999999999997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1.8691899999999999</v>
      </c>
      <c r="EN154">
        <v>1.8672299999999999</v>
      </c>
      <c r="EO154">
        <v>1.8633999999999999</v>
      </c>
      <c r="EP154">
        <v>1.86453</v>
      </c>
      <c r="EQ154">
        <v>1.87012</v>
      </c>
      <c r="ER154">
        <v>1.8694200000000001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-0.29199999999999998</v>
      </c>
      <c r="FG154">
        <v>0.31</v>
      </c>
      <c r="FH154">
        <v>0.1121710645629533</v>
      </c>
      <c r="FI154">
        <v>-6.1462078757559423E-4</v>
      </c>
      <c r="FJ154">
        <v>-1.8861989874597051E-7</v>
      </c>
      <c r="FK154">
        <v>1.1980462299894961E-10</v>
      </c>
      <c r="FL154">
        <v>0.30996499999999833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33.5</v>
      </c>
      <c r="FU154">
        <v>33.4</v>
      </c>
      <c r="FV154">
        <v>1.7761199999999999</v>
      </c>
      <c r="FW154">
        <v>2.5915499999999998</v>
      </c>
      <c r="FX154">
        <v>1.5490699999999999</v>
      </c>
      <c r="FY154">
        <v>2.3278799999999999</v>
      </c>
      <c r="FZ154">
        <v>1.50146</v>
      </c>
      <c r="GA154">
        <v>2.3132299999999999</v>
      </c>
      <c r="GB154">
        <v>33.963900000000002</v>
      </c>
      <c r="GC154">
        <v>23.982399999999998</v>
      </c>
      <c r="GD154">
        <v>19</v>
      </c>
      <c r="GE154">
        <v>284.50299999999999</v>
      </c>
      <c r="GF154">
        <v>589.44299999999998</v>
      </c>
      <c r="GG154">
        <v>24.398399999999999</v>
      </c>
      <c r="GH154">
        <v>26.235399999999998</v>
      </c>
      <c r="GI154">
        <v>30.0002</v>
      </c>
      <c r="GJ154">
        <v>26.3703</v>
      </c>
      <c r="GK154">
        <v>26.3567</v>
      </c>
      <c r="GL154">
        <v>35.512500000000003</v>
      </c>
      <c r="GM154">
        <v>51.7333</v>
      </c>
      <c r="GN154">
        <v>74.463800000000006</v>
      </c>
      <c r="GO154">
        <v>24.3995</v>
      </c>
      <c r="GP154">
        <v>800</v>
      </c>
      <c r="GQ154">
        <v>10.9229</v>
      </c>
      <c r="GR154">
        <v>99.760599999999997</v>
      </c>
      <c r="GS154">
        <v>99.617099999999994</v>
      </c>
    </row>
    <row r="155" spans="1:201" x14ac:dyDescent="0.25">
      <c r="A155">
        <v>139</v>
      </c>
      <c r="B155">
        <v>1690228195.5</v>
      </c>
      <c r="C155">
        <v>1625.900000095367</v>
      </c>
      <c r="D155" t="s">
        <v>609</v>
      </c>
      <c r="E155" t="s">
        <v>610</v>
      </c>
      <c r="F155" t="s">
        <v>330</v>
      </c>
      <c r="H155">
        <v>1690228195.5</v>
      </c>
      <c r="I155">
        <f t="shared" si="60"/>
        <v>1.1913013615767176E-3</v>
      </c>
      <c r="J155">
        <f t="shared" si="61"/>
        <v>1.1913013615767176</v>
      </c>
      <c r="K155">
        <f t="shared" si="62"/>
        <v>18.872996086891842</v>
      </c>
      <c r="L155">
        <f t="shared" si="63"/>
        <v>588.64</v>
      </c>
      <c r="M155">
        <f t="shared" si="64"/>
        <v>177.7605857948991</v>
      </c>
      <c r="N155">
        <f t="shared" si="65"/>
        <v>17.627798607231774</v>
      </c>
      <c r="O155">
        <f t="shared" si="66"/>
        <v>58.373048928479996</v>
      </c>
      <c r="P155">
        <f t="shared" si="67"/>
        <v>7.6553891005193955E-2</v>
      </c>
      <c r="Q155">
        <f t="shared" si="68"/>
        <v>2.1333618151462739</v>
      </c>
      <c r="R155">
        <f t="shared" si="69"/>
        <v>7.5059873192172458E-2</v>
      </c>
      <c r="S155">
        <f t="shared" si="70"/>
        <v>4.7044223802189221E-2</v>
      </c>
      <c r="T155">
        <f t="shared" si="71"/>
        <v>276.11542198800004</v>
      </c>
      <c r="U155">
        <f t="shared" si="72"/>
        <v>28.257173295458852</v>
      </c>
      <c r="V155">
        <f t="shared" si="73"/>
        <v>28.257173295458852</v>
      </c>
      <c r="W155">
        <f t="shared" si="74"/>
        <v>3.8521065850916076</v>
      </c>
      <c r="X155">
        <f t="shared" si="75"/>
        <v>66.999132550855961</v>
      </c>
      <c r="Y155">
        <f t="shared" si="76"/>
        <v>2.3272465120674002</v>
      </c>
      <c r="Z155">
        <f t="shared" si="77"/>
        <v>3.4735472288404541</v>
      </c>
      <c r="AA155">
        <f t="shared" si="78"/>
        <v>1.5248600730242075</v>
      </c>
      <c r="AB155">
        <f t="shared" si="79"/>
        <v>-52.536390045533246</v>
      </c>
      <c r="AC155">
        <f t="shared" si="80"/>
        <v>-203.13430601626385</v>
      </c>
      <c r="AD155">
        <f t="shared" si="81"/>
        <v>-20.626289481608151</v>
      </c>
      <c r="AE155">
        <f t="shared" si="82"/>
        <v>-0.18156355540520508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52585.473607003165</v>
      </c>
      <c r="AK155">
        <f t="shared" si="86"/>
        <v>1800</v>
      </c>
      <c r="AL155">
        <f t="shared" si="87"/>
        <v>1499.1127578000001</v>
      </c>
      <c r="AM155">
        <f t="shared" si="88"/>
        <v>0.832840421</v>
      </c>
      <c r="AN155">
        <f t="shared" si="89"/>
        <v>0.15339745666000001</v>
      </c>
      <c r="AO155">
        <v>32.4</v>
      </c>
      <c r="AP155">
        <v>0.5</v>
      </c>
      <c r="AQ155" t="s">
        <v>331</v>
      </c>
      <c r="AR155">
        <v>2</v>
      </c>
      <c r="AS155">
        <v>1690228195.5</v>
      </c>
      <c r="AT155">
        <v>588.64</v>
      </c>
      <c r="AU155">
        <v>799.93899999999996</v>
      </c>
      <c r="AV155">
        <v>23.4682</v>
      </c>
      <c r="AW155">
        <v>10.9102</v>
      </c>
      <c r="AX155">
        <v>588.93100000000004</v>
      </c>
      <c r="AY155">
        <v>23.158300000000001</v>
      </c>
      <c r="AZ155">
        <v>300.14600000000002</v>
      </c>
      <c r="BA155">
        <v>99.065899999999999</v>
      </c>
      <c r="BB155">
        <v>0.10005699999999999</v>
      </c>
      <c r="BC155">
        <v>26.491</v>
      </c>
      <c r="BD155">
        <v>26.985800000000001</v>
      </c>
      <c r="BE155">
        <v>28.1006</v>
      </c>
      <c r="BF155">
        <v>0</v>
      </c>
      <c r="BG155">
        <v>0</v>
      </c>
      <c r="BH155">
        <v>10022.5</v>
      </c>
      <c r="BI155">
        <v>1071.67</v>
      </c>
      <c r="BJ155">
        <v>1.5137799999999999</v>
      </c>
      <c r="BK155">
        <v>-211.29900000000001</v>
      </c>
      <c r="BL155">
        <v>602.78599999999994</v>
      </c>
      <c r="BM155">
        <v>808.76300000000003</v>
      </c>
      <c r="BN155">
        <v>12.5581</v>
      </c>
      <c r="BO155">
        <v>799.93899999999996</v>
      </c>
      <c r="BP155">
        <v>10.9102</v>
      </c>
      <c r="BQ155">
        <v>2.3249</v>
      </c>
      <c r="BR155">
        <v>1.08083</v>
      </c>
      <c r="BS155">
        <v>19.850000000000001</v>
      </c>
      <c r="BT155">
        <v>8.0540299999999991</v>
      </c>
      <c r="BU155">
        <v>1800</v>
      </c>
      <c r="BV155">
        <v>0.91000199999999998</v>
      </c>
      <c r="BW155">
        <v>3.40004E-2</v>
      </c>
      <c r="BX155">
        <v>2.20003E-2</v>
      </c>
      <c r="BY155">
        <v>3.3997600000000003E-2</v>
      </c>
      <c r="BZ155">
        <v>26</v>
      </c>
      <c r="CA155">
        <v>33528.300000000003</v>
      </c>
      <c r="CB155">
        <v>1690226183.5999999</v>
      </c>
      <c r="CC155" t="s">
        <v>332</v>
      </c>
      <c r="CD155">
        <v>1690226177.5999999</v>
      </c>
      <c r="CE155">
        <v>1690226183.5999999</v>
      </c>
      <c r="CF155">
        <v>12</v>
      </c>
      <c r="CG155">
        <v>-0.255</v>
      </c>
      <c r="CH155">
        <v>0.113</v>
      </c>
      <c r="CI155">
        <v>-0.439</v>
      </c>
      <c r="CJ155">
        <v>0.31</v>
      </c>
      <c r="CK155">
        <v>800</v>
      </c>
      <c r="CL155">
        <v>25</v>
      </c>
      <c r="CM155">
        <v>0.02</v>
      </c>
      <c r="CN155">
        <v>0.03</v>
      </c>
      <c r="CO155">
        <v>-209.38456097560979</v>
      </c>
      <c r="CP155">
        <v>-10.384996515679591</v>
      </c>
      <c r="CQ155">
        <v>1.02603152256954</v>
      </c>
      <c r="CR155">
        <v>-1</v>
      </c>
      <c r="CS155">
        <v>12.44766585365854</v>
      </c>
      <c r="CT155">
        <v>0.79549547038329516</v>
      </c>
      <c r="CU155">
        <v>8.0442964523595381E-2</v>
      </c>
      <c r="CV155">
        <v>-1</v>
      </c>
      <c r="CW155">
        <v>0</v>
      </c>
      <c r="CX155">
        <v>0</v>
      </c>
      <c r="CY155" t="s">
        <v>333</v>
      </c>
      <c r="CZ155">
        <v>2.3644799999999999</v>
      </c>
      <c r="DA155">
        <v>2.71387</v>
      </c>
      <c r="DB155">
        <v>0.118881</v>
      </c>
      <c r="DC155">
        <v>0.14615600000000001</v>
      </c>
      <c r="DD155">
        <v>0.111681</v>
      </c>
      <c r="DE155">
        <v>6.3217999999999996E-2</v>
      </c>
      <c r="DF155">
        <v>32179</v>
      </c>
      <c r="DG155">
        <v>27529.7</v>
      </c>
      <c r="DH155">
        <v>31177.599999999999</v>
      </c>
      <c r="DI155">
        <v>28094.400000000001</v>
      </c>
      <c r="DJ155">
        <v>37601.5</v>
      </c>
      <c r="DK155">
        <v>37428.300000000003</v>
      </c>
      <c r="DL155">
        <v>44371.6</v>
      </c>
      <c r="DM155">
        <v>42585.4</v>
      </c>
      <c r="DN155">
        <v>1.4802</v>
      </c>
      <c r="DO155">
        <v>2.04352</v>
      </c>
      <c r="DP155">
        <v>9.8310400000000006E-2</v>
      </c>
      <c r="DQ155">
        <v>0.18002499999999999</v>
      </c>
      <c r="DR155">
        <v>25.375900000000001</v>
      </c>
      <c r="DS155">
        <v>25.154699999999998</v>
      </c>
      <c r="DT155">
        <v>52</v>
      </c>
      <c r="DU155">
        <v>29.2</v>
      </c>
      <c r="DV155">
        <v>21.357099999999999</v>
      </c>
      <c r="DW155">
        <v>61.642400000000002</v>
      </c>
      <c r="DX155">
        <v>37.019199999999998</v>
      </c>
      <c r="DY155">
        <v>1</v>
      </c>
      <c r="DZ155">
        <v>-9.11941E-2</v>
      </c>
      <c r="EA155">
        <v>0.312002</v>
      </c>
      <c r="EB155">
        <v>20.189</v>
      </c>
      <c r="EC155">
        <v>5.2411000000000003</v>
      </c>
      <c r="ED155">
        <v>12.039899999999999</v>
      </c>
      <c r="EE155">
        <v>5.0164499999999999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1.86463</v>
      </c>
      <c r="EM155">
        <v>1.8692</v>
      </c>
      <c r="EN155">
        <v>1.8672200000000001</v>
      </c>
      <c r="EO155">
        <v>1.8633999999999999</v>
      </c>
      <c r="EP155">
        <v>1.8645099999999999</v>
      </c>
      <c r="EQ155">
        <v>1.8701300000000001</v>
      </c>
      <c r="ER155">
        <v>1.86947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-0.29099999999999998</v>
      </c>
      <c r="FG155">
        <v>0.30990000000000001</v>
      </c>
      <c r="FH155">
        <v>0.1121710645629533</v>
      </c>
      <c r="FI155">
        <v>-6.1462078757559423E-4</v>
      </c>
      <c r="FJ155">
        <v>-1.8861989874597051E-7</v>
      </c>
      <c r="FK155">
        <v>1.1980462299894961E-10</v>
      </c>
      <c r="FL155">
        <v>0.30996499999999833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33.6</v>
      </c>
      <c r="FU155">
        <v>33.5</v>
      </c>
      <c r="FV155">
        <v>1.7761199999999999</v>
      </c>
      <c r="FW155">
        <v>2.5927699999999998</v>
      </c>
      <c r="FX155">
        <v>1.5490699999999999</v>
      </c>
      <c r="FY155">
        <v>2.3278799999999999</v>
      </c>
      <c r="FZ155">
        <v>1.50024</v>
      </c>
      <c r="GA155">
        <v>2.3059099999999999</v>
      </c>
      <c r="GB155">
        <v>33.963900000000002</v>
      </c>
      <c r="GC155">
        <v>23.973700000000001</v>
      </c>
      <c r="GD155">
        <v>19</v>
      </c>
      <c r="GE155">
        <v>284.67399999999998</v>
      </c>
      <c r="GF155">
        <v>589.29600000000005</v>
      </c>
      <c r="GG155">
        <v>24.3932</v>
      </c>
      <c r="GH155">
        <v>26.235399999999998</v>
      </c>
      <c r="GI155">
        <v>30.000499999999999</v>
      </c>
      <c r="GJ155">
        <v>26.370100000000001</v>
      </c>
      <c r="GK155">
        <v>26.3565</v>
      </c>
      <c r="GL155">
        <v>35.517800000000001</v>
      </c>
      <c r="GM155">
        <v>52.013599999999997</v>
      </c>
      <c r="GN155">
        <v>74.083299999999994</v>
      </c>
      <c r="GO155">
        <v>24.3734</v>
      </c>
      <c r="GP155">
        <v>800</v>
      </c>
      <c r="GQ155">
        <v>10.806900000000001</v>
      </c>
      <c r="GR155">
        <v>99.758899999999997</v>
      </c>
      <c r="GS155">
        <v>99.618300000000005</v>
      </c>
    </row>
    <row r="156" spans="1:201" x14ac:dyDescent="0.25">
      <c r="A156">
        <v>140</v>
      </c>
      <c r="B156">
        <v>1690228205.5</v>
      </c>
      <c r="C156">
        <v>1635.900000095367</v>
      </c>
      <c r="D156" t="s">
        <v>611</v>
      </c>
      <c r="E156" t="s">
        <v>612</v>
      </c>
      <c r="F156" t="s">
        <v>330</v>
      </c>
      <c r="H156">
        <v>1690228205.5</v>
      </c>
      <c r="I156">
        <f t="shared" si="60"/>
        <v>1.2009796147889619E-3</v>
      </c>
      <c r="J156">
        <f t="shared" si="61"/>
        <v>1.200979614788962</v>
      </c>
      <c r="K156">
        <f t="shared" si="62"/>
        <v>19.037616212805318</v>
      </c>
      <c r="L156">
        <f t="shared" si="63"/>
        <v>586.91800000000001</v>
      </c>
      <c r="M156">
        <f t="shared" si="64"/>
        <v>176.40868775167701</v>
      </c>
      <c r="N156">
        <f t="shared" si="65"/>
        <v>17.494159301478984</v>
      </c>
      <c r="O156">
        <f t="shared" si="66"/>
        <v>58.203692345122796</v>
      </c>
      <c r="P156">
        <f t="shared" si="67"/>
        <v>7.7296548779119095E-2</v>
      </c>
      <c r="Q156">
        <f t="shared" si="68"/>
        <v>2.1314938141379121</v>
      </c>
      <c r="R156">
        <f t="shared" si="69"/>
        <v>7.5772407600168429E-2</v>
      </c>
      <c r="S156">
        <f t="shared" si="70"/>
        <v>4.7492189645429984E-2</v>
      </c>
      <c r="T156">
        <f t="shared" si="71"/>
        <v>276.11512997400007</v>
      </c>
      <c r="U156">
        <f t="shared" si="72"/>
        <v>28.244120829060616</v>
      </c>
      <c r="V156">
        <f t="shared" si="73"/>
        <v>28.244120829060616</v>
      </c>
      <c r="W156">
        <f t="shared" si="74"/>
        <v>3.8491820293952865</v>
      </c>
      <c r="X156">
        <f t="shared" si="75"/>
        <v>67.016332247708206</v>
      </c>
      <c r="Y156">
        <f t="shared" si="76"/>
        <v>2.3263210127131804</v>
      </c>
      <c r="Z156">
        <f t="shared" si="77"/>
        <v>3.4712747395881767</v>
      </c>
      <c r="AA156">
        <f t="shared" si="78"/>
        <v>1.5228610166821062</v>
      </c>
      <c r="AB156">
        <f t="shared" si="79"/>
        <v>-52.963201012193224</v>
      </c>
      <c r="AC156">
        <f t="shared" si="80"/>
        <v>-202.7320748624773</v>
      </c>
      <c r="AD156">
        <f t="shared" si="81"/>
        <v>-20.60100225871042</v>
      </c>
      <c r="AE156">
        <f t="shared" si="82"/>
        <v>-0.18114815938088213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52506.745002842625</v>
      </c>
      <c r="AK156">
        <f t="shared" si="86"/>
        <v>1800</v>
      </c>
      <c r="AL156">
        <f t="shared" si="87"/>
        <v>1499.1118164</v>
      </c>
      <c r="AM156">
        <f t="shared" si="88"/>
        <v>0.83283989799999991</v>
      </c>
      <c r="AN156">
        <f t="shared" si="89"/>
        <v>0.15339729443000003</v>
      </c>
      <c r="AO156">
        <v>32.4</v>
      </c>
      <c r="AP156">
        <v>0.5</v>
      </c>
      <c r="AQ156" t="s">
        <v>331</v>
      </c>
      <c r="AR156">
        <v>2</v>
      </c>
      <c r="AS156">
        <v>1690228205.5</v>
      </c>
      <c r="AT156">
        <v>586.91800000000001</v>
      </c>
      <c r="AU156">
        <v>799.99699999999996</v>
      </c>
      <c r="AV156">
        <v>23.458300000000001</v>
      </c>
      <c r="AW156">
        <v>10.8003</v>
      </c>
      <c r="AX156">
        <v>587.20799999999997</v>
      </c>
      <c r="AY156">
        <v>23.148299999999999</v>
      </c>
      <c r="AZ156">
        <v>300.197</v>
      </c>
      <c r="BA156">
        <v>99.068399999999997</v>
      </c>
      <c r="BB156">
        <v>9.9954600000000005E-2</v>
      </c>
      <c r="BC156">
        <v>26.479900000000001</v>
      </c>
      <c r="BD156">
        <v>27.0059</v>
      </c>
      <c r="BE156">
        <v>28.091699999999999</v>
      </c>
      <c r="BF156">
        <v>0</v>
      </c>
      <c r="BG156">
        <v>0</v>
      </c>
      <c r="BH156">
        <v>10006.200000000001</v>
      </c>
      <c r="BI156">
        <v>1071.67</v>
      </c>
      <c r="BJ156">
        <v>1.5137799999999999</v>
      </c>
      <c r="BK156">
        <v>-213.07900000000001</v>
      </c>
      <c r="BL156">
        <v>601.01700000000005</v>
      </c>
      <c r="BM156">
        <v>808.73199999999997</v>
      </c>
      <c r="BN156">
        <v>12.657999999999999</v>
      </c>
      <c r="BO156">
        <v>799.99699999999996</v>
      </c>
      <c r="BP156">
        <v>10.8003</v>
      </c>
      <c r="BQ156">
        <v>2.3239700000000001</v>
      </c>
      <c r="BR156">
        <v>1.06996</v>
      </c>
      <c r="BS156">
        <v>19.843499999999999</v>
      </c>
      <c r="BT156">
        <v>7.9056100000000002</v>
      </c>
      <c r="BU156">
        <v>1800</v>
      </c>
      <c r="BV156">
        <v>0.91000300000000001</v>
      </c>
      <c r="BW156">
        <v>3.3999700000000001E-2</v>
      </c>
      <c r="BX156">
        <v>2.1999899999999999E-2</v>
      </c>
      <c r="BY156">
        <v>3.3996899999999997E-2</v>
      </c>
      <c r="BZ156">
        <v>26</v>
      </c>
      <c r="CA156">
        <v>33528.300000000003</v>
      </c>
      <c r="CB156">
        <v>1690226183.5999999</v>
      </c>
      <c r="CC156" t="s">
        <v>332</v>
      </c>
      <c r="CD156">
        <v>1690226177.5999999</v>
      </c>
      <c r="CE156">
        <v>1690226183.5999999</v>
      </c>
      <c r="CF156">
        <v>12</v>
      </c>
      <c r="CG156">
        <v>-0.255</v>
      </c>
      <c r="CH156">
        <v>0.113</v>
      </c>
      <c r="CI156">
        <v>-0.439</v>
      </c>
      <c r="CJ156">
        <v>0.31</v>
      </c>
      <c r="CK156">
        <v>800</v>
      </c>
      <c r="CL156">
        <v>25</v>
      </c>
      <c r="CM156">
        <v>0.02</v>
      </c>
      <c r="CN156">
        <v>0.03</v>
      </c>
      <c r="CO156">
        <v>-211.10397560975611</v>
      </c>
      <c r="CP156">
        <v>-10.305825783972059</v>
      </c>
      <c r="CQ156">
        <v>1.016957213954881</v>
      </c>
      <c r="CR156">
        <v>-1</v>
      </c>
      <c r="CS156">
        <v>12.55660487804878</v>
      </c>
      <c r="CT156">
        <v>0.47354425087108792</v>
      </c>
      <c r="CU156">
        <v>4.746547372266318E-2</v>
      </c>
      <c r="CV156">
        <v>-1</v>
      </c>
      <c r="CW156">
        <v>0</v>
      </c>
      <c r="CX156">
        <v>0</v>
      </c>
      <c r="CY156" t="s">
        <v>333</v>
      </c>
      <c r="CZ156">
        <v>2.36463</v>
      </c>
      <c r="DA156">
        <v>2.7137500000000001</v>
      </c>
      <c r="DB156">
        <v>0.11863899999999999</v>
      </c>
      <c r="DC156">
        <v>0.14616499999999999</v>
      </c>
      <c r="DD156">
        <v>0.11165</v>
      </c>
      <c r="DE156">
        <v>6.2734100000000001E-2</v>
      </c>
      <c r="DF156">
        <v>32188.3</v>
      </c>
      <c r="DG156">
        <v>27529.5</v>
      </c>
      <c r="DH156">
        <v>31178</v>
      </c>
      <c r="DI156">
        <v>28094.5</v>
      </c>
      <c r="DJ156">
        <v>37603.1</v>
      </c>
      <c r="DK156">
        <v>37447.800000000003</v>
      </c>
      <c r="DL156">
        <v>44371.9</v>
      </c>
      <c r="DM156">
        <v>42585.5</v>
      </c>
      <c r="DN156">
        <v>1.47997</v>
      </c>
      <c r="DO156">
        <v>2.0432800000000002</v>
      </c>
      <c r="DP156">
        <v>9.9409399999999995E-2</v>
      </c>
      <c r="DQ156">
        <v>0.17918600000000001</v>
      </c>
      <c r="DR156">
        <v>25.3781</v>
      </c>
      <c r="DS156">
        <v>25.159400000000002</v>
      </c>
      <c r="DT156">
        <v>51.8</v>
      </c>
      <c r="DU156">
        <v>29.2</v>
      </c>
      <c r="DV156">
        <v>21.270800000000001</v>
      </c>
      <c r="DW156">
        <v>61.9024</v>
      </c>
      <c r="DX156">
        <v>36.165900000000001</v>
      </c>
      <c r="DY156">
        <v>1</v>
      </c>
      <c r="DZ156">
        <v>-9.11357E-2</v>
      </c>
      <c r="EA156">
        <v>0.22486700000000001</v>
      </c>
      <c r="EB156">
        <v>20.188700000000001</v>
      </c>
      <c r="EC156">
        <v>5.2404999999999999</v>
      </c>
      <c r="ED156">
        <v>12.039899999999999</v>
      </c>
      <c r="EE156">
        <v>5.0151500000000002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1.8646400000000001</v>
      </c>
      <c r="EM156">
        <v>1.8691899999999999</v>
      </c>
      <c r="EN156">
        <v>1.8672299999999999</v>
      </c>
      <c r="EO156">
        <v>1.8633999999999999</v>
      </c>
      <c r="EP156">
        <v>1.86449</v>
      </c>
      <c r="EQ156">
        <v>1.8701399999999999</v>
      </c>
      <c r="ER156">
        <v>1.86944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-0.28999999999999998</v>
      </c>
      <c r="FG156">
        <v>0.31</v>
      </c>
      <c r="FH156">
        <v>0.1121710645629533</v>
      </c>
      <c r="FI156">
        <v>-6.1462078757559423E-4</v>
      </c>
      <c r="FJ156">
        <v>-1.8861989874597051E-7</v>
      </c>
      <c r="FK156">
        <v>1.1980462299894961E-10</v>
      </c>
      <c r="FL156">
        <v>0.30996499999999833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33.799999999999997</v>
      </c>
      <c r="FU156">
        <v>33.700000000000003</v>
      </c>
      <c r="FV156">
        <v>1.7761199999999999</v>
      </c>
      <c r="FW156">
        <v>2.5830099999999998</v>
      </c>
      <c r="FX156">
        <v>1.5490699999999999</v>
      </c>
      <c r="FY156">
        <v>2.3278799999999999</v>
      </c>
      <c r="FZ156">
        <v>1.50146</v>
      </c>
      <c r="GA156">
        <v>2.3950200000000001</v>
      </c>
      <c r="GB156">
        <v>33.963900000000002</v>
      </c>
      <c r="GC156">
        <v>23.991199999999999</v>
      </c>
      <c r="GD156">
        <v>19</v>
      </c>
      <c r="GE156">
        <v>284.56900000000002</v>
      </c>
      <c r="GF156">
        <v>589.06399999999996</v>
      </c>
      <c r="GG156">
        <v>24.3673</v>
      </c>
      <c r="GH156">
        <v>26.235399999999998</v>
      </c>
      <c r="GI156">
        <v>30.0001</v>
      </c>
      <c r="GJ156">
        <v>26.368099999999998</v>
      </c>
      <c r="GK156">
        <v>26.354500000000002</v>
      </c>
      <c r="GL156">
        <v>35.512099999999997</v>
      </c>
      <c r="GM156">
        <v>52.291800000000002</v>
      </c>
      <c r="GN156">
        <v>73.303899999999999</v>
      </c>
      <c r="GO156">
        <v>24.3721</v>
      </c>
      <c r="GP156">
        <v>800</v>
      </c>
      <c r="GQ156">
        <v>10.691000000000001</v>
      </c>
      <c r="GR156">
        <v>99.759900000000002</v>
      </c>
      <c r="GS156">
        <v>99.618600000000001</v>
      </c>
    </row>
    <row r="157" spans="1:201" x14ac:dyDescent="0.25">
      <c r="A157">
        <v>141</v>
      </c>
      <c r="B157">
        <v>1690228215.5</v>
      </c>
      <c r="C157">
        <v>1645.900000095367</v>
      </c>
      <c r="D157" t="s">
        <v>613</v>
      </c>
      <c r="E157" t="s">
        <v>614</v>
      </c>
      <c r="F157" t="s">
        <v>330</v>
      </c>
      <c r="H157">
        <v>1690228215.5</v>
      </c>
      <c r="I157">
        <f t="shared" si="60"/>
        <v>1.2151352649738324E-3</v>
      </c>
      <c r="J157">
        <f t="shared" si="61"/>
        <v>1.2151352649738323</v>
      </c>
      <c r="K157">
        <f t="shared" si="62"/>
        <v>19.180901954955637</v>
      </c>
      <c r="L157">
        <f t="shared" si="63"/>
        <v>585.28</v>
      </c>
      <c r="M157">
        <f t="shared" si="64"/>
        <v>176.92353008160643</v>
      </c>
      <c r="N157">
        <f t="shared" si="65"/>
        <v>17.544505710245005</v>
      </c>
      <c r="O157">
        <f t="shared" si="66"/>
        <v>58.038906963679999</v>
      </c>
      <c r="P157">
        <f t="shared" si="67"/>
        <v>7.8308114142274232E-2</v>
      </c>
      <c r="Q157">
        <f t="shared" si="68"/>
        <v>2.1365388768828639</v>
      </c>
      <c r="R157">
        <f t="shared" si="69"/>
        <v>7.6747868033235189E-2</v>
      </c>
      <c r="S157">
        <f t="shared" si="70"/>
        <v>4.8105010196425116E-2</v>
      </c>
      <c r="T157">
        <f t="shared" si="71"/>
        <v>276.11508814200005</v>
      </c>
      <c r="U157">
        <f t="shared" si="72"/>
        <v>28.234311964053209</v>
      </c>
      <c r="V157">
        <f t="shared" si="73"/>
        <v>28.234311964053209</v>
      </c>
      <c r="W157">
        <f t="shared" si="74"/>
        <v>3.8469855149012666</v>
      </c>
      <c r="X157">
        <f t="shared" si="75"/>
        <v>67.005683429107833</v>
      </c>
      <c r="Y157">
        <f t="shared" si="76"/>
        <v>2.3258005124490002</v>
      </c>
      <c r="Z157">
        <f t="shared" si="77"/>
        <v>3.4710496086644689</v>
      </c>
      <c r="AA157">
        <f t="shared" si="78"/>
        <v>1.5211850024522664</v>
      </c>
      <c r="AB157">
        <f t="shared" si="79"/>
        <v>-53.587465185346005</v>
      </c>
      <c r="AC157">
        <f t="shared" si="80"/>
        <v>-202.20879292048153</v>
      </c>
      <c r="AD157">
        <f t="shared" si="81"/>
        <v>-20.498189388477336</v>
      </c>
      <c r="AE157">
        <f t="shared" si="82"/>
        <v>-0.17935935230480027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52725.077630111817</v>
      </c>
      <c r="AK157">
        <f t="shared" si="86"/>
        <v>1800</v>
      </c>
      <c r="AL157">
        <f t="shared" si="87"/>
        <v>1499.1126462</v>
      </c>
      <c r="AM157">
        <f t="shared" si="88"/>
        <v>0.83284035899999997</v>
      </c>
      <c r="AN157">
        <f t="shared" si="89"/>
        <v>0.15339727119000002</v>
      </c>
      <c r="AO157">
        <v>32.4</v>
      </c>
      <c r="AP157">
        <v>0.5</v>
      </c>
      <c r="AQ157" t="s">
        <v>331</v>
      </c>
      <c r="AR157">
        <v>2</v>
      </c>
      <c r="AS157">
        <v>1690228215.5</v>
      </c>
      <c r="AT157">
        <v>585.28</v>
      </c>
      <c r="AU157">
        <v>800.01300000000003</v>
      </c>
      <c r="AV157">
        <v>23.454000000000001</v>
      </c>
      <c r="AW157">
        <v>10.644399999999999</v>
      </c>
      <c r="AX157">
        <v>585.56899999999996</v>
      </c>
      <c r="AY157">
        <v>23.143999999999998</v>
      </c>
      <c r="AZ157">
        <v>300.142</v>
      </c>
      <c r="BA157">
        <v>99.064400000000006</v>
      </c>
      <c r="BB157">
        <v>9.9943500000000005E-2</v>
      </c>
      <c r="BC157">
        <v>26.4788</v>
      </c>
      <c r="BD157">
        <v>26.997900000000001</v>
      </c>
      <c r="BE157">
        <v>28.097999999999999</v>
      </c>
      <c r="BF157">
        <v>0</v>
      </c>
      <c r="BG157">
        <v>0</v>
      </c>
      <c r="BH157">
        <v>10050</v>
      </c>
      <c r="BI157">
        <v>1071.78</v>
      </c>
      <c r="BJ157">
        <v>1.5137799999999999</v>
      </c>
      <c r="BK157">
        <v>-214.733</v>
      </c>
      <c r="BL157">
        <v>599.33699999999999</v>
      </c>
      <c r="BM157">
        <v>808.62</v>
      </c>
      <c r="BN157">
        <v>12.8096</v>
      </c>
      <c r="BO157">
        <v>800.01300000000003</v>
      </c>
      <c r="BP157">
        <v>10.644399999999999</v>
      </c>
      <c r="BQ157">
        <v>2.3234599999999999</v>
      </c>
      <c r="BR157">
        <v>1.0544800000000001</v>
      </c>
      <c r="BS157">
        <v>19.8399</v>
      </c>
      <c r="BT157">
        <v>7.6916500000000001</v>
      </c>
      <c r="BU157">
        <v>1800</v>
      </c>
      <c r="BV157">
        <v>0.91000599999999998</v>
      </c>
      <c r="BW157">
        <v>3.39987E-2</v>
      </c>
      <c r="BX157">
        <v>2.19992E-2</v>
      </c>
      <c r="BY157">
        <v>3.3995900000000003E-2</v>
      </c>
      <c r="BZ157">
        <v>26</v>
      </c>
      <c r="CA157">
        <v>33528.400000000001</v>
      </c>
      <c r="CB157">
        <v>1690226183.5999999</v>
      </c>
      <c r="CC157" t="s">
        <v>332</v>
      </c>
      <c r="CD157">
        <v>1690226177.5999999</v>
      </c>
      <c r="CE157">
        <v>1690226183.5999999</v>
      </c>
      <c r="CF157">
        <v>12</v>
      </c>
      <c r="CG157">
        <v>-0.255</v>
      </c>
      <c r="CH157">
        <v>0.113</v>
      </c>
      <c r="CI157">
        <v>-0.439</v>
      </c>
      <c r="CJ157">
        <v>0.31</v>
      </c>
      <c r="CK157">
        <v>800</v>
      </c>
      <c r="CL157">
        <v>25</v>
      </c>
      <c r="CM157">
        <v>0.02</v>
      </c>
      <c r="CN157">
        <v>0.03</v>
      </c>
      <c r="CO157">
        <v>-212.96209999999999</v>
      </c>
      <c r="CP157">
        <v>-10.254168855534971</v>
      </c>
      <c r="CQ157">
        <v>0.98743130900331422</v>
      </c>
      <c r="CR157">
        <v>-1</v>
      </c>
      <c r="CS157">
        <v>12.672135000000001</v>
      </c>
      <c r="CT157">
        <v>0.84050881801122623</v>
      </c>
      <c r="CU157">
        <v>8.1826097762266528E-2</v>
      </c>
      <c r="CV157">
        <v>-1</v>
      </c>
      <c r="CW157">
        <v>0</v>
      </c>
      <c r="CX157">
        <v>0</v>
      </c>
      <c r="CY157" t="s">
        <v>333</v>
      </c>
      <c r="CZ157">
        <v>2.3644599999999998</v>
      </c>
      <c r="DA157">
        <v>2.7137799999999999</v>
      </c>
      <c r="DB157">
        <v>0.118399</v>
      </c>
      <c r="DC157">
        <v>0.14615800000000001</v>
      </c>
      <c r="DD157">
        <v>0.111632</v>
      </c>
      <c r="DE157">
        <v>6.2039700000000003E-2</v>
      </c>
      <c r="DF157">
        <v>32197.5</v>
      </c>
      <c r="DG157">
        <v>27530.2</v>
      </c>
      <c r="DH157">
        <v>31178.6</v>
      </c>
      <c r="DI157">
        <v>28095</v>
      </c>
      <c r="DJ157">
        <v>37604.5</v>
      </c>
      <c r="DK157">
        <v>37476.300000000003</v>
      </c>
      <c r="DL157">
        <v>44372.7</v>
      </c>
      <c r="DM157">
        <v>42586.3</v>
      </c>
      <c r="DN157">
        <v>1.4799</v>
      </c>
      <c r="DO157">
        <v>2.0430999999999999</v>
      </c>
      <c r="DP157">
        <v>9.8682900000000004E-2</v>
      </c>
      <c r="DQ157">
        <v>0.179484</v>
      </c>
      <c r="DR157">
        <v>25.382000000000001</v>
      </c>
      <c r="DS157">
        <v>25.160900000000002</v>
      </c>
      <c r="DT157">
        <v>51.6</v>
      </c>
      <c r="DU157">
        <v>29.2</v>
      </c>
      <c r="DV157">
        <v>21.194700000000001</v>
      </c>
      <c r="DW157">
        <v>61.622399999999999</v>
      </c>
      <c r="DX157">
        <v>36.1218</v>
      </c>
      <c r="DY157">
        <v>1</v>
      </c>
      <c r="DZ157">
        <v>-9.1582800000000006E-2</v>
      </c>
      <c r="EA157">
        <v>0.21714600000000001</v>
      </c>
      <c r="EB157">
        <v>20.1889</v>
      </c>
      <c r="EC157">
        <v>5.2409499999999998</v>
      </c>
      <c r="ED157">
        <v>12.039899999999999</v>
      </c>
      <c r="EE157">
        <v>5.0170500000000002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1.8646400000000001</v>
      </c>
      <c r="EM157">
        <v>1.8692</v>
      </c>
      <c r="EN157">
        <v>1.8672299999999999</v>
      </c>
      <c r="EO157">
        <v>1.8633999999999999</v>
      </c>
      <c r="EP157">
        <v>1.8645499999999999</v>
      </c>
      <c r="EQ157">
        <v>1.8701399999999999</v>
      </c>
      <c r="ER157">
        <v>1.8694500000000001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-0.28899999999999998</v>
      </c>
      <c r="FG157">
        <v>0.31</v>
      </c>
      <c r="FH157">
        <v>0.1121710645629533</v>
      </c>
      <c r="FI157">
        <v>-6.1462078757559423E-4</v>
      </c>
      <c r="FJ157">
        <v>-1.8861989874597051E-7</v>
      </c>
      <c r="FK157">
        <v>1.1980462299894961E-10</v>
      </c>
      <c r="FL157">
        <v>0.30996499999999833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34</v>
      </c>
      <c r="FU157">
        <v>33.9</v>
      </c>
      <c r="FV157">
        <v>1.7761199999999999</v>
      </c>
      <c r="FW157">
        <v>2.5903299999999998</v>
      </c>
      <c r="FX157">
        <v>1.5490699999999999</v>
      </c>
      <c r="FY157">
        <v>2.3278799999999999</v>
      </c>
      <c r="FZ157">
        <v>1.50146</v>
      </c>
      <c r="GA157">
        <v>2.3034699999999999</v>
      </c>
      <c r="GB157">
        <v>33.963900000000002</v>
      </c>
      <c r="GC157">
        <v>23.982399999999998</v>
      </c>
      <c r="GD157">
        <v>19</v>
      </c>
      <c r="GE157">
        <v>284.53699999999998</v>
      </c>
      <c r="GF157">
        <v>588.91700000000003</v>
      </c>
      <c r="GG157">
        <v>24.367100000000001</v>
      </c>
      <c r="GH157">
        <v>26.2332</v>
      </c>
      <c r="GI157">
        <v>29.9998</v>
      </c>
      <c r="GJ157">
        <v>26.368099999999998</v>
      </c>
      <c r="GK157">
        <v>26.354299999999999</v>
      </c>
      <c r="GL157">
        <v>35.508600000000001</v>
      </c>
      <c r="GM157">
        <v>52.291800000000002</v>
      </c>
      <c r="GN157">
        <v>72.919300000000007</v>
      </c>
      <c r="GO157">
        <v>24.3687</v>
      </c>
      <c r="GP157">
        <v>800</v>
      </c>
      <c r="GQ157">
        <v>10.5771</v>
      </c>
      <c r="GR157">
        <v>99.761700000000005</v>
      </c>
      <c r="GS157">
        <v>99.620500000000007</v>
      </c>
    </row>
    <row r="158" spans="1:201" x14ac:dyDescent="0.25">
      <c r="A158">
        <v>142</v>
      </c>
      <c r="B158">
        <v>1690228225.5</v>
      </c>
      <c r="C158">
        <v>1655.900000095367</v>
      </c>
      <c r="D158" t="s">
        <v>615</v>
      </c>
      <c r="E158" t="s">
        <v>616</v>
      </c>
      <c r="F158" t="s">
        <v>330</v>
      </c>
      <c r="H158">
        <v>1690228225.5</v>
      </c>
      <c r="I158">
        <f t="shared" si="60"/>
        <v>1.2211050812799308E-3</v>
      </c>
      <c r="J158">
        <f t="shared" si="61"/>
        <v>1.2211050812799309</v>
      </c>
      <c r="K158">
        <f t="shared" si="62"/>
        <v>19.32458357563771</v>
      </c>
      <c r="L158">
        <f t="shared" si="63"/>
        <v>583.69600000000003</v>
      </c>
      <c r="M158">
        <f t="shared" si="64"/>
        <v>173.97147167937405</v>
      </c>
      <c r="N158">
        <f t="shared" si="65"/>
        <v>17.251604722388102</v>
      </c>
      <c r="O158">
        <f t="shared" si="66"/>
        <v>57.881286930752012</v>
      </c>
      <c r="P158">
        <f t="shared" si="67"/>
        <v>7.8624565381982217E-2</v>
      </c>
      <c r="Q158">
        <f t="shared" si="68"/>
        <v>2.1308523834605211</v>
      </c>
      <c r="R158">
        <f t="shared" si="69"/>
        <v>7.7047713643224006E-2</v>
      </c>
      <c r="S158">
        <f t="shared" si="70"/>
        <v>4.82938608936479E-2</v>
      </c>
      <c r="T158">
        <f t="shared" si="71"/>
        <v>276.11500883400004</v>
      </c>
      <c r="U158">
        <f t="shared" si="72"/>
        <v>28.238681873433766</v>
      </c>
      <c r="V158">
        <f t="shared" si="73"/>
        <v>28.238681873433766</v>
      </c>
      <c r="W158">
        <f t="shared" si="74"/>
        <v>3.8479639404582855</v>
      </c>
      <c r="X158">
        <f t="shared" si="75"/>
        <v>66.981794896736019</v>
      </c>
      <c r="Y158">
        <f t="shared" si="76"/>
        <v>2.3252729316467997</v>
      </c>
      <c r="Z158">
        <f t="shared" si="77"/>
        <v>3.4714998832617261</v>
      </c>
      <c r="AA158">
        <f t="shared" si="78"/>
        <v>1.5226910088114858</v>
      </c>
      <c r="AB158">
        <f t="shared" si="79"/>
        <v>-53.850734084444952</v>
      </c>
      <c r="AC158">
        <f t="shared" si="80"/>
        <v>-201.91988117244659</v>
      </c>
      <c r="AD158">
        <f t="shared" si="81"/>
        <v>-20.524200103734945</v>
      </c>
      <c r="AE158">
        <f t="shared" si="82"/>
        <v>-0.17980652662646435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52478.740847151224</v>
      </c>
      <c r="AK158">
        <f t="shared" si="86"/>
        <v>1800</v>
      </c>
      <c r="AL158">
        <f t="shared" si="87"/>
        <v>1499.1126443999999</v>
      </c>
      <c r="AM158">
        <f t="shared" si="88"/>
        <v>0.832840358</v>
      </c>
      <c r="AN158">
        <f t="shared" si="89"/>
        <v>0.15339722713000001</v>
      </c>
      <c r="AO158">
        <v>32.4</v>
      </c>
      <c r="AP158">
        <v>0.5</v>
      </c>
      <c r="AQ158" t="s">
        <v>331</v>
      </c>
      <c r="AR158">
        <v>2</v>
      </c>
      <c r="AS158">
        <v>1690228225.5</v>
      </c>
      <c r="AT158">
        <v>583.69600000000003</v>
      </c>
      <c r="AU158">
        <v>800.01199999999994</v>
      </c>
      <c r="AV158">
        <v>23.448899999999998</v>
      </c>
      <c r="AW158">
        <v>10.5754</v>
      </c>
      <c r="AX158">
        <v>583.98299999999995</v>
      </c>
      <c r="AY158">
        <v>23.1389</v>
      </c>
      <c r="AZ158">
        <v>300.12099999999998</v>
      </c>
      <c r="BA158">
        <v>99.063400000000001</v>
      </c>
      <c r="BB158">
        <v>0.100012</v>
      </c>
      <c r="BC158">
        <v>26.481000000000002</v>
      </c>
      <c r="BD158">
        <v>26.9907</v>
      </c>
      <c r="BE158">
        <v>28.110700000000001</v>
      </c>
      <c r="BF158">
        <v>0</v>
      </c>
      <c r="BG158">
        <v>0</v>
      </c>
      <c r="BH158">
        <v>10001.200000000001</v>
      </c>
      <c r="BI158">
        <v>1071.82</v>
      </c>
      <c r="BJ158">
        <v>1.5137799999999999</v>
      </c>
      <c r="BK158">
        <v>-216.316</v>
      </c>
      <c r="BL158">
        <v>597.71100000000001</v>
      </c>
      <c r="BM158">
        <v>808.56299999999999</v>
      </c>
      <c r="BN158">
        <v>12.8735</v>
      </c>
      <c r="BO158">
        <v>800.01199999999994</v>
      </c>
      <c r="BP158">
        <v>10.5754</v>
      </c>
      <c r="BQ158">
        <v>2.3229299999999999</v>
      </c>
      <c r="BR158">
        <v>1.0476300000000001</v>
      </c>
      <c r="BS158">
        <v>19.836300000000001</v>
      </c>
      <c r="BT158">
        <v>7.5962300000000003</v>
      </c>
      <c r="BU158">
        <v>1800</v>
      </c>
      <c r="BV158">
        <v>0.91000700000000001</v>
      </c>
      <c r="BW158">
        <v>3.3998300000000002E-2</v>
      </c>
      <c r="BX158">
        <v>2.1998899999999998E-2</v>
      </c>
      <c r="BY158">
        <v>3.3995499999999998E-2</v>
      </c>
      <c r="BZ158">
        <v>26</v>
      </c>
      <c r="CA158">
        <v>33528.300000000003</v>
      </c>
      <c r="CB158">
        <v>1690226183.5999999</v>
      </c>
      <c r="CC158" t="s">
        <v>332</v>
      </c>
      <c r="CD158">
        <v>1690226177.5999999</v>
      </c>
      <c r="CE158">
        <v>1690226183.5999999</v>
      </c>
      <c r="CF158">
        <v>12</v>
      </c>
      <c r="CG158">
        <v>-0.255</v>
      </c>
      <c r="CH158">
        <v>0.113</v>
      </c>
      <c r="CI158">
        <v>-0.439</v>
      </c>
      <c r="CJ158">
        <v>0.31</v>
      </c>
      <c r="CK158">
        <v>800</v>
      </c>
      <c r="CL158">
        <v>25</v>
      </c>
      <c r="CM158">
        <v>0.02</v>
      </c>
      <c r="CN158">
        <v>0.03</v>
      </c>
      <c r="CO158">
        <v>-214.51697560975609</v>
      </c>
      <c r="CP158">
        <v>-9.9088222996514297</v>
      </c>
      <c r="CQ158">
        <v>0.97748690934543936</v>
      </c>
      <c r="CR158">
        <v>-1</v>
      </c>
      <c r="CS158">
        <v>12.77961951219512</v>
      </c>
      <c r="CT158">
        <v>0.61692961672475533</v>
      </c>
      <c r="CU158">
        <v>6.3772469859314479E-2</v>
      </c>
      <c r="CV158">
        <v>-1</v>
      </c>
      <c r="CW158">
        <v>0</v>
      </c>
      <c r="CX158">
        <v>0</v>
      </c>
      <c r="CY158" t="s">
        <v>333</v>
      </c>
      <c r="CZ158">
        <v>2.3643900000000002</v>
      </c>
      <c r="DA158">
        <v>2.7138</v>
      </c>
      <c r="DB158">
        <v>0.118172</v>
      </c>
      <c r="DC158">
        <v>0.14615600000000001</v>
      </c>
      <c r="DD158">
        <v>0.111614</v>
      </c>
      <c r="DE158">
        <v>6.1732200000000001E-2</v>
      </c>
      <c r="DF158">
        <v>32206.1</v>
      </c>
      <c r="DG158">
        <v>27530.1</v>
      </c>
      <c r="DH158">
        <v>31178.799999999999</v>
      </c>
      <c r="DI158">
        <v>28094.799999999999</v>
      </c>
      <c r="DJ158">
        <v>37605.5</v>
      </c>
      <c r="DK158">
        <v>37488.400000000001</v>
      </c>
      <c r="DL158">
        <v>44373.1</v>
      </c>
      <c r="DM158">
        <v>42586.1</v>
      </c>
      <c r="DN158">
        <v>1.4801500000000001</v>
      </c>
      <c r="DO158">
        <v>2.0429499999999998</v>
      </c>
      <c r="DP158">
        <v>9.8086900000000005E-2</v>
      </c>
      <c r="DQ158">
        <v>0.18030399999999999</v>
      </c>
      <c r="DR158">
        <v>25.384499999999999</v>
      </c>
      <c r="DS158">
        <v>25.1602</v>
      </c>
      <c r="DT158">
        <v>51.4</v>
      </c>
      <c r="DU158">
        <v>29.2</v>
      </c>
      <c r="DV158">
        <v>21.111799999999999</v>
      </c>
      <c r="DW158">
        <v>61.192399999999999</v>
      </c>
      <c r="DX158">
        <v>37.1875</v>
      </c>
      <c r="DY158">
        <v>1</v>
      </c>
      <c r="DZ158">
        <v>-9.1692099999999999E-2</v>
      </c>
      <c r="EA158">
        <v>0.131525</v>
      </c>
      <c r="EB158">
        <v>20.1889</v>
      </c>
      <c r="EC158">
        <v>5.2413999999999996</v>
      </c>
      <c r="ED158">
        <v>12.039899999999999</v>
      </c>
      <c r="EE158">
        <v>5.0168499999999998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1.8646400000000001</v>
      </c>
      <c r="EM158">
        <v>1.8692</v>
      </c>
      <c r="EN158">
        <v>1.8672299999999999</v>
      </c>
      <c r="EO158">
        <v>1.8633999999999999</v>
      </c>
      <c r="EP158">
        <v>1.8645499999999999</v>
      </c>
      <c r="EQ158">
        <v>1.8701399999999999</v>
      </c>
      <c r="ER158">
        <v>1.86944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-0.28699999999999998</v>
      </c>
      <c r="FG158">
        <v>0.31</v>
      </c>
      <c r="FH158">
        <v>0.1121710645629533</v>
      </c>
      <c r="FI158">
        <v>-6.1462078757559423E-4</v>
      </c>
      <c r="FJ158">
        <v>-1.8861989874597051E-7</v>
      </c>
      <c r="FK158">
        <v>1.1980462299894961E-10</v>
      </c>
      <c r="FL158">
        <v>0.30996499999999833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34.1</v>
      </c>
      <c r="FU158">
        <v>34</v>
      </c>
      <c r="FV158">
        <v>1.7761199999999999</v>
      </c>
      <c r="FW158">
        <v>2.5830099999999998</v>
      </c>
      <c r="FX158">
        <v>1.5490699999999999</v>
      </c>
      <c r="FY158">
        <v>2.3278799999999999</v>
      </c>
      <c r="FZ158">
        <v>1.50146</v>
      </c>
      <c r="GA158">
        <v>2.34985</v>
      </c>
      <c r="GB158">
        <v>33.963900000000002</v>
      </c>
      <c r="GC158">
        <v>23.991199999999999</v>
      </c>
      <c r="GD158">
        <v>19</v>
      </c>
      <c r="GE158">
        <v>284.63400000000001</v>
      </c>
      <c r="GF158">
        <v>588.76800000000003</v>
      </c>
      <c r="GG158">
        <v>24.3782</v>
      </c>
      <c r="GH158">
        <v>26.2332</v>
      </c>
      <c r="GI158">
        <v>30</v>
      </c>
      <c r="GJ158">
        <v>26.3659</v>
      </c>
      <c r="GK158">
        <v>26.3522</v>
      </c>
      <c r="GL158">
        <v>35.5107</v>
      </c>
      <c r="GM158">
        <v>52.576099999999997</v>
      </c>
      <c r="GN158">
        <v>72.140600000000006</v>
      </c>
      <c r="GO158">
        <v>24.388200000000001</v>
      </c>
      <c r="GP158">
        <v>800</v>
      </c>
      <c r="GQ158">
        <v>10.463200000000001</v>
      </c>
      <c r="GR158">
        <v>99.7624</v>
      </c>
      <c r="GS158">
        <v>99.619900000000001</v>
      </c>
    </row>
    <row r="159" spans="1:201" x14ac:dyDescent="0.25">
      <c r="A159">
        <v>143</v>
      </c>
      <c r="B159">
        <v>1690228235.5</v>
      </c>
      <c r="C159">
        <v>1665.900000095367</v>
      </c>
      <c r="D159" t="s">
        <v>617</v>
      </c>
      <c r="E159" t="s">
        <v>618</v>
      </c>
      <c r="F159" t="s">
        <v>330</v>
      </c>
      <c r="H159">
        <v>1690228235.5</v>
      </c>
      <c r="I159">
        <f t="shared" si="60"/>
        <v>1.2371881885801987E-3</v>
      </c>
      <c r="J159">
        <f t="shared" si="61"/>
        <v>1.2371881885801987</v>
      </c>
      <c r="K159">
        <f t="shared" si="62"/>
        <v>19.488379871960039</v>
      </c>
      <c r="L159">
        <f t="shared" si="63"/>
        <v>582.00900000000001</v>
      </c>
      <c r="M159">
        <f t="shared" si="64"/>
        <v>174.43348127209194</v>
      </c>
      <c r="N159">
        <f t="shared" si="65"/>
        <v>17.297748325957897</v>
      </c>
      <c r="O159">
        <f t="shared" si="66"/>
        <v>57.715096505691008</v>
      </c>
      <c r="P159">
        <f t="shared" si="67"/>
        <v>7.9735744201949427E-2</v>
      </c>
      <c r="Q159">
        <f t="shared" si="68"/>
        <v>2.1283279675326883</v>
      </c>
      <c r="R159">
        <f t="shared" si="69"/>
        <v>7.8112621549492264E-2</v>
      </c>
      <c r="S159">
        <f t="shared" si="70"/>
        <v>4.8963467643569798E-2</v>
      </c>
      <c r="T159">
        <f t="shared" si="71"/>
        <v>276.11366071069625</v>
      </c>
      <c r="U159">
        <f t="shared" si="72"/>
        <v>28.236946778782407</v>
      </c>
      <c r="V159">
        <f t="shared" si="73"/>
        <v>28.236946778782407</v>
      </c>
      <c r="W159">
        <f t="shared" si="74"/>
        <v>3.8475754256539796</v>
      </c>
      <c r="X159">
        <f t="shared" si="75"/>
        <v>66.990023635437723</v>
      </c>
      <c r="Y159">
        <f t="shared" si="76"/>
        <v>2.3258328392759005</v>
      </c>
      <c r="Z159">
        <f t="shared" si="77"/>
        <v>3.4719092680623191</v>
      </c>
      <c r="AA159">
        <f t="shared" si="78"/>
        <v>1.5217425863780791</v>
      </c>
      <c r="AB159">
        <f t="shared" si="79"/>
        <v>-54.559999116386763</v>
      </c>
      <c r="AC159">
        <f t="shared" si="80"/>
        <v>-201.25209336321865</v>
      </c>
      <c r="AD159">
        <f t="shared" si="81"/>
        <v>-20.480612287193466</v>
      </c>
      <c r="AE159">
        <f t="shared" si="82"/>
        <v>-0.17904405610264007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52369.495832974811</v>
      </c>
      <c r="AK159">
        <f t="shared" si="86"/>
        <v>1799.99</v>
      </c>
      <c r="AL159">
        <f t="shared" si="87"/>
        <v>1499.1054409901699</v>
      </c>
      <c r="AM159">
        <f t="shared" si="88"/>
        <v>0.83284098299999998</v>
      </c>
      <c r="AN159">
        <f t="shared" si="89"/>
        <v>0.15339733038000003</v>
      </c>
      <c r="AO159">
        <v>32.4</v>
      </c>
      <c r="AP159">
        <v>0.5</v>
      </c>
      <c r="AQ159" t="s">
        <v>331</v>
      </c>
      <c r="AR159">
        <v>2</v>
      </c>
      <c r="AS159">
        <v>1690228235.5</v>
      </c>
      <c r="AT159">
        <v>582.00900000000001</v>
      </c>
      <c r="AU159">
        <v>800.08199999999999</v>
      </c>
      <c r="AV159">
        <v>23.4541</v>
      </c>
      <c r="AW159">
        <v>10.416499999999999</v>
      </c>
      <c r="AX159">
        <v>582.29499999999996</v>
      </c>
      <c r="AY159">
        <v>23.144100000000002</v>
      </c>
      <c r="AZ159">
        <v>300.245</v>
      </c>
      <c r="BA159">
        <v>99.065200000000004</v>
      </c>
      <c r="BB159">
        <v>0.10009899999999999</v>
      </c>
      <c r="BC159">
        <v>26.483000000000001</v>
      </c>
      <c r="BD159">
        <v>27.008299999999998</v>
      </c>
      <c r="BE159">
        <v>28.103200000000001</v>
      </c>
      <c r="BF159">
        <v>0</v>
      </c>
      <c r="BG159">
        <v>0</v>
      </c>
      <c r="BH159">
        <v>9979.3799999999992</v>
      </c>
      <c r="BI159">
        <v>1071.9000000000001</v>
      </c>
      <c r="BJ159">
        <v>1.5137799999999999</v>
      </c>
      <c r="BK159">
        <v>-218.07300000000001</v>
      </c>
      <c r="BL159">
        <v>595.98699999999997</v>
      </c>
      <c r="BM159">
        <v>808.50400000000002</v>
      </c>
      <c r="BN159">
        <v>13.037599999999999</v>
      </c>
      <c r="BO159">
        <v>800.08199999999999</v>
      </c>
      <c r="BP159">
        <v>10.416499999999999</v>
      </c>
      <c r="BQ159">
        <v>2.3234900000000001</v>
      </c>
      <c r="BR159">
        <v>1.0319100000000001</v>
      </c>
      <c r="BS159">
        <v>19.8401</v>
      </c>
      <c r="BT159">
        <v>7.3748899999999997</v>
      </c>
      <c r="BU159">
        <v>1799.99</v>
      </c>
      <c r="BV159">
        <v>0.91000800000000004</v>
      </c>
      <c r="BW159">
        <v>3.3998100000000003E-2</v>
      </c>
      <c r="BX159">
        <v>2.1998899999999998E-2</v>
      </c>
      <c r="BY159">
        <v>3.3995400000000002E-2</v>
      </c>
      <c r="BZ159">
        <v>26</v>
      </c>
      <c r="CA159">
        <v>33528.199999999997</v>
      </c>
      <c r="CB159">
        <v>1690226183.5999999</v>
      </c>
      <c r="CC159" t="s">
        <v>332</v>
      </c>
      <c r="CD159">
        <v>1690226177.5999999</v>
      </c>
      <c r="CE159">
        <v>1690226183.5999999</v>
      </c>
      <c r="CF159">
        <v>12</v>
      </c>
      <c r="CG159">
        <v>-0.255</v>
      </c>
      <c r="CH159">
        <v>0.113</v>
      </c>
      <c r="CI159">
        <v>-0.439</v>
      </c>
      <c r="CJ159">
        <v>0.31</v>
      </c>
      <c r="CK159">
        <v>800</v>
      </c>
      <c r="CL159">
        <v>25</v>
      </c>
      <c r="CM159">
        <v>0.02</v>
      </c>
      <c r="CN159">
        <v>0.03</v>
      </c>
      <c r="CO159">
        <v>-216.239025</v>
      </c>
      <c r="CP159">
        <v>-9.4683714821754261</v>
      </c>
      <c r="CQ159">
        <v>0.91149120915947501</v>
      </c>
      <c r="CR159">
        <v>-1</v>
      </c>
      <c r="CS159">
        <v>12.88472</v>
      </c>
      <c r="CT159">
        <v>0.6020352720449923</v>
      </c>
      <c r="CU159">
        <v>5.8971430370985588E-2</v>
      </c>
      <c r="CV159">
        <v>-1</v>
      </c>
      <c r="CW159">
        <v>0</v>
      </c>
      <c r="CX159">
        <v>0</v>
      </c>
      <c r="CY159" t="s">
        <v>333</v>
      </c>
      <c r="CZ159">
        <v>2.3648099999999999</v>
      </c>
      <c r="DA159">
        <v>2.71387</v>
      </c>
      <c r="DB159">
        <v>0.117932</v>
      </c>
      <c r="DC159">
        <v>0.14616399999999999</v>
      </c>
      <c r="DD159">
        <v>0.111633</v>
      </c>
      <c r="DE159">
        <v>6.1022600000000003E-2</v>
      </c>
      <c r="DF159">
        <v>32214.7</v>
      </c>
      <c r="DG159">
        <v>27530.3</v>
      </c>
      <c r="DH159">
        <v>31178.6</v>
      </c>
      <c r="DI159">
        <v>28095.200000000001</v>
      </c>
      <c r="DJ159">
        <v>37604.400000000001</v>
      </c>
      <c r="DK159">
        <v>37517.5</v>
      </c>
      <c r="DL159">
        <v>44372.800000000003</v>
      </c>
      <c r="DM159">
        <v>42586.8</v>
      </c>
      <c r="DN159">
        <v>1.48085</v>
      </c>
      <c r="DO159">
        <v>2.0425499999999999</v>
      </c>
      <c r="DP159">
        <v>9.9036799999999994E-2</v>
      </c>
      <c r="DQ159">
        <v>0.180062</v>
      </c>
      <c r="DR159">
        <v>25.386600000000001</v>
      </c>
      <c r="DS159">
        <v>25.156600000000001</v>
      </c>
      <c r="DT159">
        <v>51.2</v>
      </c>
      <c r="DU159">
        <v>29.2</v>
      </c>
      <c r="DV159">
        <v>21.028199999999998</v>
      </c>
      <c r="DW159">
        <v>61.482399999999998</v>
      </c>
      <c r="DX159">
        <v>35.993600000000001</v>
      </c>
      <c r="DY159">
        <v>1</v>
      </c>
      <c r="DZ159">
        <v>-9.1996999999999995E-2</v>
      </c>
      <c r="EA159">
        <v>9.9743999999999999E-2</v>
      </c>
      <c r="EB159">
        <v>20.1892</v>
      </c>
      <c r="EC159">
        <v>5.2409499999999998</v>
      </c>
      <c r="ED159">
        <v>12.039899999999999</v>
      </c>
      <c r="EE159">
        <v>5.01715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1.86463</v>
      </c>
      <c r="EM159">
        <v>1.8692</v>
      </c>
      <c r="EN159">
        <v>1.8672299999999999</v>
      </c>
      <c r="EO159">
        <v>1.8633999999999999</v>
      </c>
      <c r="EP159">
        <v>1.8645</v>
      </c>
      <c r="EQ159">
        <v>1.8701399999999999</v>
      </c>
      <c r="ER159">
        <v>1.86944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-0.28599999999999998</v>
      </c>
      <c r="FG159">
        <v>0.31</v>
      </c>
      <c r="FH159">
        <v>0.1121710645629533</v>
      </c>
      <c r="FI159">
        <v>-6.1462078757559423E-4</v>
      </c>
      <c r="FJ159">
        <v>-1.8861989874597051E-7</v>
      </c>
      <c r="FK159">
        <v>1.1980462299894961E-10</v>
      </c>
      <c r="FL159">
        <v>0.30996499999999833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34.299999999999997</v>
      </c>
      <c r="FU159">
        <v>34.200000000000003</v>
      </c>
      <c r="FV159">
        <v>1.7761199999999999</v>
      </c>
      <c r="FW159">
        <v>2.5866699999999998</v>
      </c>
      <c r="FX159">
        <v>1.5490699999999999</v>
      </c>
      <c r="FY159">
        <v>2.3278799999999999</v>
      </c>
      <c r="FZ159">
        <v>1.50146</v>
      </c>
      <c r="GA159">
        <v>2.3803700000000001</v>
      </c>
      <c r="GB159">
        <v>33.963900000000002</v>
      </c>
      <c r="GC159">
        <v>23.991199999999999</v>
      </c>
      <c r="GD159">
        <v>19</v>
      </c>
      <c r="GE159">
        <v>284.93400000000003</v>
      </c>
      <c r="GF159">
        <v>588.428</v>
      </c>
      <c r="GG159">
        <v>24.415199999999999</v>
      </c>
      <c r="GH159">
        <v>26.2332</v>
      </c>
      <c r="GI159">
        <v>30.0001</v>
      </c>
      <c r="GJ159">
        <v>26.3659</v>
      </c>
      <c r="GK159">
        <v>26.351500000000001</v>
      </c>
      <c r="GL159">
        <v>35.5032</v>
      </c>
      <c r="GM159">
        <v>52.869399999999999</v>
      </c>
      <c r="GN159">
        <v>71.748500000000007</v>
      </c>
      <c r="GO159">
        <v>24.418800000000001</v>
      </c>
      <c r="GP159">
        <v>800</v>
      </c>
      <c r="GQ159">
        <v>10.3383</v>
      </c>
      <c r="GR159">
        <v>99.761799999999994</v>
      </c>
      <c r="GS159">
        <v>99.621499999999997</v>
      </c>
    </row>
    <row r="160" spans="1:201" x14ac:dyDescent="0.25">
      <c r="A160">
        <v>144</v>
      </c>
      <c r="B160">
        <v>1690228245.5</v>
      </c>
      <c r="C160">
        <v>1675.900000095367</v>
      </c>
      <c r="D160" t="s">
        <v>619</v>
      </c>
      <c r="E160" t="s">
        <v>620</v>
      </c>
      <c r="F160" t="s">
        <v>330</v>
      </c>
      <c r="H160">
        <v>1690228245.5</v>
      </c>
      <c r="I160">
        <f t="shared" si="60"/>
        <v>1.2466993892493699E-3</v>
      </c>
      <c r="J160">
        <f t="shared" si="61"/>
        <v>1.2466993892493698</v>
      </c>
      <c r="K160">
        <f t="shared" si="62"/>
        <v>19.617109766643878</v>
      </c>
      <c r="L160">
        <f t="shared" si="63"/>
        <v>580.39800000000002</v>
      </c>
      <c r="M160">
        <f t="shared" si="64"/>
        <v>173.78074574044518</v>
      </c>
      <c r="N160">
        <f t="shared" si="65"/>
        <v>17.233502253059367</v>
      </c>
      <c r="O160">
        <f t="shared" si="66"/>
        <v>57.556953148367398</v>
      </c>
      <c r="P160">
        <f t="shared" si="67"/>
        <v>8.045820343398076E-2</v>
      </c>
      <c r="Q160">
        <f t="shared" si="68"/>
        <v>2.1320726173657238</v>
      </c>
      <c r="R160">
        <f t="shared" si="69"/>
        <v>7.880870075770019E-2</v>
      </c>
      <c r="S160">
        <f t="shared" si="70"/>
        <v>4.9400822633737504E-2</v>
      </c>
      <c r="T160">
        <f t="shared" si="71"/>
        <v>276.11508702599997</v>
      </c>
      <c r="U160">
        <f t="shared" si="72"/>
        <v>28.226850493073712</v>
      </c>
      <c r="V160">
        <f t="shared" si="73"/>
        <v>28.226850493073712</v>
      </c>
      <c r="W160">
        <f t="shared" si="74"/>
        <v>3.8453153883250786</v>
      </c>
      <c r="X160">
        <f t="shared" si="75"/>
        <v>66.991987870146531</v>
      </c>
      <c r="Y160">
        <f t="shared" si="76"/>
        <v>2.3253525539281799</v>
      </c>
      <c r="Z160">
        <f t="shared" si="77"/>
        <v>3.4710905406113808</v>
      </c>
      <c r="AA160">
        <f t="shared" si="78"/>
        <v>1.5199628343968987</v>
      </c>
      <c r="AB160">
        <f t="shared" si="79"/>
        <v>-54.979443065897215</v>
      </c>
      <c r="AC160">
        <f t="shared" si="80"/>
        <v>-200.90544959126191</v>
      </c>
      <c r="AD160">
        <f t="shared" si="81"/>
        <v>-20.407988811380857</v>
      </c>
      <c r="AE160">
        <f t="shared" si="82"/>
        <v>-0.17779444254000509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52531.902767070846</v>
      </c>
      <c r="AK160">
        <f t="shared" si="86"/>
        <v>1800</v>
      </c>
      <c r="AL160">
        <f t="shared" si="87"/>
        <v>1499.1136325999998</v>
      </c>
      <c r="AM160">
        <f t="shared" si="88"/>
        <v>0.83284090699999991</v>
      </c>
      <c r="AN160">
        <f t="shared" si="89"/>
        <v>0.15339727056999999</v>
      </c>
      <c r="AO160">
        <v>32.4</v>
      </c>
      <c r="AP160">
        <v>0.5</v>
      </c>
      <c r="AQ160" t="s">
        <v>331</v>
      </c>
      <c r="AR160">
        <v>2</v>
      </c>
      <c r="AS160">
        <v>1690228245.5</v>
      </c>
      <c r="AT160">
        <v>580.39800000000002</v>
      </c>
      <c r="AU160">
        <v>799.97500000000002</v>
      </c>
      <c r="AV160">
        <v>23.448599999999999</v>
      </c>
      <c r="AW160">
        <v>10.306100000000001</v>
      </c>
      <c r="AX160">
        <v>580.68299999999999</v>
      </c>
      <c r="AY160">
        <v>23.1386</v>
      </c>
      <c r="AZ160">
        <v>300.14</v>
      </c>
      <c r="BA160">
        <v>99.068100000000001</v>
      </c>
      <c r="BB160">
        <v>9.9976300000000004E-2</v>
      </c>
      <c r="BC160">
        <v>26.478999999999999</v>
      </c>
      <c r="BD160">
        <v>26.9739</v>
      </c>
      <c r="BE160">
        <v>28.095800000000001</v>
      </c>
      <c r="BF160">
        <v>0</v>
      </c>
      <c r="BG160">
        <v>0</v>
      </c>
      <c r="BH160">
        <v>10011.200000000001</v>
      </c>
      <c r="BI160">
        <v>1072.02</v>
      </c>
      <c r="BJ160">
        <v>1.5137799999999999</v>
      </c>
      <c r="BK160">
        <v>-219.577</v>
      </c>
      <c r="BL160">
        <v>594.33500000000004</v>
      </c>
      <c r="BM160">
        <v>808.30600000000004</v>
      </c>
      <c r="BN160">
        <v>13.1425</v>
      </c>
      <c r="BO160">
        <v>799.97500000000002</v>
      </c>
      <c r="BP160">
        <v>10.306100000000001</v>
      </c>
      <c r="BQ160">
        <v>2.32301</v>
      </c>
      <c r="BR160">
        <v>1.0209999999999999</v>
      </c>
      <c r="BS160">
        <v>19.8368</v>
      </c>
      <c r="BT160">
        <v>7.2195900000000002</v>
      </c>
      <c r="BU160">
        <v>1800</v>
      </c>
      <c r="BV160">
        <v>0.91000899999999996</v>
      </c>
      <c r="BW160">
        <v>3.3997699999999999E-2</v>
      </c>
      <c r="BX160">
        <v>2.19986E-2</v>
      </c>
      <c r="BY160">
        <v>3.3994900000000002E-2</v>
      </c>
      <c r="BZ160">
        <v>26</v>
      </c>
      <c r="CA160">
        <v>33528.400000000001</v>
      </c>
      <c r="CB160">
        <v>1690226183.5999999</v>
      </c>
      <c r="CC160" t="s">
        <v>332</v>
      </c>
      <c r="CD160">
        <v>1690226177.5999999</v>
      </c>
      <c r="CE160">
        <v>1690226183.5999999</v>
      </c>
      <c r="CF160">
        <v>12</v>
      </c>
      <c r="CG160">
        <v>-0.255</v>
      </c>
      <c r="CH160">
        <v>0.113</v>
      </c>
      <c r="CI160">
        <v>-0.439</v>
      </c>
      <c r="CJ160">
        <v>0.31</v>
      </c>
      <c r="CK160">
        <v>800</v>
      </c>
      <c r="CL160">
        <v>25</v>
      </c>
      <c r="CM160">
        <v>0.02</v>
      </c>
      <c r="CN160">
        <v>0.03</v>
      </c>
      <c r="CO160">
        <v>-217.869325</v>
      </c>
      <c r="CP160">
        <v>-10.05285928705416</v>
      </c>
      <c r="CQ160">
        <v>0.9681102568276998</v>
      </c>
      <c r="CR160">
        <v>-1</v>
      </c>
      <c r="CS160">
        <v>13.016507499999999</v>
      </c>
      <c r="CT160">
        <v>0.90867129455908968</v>
      </c>
      <c r="CU160">
        <v>8.8395575080147476E-2</v>
      </c>
      <c r="CV160">
        <v>-1</v>
      </c>
      <c r="CW160">
        <v>0</v>
      </c>
      <c r="CX160">
        <v>0</v>
      </c>
      <c r="CY160" t="s">
        <v>333</v>
      </c>
      <c r="CZ160">
        <v>2.3644699999999998</v>
      </c>
      <c r="DA160">
        <v>2.7137799999999999</v>
      </c>
      <c r="DB160">
        <v>0.117704</v>
      </c>
      <c r="DC160">
        <v>0.14615300000000001</v>
      </c>
      <c r="DD160">
        <v>0.11161799999999999</v>
      </c>
      <c r="DE160">
        <v>6.0528699999999998E-2</v>
      </c>
      <c r="DF160">
        <v>32223</v>
      </c>
      <c r="DG160">
        <v>27530.1</v>
      </c>
      <c r="DH160">
        <v>31178.6</v>
      </c>
      <c r="DI160">
        <v>28094.799999999999</v>
      </c>
      <c r="DJ160">
        <v>37605.1</v>
      </c>
      <c r="DK160">
        <v>37536.5</v>
      </c>
      <c r="DL160">
        <v>44372.800000000003</v>
      </c>
      <c r="DM160">
        <v>42585.9</v>
      </c>
      <c r="DN160">
        <v>1.4801500000000001</v>
      </c>
      <c r="DO160">
        <v>2.0426000000000002</v>
      </c>
      <c r="DP160">
        <v>9.7062399999999993E-2</v>
      </c>
      <c r="DQ160">
        <v>0.179783</v>
      </c>
      <c r="DR160">
        <v>25.384499999999999</v>
      </c>
      <c r="DS160">
        <v>25.1538</v>
      </c>
      <c r="DT160">
        <v>50.9</v>
      </c>
      <c r="DU160">
        <v>29.2</v>
      </c>
      <c r="DV160">
        <v>20.902899999999999</v>
      </c>
      <c r="DW160">
        <v>62.072400000000002</v>
      </c>
      <c r="DX160">
        <v>36.326099999999997</v>
      </c>
      <c r="DY160">
        <v>1</v>
      </c>
      <c r="DZ160">
        <v>-9.1676800000000003E-2</v>
      </c>
      <c r="EA160">
        <v>0.27785399999999999</v>
      </c>
      <c r="EB160">
        <v>20.188500000000001</v>
      </c>
      <c r="EC160">
        <v>5.2406499999999996</v>
      </c>
      <c r="ED160">
        <v>12.039899999999999</v>
      </c>
      <c r="EE160">
        <v>5.0169499999999996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1.86463</v>
      </c>
      <c r="EM160">
        <v>1.8691899999999999</v>
      </c>
      <c r="EN160">
        <v>1.8672299999999999</v>
      </c>
      <c r="EO160">
        <v>1.8633999999999999</v>
      </c>
      <c r="EP160">
        <v>1.86452</v>
      </c>
      <c r="EQ160">
        <v>1.8701399999999999</v>
      </c>
      <c r="ER160">
        <v>1.8694599999999999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-0.28499999999999998</v>
      </c>
      <c r="FG160">
        <v>0.31</v>
      </c>
      <c r="FH160">
        <v>0.1121710645629533</v>
      </c>
      <c r="FI160">
        <v>-6.1462078757559423E-4</v>
      </c>
      <c r="FJ160">
        <v>-1.8861989874597051E-7</v>
      </c>
      <c r="FK160">
        <v>1.1980462299894961E-10</v>
      </c>
      <c r="FL160">
        <v>0.30996499999999833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34.5</v>
      </c>
      <c r="FU160">
        <v>34.4</v>
      </c>
      <c r="FV160">
        <v>1.7761199999999999</v>
      </c>
      <c r="FW160">
        <v>2.5915499999999998</v>
      </c>
      <c r="FX160">
        <v>1.5490699999999999</v>
      </c>
      <c r="FY160">
        <v>2.3278799999999999</v>
      </c>
      <c r="FZ160">
        <v>1.50146</v>
      </c>
      <c r="GA160">
        <v>2.2924799999999999</v>
      </c>
      <c r="GB160">
        <v>33.963900000000002</v>
      </c>
      <c r="GC160">
        <v>23.982399999999998</v>
      </c>
      <c r="GD160">
        <v>19</v>
      </c>
      <c r="GE160">
        <v>284.62599999999998</v>
      </c>
      <c r="GF160">
        <v>588.452</v>
      </c>
      <c r="GG160">
        <v>24.388100000000001</v>
      </c>
      <c r="GH160">
        <v>26.232700000000001</v>
      </c>
      <c r="GI160">
        <v>30.000399999999999</v>
      </c>
      <c r="GJ160">
        <v>26.364000000000001</v>
      </c>
      <c r="GK160">
        <v>26.350100000000001</v>
      </c>
      <c r="GL160">
        <v>35.501399999999997</v>
      </c>
      <c r="GM160">
        <v>52.869399999999999</v>
      </c>
      <c r="GN160">
        <v>70.965100000000007</v>
      </c>
      <c r="GO160">
        <v>24.378900000000002</v>
      </c>
      <c r="GP160">
        <v>800</v>
      </c>
      <c r="GQ160">
        <v>10.227</v>
      </c>
      <c r="GR160">
        <v>99.761799999999994</v>
      </c>
      <c r="GS160">
        <v>99.619600000000005</v>
      </c>
    </row>
    <row r="161" spans="1:201" x14ac:dyDescent="0.25">
      <c r="A161">
        <v>145</v>
      </c>
      <c r="B161">
        <v>1690228255.5</v>
      </c>
      <c r="C161">
        <v>1685.900000095367</v>
      </c>
      <c r="D161" t="s">
        <v>621</v>
      </c>
      <c r="E161" t="s">
        <v>622</v>
      </c>
      <c r="F161" t="s">
        <v>330</v>
      </c>
      <c r="H161">
        <v>1690228255.5</v>
      </c>
      <c r="I161">
        <f t="shared" si="60"/>
        <v>1.25391532055665E-3</v>
      </c>
      <c r="J161">
        <f t="shared" si="61"/>
        <v>1.25391532055665</v>
      </c>
      <c r="K161">
        <f t="shared" si="62"/>
        <v>19.759402558152463</v>
      </c>
      <c r="L161">
        <f t="shared" si="63"/>
        <v>578.92100000000005</v>
      </c>
      <c r="M161">
        <f t="shared" si="64"/>
        <v>171.9503455316501</v>
      </c>
      <c r="N161">
        <f t="shared" si="65"/>
        <v>17.051419079711863</v>
      </c>
      <c r="O161">
        <f t="shared" si="66"/>
        <v>57.40857661276921</v>
      </c>
      <c r="P161">
        <f t="shared" si="67"/>
        <v>8.0971192427498562E-2</v>
      </c>
      <c r="Q161">
        <f t="shared" si="68"/>
        <v>2.129490527917417</v>
      </c>
      <c r="R161">
        <f t="shared" si="69"/>
        <v>7.9298843733638311E-2</v>
      </c>
      <c r="S161">
        <f t="shared" si="70"/>
        <v>4.9709154402164196E-2</v>
      </c>
      <c r="T161">
        <f t="shared" si="71"/>
        <v>276.11485234200001</v>
      </c>
      <c r="U161">
        <f t="shared" si="72"/>
        <v>28.217370147798867</v>
      </c>
      <c r="V161">
        <f t="shared" si="73"/>
        <v>28.217370147798867</v>
      </c>
      <c r="W161">
        <f t="shared" si="74"/>
        <v>3.8431942826007597</v>
      </c>
      <c r="X161">
        <f t="shared" si="75"/>
        <v>66.98548278577357</v>
      </c>
      <c r="Y161">
        <f t="shared" si="76"/>
        <v>2.3239069082049602</v>
      </c>
      <c r="Z161">
        <f t="shared" si="77"/>
        <v>3.4692694768462777</v>
      </c>
      <c r="AA161">
        <f t="shared" si="78"/>
        <v>1.5192873743957995</v>
      </c>
      <c r="AB161">
        <f t="shared" si="79"/>
        <v>-55.297665636548267</v>
      </c>
      <c r="AC161">
        <f t="shared" si="80"/>
        <v>-200.59551241013841</v>
      </c>
      <c r="AD161">
        <f t="shared" si="81"/>
        <v>-20.399339920858367</v>
      </c>
      <c r="AE161">
        <f t="shared" si="82"/>
        <v>-0.17766562554504617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52421.893742054192</v>
      </c>
      <c r="AK161">
        <f t="shared" si="86"/>
        <v>1800</v>
      </c>
      <c r="AL161">
        <f t="shared" si="87"/>
        <v>1499.1129521999999</v>
      </c>
      <c r="AM161">
        <f t="shared" si="88"/>
        <v>0.83284052899999994</v>
      </c>
      <c r="AN161">
        <f t="shared" si="89"/>
        <v>0.15339714019</v>
      </c>
      <c r="AO161">
        <v>32.4</v>
      </c>
      <c r="AP161">
        <v>0.5</v>
      </c>
      <c r="AQ161" t="s">
        <v>331</v>
      </c>
      <c r="AR161">
        <v>2</v>
      </c>
      <c r="AS161">
        <v>1690228255.5</v>
      </c>
      <c r="AT161">
        <v>578.92100000000005</v>
      </c>
      <c r="AU161">
        <v>800.06</v>
      </c>
      <c r="AV161">
        <v>23.434799999999999</v>
      </c>
      <c r="AW161">
        <v>10.215999999999999</v>
      </c>
      <c r="AX161">
        <v>579.20500000000004</v>
      </c>
      <c r="AY161">
        <v>23.1249</v>
      </c>
      <c r="AZ161">
        <v>300.13900000000001</v>
      </c>
      <c r="BA161">
        <v>99.064800000000005</v>
      </c>
      <c r="BB161">
        <v>9.9985199999999996E-2</v>
      </c>
      <c r="BC161">
        <v>26.470099999999999</v>
      </c>
      <c r="BD161">
        <v>27.022099999999998</v>
      </c>
      <c r="BE161">
        <v>28.072600000000001</v>
      </c>
      <c r="BF161">
        <v>0</v>
      </c>
      <c r="BG161">
        <v>0</v>
      </c>
      <c r="BH161">
        <v>9989.3799999999992</v>
      </c>
      <c r="BI161">
        <v>1072.0999999999999</v>
      </c>
      <c r="BJ161">
        <v>1.5137799999999999</v>
      </c>
      <c r="BK161">
        <v>-221.13900000000001</v>
      </c>
      <c r="BL161">
        <v>592.81299999999999</v>
      </c>
      <c r="BM161">
        <v>808.31799999999998</v>
      </c>
      <c r="BN161">
        <v>13.2188</v>
      </c>
      <c r="BO161">
        <v>800.06</v>
      </c>
      <c r="BP161">
        <v>10.215999999999999</v>
      </c>
      <c r="BQ161">
        <v>2.3215699999999999</v>
      </c>
      <c r="BR161">
        <v>1.0120499999999999</v>
      </c>
      <c r="BS161">
        <v>19.826799999999999</v>
      </c>
      <c r="BT161">
        <v>7.0910099999999998</v>
      </c>
      <c r="BU161">
        <v>1800</v>
      </c>
      <c r="BV161">
        <v>0.91000999999999999</v>
      </c>
      <c r="BW161">
        <v>3.3997100000000002E-2</v>
      </c>
      <c r="BX161">
        <v>2.1998199999999999E-2</v>
      </c>
      <c r="BY161">
        <v>3.3994299999999998E-2</v>
      </c>
      <c r="BZ161">
        <v>26</v>
      </c>
      <c r="CA161">
        <v>33528.5</v>
      </c>
      <c r="CB161">
        <v>1690226183.5999999</v>
      </c>
      <c r="CC161" t="s">
        <v>332</v>
      </c>
      <c r="CD161">
        <v>1690226177.5999999</v>
      </c>
      <c r="CE161">
        <v>1690226183.5999999</v>
      </c>
      <c r="CF161">
        <v>12</v>
      </c>
      <c r="CG161">
        <v>-0.255</v>
      </c>
      <c r="CH161">
        <v>0.113</v>
      </c>
      <c r="CI161">
        <v>-0.439</v>
      </c>
      <c r="CJ161">
        <v>0.31</v>
      </c>
      <c r="CK161">
        <v>800</v>
      </c>
      <c r="CL161">
        <v>25</v>
      </c>
      <c r="CM161">
        <v>0.02</v>
      </c>
      <c r="CN161">
        <v>0.03</v>
      </c>
      <c r="CO161">
        <v>-219.5115853658537</v>
      </c>
      <c r="CP161">
        <v>-9.0090731707323055</v>
      </c>
      <c r="CQ161">
        <v>0.8887138137289593</v>
      </c>
      <c r="CR161">
        <v>-1</v>
      </c>
      <c r="CS161">
        <v>13.139753658536581</v>
      </c>
      <c r="CT161">
        <v>0.49847247386762672</v>
      </c>
      <c r="CU161">
        <v>5.0000102914825727E-2</v>
      </c>
      <c r="CV161">
        <v>-1</v>
      </c>
      <c r="CW161">
        <v>0</v>
      </c>
      <c r="CX161">
        <v>0</v>
      </c>
      <c r="CY161" t="s">
        <v>333</v>
      </c>
      <c r="CZ161">
        <v>2.3644799999999999</v>
      </c>
      <c r="DA161">
        <v>2.7137699999999998</v>
      </c>
      <c r="DB161">
        <v>0.11748699999999999</v>
      </c>
      <c r="DC161">
        <v>0.14615700000000001</v>
      </c>
      <c r="DD161">
        <v>0.111568</v>
      </c>
      <c r="DE161">
        <v>6.0120800000000002E-2</v>
      </c>
      <c r="DF161">
        <v>32230.799999999999</v>
      </c>
      <c r="DG161">
        <v>27530.2</v>
      </c>
      <c r="DH161">
        <v>31178.5</v>
      </c>
      <c r="DI161">
        <v>28094.9</v>
      </c>
      <c r="DJ161">
        <v>37606.9</v>
      </c>
      <c r="DK161">
        <v>37553.1</v>
      </c>
      <c r="DL161">
        <v>44372.5</v>
      </c>
      <c r="DM161">
        <v>42586.2</v>
      </c>
      <c r="DN161">
        <v>1.4806699999999999</v>
      </c>
      <c r="DO161">
        <v>2.0423300000000002</v>
      </c>
      <c r="DP161">
        <v>0.100136</v>
      </c>
      <c r="DQ161">
        <v>0.17855299999999999</v>
      </c>
      <c r="DR161">
        <v>25.382300000000001</v>
      </c>
      <c r="DS161">
        <v>25.150700000000001</v>
      </c>
      <c r="DT161">
        <v>50.6</v>
      </c>
      <c r="DU161">
        <v>29.2</v>
      </c>
      <c r="DV161">
        <v>20.783100000000001</v>
      </c>
      <c r="DW161">
        <v>61.642400000000002</v>
      </c>
      <c r="DX161">
        <v>37.043300000000002</v>
      </c>
      <c r="DY161">
        <v>1</v>
      </c>
      <c r="DZ161">
        <v>-9.2095999999999997E-2</v>
      </c>
      <c r="EA161">
        <v>0.179733</v>
      </c>
      <c r="EB161">
        <v>20.188700000000001</v>
      </c>
      <c r="EC161">
        <v>5.2411000000000003</v>
      </c>
      <c r="ED161">
        <v>12.039899999999999</v>
      </c>
      <c r="EE161">
        <v>5.0171999999999999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1.8646400000000001</v>
      </c>
      <c r="EM161">
        <v>1.8691899999999999</v>
      </c>
      <c r="EN161">
        <v>1.8672200000000001</v>
      </c>
      <c r="EO161">
        <v>1.8633999999999999</v>
      </c>
      <c r="EP161">
        <v>1.8645099999999999</v>
      </c>
      <c r="EQ161">
        <v>1.87012</v>
      </c>
      <c r="ER161">
        <v>1.8694500000000001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-0.28399999999999997</v>
      </c>
      <c r="FG161">
        <v>0.30990000000000001</v>
      </c>
      <c r="FH161">
        <v>0.1121710645629533</v>
      </c>
      <c r="FI161">
        <v>-6.1462078757559423E-4</v>
      </c>
      <c r="FJ161">
        <v>-1.8861989874597051E-7</v>
      </c>
      <c r="FK161">
        <v>1.1980462299894961E-10</v>
      </c>
      <c r="FL161">
        <v>0.30996499999999833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34.6</v>
      </c>
      <c r="FU161">
        <v>34.5</v>
      </c>
      <c r="FV161">
        <v>1.7748999999999999</v>
      </c>
      <c r="FW161">
        <v>2.5927699999999998</v>
      </c>
      <c r="FX161">
        <v>1.5490699999999999</v>
      </c>
      <c r="FY161">
        <v>2.3278799999999999</v>
      </c>
      <c r="FZ161">
        <v>1.50146</v>
      </c>
      <c r="GA161">
        <v>2.2973599999999998</v>
      </c>
      <c r="GB161">
        <v>33.963900000000002</v>
      </c>
      <c r="GC161">
        <v>23.982399999999998</v>
      </c>
      <c r="GD161">
        <v>19</v>
      </c>
      <c r="GE161">
        <v>284.84899999999999</v>
      </c>
      <c r="GF161">
        <v>588.22400000000005</v>
      </c>
      <c r="GG161">
        <v>24.388300000000001</v>
      </c>
      <c r="GH161">
        <v>26.231000000000002</v>
      </c>
      <c r="GI161">
        <v>29.9999</v>
      </c>
      <c r="GJ161">
        <v>26.363700000000001</v>
      </c>
      <c r="GK161">
        <v>26.350100000000001</v>
      </c>
      <c r="GL161">
        <v>35.499899999999997</v>
      </c>
      <c r="GM161">
        <v>53.162700000000001</v>
      </c>
      <c r="GN161">
        <v>70.192899999999995</v>
      </c>
      <c r="GO161">
        <v>24.392800000000001</v>
      </c>
      <c r="GP161">
        <v>800</v>
      </c>
      <c r="GQ161">
        <v>10.119899999999999</v>
      </c>
      <c r="GR161">
        <v>99.761200000000002</v>
      </c>
      <c r="GS161">
        <v>99.6203</v>
      </c>
    </row>
    <row r="162" spans="1:201" x14ac:dyDescent="0.25">
      <c r="A162">
        <v>146</v>
      </c>
      <c r="B162">
        <v>1690228265.5</v>
      </c>
      <c r="C162">
        <v>1695.900000095367</v>
      </c>
      <c r="D162" t="s">
        <v>623</v>
      </c>
      <c r="E162" t="s">
        <v>624</v>
      </c>
      <c r="F162" t="s">
        <v>330</v>
      </c>
      <c r="H162">
        <v>1690228265.5</v>
      </c>
      <c r="I162">
        <f t="shared" si="60"/>
        <v>1.2648053141491626E-3</v>
      </c>
      <c r="J162">
        <f t="shared" si="61"/>
        <v>1.2648053141491626</v>
      </c>
      <c r="K162">
        <f t="shared" si="62"/>
        <v>19.908848523946197</v>
      </c>
      <c r="L162">
        <f t="shared" si="63"/>
        <v>577.33399999999995</v>
      </c>
      <c r="M162">
        <f t="shared" si="64"/>
        <v>170.37151543780845</v>
      </c>
      <c r="N162">
        <f t="shared" si="65"/>
        <v>16.895687474481914</v>
      </c>
      <c r="O162">
        <f t="shared" si="66"/>
        <v>57.254023991781985</v>
      </c>
      <c r="P162">
        <f t="shared" si="67"/>
        <v>8.1589641657309878E-2</v>
      </c>
      <c r="Q162">
        <f t="shared" si="68"/>
        <v>2.1305663164428905</v>
      </c>
      <c r="R162">
        <f t="shared" si="69"/>
        <v>7.9892775575265182E-2</v>
      </c>
      <c r="S162">
        <f t="shared" si="70"/>
        <v>5.0082502077666763E-2</v>
      </c>
      <c r="T162">
        <f t="shared" si="71"/>
        <v>276.114773034</v>
      </c>
      <c r="U162">
        <f t="shared" si="72"/>
        <v>28.224550827272214</v>
      </c>
      <c r="V162">
        <f t="shared" si="73"/>
        <v>28.224550827272214</v>
      </c>
      <c r="W162">
        <f t="shared" si="74"/>
        <v>3.844800773789669</v>
      </c>
      <c r="X162">
        <f t="shared" si="75"/>
        <v>66.931337654137991</v>
      </c>
      <c r="Y162">
        <f t="shared" si="76"/>
        <v>2.3236446080629998</v>
      </c>
      <c r="Z162">
        <f t="shared" si="77"/>
        <v>3.4716841012056805</v>
      </c>
      <c r="AA162">
        <f t="shared" si="78"/>
        <v>1.5211561657266692</v>
      </c>
      <c r="AB162">
        <f t="shared" si="79"/>
        <v>-55.777914353978069</v>
      </c>
      <c r="AC162">
        <f t="shared" si="80"/>
        <v>-200.16626099346212</v>
      </c>
      <c r="AD162">
        <f t="shared" si="81"/>
        <v>-20.347337236679135</v>
      </c>
      <c r="AE162">
        <f t="shared" si="82"/>
        <v>-0.17673955011932208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52466.365471416109</v>
      </c>
      <c r="AK162">
        <f t="shared" si="86"/>
        <v>1800</v>
      </c>
      <c r="AL162">
        <f t="shared" si="87"/>
        <v>1499.1129504</v>
      </c>
      <c r="AM162">
        <f t="shared" si="88"/>
        <v>0.83284052799999997</v>
      </c>
      <c r="AN162">
        <f t="shared" si="89"/>
        <v>0.15339709612999999</v>
      </c>
      <c r="AO162">
        <v>32.4</v>
      </c>
      <c r="AP162">
        <v>0.5</v>
      </c>
      <c r="AQ162" t="s">
        <v>331</v>
      </c>
      <c r="AR162">
        <v>2</v>
      </c>
      <c r="AS162">
        <v>1690228265.5</v>
      </c>
      <c r="AT162">
        <v>577.33399999999995</v>
      </c>
      <c r="AU162">
        <v>800.1</v>
      </c>
      <c r="AV162">
        <v>23.431000000000001</v>
      </c>
      <c r="AW162">
        <v>10.099299999999999</v>
      </c>
      <c r="AX162">
        <v>577.61599999999999</v>
      </c>
      <c r="AY162">
        <v>23.120999999999999</v>
      </c>
      <c r="AZ162">
        <v>300.18299999999999</v>
      </c>
      <c r="BA162">
        <v>99.069599999999994</v>
      </c>
      <c r="BB162">
        <v>0.100073</v>
      </c>
      <c r="BC162">
        <v>26.4819</v>
      </c>
      <c r="BD162">
        <v>27.009899999999998</v>
      </c>
      <c r="BE162">
        <v>28.0701</v>
      </c>
      <c r="BF162">
        <v>0</v>
      </c>
      <c r="BG162">
        <v>0</v>
      </c>
      <c r="BH162">
        <v>9998.1200000000008</v>
      </c>
      <c r="BI162">
        <v>1072.1300000000001</v>
      </c>
      <c r="BJ162">
        <v>1.5137799999999999</v>
      </c>
      <c r="BK162">
        <v>-222.76599999999999</v>
      </c>
      <c r="BL162">
        <v>591.18600000000004</v>
      </c>
      <c r="BM162">
        <v>808.26300000000003</v>
      </c>
      <c r="BN162">
        <v>13.3317</v>
      </c>
      <c r="BO162">
        <v>800.1</v>
      </c>
      <c r="BP162">
        <v>10.099299999999999</v>
      </c>
      <c r="BQ162">
        <v>2.3212999999999999</v>
      </c>
      <c r="BR162">
        <v>1.0005299999999999</v>
      </c>
      <c r="BS162">
        <v>19.8249</v>
      </c>
      <c r="BT162">
        <v>6.9241400000000004</v>
      </c>
      <c r="BU162">
        <v>1800</v>
      </c>
      <c r="BV162">
        <v>0.91001100000000001</v>
      </c>
      <c r="BW162">
        <v>3.3996699999999998E-2</v>
      </c>
      <c r="BX162">
        <v>2.1997900000000001E-2</v>
      </c>
      <c r="BY162">
        <v>3.3993900000000001E-2</v>
      </c>
      <c r="BZ162">
        <v>26</v>
      </c>
      <c r="CA162">
        <v>33528.5</v>
      </c>
      <c r="CB162">
        <v>1690226183.5999999</v>
      </c>
      <c r="CC162" t="s">
        <v>332</v>
      </c>
      <c r="CD162">
        <v>1690226177.5999999</v>
      </c>
      <c r="CE162">
        <v>1690226183.5999999</v>
      </c>
      <c r="CF162">
        <v>12</v>
      </c>
      <c r="CG162">
        <v>-0.255</v>
      </c>
      <c r="CH162">
        <v>0.113</v>
      </c>
      <c r="CI162">
        <v>-0.439</v>
      </c>
      <c r="CJ162">
        <v>0.31</v>
      </c>
      <c r="CK162">
        <v>800</v>
      </c>
      <c r="CL162">
        <v>25</v>
      </c>
      <c r="CM162">
        <v>0.02</v>
      </c>
      <c r="CN162">
        <v>0.03</v>
      </c>
      <c r="CO162">
        <v>-220.89360975609759</v>
      </c>
      <c r="CP162">
        <v>-9.3344529616723513</v>
      </c>
      <c r="CQ162">
        <v>0.92155700373027938</v>
      </c>
      <c r="CR162">
        <v>-1</v>
      </c>
      <c r="CS162">
        <v>13.21574634146342</v>
      </c>
      <c r="CT162">
        <v>0.53820000000000801</v>
      </c>
      <c r="CU162">
        <v>5.4265450076277547E-2</v>
      </c>
      <c r="CV162">
        <v>-1</v>
      </c>
      <c r="CW162">
        <v>0</v>
      </c>
      <c r="CX162">
        <v>0</v>
      </c>
      <c r="CY162" t="s">
        <v>333</v>
      </c>
      <c r="CZ162">
        <v>2.3646199999999999</v>
      </c>
      <c r="DA162">
        <v>2.7138599999999999</v>
      </c>
      <c r="DB162">
        <v>0.11726399999999999</v>
      </c>
      <c r="DC162">
        <v>0.14616699999999999</v>
      </c>
      <c r="DD162">
        <v>0.11156000000000001</v>
      </c>
      <c r="DE162">
        <v>5.9595799999999997E-2</v>
      </c>
      <c r="DF162">
        <v>32239.1</v>
      </c>
      <c r="DG162">
        <v>27529.7</v>
      </c>
      <c r="DH162">
        <v>31178.7</v>
      </c>
      <c r="DI162">
        <v>28094.7</v>
      </c>
      <c r="DJ162">
        <v>37607.599999999999</v>
      </c>
      <c r="DK162">
        <v>37573.800000000003</v>
      </c>
      <c r="DL162">
        <v>44372.9</v>
      </c>
      <c r="DM162">
        <v>42585.8</v>
      </c>
      <c r="DN162">
        <v>1.4801</v>
      </c>
      <c r="DO162">
        <v>2.04217</v>
      </c>
      <c r="DP162">
        <v>9.9521100000000001E-2</v>
      </c>
      <c r="DQ162">
        <v>0.17868400000000001</v>
      </c>
      <c r="DR162">
        <v>25.380199999999999</v>
      </c>
      <c r="DS162">
        <v>25.146100000000001</v>
      </c>
      <c r="DT162">
        <v>50.4</v>
      </c>
      <c r="DU162">
        <v>29.2</v>
      </c>
      <c r="DV162">
        <v>20.696200000000001</v>
      </c>
      <c r="DW162">
        <v>61.482399999999998</v>
      </c>
      <c r="DX162">
        <v>35.945500000000003</v>
      </c>
      <c r="DY162">
        <v>1</v>
      </c>
      <c r="DZ162">
        <v>-9.1902899999999996E-2</v>
      </c>
      <c r="EA162">
        <v>0.27677000000000002</v>
      </c>
      <c r="EB162">
        <v>20.188700000000001</v>
      </c>
      <c r="EC162">
        <v>5.24125</v>
      </c>
      <c r="ED162">
        <v>12.039899999999999</v>
      </c>
      <c r="EE162">
        <v>5.0174000000000003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1.8646400000000001</v>
      </c>
      <c r="EM162">
        <v>1.8692</v>
      </c>
      <c r="EN162">
        <v>1.8672299999999999</v>
      </c>
      <c r="EO162">
        <v>1.8633999999999999</v>
      </c>
      <c r="EP162">
        <v>1.8645400000000001</v>
      </c>
      <c r="EQ162">
        <v>1.8701300000000001</v>
      </c>
      <c r="ER162">
        <v>1.8694900000000001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-0.28199999999999997</v>
      </c>
      <c r="FG162">
        <v>0.31</v>
      </c>
      <c r="FH162">
        <v>0.1121710645629533</v>
      </c>
      <c r="FI162">
        <v>-6.1462078757559423E-4</v>
      </c>
      <c r="FJ162">
        <v>-1.8861989874597051E-7</v>
      </c>
      <c r="FK162">
        <v>1.1980462299894961E-10</v>
      </c>
      <c r="FL162">
        <v>0.30996499999999833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34.799999999999997</v>
      </c>
      <c r="FU162">
        <v>34.700000000000003</v>
      </c>
      <c r="FV162">
        <v>1.7748999999999999</v>
      </c>
      <c r="FW162">
        <v>2.5866699999999998</v>
      </c>
      <c r="FX162">
        <v>1.5490699999999999</v>
      </c>
      <c r="FY162">
        <v>2.3278799999999999</v>
      </c>
      <c r="FZ162">
        <v>1.50146</v>
      </c>
      <c r="GA162">
        <v>2.3803700000000001</v>
      </c>
      <c r="GB162">
        <v>33.963900000000002</v>
      </c>
      <c r="GC162">
        <v>23.991199999999999</v>
      </c>
      <c r="GD162">
        <v>19</v>
      </c>
      <c r="GE162">
        <v>284.60199999999998</v>
      </c>
      <c r="GF162">
        <v>588.07399999999996</v>
      </c>
      <c r="GG162">
        <v>24.378399999999999</v>
      </c>
      <c r="GH162">
        <v>26.231000000000002</v>
      </c>
      <c r="GI162">
        <v>30.0001</v>
      </c>
      <c r="GJ162">
        <v>26.363399999999999</v>
      </c>
      <c r="GK162">
        <v>26.347899999999999</v>
      </c>
      <c r="GL162">
        <v>35.494599999999998</v>
      </c>
      <c r="GM162">
        <v>53.162700000000001</v>
      </c>
      <c r="GN162">
        <v>69.804000000000002</v>
      </c>
      <c r="GO162">
        <v>24.3687</v>
      </c>
      <c r="GP162">
        <v>800</v>
      </c>
      <c r="GQ162">
        <v>10.010199999999999</v>
      </c>
      <c r="GR162">
        <v>99.762100000000004</v>
      </c>
      <c r="GS162">
        <v>99.619399999999999</v>
      </c>
    </row>
    <row r="163" spans="1:201" x14ac:dyDescent="0.25">
      <c r="A163">
        <v>147</v>
      </c>
      <c r="B163">
        <v>1690228275.5</v>
      </c>
      <c r="C163">
        <v>1705.900000095367</v>
      </c>
      <c r="D163" t="s">
        <v>625</v>
      </c>
      <c r="E163" t="s">
        <v>626</v>
      </c>
      <c r="F163" t="s">
        <v>330</v>
      </c>
      <c r="H163">
        <v>1690228275.5</v>
      </c>
      <c r="I163">
        <f t="shared" si="60"/>
        <v>1.2789154340992577E-3</v>
      </c>
      <c r="J163">
        <f t="shared" si="61"/>
        <v>1.2789154340992577</v>
      </c>
      <c r="K163">
        <f t="shared" si="62"/>
        <v>20.014122512883016</v>
      </c>
      <c r="L163">
        <f t="shared" si="63"/>
        <v>575.94100000000003</v>
      </c>
      <c r="M163">
        <f t="shared" si="64"/>
        <v>171.22779815748979</v>
      </c>
      <c r="N163">
        <f t="shared" si="65"/>
        <v>16.97993977151134</v>
      </c>
      <c r="O163">
        <f t="shared" si="66"/>
        <v>57.113643912825395</v>
      </c>
      <c r="P163">
        <f t="shared" si="67"/>
        <v>8.25069135360713E-2</v>
      </c>
      <c r="Q163">
        <f t="shared" si="68"/>
        <v>2.1253384337273911</v>
      </c>
      <c r="R163">
        <f t="shared" si="69"/>
        <v>8.0767945711671604E-2</v>
      </c>
      <c r="S163">
        <f t="shared" si="70"/>
        <v>5.0633152744984394E-2</v>
      </c>
      <c r="T163">
        <f t="shared" si="71"/>
        <v>276.11502645599995</v>
      </c>
      <c r="U163">
        <f t="shared" si="72"/>
        <v>28.220119105449406</v>
      </c>
      <c r="V163">
        <f t="shared" si="73"/>
        <v>28.220119105449406</v>
      </c>
      <c r="W163">
        <f t="shared" si="74"/>
        <v>3.8438092215404547</v>
      </c>
      <c r="X163">
        <f t="shared" si="75"/>
        <v>66.908708130380319</v>
      </c>
      <c r="Y163">
        <f t="shared" si="76"/>
        <v>2.3223933716954197</v>
      </c>
      <c r="Z163">
        <f t="shared" si="77"/>
        <v>3.4709882115343409</v>
      </c>
      <c r="AA163">
        <f t="shared" si="78"/>
        <v>1.521415849845035</v>
      </c>
      <c r="AB163">
        <f t="shared" si="79"/>
        <v>-56.400170643777265</v>
      </c>
      <c r="AC163">
        <f t="shared" si="80"/>
        <v>-199.55688653126731</v>
      </c>
      <c r="AD163">
        <f t="shared" si="81"/>
        <v>-20.334495213162651</v>
      </c>
      <c r="AE163">
        <f t="shared" si="82"/>
        <v>-0.17652593220728363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52241.479068351997</v>
      </c>
      <c r="AK163">
        <f t="shared" si="86"/>
        <v>1800</v>
      </c>
      <c r="AL163">
        <f t="shared" si="87"/>
        <v>1499.1140466000002</v>
      </c>
      <c r="AM163">
        <f t="shared" si="88"/>
        <v>0.83284113700000006</v>
      </c>
      <c r="AN163">
        <f t="shared" si="89"/>
        <v>0.15339723691999999</v>
      </c>
      <c r="AO163">
        <v>32.4</v>
      </c>
      <c r="AP163">
        <v>0.5</v>
      </c>
      <c r="AQ163" t="s">
        <v>331</v>
      </c>
      <c r="AR163">
        <v>2</v>
      </c>
      <c r="AS163">
        <v>1690228275.5</v>
      </c>
      <c r="AT163">
        <v>575.94100000000003</v>
      </c>
      <c r="AU163">
        <v>800.00900000000001</v>
      </c>
      <c r="AV163">
        <v>23.4193</v>
      </c>
      <c r="AW163">
        <v>9.9328699999999994</v>
      </c>
      <c r="AX163">
        <v>576.22299999999996</v>
      </c>
      <c r="AY163">
        <v>23.109300000000001</v>
      </c>
      <c r="AZ163">
        <v>300.053</v>
      </c>
      <c r="BA163">
        <v>99.065799999999996</v>
      </c>
      <c r="BB163">
        <v>9.9989400000000006E-2</v>
      </c>
      <c r="BC163">
        <v>26.4785</v>
      </c>
      <c r="BD163">
        <v>26.994599999999998</v>
      </c>
      <c r="BE163">
        <v>28.078299999999999</v>
      </c>
      <c r="BF163">
        <v>0</v>
      </c>
      <c r="BG163">
        <v>0</v>
      </c>
      <c r="BH163">
        <v>9953.75</v>
      </c>
      <c r="BI163">
        <v>1072.27</v>
      </c>
      <c r="BJ163">
        <v>1.5137799999999999</v>
      </c>
      <c r="BK163">
        <v>-224.06800000000001</v>
      </c>
      <c r="BL163">
        <v>589.75300000000004</v>
      </c>
      <c r="BM163">
        <v>808.03599999999994</v>
      </c>
      <c r="BN163">
        <v>13.4864</v>
      </c>
      <c r="BO163">
        <v>800.00900000000001</v>
      </c>
      <c r="BP163">
        <v>9.9328699999999994</v>
      </c>
      <c r="BQ163">
        <v>2.3200500000000002</v>
      </c>
      <c r="BR163">
        <v>0.98400799999999999</v>
      </c>
      <c r="BS163">
        <v>19.816299999999998</v>
      </c>
      <c r="BT163">
        <v>6.6817200000000003</v>
      </c>
      <c r="BU163">
        <v>1800</v>
      </c>
      <c r="BV163">
        <v>0.91001100000000001</v>
      </c>
      <c r="BW163">
        <v>3.3996999999999999E-2</v>
      </c>
      <c r="BX163">
        <v>2.19981E-2</v>
      </c>
      <c r="BY163">
        <v>3.3994200000000002E-2</v>
      </c>
      <c r="BZ163">
        <v>26</v>
      </c>
      <c r="CA163">
        <v>33528.5</v>
      </c>
      <c r="CB163">
        <v>1690226183.5999999</v>
      </c>
      <c r="CC163" t="s">
        <v>332</v>
      </c>
      <c r="CD163">
        <v>1690226177.5999999</v>
      </c>
      <c r="CE163">
        <v>1690226183.5999999</v>
      </c>
      <c r="CF163">
        <v>12</v>
      </c>
      <c r="CG163">
        <v>-0.255</v>
      </c>
      <c r="CH163">
        <v>0.113</v>
      </c>
      <c r="CI163">
        <v>-0.439</v>
      </c>
      <c r="CJ163">
        <v>0.31</v>
      </c>
      <c r="CK163">
        <v>800</v>
      </c>
      <c r="CL163">
        <v>25</v>
      </c>
      <c r="CM163">
        <v>0.02</v>
      </c>
      <c r="CN163">
        <v>0.03</v>
      </c>
      <c r="CO163">
        <v>-222.5847317073171</v>
      </c>
      <c r="CP163">
        <v>-9.0086968641110765</v>
      </c>
      <c r="CQ163">
        <v>0.89009892638444532</v>
      </c>
      <c r="CR163">
        <v>-1</v>
      </c>
      <c r="CS163">
        <v>13.327804878048781</v>
      </c>
      <c r="CT163">
        <v>0.7361059233449877</v>
      </c>
      <c r="CU163">
        <v>7.3733048324540529E-2</v>
      </c>
      <c r="CV163">
        <v>-1</v>
      </c>
      <c r="CW163">
        <v>0</v>
      </c>
      <c r="CX163">
        <v>0</v>
      </c>
      <c r="CY163" t="s">
        <v>333</v>
      </c>
      <c r="CZ163">
        <v>2.3641899999999998</v>
      </c>
      <c r="DA163">
        <v>2.71374</v>
      </c>
      <c r="DB163">
        <v>0.117059</v>
      </c>
      <c r="DC163">
        <v>0.146148</v>
      </c>
      <c r="DD163">
        <v>0.11151700000000001</v>
      </c>
      <c r="DE163">
        <v>5.8837100000000003E-2</v>
      </c>
      <c r="DF163">
        <v>32246.5</v>
      </c>
      <c r="DG163">
        <v>27530.3</v>
      </c>
      <c r="DH163">
        <v>31178.5</v>
      </c>
      <c r="DI163">
        <v>28094.799999999999</v>
      </c>
      <c r="DJ163">
        <v>37609.1</v>
      </c>
      <c r="DK163">
        <v>37604.300000000003</v>
      </c>
      <c r="DL163">
        <v>44372.5</v>
      </c>
      <c r="DM163">
        <v>42586</v>
      </c>
      <c r="DN163">
        <v>1.4803500000000001</v>
      </c>
      <c r="DO163">
        <v>2.0423800000000001</v>
      </c>
      <c r="DP163">
        <v>9.8627099999999995E-2</v>
      </c>
      <c r="DQ163">
        <v>0.17935400000000001</v>
      </c>
      <c r="DR163">
        <v>25.3795</v>
      </c>
      <c r="DS163">
        <v>25.1433</v>
      </c>
      <c r="DT163">
        <v>50.1</v>
      </c>
      <c r="DU163">
        <v>29.2</v>
      </c>
      <c r="DV163">
        <v>20.575199999999999</v>
      </c>
      <c r="DW163">
        <v>62.072400000000002</v>
      </c>
      <c r="DX163">
        <v>36.201900000000002</v>
      </c>
      <c r="DY163">
        <v>1</v>
      </c>
      <c r="DZ163">
        <v>-9.1488799999999995E-2</v>
      </c>
      <c r="EA163">
        <v>0.27104800000000001</v>
      </c>
      <c r="EB163">
        <v>20.188400000000001</v>
      </c>
      <c r="EC163">
        <v>5.24125</v>
      </c>
      <c r="ED163">
        <v>12.039899999999999</v>
      </c>
      <c r="EE163">
        <v>5.0173500000000004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1.8646400000000001</v>
      </c>
      <c r="EM163">
        <v>1.8692</v>
      </c>
      <c r="EN163">
        <v>1.86724</v>
      </c>
      <c r="EO163">
        <v>1.8633999999999999</v>
      </c>
      <c r="EP163">
        <v>1.86452</v>
      </c>
      <c r="EQ163">
        <v>1.87015</v>
      </c>
      <c r="ER163">
        <v>1.86947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-0.28199999999999997</v>
      </c>
      <c r="FG163">
        <v>0.31</v>
      </c>
      <c r="FH163">
        <v>0.1121710645629533</v>
      </c>
      <c r="FI163">
        <v>-6.1462078757559423E-4</v>
      </c>
      <c r="FJ163">
        <v>-1.8861989874597051E-7</v>
      </c>
      <c r="FK163">
        <v>1.1980462299894961E-10</v>
      </c>
      <c r="FL163">
        <v>0.30996499999999833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35</v>
      </c>
      <c r="FU163">
        <v>34.9</v>
      </c>
      <c r="FV163">
        <v>1.7748999999999999</v>
      </c>
      <c r="FW163">
        <v>2.5927699999999998</v>
      </c>
      <c r="FX163">
        <v>1.5490699999999999</v>
      </c>
      <c r="FY163">
        <v>2.3278799999999999</v>
      </c>
      <c r="FZ163">
        <v>1.50146</v>
      </c>
      <c r="GA163">
        <v>2.2973599999999998</v>
      </c>
      <c r="GB163">
        <v>33.963900000000002</v>
      </c>
      <c r="GC163">
        <v>23.982399999999998</v>
      </c>
      <c r="GD163">
        <v>19</v>
      </c>
      <c r="GE163">
        <v>284.7</v>
      </c>
      <c r="GF163">
        <v>588.226</v>
      </c>
      <c r="GG163">
        <v>24.346499999999999</v>
      </c>
      <c r="GH163">
        <v>26.2288</v>
      </c>
      <c r="GI163">
        <v>30.000299999999999</v>
      </c>
      <c r="GJ163">
        <v>26.361499999999999</v>
      </c>
      <c r="GK163">
        <v>26.346599999999999</v>
      </c>
      <c r="GL163">
        <v>35.493400000000001</v>
      </c>
      <c r="GM163">
        <v>53.453200000000002</v>
      </c>
      <c r="GN163">
        <v>69.026300000000006</v>
      </c>
      <c r="GO163">
        <v>24.347100000000001</v>
      </c>
      <c r="GP163">
        <v>800</v>
      </c>
      <c r="GQ163">
        <v>9.9057999999999993</v>
      </c>
      <c r="GR163">
        <v>99.761300000000006</v>
      </c>
      <c r="GS163">
        <v>99.619600000000005</v>
      </c>
    </row>
    <row r="164" spans="1:201" x14ac:dyDescent="0.25">
      <c r="A164">
        <v>148</v>
      </c>
      <c r="B164">
        <v>1690228285.5</v>
      </c>
      <c r="C164">
        <v>1715.900000095367</v>
      </c>
      <c r="D164" t="s">
        <v>627</v>
      </c>
      <c r="E164" t="s">
        <v>628</v>
      </c>
      <c r="F164" t="s">
        <v>330</v>
      </c>
      <c r="H164">
        <v>1690228285.5</v>
      </c>
      <c r="I164">
        <f t="shared" si="60"/>
        <v>1.2849736950371364E-3</v>
      </c>
      <c r="J164">
        <f t="shared" si="61"/>
        <v>1.2849736950371364</v>
      </c>
      <c r="K164">
        <f t="shared" si="62"/>
        <v>20.156528532130661</v>
      </c>
      <c r="L164">
        <f t="shared" si="63"/>
        <v>574.44100000000003</v>
      </c>
      <c r="M164">
        <f t="shared" si="64"/>
        <v>169.2688682132088</v>
      </c>
      <c r="N164">
        <f t="shared" si="65"/>
        <v>16.785998451750412</v>
      </c>
      <c r="O164">
        <f t="shared" si="66"/>
        <v>56.965972765153204</v>
      </c>
      <c r="P164">
        <f t="shared" si="67"/>
        <v>8.2991418179638288E-2</v>
      </c>
      <c r="Q164">
        <f t="shared" si="68"/>
        <v>2.1306174053906997</v>
      </c>
      <c r="R164">
        <f t="shared" si="69"/>
        <v>8.1236461002636512E-2</v>
      </c>
      <c r="S164">
        <f t="shared" si="70"/>
        <v>5.0927373138500001E-2</v>
      </c>
      <c r="T164">
        <f t="shared" si="71"/>
        <v>276.11492729400004</v>
      </c>
      <c r="U164">
        <f t="shared" si="72"/>
        <v>28.205099480382312</v>
      </c>
      <c r="V164">
        <f t="shared" si="73"/>
        <v>28.205099480382312</v>
      </c>
      <c r="W164">
        <f t="shared" si="74"/>
        <v>3.8404503935957499</v>
      </c>
      <c r="X164">
        <f t="shared" si="75"/>
        <v>66.891749597767742</v>
      </c>
      <c r="Y164">
        <f t="shared" si="76"/>
        <v>2.3205729495126004</v>
      </c>
      <c r="Z164">
        <f t="shared" si="77"/>
        <v>3.469146738524</v>
      </c>
      <c r="AA164">
        <f t="shared" si="78"/>
        <v>1.5198774440831495</v>
      </c>
      <c r="AB164">
        <f t="shared" si="79"/>
        <v>-56.667339951137713</v>
      </c>
      <c r="AC164">
        <f t="shared" si="80"/>
        <v>-199.3611018666102</v>
      </c>
      <c r="AD164">
        <f t="shared" si="81"/>
        <v>-20.261780387533722</v>
      </c>
      <c r="AE164">
        <f t="shared" si="82"/>
        <v>-0.1752949112815827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52470.702726534801</v>
      </c>
      <c r="AK164">
        <f t="shared" si="86"/>
        <v>1800</v>
      </c>
      <c r="AL164">
        <f t="shared" si="87"/>
        <v>1499.1146153999998</v>
      </c>
      <c r="AM164">
        <f t="shared" si="88"/>
        <v>0.8328414529999999</v>
      </c>
      <c r="AN164">
        <f t="shared" si="89"/>
        <v>0.15339718183000001</v>
      </c>
      <c r="AO164">
        <v>32.4</v>
      </c>
      <c r="AP164">
        <v>0.5</v>
      </c>
      <c r="AQ164" t="s">
        <v>331</v>
      </c>
      <c r="AR164">
        <v>2</v>
      </c>
      <c r="AS164">
        <v>1690228285.5</v>
      </c>
      <c r="AT164">
        <v>574.44100000000003</v>
      </c>
      <c r="AU164">
        <v>800.03200000000004</v>
      </c>
      <c r="AV164">
        <v>23.400500000000001</v>
      </c>
      <c r="AW164">
        <v>9.85182</v>
      </c>
      <c r="AX164">
        <v>574.72199999999998</v>
      </c>
      <c r="AY164">
        <v>23.090499999999999</v>
      </c>
      <c r="AZ164">
        <v>300.09500000000003</v>
      </c>
      <c r="BA164">
        <v>99.067700000000002</v>
      </c>
      <c r="BB164">
        <v>9.9965200000000004E-2</v>
      </c>
      <c r="BC164">
        <v>26.4695</v>
      </c>
      <c r="BD164">
        <v>26.970600000000001</v>
      </c>
      <c r="BE164">
        <v>28.0441</v>
      </c>
      <c r="BF164">
        <v>0</v>
      </c>
      <c r="BG164">
        <v>0</v>
      </c>
      <c r="BH164">
        <v>9998.75</v>
      </c>
      <c r="BI164">
        <v>1072.17</v>
      </c>
      <c r="BJ164">
        <v>1.5137799999999999</v>
      </c>
      <c r="BK164">
        <v>-225.59</v>
      </c>
      <c r="BL164">
        <v>588.20600000000002</v>
      </c>
      <c r="BM164">
        <v>807.99199999999996</v>
      </c>
      <c r="BN164">
        <v>13.5487</v>
      </c>
      <c r="BO164">
        <v>800.03200000000004</v>
      </c>
      <c r="BP164">
        <v>9.85182</v>
      </c>
      <c r="BQ164">
        <v>2.3182299999999998</v>
      </c>
      <c r="BR164">
        <v>0.975997</v>
      </c>
      <c r="BS164">
        <v>19.803699999999999</v>
      </c>
      <c r="BT164">
        <v>6.5629</v>
      </c>
      <c r="BU164">
        <v>1800</v>
      </c>
      <c r="BV164">
        <v>0.91001399999999999</v>
      </c>
      <c r="BW164">
        <v>3.3995900000000003E-2</v>
      </c>
      <c r="BX164">
        <v>2.19974E-2</v>
      </c>
      <c r="BY164">
        <v>3.3993099999999998E-2</v>
      </c>
      <c r="BZ164">
        <v>26</v>
      </c>
      <c r="CA164">
        <v>33528.400000000001</v>
      </c>
      <c r="CB164">
        <v>1690226183.5999999</v>
      </c>
      <c r="CC164" t="s">
        <v>332</v>
      </c>
      <c r="CD164">
        <v>1690226177.5999999</v>
      </c>
      <c r="CE164">
        <v>1690226183.5999999</v>
      </c>
      <c r="CF164">
        <v>12</v>
      </c>
      <c r="CG164">
        <v>-0.255</v>
      </c>
      <c r="CH164">
        <v>0.113</v>
      </c>
      <c r="CI164">
        <v>-0.439</v>
      </c>
      <c r="CJ164">
        <v>0.31</v>
      </c>
      <c r="CK164">
        <v>800</v>
      </c>
      <c r="CL164">
        <v>25</v>
      </c>
      <c r="CM164">
        <v>0.02</v>
      </c>
      <c r="CN164">
        <v>0.03</v>
      </c>
      <c r="CO164">
        <v>-224.05907317073169</v>
      </c>
      <c r="CP164">
        <v>-8.5351777003483864</v>
      </c>
      <c r="CQ164">
        <v>0.84395492858049781</v>
      </c>
      <c r="CR164">
        <v>-1</v>
      </c>
      <c r="CS164">
        <v>13.45084390243902</v>
      </c>
      <c r="CT164">
        <v>0.74482578397207622</v>
      </c>
      <c r="CU164">
        <v>7.5339294475645538E-2</v>
      </c>
      <c r="CV164">
        <v>-1</v>
      </c>
      <c r="CW164">
        <v>0</v>
      </c>
      <c r="CX164">
        <v>0</v>
      </c>
      <c r="CY164" t="s">
        <v>333</v>
      </c>
      <c r="CZ164">
        <v>2.3643200000000002</v>
      </c>
      <c r="DA164">
        <v>2.7137500000000001</v>
      </c>
      <c r="DB164">
        <v>0.116845</v>
      </c>
      <c r="DC164">
        <v>0.146152</v>
      </c>
      <c r="DD164">
        <v>0.111456</v>
      </c>
      <c r="DE164">
        <v>5.8468199999999998E-2</v>
      </c>
      <c r="DF164">
        <v>32254.2</v>
      </c>
      <c r="DG164">
        <v>27529.8</v>
      </c>
      <c r="DH164">
        <v>31178.400000000001</v>
      </c>
      <c r="DI164">
        <v>28094.3</v>
      </c>
      <c r="DJ164">
        <v>37611.699999999997</v>
      </c>
      <c r="DK164">
        <v>37618.5</v>
      </c>
      <c r="DL164">
        <v>44372.5</v>
      </c>
      <c r="DM164">
        <v>42585.3</v>
      </c>
      <c r="DN164">
        <v>1.4807999999999999</v>
      </c>
      <c r="DO164">
        <v>2.0419200000000002</v>
      </c>
      <c r="DP164">
        <v>9.7379099999999996E-2</v>
      </c>
      <c r="DQ164">
        <v>0.17760300000000001</v>
      </c>
      <c r="DR164">
        <v>25.375900000000001</v>
      </c>
      <c r="DS164">
        <v>25.137599999999999</v>
      </c>
      <c r="DT164">
        <v>49.8</v>
      </c>
      <c r="DU164">
        <v>29.2</v>
      </c>
      <c r="DV164">
        <v>20.450099999999999</v>
      </c>
      <c r="DW164">
        <v>61.642400000000002</v>
      </c>
      <c r="DX164">
        <v>37.095399999999998</v>
      </c>
      <c r="DY164">
        <v>1</v>
      </c>
      <c r="DZ164">
        <v>-9.1643799999999997E-2</v>
      </c>
      <c r="EA164">
        <v>0.14450399999999999</v>
      </c>
      <c r="EB164">
        <v>20.188700000000001</v>
      </c>
      <c r="EC164">
        <v>5.24125</v>
      </c>
      <c r="ED164">
        <v>12.039899999999999</v>
      </c>
      <c r="EE164">
        <v>5.0172499999999998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1.8689100000000001</v>
      </c>
      <c r="EL164">
        <v>1.8646400000000001</v>
      </c>
      <c r="EM164">
        <v>1.8692</v>
      </c>
      <c r="EN164">
        <v>1.8672299999999999</v>
      </c>
      <c r="EO164">
        <v>1.8633999999999999</v>
      </c>
      <c r="EP164">
        <v>1.8645</v>
      </c>
      <c r="EQ164">
        <v>1.87015</v>
      </c>
      <c r="ER164">
        <v>1.86947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-0.28100000000000003</v>
      </c>
      <c r="FG164">
        <v>0.31</v>
      </c>
      <c r="FH164">
        <v>0.1121710645629533</v>
      </c>
      <c r="FI164">
        <v>-6.1462078757559423E-4</v>
      </c>
      <c r="FJ164">
        <v>-1.8861989874597051E-7</v>
      </c>
      <c r="FK164">
        <v>1.1980462299894961E-10</v>
      </c>
      <c r="FL164">
        <v>0.30996499999999833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35.1</v>
      </c>
      <c r="FU164">
        <v>35</v>
      </c>
      <c r="FV164">
        <v>1.7748999999999999</v>
      </c>
      <c r="FW164">
        <v>2.5927699999999998</v>
      </c>
      <c r="FX164">
        <v>1.5490699999999999</v>
      </c>
      <c r="FY164">
        <v>2.3278799999999999</v>
      </c>
      <c r="FZ164">
        <v>1.50146</v>
      </c>
      <c r="GA164">
        <v>2.2900399999999999</v>
      </c>
      <c r="GB164">
        <v>33.963900000000002</v>
      </c>
      <c r="GC164">
        <v>23.973700000000001</v>
      </c>
      <c r="GD164">
        <v>19</v>
      </c>
      <c r="GE164">
        <v>284.887</v>
      </c>
      <c r="GF164">
        <v>587.84100000000001</v>
      </c>
      <c r="GG164">
        <v>24.3508</v>
      </c>
      <c r="GH164">
        <v>26.2288</v>
      </c>
      <c r="GI164">
        <v>29.9999</v>
      </c>
      <c r="GJ164">
        <v>26.360099999999999</v>
      </c>
      <c r="GK164">
        <v>26.345600000000001</v>
      </c>
      <c r="GL164">
        <v>35.487099999999998</v>
      </c>
      <c r="GM164">
        <v>53.453200000000002</v>
      </c>
      <c r="GN164">
        <v>68.641400000000004</v>
      </c>
      <c r="GO164">
        <v>24.364699999999999</v>
      </c>
      <c r="GP164">
        <v>800</v>
      </c>
      <c r="GQ164">
        <v>9.8096200000000007</v>
      </c>
      <c r="GR164">
        <v>99.761200000000002</v>
      </c>
      <c r="GS164">
        <v>99.618200000000002</v>
      </c>
    </row>
    <row r="165" spans="1:201" x14ac:dyDescent="0.25">
      <c r="A165">
        <v>149</v>
      </c>
      <c r="B165">
        <v>1690228295.5</v>
      </c>
      <c r="C165">
        <v>1725.900000095367</v>
      </c>
      <c r="D165" t="s">
        <v>629</v>
      </c>
      <c r="E165" t="s">
        <v>630</v>
      </c>
      <c r="F165" t="s">
        <v>330</v>
      </c>
      <c r="H165">
        <v>1690228295.5</v>
      </c>
      <c r="I165">
        <f t="shared" si="60"/>
        <v>1.2925463813938825E-3</v>
      </c>
      <c r="J165">
        <f t="shared" si="61"/>
        <v>1.2925463813938824</v>
      </c>
      <c r="K165">
        <f t="shared" si="62"/>
        <v>20.298399917583978</v>
      </c>
      <c r="L165">
        <f t="shared" si="63"/>
        <v>572.97299999999996</v>
      </c>
      <c r="M165">
        <f t="shared" si="64"/>
        <v>167.73372763023013</v>
      </c>
      <c r="N165">
        <f t="shared" si="65"/>
        <v>16.634123241551492</v>
      </c>
      <c r="O165">
        <f t="shared" si="66"/>
        <v>56.821628128913986</v>
      </c>
      <c r="P165">
        <f t="shared" si="67"/>
        <v>8.3562583772133506E-2</v>
      </c>
      <c r="Q165">
        <f t="shared" si="68"/>
        <v>2.1299844591042865</v>
      </c>
      <c r="R165">
        <f t="shared" si="69"/>
        <v>8.1783149928898138E-2</v>
      </c>
      <c r="S165">
        <f t="shared" si="70"/>
        <v>5.1271187751175604E-2</v>
      </c>
      <c r="T165">
        <f t="shared" si="71"/>
        <v>276.11482924800004</v>
      </c>
      <c r="U165">
        <f t="shared" si="72"/>
        <v>28.198731963188177</v>
      </c>
      <c r="V165">
        <f t="shared" si="73"/>
        <v>28.198731963188177</v>
      </c>
      <c r="W165">
        <f t="shared" si="74"/>
        <v>3.8390272033128703</v>
      </c>
      <c r="X165">
        <f t="shared" si="75"/>
        <v>66.90233628405089</v>
      </c>
      <c r="Y165">
        <f t="shared" si="76"/>
        <v>2.3203654845821999</v>
      </c>
      <c r="Z165">
        <f t="shared" si="77"/>
        <v>3.4682876764280666</v>
      </c>
      <c r="AA165">
        <f t="shared" si="78"/>
        <v>1.5186617187306704</v>
      </c>
      <c r="AB165">
        <f t="shared" si="79"/>
        <v>-57.001295419470217</v>
      </c>
      <c r="AC165">
        <f t="shared" si="80"/>
        <v>-199.05297757875394</v>
      </c>
      <c r="AD165">
        <f t="shared" si="81"/>
        <v>-20.235407859493549</v>
      </c>
      <c r="AE165">
        <f t="shared" si="82"/>
        <v>-0.17485160971764913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52444.156618329849</v>
      </c>
      <c r="AK165">
        <f t="shared" si="86"/>
        <v>1800</v>
      </c>
      <c r="AL165">
        <f t="shared" si="87"/>
        <v>1499.1141978000001</v>
      </c>
      <c r="AM165">
        <f t="shared" si="88"/>
        <v>0.83284122100000002</v>
      </c>
      <c r="AN165">
        <f t="shared" si="89"/>
        <v>0.15339712736000002</v>
      </c>
      <c r="AO165">
        <v>32.4</v>
      </c>
      <c r="AP165">
        <v>0.5</v>
      </c>
      <c r="AQ165" t="s">
        <v>331</v>
      </c>
      <c r="AR165">
        <v>2</v>
      </c>
      <c r="AS165">
        <v>1690228295.5</v>
      </c>
      <c r="AT165">
        <v>572.97299999999996</v>
      </c>
      <c r="AU165">
        <v>800.04200000000003</v>
      </c>
      <c r="AV165">
        <v>23.3979</v>
      </c>
      <c r="AW165">
        <v>9.7741500000000006</v>
      </c>
      <c r="AX165">
        <v>573.25300000000004</v>
      </c>
      <c r="AY165">
        <v>23.087900000000001</v>
      </c>
      <c r="AZ165">
        <v>300.20100000000002</v>
      </c>
      <c r="BA165">
        <v>99.069699999999997</v>
      </c>
      <c r="BB165">
        <v>0.100118</v>
      </c>
      <c r="BC165">
        <v>26.465299999999999</v>
      </c>
      <c r="BD165">
        <v>26.991599999999998</v>
      </c>
      <c r="BE165">
        <v>28.0474</v>
      </c>
      <c r="BF165">
        <v>0</v>
      </c>
      <c r="BG165">
        <v>0</v>
      </c>
      <c r="BH165">
        <v>9993.1200000000008</v>
      </c>
      <c r="BI165">
        <v>1072.1600000000001</v>
      </c>
      <c r="BJ165">
        <v>1.49556</v>
      </c>
      <c r="BK165">
        <v>-227.06899999999999</v>
      </c>
      <c r="BL165">
        <v>586.70100000000002</v>
      </c>
      <c r="BM165">
        <v>807.93899999999996</v>
      </c>
      <c r="BN165">
        <v>13.623699999999999</v>
      </c>
      <c r="BO165">
        <v>800.04200000000003</v>
      </c>
      <c r="BP165">
        <v>9.7741500000000006</v>
      </c>
      <c r="BQ165">
        <v>2.3180200000000002</v>
      </c>
      <c r="BR165">
        <v>0.96832300000000004</v>
      </c>
      <c r="BS165">
        <v>19.802199999999999</v>
      </c>
      <c r="BT165">
        <v>6.4482600000000003</v>
      </c>
      <c r="BU165">
        <v>1800</v>
      </c>
      <c r="BV165">
        <v>0.91001399999999999</v>
      </c>
      <c r="BW165">
        <v>3.39958E-2</v>
      </c>
      <c r="BX165">
        <v>2.1997300000000001E-2</v>
      </c>
      <c r="BY165">
        <v>3.3993000000000002E-2</v>
      </c>
      <c r="BZ165">
        <v>26</v>
      </c>
      <c r="CA165">
        <v>33528.5</v>
      </c>
      <c r="CB165">
        <v>1690226183.5999999</v>
      </c>
      <c r="CC165" t="s">
        <v>332</v>
      </c>
      <c r="CD165">
        <v>1690226177.5999999</v>
      </c>
      <c r="CE165">
        <v>1690226183.5999999</v>
      </c>
      <c r="CF165">
        <v>12</v>
      </c>
      <c r="CG165">
        <v>-0.255</v>
      </c>
      <c r="CH165">
        <v>0.113</v>
      </c>
      <c r="CI165">
        <v>-0.439</v>
      </c>
      <c r="CJ165">
        <v>0.31</v>
      </c>
      <c r="CK165">
        <v>800</v>
      </c>
      <c r="CL165">
        <v>25</v>
      </c>
      <c r="CM165">
        <v>0.02</v>
      </c>
      <c r="CN165">
        <v>0.03</v>
      </c>
      <c r="CO165">
        <v>-225.3562682926829</v>
      </c>
      <c r="CP165">
        <v>-8.4484390243909679</v>
      </c>
      <c r="CQ165">
        <v>0.83562951367014149</v>
      </c>
      <c r="CR165">
        <v>-1</v>
      </c>
      <c r="CS165">
        <v>13.542468292682919</v>
      </c>
      <c r="CT165">
        <v>0.40506898954702791</v>
      </c>
      <c r="CU165">
        <v>4.018163297817031E-2</v>
      </c>
      <c r="CV165">
        <v>-1</v>
      </c>
      <c r="CW165">
        <v>0</v>
      </c>
      <c r="CX165">
        <v>0</v>
      </c>
      <c r="CY165" t="s">
        <v>333</v>
      </c>
      <c r="CZ165">
        <v>2.3646799999999999</v>
      </c>
      <c r="DA165">
        <v>2.7139000000000002</v>
      </c>
      <c r="DB165">
        <v>0.116635</v>
      </c>
      <c r="DC165">
        <v>0.14615400000000001</v>
      </c>
      <c r="DD165">
        <v>0.11144900000000001</v>
      </c>
      <c r="DE165">
        <v>5.81138E-2</v>
      </c>
      <c r="DF165">
        <v>32262.400000000001</v>
      </c>
      <c r="DG165">
        <v>27530.400000000001</v>
      </c>
      <c r="DH165">
        <v>31179</v>
      </c>
      <c r="DI165">
        <v>28095.1</v>
      </c>
      <c r="DJ165">
        <v>37612.6</v>
      </c>
      <c r="DK165">
        <v>37633.599999999999</v>
      </c>
      <c r="DL165">
        <v>44373.3</v>
      </c>
      <c r="DM165">
        <v>42586.400000000001</v>
      </c>
      <c r="DN165">
        <v>1.4805999999999999</v>
      </c>
      <c r="DO165">
        <v>2.0416500000000002</v>
      </c>
      <c r="DP165">
        <v>9.8794699999999999E-2</v>
      </c>
      <c r="DQ165">
        <v>0.17793800000000001</v>
      </c>
      <c r="DR165">
        <v>25.373799999999999</v>
      </c>
      <c r="DS165">
        <v>25.1355</v>
      </c>
      <c r="DT165">
        <v>49.5</v>
      </c>
      <c r="DU165">
        <v>29.2</v>
      </c>
      <c r="DV165">
        <v>20.327400000000001</v>
      </c>
      <c r="DW165">
        <v>62.022399999999998</v>
      </c>
      <c r="DX165">
        <v>36.1098</v>
      </c>
      <c r="DY165">
        <v>1</v>
      </c>
      <c r="DZ165">
        <v>-9.2708299999999993E-2</v>
      </c>
      <c r="EA165">
        <v>0.12731799999999999</v>
      </c>
      <c r="EB165">
        <v>20.189</v>
      </c>
      <c r="EC165">
        <v>5.2411000000000003</v>
      </c>
      <c r="ED165">
        <v>12.039899999999999</v>
      </c>
      <c r="EE165">
        <v>5.0175000000000001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1.8689100000000001</v>
      </c>
      <c r="EL165">
        <v>1.8646499999999999</v>
      </c>
      <c r="EM165">
        <v>1.8691899999999999</v>
      </c>
      <c r="EN165">
        <v>1.86724</v>
      </c>
      <c r="EO165">
        <v>1.8633999999999999</v>
      </c>
      <c r="EP165">
        <v>1.8645499999999999</v>
      </c>
      <c r="EQ165">
        <v>1.87015</v>
      </c>
      <c r="ER165">
        <v>1.8694299999999999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-0.28000000000000003</v>
      </c>
      <c r="FG165">
        <v>0.31</v>
      </c>
      <c r="FH165">
        <v>0.1121710645629533</v>
      </c>
      <c r="FI165">
        <v>-6.1462078757559423E-4</v>
      </c>
      <c r="FJ165">
        <v>-1.8861989874597051E-7</v>
      </c>
      <c r="FK165">
        <v>1.1980462299894961E-10</v>
      </c>
      <c r="FL165">
        <v>0.30996499999999833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35.299999999999997</v>
      </c>
      <c r="FU165">
        <v>35.200000000000003</v>
      </c>
      <c r="FV165">
        <v>1.7748999999999999</v>
      </c>
      <c r="FW165">
        <v>2.5817899999999998</v>
      </c>
      <c r="FX165">
        <v>1.5490699999999999</v>
      </c>
      <c r="FY165">
        <v>2.32666</v>
      </c>
      <c r="FZ165">
        <v>1.50146</v>
      </c>
      <c r="GA165">
        <v>2.4096700000000002</v>
      </c>
      <c r="GB165">
        <v>33.963900000000002</v>
      </c>
      <c r="GC165">
        <v>23.982399999999998</v>
      </c>
      <c r="GD165">
        <v>19</v>
      </c>
      <c r="GE165">
        <v>284.79700000000003</v>
      </c>
      <c r="GF165">
        <v>587.60500000000002</v>
      </c>
      <c r="GG165">
        <v>24.3857</v>
      </c>
      <c r="GH165">
        <v>26.2288</v>
      </c>
      <c r="GI165">
        <v>29.999700000000001</v>
      </c>
      <c r="GJ165">
        <v>26.359300000000001</v>
      </c>
      <c r="GK165">
        <v>26.344899999999999</v>
      </c>
      <c r="GL165">
        <v>35.487900000000003</v>
      </c>
      <c r="GM165">
        <v>53.453200000000002</v>
      </c>
      <c r="GN165">
        <v>67.874399999999994</v>
      </c>
      <c r="GO165">
        <v>24.388200000000001</v>
      </c>
      <c r="GP165">
        <v>800</v>
      </c>
      <c r="GQ165">
        <v>9.7001200000000001</v>
      </c>
      <c r="GR165">
        <v>99.762900000000002</v>
      </c>
      <c r="GS165">
        <v>99.620699999999999</v>
      </c>
    </row>
    <row r="166" spans="1:201" x14ac:dyDescent="0.25">
      <c r="A166">
        <v>150</v>
      </c>
      <c r="B166">
        <v>1690228305.5</v>
      </c>
      <c r="C166">
        <v>1735.900000095367</v>
      </c>
      <c r="D166" t="s">
        <v>631</v>
      </c>
      <c r="E166" t="s">
        <v>632</v>
      </c>
      <c r="F166" t="s">
        <v>330</v>
      </c>
      <c r="H166">
        <v>1690228305.5</v>
      </c>
      <c r="I166">
        <f t="shared" si="60"/>
        <v>1.2999070370581988E-3</v>
      </c>
      <c r="J166">
        <f t="shared" si="61"/>
        <v>1.2999070370581989</v>
      </c>
      <c r="K166">
        <f t="shared" si="62"/>
        <v>20.401328981165559</v>
      </c>
      <c r="L166">
        <f t="shared" si="63"/>
        <v>571.76300000000003</v>
      </c>
      <c r="M166">
        <f t="shared" si="64"/>
        <v>166.50779867832344</v>
      </c>
      <c r="N166">
        <f t="shared" si="65"/>
        <v>16.511837135511183</v>
      </c>
      <c r="O166">
        <f t="shared" si="66"/>
        <v>56.699191335476606</v>
      </c>
      <c r="P166">
        <f t="shared" si="67"/>
        <v>8.3983983229520637E-2</v>
      </c>
      <c r="Q166">
        <f t="shared" si="68"/>
        <v>2.1321945627896621</v>
      </c>
      <c r="R166">
        <f t="shared" si="69"/>
        <v>8.2188584985420685E-2</v>
      </c>
      <c r="S166">
        <f t="shared" si="70"/>
        <v>5.1525978238633682E-2</v>
      </c>
      <c r="T166">
        <f t="shared" si="71"/>
        <v>276.11470222200001</v>
      </c>
      <c r="U166">
        <f t="shared" si="72"/>
        <v>28.201322191289869</v>
      </c>
      <c r="V166">
        <f t="shared" si="73"/>
        <v>28.201322191289869</v>
      </c>
      <c r="W166">
        <f t="shared" si="74"/>
        <v>3.8396060841887905</v>
      </c>
      <c r="X166">
        <f t="shared" si="75"/>
        <v>66.862061699980103</v>
      </c>
      <c r="Y166">
        <f t="shared" si="76"/>
        <v>2.3198986677004401</v>
      </c>
      <c r="Z166">
        <f t="shared" si="77"/>
        <v>3.4696786319724424</v>
      </c>
      <c r="AA166">
        <f t="shared" si="78"/>
        <v>1.5197074164883504</v>
      </c>
      <c r="AB166">
        <f t="shared" si="79"/>
        <v>-57.325900334266571</v>
      </c>
      <c r="AC166">
        <f t="shared" si="80"/>
        <v>-198.7756009651051</v>
      </c>
      <c r="AD166">
        <f t="shared" si="81"/>
        <v>-20.187210540566781</v>
      </c>
      <c r="AE166">
        <f t="shared" si="82"/>
        <v>-0.17400961793845227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52538.328165775332</v>
      </c>
      <c r="AK166">
        <f t="shared" si="86"/>
        <v>1800</v>
      </c>
      <c r="AL166">
        <f t="shared" si="87"/>
        <v>1499.1136541999999</v>
      </c>
      <c r="AM166">
        <f t="shared" si="88"/>
        <v>0.83284091900000001</v>
      </c>
      <c r="AN166">
        <f t="shared" si="89"/>
        <v>0.15339705679000001</v>
      </c>
      <c r="AO166">
        <v>32.4</v>
      </c>
      <c r="AP166">
        <v>0.5</v>
      </c>
      <c r="AQ166" t="s">
        <v>331</v>
      </c>
      <c r="AR166">
        <v>2</v>
      </c>
      <c r="AS166">
        <v>1690228305.5</v>
      </c>
      <c r="AT166">
        <v>571.76300000000003</v>
      </c>
      <c r="AU166">
        <v>799.995</v>
      </c>
      <c r="AV166">
        <v>23.394200000000001</v>
      </c>
      <c r="AW166">
        <v>9.6913999999999998</v>
      </c>
      <c r="AX166">
        <v>572.04200000000003</v>
      </c>
      <c r="AY166">
        <v>23.084299999999999</v>
      </c>
      <c r="AZ166">
        <v>300.17</v>
      </c>
      <c r="BA166">
        <v>99.065600000000003</v>
      </c>
      <c r="BB166">
        <v>9.9948200000000001E-2</v>
      </c>
      <c r="BC166">
        <v>26.472100000000001</v>
      </c>
      <c r="BD166">
        <v>26.986499999999999</v>
      </c>
      <c r="BE166">
        <v>28.057500000000001</v>
      </c>
      <c r="BF166">
        <v>0</v>
      </c>
      <c r="BG166">
        <v>0</v>
      </c>
      <c r="BH166">
        <v>10012.5</v>
      </c>
      <c r="BI166">
        <v>1072.18</v>
      </c>
      <c r="BJ166">
        <v>1.4577199999999999</v>
      </c>
      <c r="BK166">
        <v>-228.232</v>
      </c>
      <c r="BL166">
        <v>585.45899999999995</v>
      </c>
      <c r="BM166">
        <v>807.82399999999996</v>
      </c>
      <c r="BN166">
        <v>13.7028</v>
      </c>
      <c r="BO166">
        <v>799.995</v>
      </c>
      <c r="BP166">
        <v>9.6913999999999998</v>
      </c>
      <c r="BQ166">
        <v>2.3175599999999998</v>
      </c>
      <c r="BR166">
        <v>0.96008499999999997</v>
      </c>
      <c r="BS166">
        <v>19.798999999999999</v>
      </c>
      <c r="BT166">
        <v>6.3243099999999997</v>
      </c>
      <c r="BU166">
        <v>1800</v>
      </c>
      <c r="BV166">
        <v>0.91001399999999999</v>
      </c>
      <c r="BW166">
        <v>3.3995600000000001E-2</v>
      </c>
      <c r="BX166">
        <v>2.1997200000000001E-2</v>
      </c>
      <c r="BY166">
        <v>3.39929E-2</v>
      </c>
      <c r="BZ166">
        <v>26</v>
      </c>
      <c r="CA166">
        <v>33528.400000000001</v>
      </c>
      <c r="CB166">
        <v>1690226183.5999999</v>
      </c>
      <c r="CC166" t="s">
        <v>332</v>
      </c>
      <c r="CD166">
        <v>1690226177.5999999</v>
      </c>
      <c r="CE166">
        <v>1690226183.5999999</v>
      </c>
      <c r="CF166">
        <v>12</v>
      </c>
      <c r="CG166">
        <v>-0.255</v>
      </c>
      <c r="CH166">
        <v>0.113</v>
      </c>
      <c r="CI166">
        <v>-0.439</v>
      </c>
      <c r="CJ166">
        <v>0.31</v>
      </c>
      <c r="CK166">
        <v>800</v>
      </c>
      <c r="CL166">
        <v>25</v>
      </c>
      <c r="CM166">
        <v>0.02</v>
      </c>
      <c r="CN166">
        <v>0.03</v>
      </c>
      <c r="CO166">
        <v>-226.88784999999999</v>
      </c>
      <c r="CP166">
        <v>-8.2760375234517625</v>
      </c>
      <c r="CQ166">
        <v>0.79904435264883578</v>
      </c>
      <c r="CR166">
        <v>-1</v>
      </c>
      <c r="CS166">
        <v>13.614875</v>
      </c>
      <c r="CT166">
        <v>0.41420938086301767</v>
      </c>
      <c r="CU166">
        <v>3.9971557075000212E-2</v>
      </c>
      <c r="CV166">
        <v>-1</v>
      </c>
      <c r="CW166">
        <v>0</v>
      </c>
      <c r="CX166">
        <v>0</v>
      </c>
      <c r="CY166" t="s">
        <v>333</v>
      </c>
      <c r="CZ166">
        <v>2.36456</v>
      </c>
      <c r="DA166">
        <v>2.7137500000000001</v>
      </c>
      <c r="DB166">
        <v>0.116455</v>
      </c>
      <c r="DC166">
        <v>0.14614199999999999</v>
      </c>
      <c r="DD166">
        <v>0.111432</v>
      </c>
      <c r="DE166">
        <v>5.7731600000000001E-2</v>
      </c>
      <c r="DF166">
        <v>32268.6</v>
      </c>
      <c r="DG166">
        <v>27531</v>
      </c>
      <c r="DH166">
        <v>31178.6</v>
      </c>
      <c r="DI166">
        <v>28095.3</v>
      </c>
      <c r="DJ166">
        <v>37612.9</v>
      </c>
      <c r="DK166">
        <v>37649.1</v>
      </c>
      <c r="DL166">
        <v>44372.800000000003</v>
      </c>
      <c r="DM166">
        <v>42586.6</v>
      </c>
      <c r="DN166">
        <v>1.4807699999999999</v>
      </c>
      <c r="DO166">
        <v>2.0413999999999999</v>
      </c>
      <c r="DP166">
        <v>9.8608399999999999E-2</v>
      </c>
      <c r="DQ166">
        <v>0.17855299999999999</v>
      </c>
      <c r="DR166">
        <v>25.371700000000001</v>
      </c>
      <c r="DS166">
        <v>25.1355</v>
      </c>
      <c r="DT166">
        <v>49.2</v>
      </c>
      <c r="DU166">
        <v>29.2</v>
      </c>
      <c r="DV166">
        <v>20.206700000000001</v>
      </c>
      <c r="DW166">
        <v>61.682400000000001</v>
      </c>
      <c r="DX166">
        <v>36.013599999999997</v>
      </c>
      <c r="DY166">
        <v>1</v>
      </c>
      <c r="DZ166">
        <v>-9.2807399999999998E-2</v>
      </c>
      <c r="EA166">
        <v>0.159635</v>
      </c>
      <c r="EB166">
        <v>20.1889</v>
      </c>
      <c r="EC166">
        <v>5.24125</v>
      </c>
      <c r="ED166">
        <v>12.039899999999999</v>
      </c>
      <c r="EE166">
        <v>5.0172999999999996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1.8689100000000001</v>
      </c>
      <c r="EL166">
        <v>1.8646199999999999</v>
      </c>
      <c r="EM166">
        <v>1.8691899999999999</v>
      </c>
      <c r="EN166">
        <v>1.86724</v>
      </c>
      <c r="EO166">
        <v>1.8633999999999999</v>
      </c>
      <c r="EP166">
        <v>1.8645499999999999</v>
      </c>
      <c r="EQ166">
        <v>1.8701300000000001</v>
      </c>
      <c r="ER166">
        <v>1.86941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-0.27900000000000003</v>
      </c>
      <c r="FG166">
        <v>0.30990000000000001</v>
      </c>
      <c r="FH166">
        <v>0.1121710645629533</v>
      </c>
      <c r="FI166">
        <v>-6.1462078757559423E-4</v>
      </c>
      <c r="FJ166">
        <v>-1.8861989874597051E-7</v>
      </c>
      <c r="FK166">
        <v>1.1980462299894961E-10</v>
      </c>
      <c r="FL166">
        <v>0.30996499999999833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35.5</v>
      </c>
      <c r="FU166">
        <v>35.4</v>
      </c>
      <c r="FV166">
        <v>1.7748999999999999</v>
      </c>
      <c r="FW166">
        <v>2.5866699999999998</v>
      </c>
      <c r="FX166">
        <v>1.5490699999999999</v>
      </c>
      <c r="FY166">
        <v>2.32666</v>
      </c>
      <c r="FZ166">
        <v>1.50146</v>
      </c>
      <c r="GA166">
        <v>2.3156699999999999</v>
      </c>
      <c r="GB166">
        <v>33.963900000000002</v>
      </c>
      <c r="GC166">
        <v>23.973700000000001</v>
      </c>
      <c r="GD166">
        <v>19</v>
      </c>
      <c r="GE166">
        <v>284.87200000000001</v>
      </c>
      <c r="GF166">
        <v>587.38</v>
      </c>
      <c r="GG166">
        <v>24.4024</v>
      </c>
      <c r="GH166">
        <v>26.226600000000001</v>
      </c>
      <c r="GI166">
        <v>29.9998</v>
      </c>
      <c r="GJ166">
        <v>26.359300000000001</v>
      </c>
      <c r="GK166">
        <v>26.343399999999999</v>
      </c>
      <c r="GL166">
        <v>35.485199999999999</v>
      </c>
      <c r="GM166">
        <v>53.744100000000003</v>
      </c>
      <c r="GN166">
        <v>67.492000000000004</v>
      </c>
      <c r="GO166">
        <v>24.399899999999999</v>
      </c>
      <c r="GP166">
        <v>800</v>
      </c>
      <c r="GQ166">
        <v>9.5943500000000004</v>
      </c>
      <c r="GR166">
        <v>99.761799999999994</v>
      </c>
      <c r="GS166">
        <v>99.621300000000005</v>
      </c>
    </row>
    <row r="167" spans="1:201" x14ac:dyDescent="0.25">
      <c r="A167">
        <v>151</v>
      </c>
      <c r="B167">
        <v>1690228315.5</v>
      </c>
      <c r="C167">
        <v>1745.900000095367</v>
      </c>
      <c r="D167" t="s">
        <v>633</v>
      </c>
      <c r="E167" t="s">
        <v>634</v>
      </c>
      <c r="F167" t="s">
        <v>330</v>
      </c>
      <c r="H167">
        <v>1690228315.5</v>
      </c>
      <c r="I167">
        <f t="shared" si="60"/>
        <v>1.3096390118035128E-3</v>
      </c>
      <c r="J167">
        <f t="shared" si="61"/>
        <v>1.3096390118035128</v>
      </c>
      <c r="K167">
        <f t="shared" si="62"/>
        <v>20.537974647352165</v>
      </c>
      <c r="L167">
        <f t="shared" si="63"/>
        <v>570.30200000000002</v>
      </c>
      <c r="M167">
        <f t="shared" si="64"/>
        <v>165.25135167894243</v>
      </c>
      <c r="N167">
        <f t="shared" si="65"/>
        <v>16.38754837974852</v>
      </c>
      <c r="O167">
        <f t="shared" si="66"/>
        <v>56.555371687518004</v>
      </c>
      <c r="P167">
        <f t="shared" si="67"/>
        <v>8.4596456232780615E-2</v>
      </c>
      <c r="Q167">
        <f t="shared" si="68"/>
        <v>2.1300308766900247</v>
      </c>
      <c r="R167">
        <f t="shared" si="69"/>
        <v>8.2773274556609919E-2</v>
      </c>
      <c r="S167">
        <f t="shared" si="70"/>
        <v>5.1893829615604133E-2</v>
      </c>
      <c r="T167">
        <f t="shared" si="71"/>
        <v>276.11471134800001</v>
      </c>
      <c r="U167">
        <f t="shared" si="72"/>
        <v>28.205014065884772</v>
      </c>
      <c r="V167">
        <f t="shared" si="73"/>
        <v>28.205014065884772</v>
      </c>
      <c r="W167">
        <f t="shared" si="74"/>
        <v>3.8404312997371903</v>
      </c>
      <c r="X167">
        <f t="shared" si="75"/>
        <v>66.847350561332192</v>
      </c>
      <c r="Y167">
        <f t="shared" si="76"/>
        <v>2.3201405344458004</v>
      </c>
      <c r="Z167">
        <f t="shared" si="77"/>
        <v>3.4708040258335742</v>
      </c>
      <c r="AA167">
        <f t="shared" si="78"/>
        <v>1.52029076529139</v>
      </c>
      <c r="AB167">
        <f t="shared" si="79"/>
        <v>-57.755080420534917</v>
      </c>
      <c r="AC167">
        <f t="shared" si="80"/>
        <v>-198.36625486066364</v>
      </c>
      <c r="AD167">
        <f t="shared" si="81"/>
        <v>-20.167027643625499</v>
      </c>
      <c r="AE167">
        <f t="shared" si="82"/>
        <v>-0.1736515768240281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52443.956600497804</v>
      </c>
      <c r="AK167">
        <f t="shared" si="86"/>
        <v>1800</v>
      </c>
      <c r="AL167">
        <f t="shared" si="87"/>
        <v>1499.1143508</v>
      </c>
      <c r="AM167">
        <f t="shared" si="88"/>
        <v>0.83284130599999995</v>
      </c>
      <c r="AN167">
        <f t="shared" si="89"/>
        <v>0.15339706186000002</v>
      </c>
      <c r="AO167">
        <v>32.4</v>
      </c>
      <c r="AP167">
        <v>0.5</v>
      </c>
      <c r="AQ167" t="s">
        <v>331</v>
      </c>
      <c r="AR167">
        <v>2</v>
      </c>
      <c r="AS167">
        <v>1690228315.5</v>
      </c>
      <c r="AT167">
        <v>570.30200000000002</v>
      </c>
      <c r="AU167">
        <v>800.05600000000004</v>
      </c>
      <c r="AV167">
        <v>23.3962</v>
      </c>
      <c r="AW167">
        <v>9.5903799999999997</v>
      </c>
      <c r="AX167">
        <v>570.58000000000004</v>
      </c>
      <c r="AY167">
        <v>23.086300000000001</v>
      </c>
      <c r="AZ167">
        <v>300.16000000000003</v>
      </c>
      <c r="BA167">
        <v>99.067400000000006</v>
      </c>
      <c r="BB167">
        <v>0.100009</v>
      </c>
      <c r="BC167">
        <v>26.477599999999999</v>
      </c>
      <c r="BD167">
        <v>26.966999999999999</v>
      </c>
      <c r="BE167">
        <v>28.045300000000001</v>
      </c>
      <c r="BF167">
        <v>0</v>
      </c>
      <c r="BG167">
        <v>0</v>
      </c>
      <c r="BH167">
        <v>9993.75</v>
      </c>
      <c r="BI167">
        <v>1072.1500000000001</v>
      </c>
      <c r="BJ167">
        <v>1.5137799999999999</v>
      </c>
      <c r="BK167">
        <v>-229.75399999999999</v>
      </c>
      <c r="BL167">
        <v>583.96500000000003</v>
      </c>
      <c r="BM167">
        <v>807.803</v>
      </c>
      <c r="BN167">
        <v>13.8058</v>
      </c>
      <c r="BO167">
        <v>800.05600000000004</v>
      </c>
      <c r="BP167">
        <v>9.5903799999999997</v>
      </c>
      <c r="BQ167">
        <v>2.3178000000000001</v>
      </c>
      <c r="BR167">
        <v>0.95009399999999999</v>
      </c>
      <c r="BS167">
        <v>19.800699999999999</v>
      </c>
      <c r="BT167">
        <v>6.1727299999999996</v>
      </c>
      <c r="BU167">
        <v>1800</v>
      </c>
      <c r="BV167">
        <v>0.91001600000000005</v>
      </c>
      <c r="BW167">
        <v>3.3994999999999997E-2</v>
      </c>
      <c r="BX167">
        <v>2.19968E-2</v>
      </c>
      <c r="BY167">
        <v>3.39922E-2</v>
      </c>
      <c r="BZ167">
        <v>26</v>
      </c>
      <c r="CA167">
        <v>33528.5</v>
      </c>
      <c r="CB167">
        <v>1690226183.5999999</v>
      </c>
      <c r="CC167" t="s">
        <v>332</v>
      </c>
      <c r="CD167">
        <v>1690226177.5999999</v>
      </c>
      <c r="CE167">
        <v>1690226183.5999999</v>
      </c>
      <c r="CF167">
        <v>12</v>
      </c>
      <c r="CG167">
        <v>-0.255</v>
      </c>
      <c r="CH167">
        <v>0.113</v>
      </c>
      <c r="CI167">
        <v>-0.439</v>
      </c>
      <c r="CJ167">
        <v>0.31</v>
      </c>
      <c r="CK167">
        <v>800</v>
      </c>
      <c r="CL167">
        <v>25</v>
      </c>
      <c r="CM167">
        <v>0.02</v>
      </c>
      <c r="CN167">
        <v>0.03</v>
      </c>
      <c r="CO167">
        <v>-228.27363414634141</v>
      </c>
      <c r="CP167">
        <v>-7.7693519163759142</v>
      </c>
      <c r="CQ167">
        <v>0.76909394764062711</v>
      </c>
      <c r="CR167">
        <v>-1</v>
      </c>
      <c r="CS167">
        <v>13.704343902439019</v>
      </c>
      <c r="CT167">
        <v>0.60160348432057431</v>
      </c>
      <c r="CU167">
        <v>5.9903019382268483E-2</v>
      </c>
      <c r="CV167">
        <v>-1</v>
      </c>
      <c r="CW167">
        <v>0</v>
      </c>
      <c r="CX167">
        <v>0</v>
      </c>
      <c r="CY167" t="s">
        <v>333</v>
      </c>
      <c r="CZ167">
        <v>2.3645299999999998</v>
      </c>
      <c r="DA167">
        <v>2.7137899999999999</v>
      </c>
      <c r="DB167">
        <v>0.116246</v>
      </c>
      <c r="DC167">
        <v>0.14615</v>
      </c>
      <c r="DD167">
        <v>0.111442</v>
      </c>
      <c r="DE167">
        <v>5.7267199999999997E-2</v>
      </c>
      <c r="DF167">
        <v>32275.9</v>
      </c>
      <c r="DG167">
        <v>27530.400000000001</v>
      </c>
      <c r="DH167">
        <v>31178.3</v>
      </c>
      <c r="DI167">
        <v>28094.9</v>
      </c>
      <c r="DJ167">
        <v>37612</v>
      </c>
      <c r="DK167">
        <v>37667.300000000003</v>
      </c>
      <c r="DL167">
        <v>44372.3</v>
      </c>
      <c r="DM167">
        <v>42586.1</v>
      </c>
      <c r="DN167">
        <v>1.4807999999999999</v>
      </c>
      <c r="DO167">
        <v>2.04128</v>
      </c>
      <c r="DP167">
        <v>9.7416299999999997E-2</v>
      </c>
      <c r="DQ167">
        <v>0.17780799999999999</v>
      </c>
      <c r="DR167">
        <v>25.371700000000001</v>
      </c>
      <c r="DS167">
        <v>25.1355</v>
      </c>
      <c r="DT167">
        <v>48.9</v>
      </c>
      <c r="DU167">
        <v>29.2</v>
      </c>
      <c r="DV167">
        <v>20.079499999999999</v>
      </c>
      <c r="DW167">
        <v>62.032400000000003</v>
      </c>
      <c r="DX167">
        <v>36.951099999999997</v>
      </c>
      <c r="DY167">
        <v>1</v>
      </c>
      <c r="DZ167">
        <v>-9.2436500000000005E-2</v>
      </c>
      <c r="EA167">
        <v>0.111996</v>
      </c>
      <c r="EB167">
        <v>20.1892</v>
      </c>
      <c r="EC167">
        <v>5.24125</v>
      </c>
      <c r="ED167">
        <v>12.039899999999999</v>
      </c>
      <c r="EE167">
        <v>5.0174500000000002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1.8689100000000001</v>
      </c>
      <c r="EL167">
        <v>1.86463</v>
      </c>
      <c r="EM167">
        <v>1.8692</v>
      </c>
      <c r="EN167">
        <v>1.8672500000000001</v>
      </c>
      <c r="EO167">
        <v>1.8633999999999999</v>
      </c>
      <c r="EP167">
        <v>1.8645400000000001</v>
      </c>
      <c r="EQ167">
        <v>1.8701300000000001</v>
      </c>
      <c r="ER167">
        <v>1.8694299999999999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-0.27800000000000002</v>
      </c>
      <c r="FG167">
        <v>0.30990000000000001</v>
      </c>
      <c r="FH167">
        <v>0.1121710645629533</v>
      </c>
      <c r="FI167">
        <v>-6.1462078757559423E-4</v>
      </c>
      <c r="FJ167">
        <v>-1.8861989874597051E-7</v>
      </c>
      <c r="FK167">
        <v>1.1980462299894961E-10</v>
      </c>
      <c r="FL167">
        <v>0.30996499999999833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35.6</v>
      </c>
      <c r="FU167">
        <v>35.5</v>
      </c>
      <c r="FV167">
        <v>1.7748999999999999</v>
      </c>
      <c r="FW167">
        <v>2.5891099999999998</v>
      </c>
      <c r="FX167">
        <v>1.5490699999999999</v>
      </c>
      <c r="FY167">
        <v>2.3278799999999999</v>
      </c>
      <c r="FZ167">
        <v>1.50146</v>
      </c>
      <c r="GA167">
        <v>2.3144499999999999</v>
      </c>
      <c r="GB167">
        <v>33.963900000000002</v>
      </c>
      <c r="GC167">
        <v>23.982399999999998</v>
      </c>
      <c r="GD167">
        <v>19</v>
      </c>
      <c r="GE167">
        <v>284.87299999999999</v>
      </c>
      <c r="GF167">
        <v>587.27599999999995</v>
      </c>
      <c r="GG167">
        <v>24.421900000000001</v>
      </c>
      <c r="GH167">
        <v>26.226600000000001</v>
      </c>
      <c r="GI167">
        <v>30.0001</v>
      </c>
      <c r="GJ167">
        <v>26.357099999999999</v>
      </c>
      <c r="GK167">
        <v>26.343399999999999</v>
      </c>
      <c r="GL167">
        <v>35.481900000000003</v>
      </c>
      <c r="GM167">
        <v>54.0259</v>
      </c>
      <c r="GN167">
        <v>66.717699999999994</v>
      </c>
      <c r="GO167">
        <v>24.424900000000001</v>
      </c>
      <c r="GP167">
        <v>800</v>
      </c>
      <c r="GQ167">
        <v>9.4838799999999992</v>
      </c>
      <c r="GR167">
        <v>99.760599999999997</v>
      </c>
      <c r="GS167">
        <v>99.620099999999994</v>
      </c>
    </row>
    <row r="168" spans="1:201" x14ac:dyDescent="0.25">
      <c r="A168">
        <v>152</v>
      </c>
      <c r="B168">
        <v>1690228325.5</v>
      </c>
      <c r="C168">
        <v>1755.900000095367</v>
      </c>
      <c r="D168" t="s">
        <v>635</v>
      </c>
      <c r="E168" t="s">
        <v>636</v>
      </c>
      <c r="F168" t="s">
        <v>330</v>
      </c>
      <c r="H168">
        <v>1690228325.5</v>
      </c>
      <c r="I168">
        <f t="shared" si="60"/>
        <v>1.3219764106898167E-3</v>
      </c>
      <c r="J168">
        <f t="shared" si="61"/>
        <v>1.3219764106898166</v>
      </c>
      <c r="K168">
        <f t="shared" si="62"/>
        <v>20.654040502897313</v>
      </c>
      <c r="L168">
        <f t="shared" si="63"/>
        <v>569.03399999999999</v>
      </c>
      <c r="M168">
        <f t="shared" si="64"/>
        <v>165.66499401742186</v>
      </c>
      <c r="N168">
        <f t="shared" si="65"/>
        <v>16.428441319322811</v>
      </c>
      <c r="O168">
        <f t="shared" si="66"/>
        <v>56.429191532861992</v>
      </c>
      <c r="P168">
        <f t="shared" si="67"/>
        <v>8.5449602433947489E-2</v>
      </c>
      <c r="Q168">
        <f t="shared" si="68"/>
        <v>2.1308201049113942</v>
      </c>
      <c r="R168">
        <f t="shared" si="69"/>
        <v>8.3590570335070058E-2</v>
      </c>
      <c r="S168">
        <f t="shared" si="70"/>
        <v>5.2407764500712876E-2</v>
      </c>
      <c r="T168">
        <f t="shared" si="71"/>
        <v>276.11459344799999</v>
      </c>
      <c r="U168">
        <f t="shared" si="72"/>
        <v>28.201327298129275</v>
      </c>
      <c r="V168">
        <f t="shared" si="73"/>
        <v>28.201327298129275</v>
      </c>
      <c r="W168">
        <f t="shared" si="74"/>
        <v>3.8396072255733937</v>
      </c>
      <c r="X168">
        <f t="shared" si="75"/>
        <v>66.838676324123497</v>
      </c>
      <c r="Y168">
        <f t="shared" si="76"/>
        <v>2.3200036129849999</v>
      </c>
      <c r="Z168">
        <f t="shared" si="77"/>
        <v>3.4710496086644689</v>
      </c>
      <c r="AA168">
        <f t="shared" si="78"/>
        <v>1.5196036125883938</v>
      </c>
      <c r="AB168">
        <f t="shared" si="79"/>
        <v>-58.299159711420913</v>
      </c>
      <c r="AC168">
        <f t="shared" si="80"/>
        <v>-197.87837826784454</v>
      </c>
      <c r="AD168">
        <f t="shared" si="81"/>
        <v>-20.109725436626903</v>
      </c>
      <c r="AE168">
        <f t="shared" si="82"/>
        <v>-0.17266996789234668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52477.801850021671</v>
      </c>
      <c r="AK168">
        <f t="shared" si="86"/>
        <v>1800</v>
      </c>
      <c r="AL168">
        <f t="shared" si="87"/>
        <v>1499.1145038</v>
      </c>
      <c r="AM168">
        <f t="shared" si="88"/>
        <v>0.83284139099999999</v>
      </c>
      <c r="AN168">
        <f t="shared" si="89"/>
        <v>0.15339699635999998</v>
      </c>
      <c r="AO168">
        <v>32.4</v>
      </c>
      <c r="AP168">
        <v>0.5</v>
      </c>
      <c r="AQ168" t="s">
        <v>331</v>
      </c>
      <c r="AR168">
        <v>2</v>
      </c>
      <c r="AS168">
        <v>1690228325.5</v>
      </c>
      <c r="AT168">
        <v>569.03399999999999</v>
      </c>
      <c r="AU168">
        <v>800.09100000000001</v>
      </c>
      <c r="AV168">
        <v>23.395</v>
      </c>
      <c r="AW168">
        <v>9.4595699999999994</v>
      </c>
      <c r="AX168">
        <v>569.30999999999995</v>
      </c>
      <c r="AY168">
        <v>23.085000000000001</v>
      </c>
      <c r="AZ168">
        <v>300.17</v>
      </c>
      <c r="BA168">
        <v>99.066599999999994</v>
      </c>
      <c r="BB168">
        <v>0.10004300000000001</v>
      </c>
      <c r="BC168">
        <v>26.4788</v>
      </c>
      <c r="BD168">
        <v>26.974399999999999</v>
      </c>
      <c r="BE168">
        <v>28.055299999999999</v>
      </c>
      <c r="BF168">
        <v>0</v>
      </c>
      <c r="BG168">
        <v>0</v>
      </c>
      <c r="BH168">
        <v>10000.6</v>
      </c>
      <c r="BI168">
        <v>1072.0899999999999</v>
      </c>
      <c r="BJ168">
        <v>1.5137799999999999</v>
      </c>
      <c r="BK168">
        <v>-231.05799999999999</v>
      </c>
      <c r="BL168">
        <v>582.66499999999996</v>
      </c>
      <c r="BM168">
        <v>807.73199999999997</v>
      </c>
      <c r="BN168">
        <v>13.9354</v>
      </c>
      <c r="BO168">
        <v>800.09100000000001</v>
      </c>
      <c r="BP168">
        <v>9.4595699999999994</v>
      </c>
      <c r="BQ168">
        <v>2.3176600000000001</v>
      </c>
      <c r="BR168">
        <v>0.93712799999999996</v>
      </c>
      <c r="BS168">
        <v>19.799700000000001</v>
      </c>
      <c r="BT168">
        <v>5.9738800000000003</v>
      </c>
      <c r="BU168">
        <v>1800</v>
      </c>
      <c r="BV168">
        <v>0.91001799999999999</v>
      </c>
      <c r="BW168">
        <v>3.3994200000000002E-2</v>
      </c>
      <c r="BX168">
        <v>2.19963E-2</v>
      </c>
      <c r="BY168">
        <v>3.3991399999999998E-2</v>
      </c>
      <c r="BZ168">
        <v>26</v>
      </c>
      <c r="CA168">
        <v>33528.5</v>
      </c>
      <c r="CB168">
        <v>1690226183.5999999</v>
      </c>
      <c r="CC168" t="s">
        <v>332</v>
      </c>
      <c r="CD168">
        <v>1690226177.5999999</v>
      </c>
      <c r="CE168">
        <v>1690226183.5999999</v>
      </c>
      <c r="CF168">
        <v>12</v>
      </c>
      <c r="CG168">
        <v>-0.255</v>
      </c>
      <c r="CH168">
        <v>0.113</v>
      </c>
      <c r="CI168">
        <v>-0.439</v>
      </c>
      <c r="CJ168">
        <v>0.31</v>
      </c>
      <c r="CK168">
        <v>800</v>
      </c>
      <c r="CL168">
        <v>25</v>
      </c>
      <c r="CM168">
        <v>0.02</v>
      </c>
      <c r="CN168">
        <v>0.03</v>
      </c>
      <c r="CO168">
        <v>-229.4677804878049</v>
      </c>
      <c r="CP168">
        <v>-8.3046062717773719</v>
      </c>
      <c r="CQ168">
        <v>0.82149190611618161</v>
      </c>
      <c r="CR168">
        <v>-1</v>
      </c>
      <c r="CS168">
        <v>13.79938780487805</v>
      </c>
      <c r="CT168">
        <v>0.65528989547036454</v>
      </c>
      <c r="CU168">
        <v>6.5011932094759611E-2</v>
      </c>
      <c r="CV168">
        <v>-1</v>
      </c>
      <c r="CW168">
        <v>0</v>
      </c>
      <c r="CX168">
        <v>0</v>
      </c>
      <c r="CY168" t="s">
        <v>333</v>
      </c>
      <c r="CZ168">
        <v>2.3645900000000002</v>
      </c>
      <c r="DA168">
        <v>2.7138300000000002</v>
      </c>
      <c r="DB168">
        <v>0.116061</v>
      </c>
      <c r="DC168">
        <v>0.146151</v>
      </c>
      <c r="DD168">
        <v>0.11143699999999999</v>
      </c>
      <c r="DE168">
        <v>5.6661700000000002E-2</v>
      </c>
      <c r="DF168">
        <v>32282.9</v>
      </c>
      <c r="DG168">
        <v>27530.799999999999</v>
      </c>
      <c r="DH168">
        <v>31178.5</v>
      </c>
      <c r="DI168">
        <v>28095.4</v>
      </c>
      <c r="DJ168">
        <v>37612.6</v>
      </c>
      <c r="DK168">
        <v>37691.9</v>
      </c>
      <c r="DL168">
        <v>44372.7</v>
      </c>
      <c r="DM168">
        <v>42586.6</v>
      </c>
      <c r="DN168">
        <v>1.48108</v>
      </c>
      <c r="DO168">
        <v>2.04095</v>
      </c>
      <c r="DP168">
        <v>9.7826099999999999E-2</v>
      </c>
      <c r="DQ168">
        <v>0.178423</v>
      </c>
      <c r="DR168">
        <v>25.372399999999999</v>
      </c>
      <c r="DS168">
        <v>25.1355</v>
      </c>
      <c r="DT168">
        <v>48.6</v>
      </c>
      <c r="DU168">
        <v>29.2</v>
      </c>
      <c r="DV168">
        <v>19.959199999999999</v>
      </c>
      <c r="DW168">
        <v>61.782400000000003</v>
      </c>
      <c r="DX168">
        <v>36.883000000000003</v>
      </c>
      <c r="DY168">
        <v>1</v>
      </c>
      <c r="DZ168">
        <v>-9.2555899999999997E-2</v>
      </c>
      <c r="EA168">
        <v>4.4362699999999998E-2</v>
      </c>
      <c r="EB168">
        <v>20.189</v>
      </c>
      <c r="EC168">
        <v>5.2409499999999998</v>
      </c>
      <c r="ED168">
        <v>12.039899999999999</v>
      </c>
      <c r="EE168">
        <v>5.01755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1.8691899999999999</v>
      </c>
      <c r="EN168">
        <v>1.8672299999999999</v>
      </c>
      <c r="EO168">
        <v>1.8633999999999999</v>
      </c>
      <c r="EP168">
        <v>1.86452</v>
      </c>
      <c r="EQ168">
        <v>1.8701399999999999</v>
      </c>
      <c r="ER168">
        <v>1.8694299999999999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-0.27600000000000002</v>
      </c>
      <c r="FG168">
        <v>0.31</v>
      </c>
      <c r="FH168">
        <v>0.1121710645629533</v>
      </c>
      <c r="FI168">
        <v>-6.1462078757559423E-4</v>
      </c>
      <c r="FJ168">
        <v>-1.8861989874597051E-7</v>
      </c>
      <c r="FK168">
        <v>1.1980462299894961E-10</v>
      </c>
      <c r="FL168">
        <v>0.30996499999999833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35.799999999999997</v>
      </c>
      <c r="FU168">
        <v>35.700000000000003</v>
      </c>
      <c r="FV168">
        <v>1.7748999999999999</v>
      </c>
      <c r="FW168">
        <v>2.5817899999999998</v>
      </c>
      <c r="FX168">
        <v>1.5490699999999999</v>
      </c>
      <c r="FY168">
        <v>2.3278799999999999</v>
      </c>
      <c r="FZ168">
        <v>1.50146</v>
      </c>
      <c r="GA168">
        <v>2.3999000000000001</v>
      </c>
      <c r="GB168">
        <v>33.963900000000002</v>
      </c>
      <c r="GC168">
        <v>23.991199999999999</v>
      </c>
      <c r="GD168">
        <v>19</v>
      </c>
      <c r="GE168">
        <v>284.99099999999999</v>
      </c>
      <c r="GF168">
        <v>586.98099999999999</v>
      </c>
      <c r="GG168">
        <v>24.457699999999999</v>
      </c>
      <c r="GH168">
        <v>26.226600000000001</v>
      </c>
      <c r="GI168">
        <v>30.0001</v>
      </c>
      <c r="GJ168">
        <v>26.357099999999999</v>
      </c>
      <c r="GK168">
        <v>26.341200000000001</v>
      </c>
      <c r="GL168">
        <v>35.479599999999998</v>
      </c>
      <c r="GM168">
        <v>54.298400000000001</v>
      </c>
      <c r="GN168">
        <v>66.334800000000001</v>
      </c>
      <c r="GO168">
        <v>24.464099999999998</v>
      </c>
      <c r="GP168">
        <v>800</v>
      </c>
      <c r="GQ168">
        <v>9.37974</v>
      </c>
      <c r="GR168">
        <v>99.761600000000001</v>
      </c>
      <c r="GS168">
        <v>99.621399999999994</v>
      </c>
    </row>
    <row r="169" spans="1:201" x14ac:dyDescent="0.25">
      <c r="A169">
        <v>153</v>
      </c>
      <c r="B169">
        <v>1690228335.5</v>
      </c>
      <c r="C169">
        <v>1765.900000095367</v>
      </c>
      <c r="D169" t="s">
        <v>637</v>
      </c>
      <c r="E169" t="s">
        <v>638</v>
      </c>
      <c r="F169" t="s">
        <v>330</v>
      </c>
      <c r="H169">
        <v>1690228335.5</v>
      </c>
      <c r="I169">
        <f t="shared" si="60"/>
        <v>1.3329345302494405E-3</v>
      </c>
      <c r="J169">
        <f t="shared" si="61"/>
        <v>1.3329345302494404</v>
      </c>
      <c r="K169">
        <f t="shared" si="62"/>
        <v>20.777341050153453</v>
      </c>
      <c r="L169">
        <f t="shared" si="63"/>
        <v>567.72</v>
      </c>
      <c r="M169">
        <f t="shared" si="64"/>
        <v>165.0983739280565</v>
      </c>
      <c r="N169">
        <f t="shared" si="65"/>
        <v>16.373233842528958</v>
      </c>
      <c r="O169">
        <f t="shared" si="66"/>
        <v>56.302264497960003</v>
      </c>
      <c r="P169">
        <f t="shared" si="67"/>
        <v>8.6129346305315296E-2</v>
      </c>
      <c r="Q169">
        <f t="shared" si="68"/>
        <v>2.1337314229183111</v>
      </c>
      <c r="R169">
        <f t="shared" si="69"/>
        <v>8.4243487598061981E-2</v>
      </c>
      <c r="S169">
        <f t="shared" si="70"/>
        <v>5.2818177491187474E-2</v>
      </c>
      <c r="T169">
        <f t="shared" si="71"/>
        <v>276.11471023200005</v>
      </c>
      <c r="U169">
        <f t="shared" si="72"/>
        <v>28.20346316096829</v>
      </c>
      <c r="V169">
        <f t="shared" si="73"/>
        <v>28.20346316096829</v>
      </c>
      <c r="W169">
        <f t="shared" si="74"/>
        <v>3.8400846193754861</v>
      </c>
      <c r="X169">
        <f t="shared" si="75"/>
        <v>66.797064195394256</v>
      </c>
      <c r="Y169">
        <f t="shared" si="76"/>
        <v>2.3196667847885997</v>
      </c>
      <c r="Z169">
        <f t="shared" si="77"/>
        <v>3.4727076896720015</v>
      </c>
      <c r="AA169">
        <f t="shared" si="78"/>
        <v>1.5204178345868864</v>
      </c>
      <c r="AB169">
        <f t="shared" si="79"/>
        <v>-58.782412784000329</v>
      </c>
      <c r="AC169">
        <f t="shared" si="80"/>
        <v>-197.46266056450307</v>
      </c>
      <c r="AD169">
        <f t="shared" si="81"/>
        <v>-20.041120188373895</v>
      </c>
      <c r="AE169">
        <f t="shared" si="82"/>
        <v>-0.17148330487722774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52602.324204014774</v>
      </c>
      <c r="AK169">
        <f t="shared" si="86"/>
        <v>1800</v>
      </c>
      <c r="AL169">
        <f t="shared" si="87"/>
        <v>1499.1153371999999</v>
      </c>
      <c r="AM169">
        <f t="shared" si="88"/>
        <v>0.83284185399999999</v>
      </c>
      <c r="AN169">
        <f t="shared" si="89"/>
        <v>0.15339706124000002</v>
      </c>
      <c r="AO169">
        <v>32.4</v>
      </c>
      <c r="AP169">
        <v>0.5</v>
      </c>
      <c r="AQ169" t="s">
        <v>331</v>
      </c>
      <c r="AR169">
        <v>2</v>
      </c>
      <c r="AS169">
        <v>1690228335.5</v>
      </c>
      <c r="AT169">
        <v>567.72</v>
      </c>
      <c r="AU169">
        <v>800.12300000000005</v>
      </c>
      <c r="AV169">
        <v>23.3902</v>
      </c>
      <c r="AW169">
        <v>9.3412000000000006</v>
      </c>
      <c r="AX169">
        <v>567.99599999999998</v>
      </c>
      <c r="AY169">
        <v>23.080200000000001</v>
      </c>
      <c r="AZ169">
        <v>300.21300000000002</v>
      </c>
      <c r="BA169">
        <v>99.072599999999994</v>
      </c>
      <c r="BB169">
        <v>9.9992999999999999E-2</v>
      </c>
      <c r="BC169">
        <v>26.486899999999999</v>
      </c>
      <c r="BD169">
        <v>27.012699999999999</v>
      </c>
      <c r="BE169">
        <v>28.058299999999999</v>
      </c>
      <c r="BF169">
        <v>0</v>
      </c>
      <c r="BG169">
        <v>0</v>
      </c>
      <c r="BH169">
        <v>10025</v>
      </c>
      <c r="BI169">
        <v>1072.23</v>
      </c>
      <c r="BJ169">
        <v>1.5137799999999999</v>
      </c>
      <c r="BK169">
        <v>-232.40199999999999</v>
      </c>
      <c r="BL169">
        <v>581.31799999999998</v>
      </c>
      <c r="BM169">
        <v>807.66700000000003</v>
      </c>
      <c r="BN169">
        <v>14.048999999999999</v>
      </c>
      <c r="BO169">
        <v>800.12300000000005</v>
      </c>
      <c r="BP169">
        <v>9.3412000000000006</v>
      </c>
      <c r="BQ169">
        <v>2.3173300000000001</v>
      </c>
      <c r="BR169">
        <v>0.92545699999999997</v>
      </c>
      <c r="BS169">
        <v>19.7973</v>
      </c>
      <c r="BT169">
        <v>5.7928100000000002</v>
      </c>
      <c r="BU169">
        <v>1800</v>
      </c>
      <c r="BV169">
        <v>0.91001900000000002</v>
      </c>
      <c r="BW169">
        <v>3.3994000000000003E-2</v>
      </c>
      <c r="BX169">
        <v>2.19962E-2</v>
      </c>
      <c r="BY169">
        <v>3.3991199999999999E-2</v>
      </c>
      <c r="BZ169">
        <v>26</v>
      </c>
      <c r="CA169">
        <v>33528.5</v>
      </c>
      <c r="CB169">
        <v>1690226183.5999999</v>
      </c>
      <c r="CC169" t="s">
        <v>332</v>
      </c>
      <c r="CD169">
        <v>1690226177.5999999</v>
      </c>
      <c r="CE169">
        <v>1690226183.5999999</v>
      </c>
      <c r="CF169">
        <v>12</v>
      </c>
      <c r="CG169">
        <v>-0.255</v>
      </c>
      <c r="CH169">
        <v>0.113</v>
      </c>
      <c r="CI169">
        <v>-0.439</v>
      </c>
      <c r="CJ169">
        <v>0.31</v>
      </c>
      <c r="CK169">
        <v>800</v>
      </c>
      <c r="CL169">
        <v>25</v>
      </c>
      <c r="CM169">
        <v>0.02</v>
      </c>
      <c r="CN169">
        <v>0.03</v>
      </c>
      <c r="CO169">
        <v>-230.94149999999999</v>
      </c>
      <c r="CP169">
        <v>-7.7781388367730511</v>
      </c>
      <c r="CQ169">
        <v>0.75160494942489775</v>
      </c>
      <c r="CR169">
        <v>-1</v>
      </c>
      <c r="CS169">
        <v>13.931884999999999</v>
      </c>
      <c r="CT169">
        <v>0.80717223264538174</v>
      </c>
      <c r="CU169">
        <v>7.8398149053405697E-2</v>
      </c>
      <c r="CV169">
        <v>-1</v>
      </c>
      <c r="CW169">
        <v>0</v>
      </c>
      <c r="CX169">
        <v>0</v>
      </c>
      <c r="CY169" t="s">
        <v>333</v>
      </c>
      <c r="CZ169">
        <v>2.3647</v>
      </c>
      <c r="DA169">
        <v>2.7138100000000001</v>
      </c>
      <c r="DB169">
        <v>0.11587699999999999</v>
      </c>
      <c r="DC169">
        <v>0.14616100000000001</v>
      </c>
      <c r="DD169">
        <v>0.111427</v>
      </c>
      <c r="DE169">
        <v>5.6114999999999998E-2</v>
      </c>
      <c r="DF169">
        <v>32290</v>
      </c>
      <c r="DG169">
        <v>27530.5</v>
      </c>
      <c r="DH169">
        <v>31178.799999999999</v>
      </c>
      <c r="DI169">
        <v>28095.4</v>
      </c>
      <c r="DJ169">
        <v>37613.300000000003</v>
      </c>
      <c r="DK169">
        <v>37713.9</v>
      </c>
      <c r="DL169">
        <v>44373.1</v>
      </c>
      <c r="DM169">
        <v>42586.7</v>
      </c>
      <c r="DN169">
        <v>1.48092</v>
      </c>
      <c r="DO169">
        <v>2.0407500000000001</v>
      </c>
      <c r="DP169">
        <v>0.10008</v>
      </c>
      <c r="DQ169">
        <v>0.178479</v>
      </c>
      <c r="DR169">
        <v>25.373799999999999</v>
      </c>
      <c r="DS169">
        <v>25.137599999999999</v>
      </c>
      <c r="DT169">
        <v>48.4</v>
      </c>
      <c r="DU169">
        <v>29.2</v>
      </c>
      <c r="DV169">
        <v>19.875499999999999</v>
      </c>
      <c r="DW169">
        <v>61.802399999999999</v>
      </c>
      <c r="DX169">
        <v>36.013599999999997</v>
      </c>
      <c r="DY169">
        <v>1</v>
      </c>
      <c r="DZ169">
        <v>-9.1877500000000001E-2</v>
      </c>
      <c r="EA169">
        <v>0.34194999999999998</v>
      </c>
      <c r="EB169">
        <v>20.188500000000001</v>
      </c>
      <c r="EC169">
        <v>5.2413999999999996</v>
      </c>
      <c r="ED169">
        <v>12.039899999999999</v>
      </c>
      <c r="EE169">
        <v>5.0173500000000004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1.86463</v>
      </c>
      <c r="EM169">
        <v>1.8692</v>
      </c>
      <c r="EN169">
        <v>1.86724</v>
      </c>
      <c r="EO169">
        <v>1.8633999999999999</v>
      </c>
      <c r="EP169">
        <v>1.8645099999999999</v>
      </c>
      <c r="EQ169">
        <v>1.8701399999999999</v>
      </c>
      <c r="ER169">
        <v>1.86941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-0.27600000000000002</v>
      </c>
      <c r="FG169">
        <v>0.31</v>
      </c>
      <c r="FH169">
        <v>0.1121710645629533</v>
      </c>
      <c r="FI169">
        <v>-6.1462078757559423E-4</v>
      </c>
      <c r="FJ169">
        <v>-1.8861989874597051E-7</v>
      </c>
      <c r="FK169">
        <v>1.1980462299894961E-10</v>
      </c>
      <c r="FL169">
        <v>0.30996499999999833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36</v>
      </c>
      <c r="FU169">
        <v>35.9</v>
      </c>
      <c r="FV169">
        <v>1.7736799999999999</v>
      </c>
      <c r="FW169">
        <v>2.5854499999999998</v>
      </c>
      <c r="FX169">
        <v>1.5490699999999999</v>
      </c>
      <c r="FY169">
        <v>2.32666</v>
      </c>
      <c r="FZ169">
        <v>1.50146</v>
      </c>
      <c r="GA169">
        <v>2.3718300000000001</v>
      </c>
      <c r="GB169">
        <v>33.963900000000002</v>
      </c>
      <c r="GC169">
        <v>23.982399999999998</v>
      </c>
      <c r="GD169">
        <v>19</v>
      </c>
      <c r="GE169">
        <v>284.92</v>
      </c>
      <c r="GF169">
        <v>586.81500000000005</v>
      </c>
      <c r="GG169">
        <v>24.4587</v>
      </c>
      <c r="GH169">
        <v>26.226299999999998</v>
      </c>
      <c r="GI169">
        <v>30.000699999999998</v>
      </c>
      <c r="GJ169">
        <v>26.355699999999999</v>
      </c>
      <c r="GK169">
        <v>26.341200000000001</v>
      </c>
      <c r="GL169">
        <v>35.4724</v>
      </c>
      <c r="GM169">
        <v>54.298400000000001</v>
      </c>
      <c r="GN169">
        <v>65.572100000000006</v>
      </c>
      <c r="GO169">
        <v>24.422899999999998</v>
      </c>
      <c r="GP169">
        <v>800</v>
      </c>
      <c r="GQ169">
        <v>9.2734799999999993</v>
      </c>
      <c r="GR169">
        <v>99.762600000000006</v>
      </c>
      <c r="GS169">
        <v>99.621499999999997</v>
      </c>
    </row>
    <row r="170" spans="1:201" x14ac:dyDescent="0.25">
      <c r="A170">
        <v>154</v>
      </c>
      <c r="B170">
        <v>1690228345.5</v>
      </c>
      <c r="C170">
        <v>1775.900000095367</v>
      </c>
      <c r="D170" t="s">
        <v>639</v>
      </c>
      <c r="E170" t="s">
        <v>640</v>
      </c>
      <c r="F170" t="s">
        <v>330</v>
      </c>
      <c r="H170">
        <v>1690228345.5</v>
      </c>
      <c r="I170">
        <f t="shared" si="60"/>
        <v>1.337760949090713E-3</v>
      </c>
      <c r="J170">
        <f t="shared" si="61"/>
        <v>1.337760949090713</v>
      </c>
      <c r="K170">
        <f t="shared" si="62"/>
        <v>20.884094573782818</v>
      </c>
      <c r="L170">
        <f t="shared" si="63"/>
        <v>566.41700000000003</v>
      </c>
      <c r="M170">
        <f t="shared" si="64"/>
        <v>162.67607240650838</v>
      </c>
      <c r="N170">
        <f t="shared" si="65"/>
        <v>16.133433642890672</v>
      </c>
      <c r="O170">
        <f t="shared" si="66"/>
        <v>56.174524922569994</v>
      </c>
      <c r="P170">
        <f t="shared" si="67"/>
        <v>8.6328675477645833E-2</v>
      </c>
      <c r="Q170">
        <f t="shared" si="68"/>
        <v>2.1257415894727441</v>
      </c>
      <c r="R170">
        <f t="shared" si="69"/>
        <v>8.4427229542754459E-2</v>
      </c>
      <c r="S170">
        <f t="shared" si="70"/>
        <v>5.2934367643698681E-2</v>
      </c>
      <c r="T170">
        <f t="shared" si="71"/>
        <v>276.11461218600004</v>
      </c>
      <c r="U170">
        <f t="shared" si="72"/>
        <v>28.206537275291925</v>
      </c>
      <c r="V170">
        <f t="shared" si="73"/>
        <v>28.206537275291925</v>
      </c>
      <c r="W170">
        <f t="shared" si="74"/>
        <v>3.8407718157797173</v>
      </c>
      <c r="X170">
        <f t="shared" si="75"/>
        <v>66.756891459981333</v>
      </c>
      <c r="Y170">
        <f t="shared" si="76"/>
        <v>2.3181213585399996</v>
      </c>
      <c r="Z170">
        <f t="shared" si="77"/>
        <v>3.4724824776025423</v>
      </c>
      <c r="AA170">
        <f t="shared" si="78"/>
        <v>1.5226504572397177</v>
      </c>
      <c r="AB170">
        <f t="shared" si="79"/>
        <v>-58.995257854900444</v>
      </c>
      <c r="AC170">
        <f t="shared" si="80"/>
        <v>-197.20162052920222</v>
      </c>
      <c r="AD170">
        <f t="shared" si="81"/>
        <v>-20.090052438393347</v>
      </c>
      <c r="AE170">
        <f t="shared" si="82"/>
        <v>-0.1723186364959588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52257.762405724498</v>
      </c>
      <c r="AK170">
        <f t="shared" si="86"/>
        <v>1800</v>
      </c>
      <c r="AL170">
        <f t="shared" si="87"/>
        <v>1499.1149195999999</v>
      </c>
      <c r="AM170">
        <f t="shared" si="88"/>
        <v>0.832841622</v>
      </c>
      <c r="AN170">
        <f t="shared" si="89"/>
        <v>0.15339700677000001</v>
      </c>
      <c r="AO170">
        <v>32.4</v>
      </c>
      <c r="AP170">
        <v>0.5</v>
      </c>
      <c r="AQ170" t="s">
        <v>331</v>
      </c>
      <c r="AR170">
        <v>2</v>
      </c>
      <c r="AS170">
        <v>1690228345.5</v>
      </c>
      <c r="AT170">
        <v>566.41700000000003</v>
      </c>
      <c r="AU170">
        <v>800.00699999999995</v>
      </c>
      <c r="AV170">
        <v>23.373999999999999</v>
      </c>
      <c r="AW170">
        <v>9.2724399999999996</v>
      </c>
      <c r="AX170">
        <v>566.69100000000003</v>
      </c>
      <c r="AY170">
        <v>23.0641</v>
      </c>
      <c r="AZ170">
        <v>300.18200000000002</v>
      </c>
      <c r="BA170">
        <v>99.075199999999995</v>
      </c>
      <c r="BB170">
        <v>0.10001</v>
      </c>
      <c r="BC170">
        <v>26.485800000000001</v>
      </c>
      <c r="BD170">
        <v>27.033100000000001</v>
      </c>
      <c r="BE170">
        <v>28.0474</v>
      </c>
      <c r="BF170">
        <v>0</v>
      </c>
      <c r="BG170">
        <v>0</v>
      </c>
      <c r="BH170">
        <v>9956.25</v>
      </c>
      <c r="BI170">
        <v>1072.27</v>
      </c>
      <c r="BJ170">
        <v>1.47594</v>
      </c>
      <c r="BK170">
        <v>-233.59100000000001</v>
      </c>
      <c r="BL170">
        <v>579.97299999999996</v>
      </c>
      <c r="BM170">
        <v>807.495</v>
      </c>
      <c r="BN170">
        <v>14.101599999999999</v>
      </c>
      <c r="BO170">
        <v>800.00699999999995</v>
      </c>
      <c r="BP170">
        <v>9.2724399999999996</v>
      </c>
      <c r="BQ170">
        <v>2.3157899999999998</v>
      </c>
      <c r="BR170">
        <v>0.91866800000000004</v>
      </c>
      <c r="BS170">
        <v>19.7866</v>
      </c>
      <c r="BT170">
        <v>5.6865500000000004</v>
      </c>
      <c r="BU170">
        <v>1800</v>
      </c>
      <c r="BV170">
        <v>0.91001900000000002</v>
      </c>
      <c r="BW170">
        <v>3.3993900000000001E-2</v>
      </c>
      <c r="BX170">
        <v>2.1996100000000001E-2</v>
      </c>
      <c r="BY170">
        <v>3.3991100000000003E-2</v>
      </c>
      <c r="BZ170">
        <v>26</v>
      </c>
      <c r="CA170">
        <v>33528.5</v>
      </c>
      <c r="CB170">
        <v>1690226183.5999999</v>
      </c>
      <c r="CC170" t="s">
        <v>332</v>
      </c>
      <c r="CD170">
        <v>1690226177.5999999</v>
      </c>
      <c r="CE170">
        <v>1690226183.5999999</v>
      </c>
      <c r="CF170">
        <v>12</v>
      </c>
      <c r="CG170">
        <v>-0.255</v>
      </c>
      <c r="CH170">
        <v>0.113</v>
      </c>
      <c r="CI170">
        <v>-0.439</v>
      </c>
      <c r="CJ170">
        <v>0.31</v>
      </c>
      <c r="CK170">
        <v>800</v>
      </c>
      <c r="CL170">
        <v>25</v>
      </c>
      <c r="CM170">
        <v>0.02</v>
      </c>
      <c r="CN170">
        <v>0.03</v>
      </c>
      <c r="CO170">
        <v>-232.14107317073169</v>
      </c>
      <c r="CP170">
        <v>-7.4534634146344452</v>
      </c>
      <c r="CQ170">
        <v>0.73783098038890504</v>
      </c>
      <c r="CR170">
        <v>-1</v>
      </c>
      <c r="CS170">
        <v>14.02939512195122</v>
      </c>
      <c r="CT170">
        <v>0.4892571428571072</v>
      </c>
      <c r="CU170">
        <v>5.1095386413941582E-2</v>
      </c>
      <c r="CV170">
        <v>-1</v>
      </c>
      <c r="CW170">
        <v>0</v>
      </c>
      <c r="CX170">
        <v>0</v>
      </c>
      <c r="CY170" t="s">
        <v>333</v>
      </c>
      <c r="CZ170">
        <v>2.36463</v>
      </c>
      <c r="DA170">
        <v>2.7137600000000002</v>
      </c>
      <c r="DB170">
        <v>0.115691</v>
      </c>
      <c r="DC170">
        <v>0.14615</v>
      </c>
      <c r="DD170">
        <v>0.111376</v>
      </c>
      <c r="DE170">
        <v>5.5795999999999998E-2</v>
      </c>
      <c r="DF170">
        <v>32296.7</v>
      </c>
      <c r="DG170">
        <v>27530.799999999999</v>
      </c>
      <c r="DH170">
        <v>31178.799999999999</v>
      </c>
      <c r="DI170">
        <v>28095.4</v>
      </c>
      <c r="DJ170">
        <v>37615.4</v>
      </c>
      <c r="DK170">
        <v>37726.800000000003</v>
      </c>
      <c r="DL170">
        <v>44373.1</v>
      </c>
      <c r="DM170">
        <v>42586.7</v>
      </c>
      <c r="DN170">
        <v>1.4812000000000001</v>
      </c>
      <c r="DO170">
        <v>2.0409999999999999</v>
      </c>
      <c r="DP170">
        <v>0.10145800000000001</v>
      </c>
      <c r="DQ170">
        <v>0.17780799999999999</v>
      </c>
      <c r="DR170">
        <v>25.371700000000001</v>
      </c>
      <c r="DS170">
        <v>25.137599999999999</v>
      </c>
      <c r="DT170">
        <v>48.1</v>
      </c>
      <c r="DU170">
        <v>29.2</v>
      </c>
      <c r="DV170">
        <v>19.753599999999999</v>
      </c>
      <c r="DW170">
        <v>61.702399999999997</v>
      </c>
      <c r="DX170">
        <v>35.873399999999997</v>
      </c>
      <c r="DY170">
        <v>1</v>
      </c>
      <c r="DZ170">
        <v>-9.1783500000000004E-2</v>
      </c>
      <c r="EA170">
        <v>0.24261199999999999</v>
      </c>
      <c r="EB170">
        <v>20.1889</v>
      </c>
      <c r="EC170">
        <v>5.2411000000000003</v>
      </c>
      <c r="ED170">
        <v>12.039899999999999</v>
      </c>
      <c r="EE170">
        <v>5.0174000000000003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1.8646499999999999</v>
      </c>
      <c r="EM170">
        <v>1.8691899999999999</v>
      </c>
      <c r="EN170">
        <v>1.8672299999999999</v>
      </c>
      <c r="EO170">
        <v>1.8633999999999999</v>
      </c>
      <c r="EP170">
        <v>1.86453</v>
      </c>
      <c r="EQ170">
        <v>1.8701300000000001</v>
      </c>
      <c r="ER170">
        <v>1.86941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-0.27400000000000002</v>
      </c>
      <c r="FG170">
        <v>0.30990000000000001</v>
      </c>
      <c r="FH170">
        <v>0.1121710645629533</v>
      </c>
      <c r="FI170">
        <v>-6.1462078757559423E-4</v>
      </c>
      <c r="FJ170">
        <v>-1.8861989874597051E-7</v>
      </c>
      <c r="FK170">
        <v>1.1980462299894961E-10</v>
      </c>
      <c r="FL170">
        <v>0.30996499999999833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36.1</v>
      </c>
      <c r="FU170">
        <v>36</v>
      </c>
      <c r="FV170">
        <v>1.7748999999999999</v>
      </c>
      <c r="FW170">
        <v>2.5866699999999998</v>
      </c>
      <c r="FX170">
        <v>1.5490699999999999</v>
      </c>
      <c r="FY170">
        <v>2.32666</v>
      </c>
      <c r="FZ170">
        <v>1.50146</v>
      </c>
      <c r="GA170">
        <v>2.3852500000000001</v>
      </c>
      <c r="GB170">
        <v>33.963900000000002</v>
      </c>
      <c r="GC170">
        <v>23.982399999999998</v>
      </c>
      <c r="GD170">
        <v>19</v>
      </c>
      <c r="GE170">
        <v>285.03500000000003</v>
      </c>
      <c r="GF170">
        <v>586.99699999999996</v>
      </c>
      <c r="GG170">
        <v>24.398499999999999</v>
      </c>
      <c r="GH170">
        <v>26.224399999999999</v>
      </c>
      <c r="GI170">
        <v>30.0001</v>
      </c>
      <c r="GJ170">
        <v>26.354900000000001</v>
      </c>
      <c r="GK170">
        <v>26.338999999999999</v>
      </c>
      <c r="GL170">
        <v>35.476999999999997</v>
      </c>
      <c r="GM170">
        <v>54.298400000000001</v>
      </c>
      <c r="GN170">
        <v>65.189099999999996</v>
      </c>
      <c r="GO170">
        <v>24.404199999999999</v>
      </c>
      <c r="GP170">
        <v>800</v>
      </c>
      <c r="GQ170">
        <v>9.1829900000000002</v>
      </c>
      <c r="GR170">
        <v>99.7624</v>
      </c>
      <c r="GS170">
        <v>99.621600000000001</v>
      </c>
    </row>
    <row r="171" spans="1:201" x14ac:dyDescent="0.25">
      <c r="A171">
        <v>155</v>
      </c>
      <c r="B171">
        <v>1690228355.5</v>
      </c>
      <c r="C171">
        <v>1785.900000095367</v>
      </c>
      <c r="D171" t="s">
        <v>641</v>
      </c>
      <c r="E171" t="s">
        <v>642</v>
      </c>
      <c r="F171" t="s">
        <v>330</v>
      </c>
      <c r="H171">
        <v>1690228355.5</v>
      </c>
      <c r="I171">
        <f t="shared" si="60"/>
        <v>1.3454415609370223E-3</v>
      </c>
      <c r="J171">
        <f t="shared" si="61"/>
        <v>1.3454415609370223</v>
      </c>
      <c r="K171">
        <f t="shared" si="62"/>
        <v>20.992757952738938</v>
      </c>
      <c r="L171">
        <f t="shared" si="63"/>
        <v>565.15899999999999</v>
      </c>
      <c r="M171">
        <f t="shared" si="64"/>
        <v>162.19978260441835</v>
      </c>
      <c r="N171">
        <f t="shared" si="65"/>
        <v>16.086483135564702</v>
      </c>
      <c r="O171">
        <f t="shared" si="66"/>
        <v>56.050757753388993</v>
      </c>
      <c r="P171">
        <f t="shared" si="67"/>
        <v>8.6949468982475825E-2</v>
      </c>
      <c r="Q171">
        <f t="shared" si="68"/>
        <v>2.132036423397853</v>
      </c>
      <c r="R171">
        <f t="shared" si="69"/>
        <v>8.5026465459692863E-2</v>
      </c>
      <c r="S171">
        <f t="shared" si="70"/>
        <v>5.3310772885397095E-2</v>
      </c>
      <c r="T171">
        <f t="shared" si="71"/>
        <v>276.11437750199997</v>
      </c>
      <c r="U171">
        <f t="shared" si="72"/>
        <v>28.192453219184799</v>
      </c>
      <c r="V171">
        <f t="shared" si="73"/>
        <v>28.192453219184799</v>
      </c>
      <c r="W171">
        <f t="shared" si="74"/>
        <v>3.8376243050668877</v>
      </c>
      <c r="X171">
        <f t="shared" si="75"/>
        <v>66.750274926473139</v>
      </c>
      <c r="Y171">
        <f t="shared" si="76"/>
        <v>2.3169624788048995</v>
      </c>
      <c r="Z171">
        <f t="shared" si="77"/>
        <v>3.4710905406113808</v>
      </c>
      <c r="AA171">
        <f t="shared" si="78"/>
        <v>1.5206618262619882</v>
      </c>
      <c r="AB171">
        <f t="shared" si="79"/>
        <v>-59.333972837322683</v>
      </c>
      <c r="AC171">
        <f t="shared" si="80"/>
        <v>-196.94833561564414</v>
      </c>
      <c r="AD171">
        <f t="shared" si="81"/>
        <v>-20.002921376783512</v>
      </c>
      <c r="AE171">
        <f t="shared" si="82"/>
        <v>-0.17085232775033887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52530.530704953722</v>
      </c>
      <c r="AK171">
        <f t="shared" si="86"/>
        <v>1800</v>
      </c>
      <c r="AL171">
        <f t="shared" si="87"/>
        <v>1499.1142392000002</v>
      </c>
      <c r="AM171">
        <f t="shared" si="88"/>
        <v>0.83284124400000004</v>
      </c>
      <c r="AN171">
        <f t="shared" si="89"/>
        <v>0.15339687638999999</v>
      </c>
      <c r="AO171">
        <v>32.4</v>
      </c>
      <c r="AP171">
        <v>0.5</v>
      </c>
      <c r="AQ171" t="s">
        <v>331</v>
      </c>
      <c r="AR171">
        <v>2</v>
      </c>
      <c r="AS171">
        <v>1690228355.5</v>
      </c>
      <c r="AT171">
        <v>565.15899999999999</v>
      </c>
      <c r="AU171">
        <v>800.01</v>
      </c>
      <c r="AV171">
        <v>23.361899999999999</v>
      </c>
      <c r="AW171">
        <v>9.1756100000000007</v>
      </c>
      <c r="AX171">
        <v>565.43299999999999</v>
      </c>
      <c r="AY171">
        <v>23.0519</v>
      </c>
      <c r="AZ171">
        <v>300.10599999999999</v>
      </c>
      <c r="BA171">
        <v>99.076899999999995</v>
      </c>
      <c r="BB171">
        <v>0.10007099999999999</v>
      </c>
      <c r="BC171">
        <v>26.478999999999999</v>
      </c>
      <c r="BD171">
        <v>26.990100000000002</v>
      </c>
      <c r="BE171">
        <v>28.063300000000002</v>
      </c>
      <c r="BF171">
        <v>0</v>
      </c>
      <c r="BG171">
        <v>0</v>
      </c>
      <c r="BH171">
        <v>10010</v>
      </c>
      <c r="BI171">
        <v>1072.3599999999999</v>
      </c>
      <c r="BJ171">
        <v>1.4577199999999999</v>
      </c>
      <c r="BK171">
        <v>-234.85</v>
      </c>
      <c r="BL171">
        <v>578.678</v>
      </c>
      <c r="BM171">
        <v>807.41800000000001</v>
      </c>
      <c r="BN171">
        <v>14.186299999999999</v>
      </c>
      <c r="BO171">
        <v>800.01</v>
      </c>
      <c r="BP171">
        <v>9.1756100000000007</v>
      </c>
      <c r="BQ171">
        <v>2.3146200000000001</v>
      </c>
      <c r="BR171">
        <v>0.90909099999999998</v>
      </c>
      <c r="BS171">
        <v>19.778500000000001</v>
      </c>
      <c r="BT171">
        <v>5.5354599999999996</v>
      </c>
      <c r="BU171">
        <v>1800</v>
      </c>
      <c r="BV171">
        <v>0.91002000000000005</v>
      </c>
      <c r="BW171">
        <v>3.3993299999999997E-2</v>
      </c>
      <c r="BX171">
        <v>2.19957E-2</v>
      </c>
      <c r="BY171">
        <v>3.39905E-2</v>
      </c>
      <c r="BZ171">
        <v>26</v>
      </c>
      <c r="CA171">
        <v>33528.5</v>
      </c>
      <c r="CB171">
        <v>1690226183.5999999</v>
      </c>
      <c r="CC171" t="s">
        <v>332</v>
      </c>
      <c r="CD171">
        <v>1690226177.5999999</v>
      </c>
      <c r="CE171">
        <v>1690226183.5999999</v>
      </c>
      <c r="CF171">
        <v>12</v>
      </c>
      <c r="CG171">
        <v>-0.255</v>
      </c>
      <c r="CH171">
        <v>0.113</v>
      </c>
      <c r="CI171">
        <v>-0.439</v>
      </c>
      <c r="CJ171">
        <v>0.31</v>
      </c>
      <c r="CK171">
        <v>800</v>
      </c>
      <c r="CL171">
        <v>25</v>
      </c>
      <c r="CM171">
        <v>0.02</v>
      </c>
      <c r="CN171">
        <v>0.03</v>
      </c>
      <c r="CO171">
        <v>-233.39924390243911</v>
      </c>
      <c r="CP171">
        <v>-7.4643763066205411</v>
      </c>
      <c r="CQ171">
        <v>0.73700113447600546</v>
      </c>
      <c r="CR171">
        <v>-1</v>
      </c>
      <c r="CS171">
        <v>14.099370731707319</v>
      </c>
      <c r="CT171">
        <v>0.38433867595819649</v>
      </c>
      <c r="CU171">
        <v>3.9198750875459112E-2</v>
      </c>
      <c r="CV171">
        <v>-1</v>
      </c>
      <c r="CW171">
        <v>0</v>
      </c>
      <c r="CX171">
        <v>0</v>
      </c>
      <c r="CY171" t="s">
        <v>333</v>
      </c>
      <c r="CZ171">
        <v>2.3643700000000001</v>
      </c>
      <c r="DA171">
        <v>2.71387</v>
      </c>
      <c r="DB171">
        <v>0.11551</v>
      </c>
      <c r="DC171">
        <v>0.146151</v>
      </c>
      <c r="DD171">
        <v>0.11133700000000001</v>
      </c>
      <c r="DE171">
        <v>5.53441E-2</v>
      </c>
      <c r="DF171">
        <v>32303.1</v>
      </c>
      <c r="DG171">
        <v>27531.1</v>
      </c>
      <c r="DH171">
        <v>31178.6</v>
      </c>
      <c r="DI171">
        <v>28095.7</v>
      </c>
      <c r="DJ171">
        <v>37616.9</v>
      </c>
      <c r="DK171">
        <v>37745.199999999997</v>
      </c>
      <c r="DL171">
        <v>44372.800000000003</v>
      </c>
      <c r="DM171">
        <v>42587.199999999997</v>
      </c>
      <c r="DN171">
        <v>1.4809000000000001</v>
      </c>
      <c r="DO171">
        <v>2.0407700000000002</v>
      </c>
      <c r="DP171">
        <v>9.8962300000000003E-2</v>
      </c>
      <c r="DQ171">
        <v>0.17890700000000001</v>
      </c>
      <c r="DR171">
        <v>25.369499999999999</v>
      </c>
      <c r="DS171">
        <v>25.1355</v>
      </c>
      <c r="DT171">
        <v>47.8</v>
      </c>
      <c r="DU171">
        <v>29.2</v>
      </c>
      <c r="DV171">
        <v>19.6313</v>
      </c>
      <c r="DW171">
        <v>61.362400000000001</v>
      </c>
      <c r="DX171">
        <v>36.975200000000001</v>
      </c>
      <c r="DY171">
        <v>1</v>
      </c>
      <c r="DZ171">
        <v>-9.1882599999999995E-2</v>
      </c>
      <c r="EA171">
        <v>0.332312</v>
      </c>
      <c r="EB171">
        <v>20.188800000000001</v>
      </c>
      <c r="EC171">
        <v>5.2406499999999996</v>
      </c>
      <c r="ED171">
        <v>12.039899999999999</v>
      </c>
      <c r="EE171">
        <v>5.0172499999999998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1.8646499999999999</v>
      </c>
      <c r="EM171">
        <v>1.8692</v>
      </c>
      <c r="EN171">
        <v>1.8672299999999999</v>
      </c>
      <c r="EO171">
        <v>1.8633999999999999</v>
      </c>
      <c r="EP171">
        <v>1.8645400000000001</v>
      </c>
      <c r="EQ171">
        <v>1.8701300000000001</v>
      </c>
      <c r="ER171">
        <v>1.8694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-0.27400000000000002</v>
      </c>
      <c r="FG171">
        <v>0.31</v>
      </c>
      <c r="FH171">
        <v>0.1121710645629533</v>
      </c>
      <c r="FI171">
        <v>-6.1462078757559423E-4</v>
      </c>
      <c r="FJ171">
        <v>-1.8861989874597051E-7</v>
      </c>
      <c r="FK171">
        <v>1.1980462299894961E-10</v>
      </c>
      <c r="FL171">
        <v>0.30996499999999833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36.299999999999997</v>
      </c>
      <c r="FU171">
        <v>36.200000000000003</v>
      </c>
      <c r="FV171">
        <v>1.7736799999999999</v>
      </c>
      <c r="FW171">
        <v>2.5854499999999998</v>
      </c>
      <c r="FX171">
        <v>1.5490699999999999</v>
      </c>
      <c r="FY171">
        <v>2.3278799999999999</v>
      </c>
      <c r="FZ171">
        <v>1.50146</v>
      </c>
      <c r="GA171">
        <v>2.3095699999999999</v>
      </c>
      <c r="GB171">
        <v>33.963900000000002</v>
      </c>
      <c r="GC171">
        <v>23.982399999999998</v>
      </c>
      <c r="GD171">
        <v>19</v>
      </c>
      <c r="GE171">
        <v>284.90499999999997</v>
      </c>
      <c r="GF171">
        <v>586.81100000000004</v>
      </c>
      <c r="GG171">
        <v>24.359100000000002</v>
      </c>
      <c r="GH171">
        <v>26.224399999999999</v>
      </c>
      <c r="GI171">
        <v>30.0002</v>
      </c>
      <c r="GJ171">
        <v>26.354600000000001</v>
      </c>
      <c r="GK171">
        <v>26.338999999999999</v>
      </c>
      <c r="GL171">
        <v>35.4739</v>
      </c>
      <c r="GM171">
        <v>54.579500000000003</v>
      </c>
      <c r="GN171">
        <v>64.4251</v>
      </c>
      <c r="GO171">
        <v>24.353899999999999</v>
      </c>
      <c r="GP171">
        <v>800</v>
      </c>
      <c r="GQ171">
        <v>9.0884099999999997</v>
      </c>
      <c r="GR171">
        <v>99.761799999999994</v>
      </c>
      <c r="GS171">
        <v>99.622600000000006</v>
      </c>
    </row>
    <row r="172" spans="1:201" x14ac:dyDescent="0.25">
      <c r="A172">
        <v>156</v>
      </c>
      <c r="B172">
        <v>1690228365.5</v>
      </c>
      <c r="C172">
        <v>1795.900000095367</v>
      </c>
      <c r="D172" t="s">
        <v>643</v>
      </c>
      <c r="E172" t="s">
        <v>644</v>
      </c>
      <c r="F172" t="s">
        <v>330</v>
      </c>
      <c r="H172">
        <v>1690228365.5</v>
      </c>
      <c r="I172">
        <f t="shared" si="60"/>
        <v>1.3592376166090951E-3</v>
      </c>
      <c r="J172">
        <f t="shared" si="61"/>
        <v>1.3592376166090951</v>
      </c>
      <c r="K172">
        <f t="shared" si="62"/>
        <v>21.100219803118915</v>
      </c>
      <c r="L172">
        <f t="shared" si="63"/>
        <v>564.01700000000005</v>
      </c>
      <c r="M172">
        <f t="shared" si="64"/>
        <v>163.28726367443113</v>
      </c>
      <c r="N172">
        <f t="shared" si="65"/>
        <v>16.194088523658145</v>
      </c>
      <c r="O172">
        <f t="shared" si="66"/>
        <v>55.936642095119716</v>
      </c>
      <c r="P172">
        <f t="shared" si="67"/>
        <v>8.7911342655401056E-2</v>
      </c>
      <c r="Q172">
        <f t="shared" si="68"/>
        <v>2.1294693886730354</v>
      </c>
      <c r="R172">
        <f t="shared" si="69"/>
        <v>8.5943763655454142E-2</v>
      </c>
      <c r="S172">
        <f t="shared" si="70"/>
        <v>5.3887963638735069E-2</v>
      </c>
      <c r="T172">
        <f t="shared" si="71"/>
        <v>276.11439623999996</v>
      </c>
      <c r="U172">
        <f t="shared" si="72"/>
        <v>28.185122469627856</v>
      </c>
      <c r="V172">
        <f t="shared" si="73"/>
        <v>28.185122469627856</v>
      </c>
      <c r="W172">
        <f t="shared" si="74"/>
        <v>3.8359869166930327</v>
      </c>
      <c r="X172">
        <f t="shared" si="75"/>
        <v>66.743709921193201</v>
      </c>
      <c r="Y172">
        <f t="shared" si="76"/>
        <v>2.31613363750599</v>
      </c>
      <c r="Z172">
        <f t="shared" si="77"/>
        <v>3.4701901351314395</v>
      </c>
      <c r="AA172">
        <f t="shared" si="78"/>
        <v>1.5198532791870427</v>
      </c>
      <c r="AB172">
        <f t="shared" si="79"/>
        <v>-59.942378892461093</v>
      </c>
      <c r="AC172">
        <f t="shared" si="80"/>
        <v>-196.3747423754175</v>
      </c>
      <c r="AD172">
        <f t="shared" si="81"/>
        <v>-19.967537232844439</v>
      </c>
      <c r="AE172">
        <f t="shared" si="82"/>
        <v>-0.17026226072306372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52420.423722210762</v>
      </c>
      <c r="AK172">
        <f t="shared" si="86"/>
        <v>1800</v>
      </c>
      <c r="AL172">
        <f t="shared" si="87"/>
        <v>1499.1146549999996</v>
      </c>
      <c r="AM172">
        <f t="shared" si="88"/>
        <v>0.83284147499999983</v>
      </c>
      <c r="AN172">
        <f t="shared" si="89"/>
        <v>0.15339688679999999</v>
      </c>
      <c r="AO172">
        <v>32.4</v>
      </c>
      <c r="AP172">
        <v>0.5</v>
      </c>
      <c r="AQ172" t="s">
        <v>331</v>
      </c>
      <c r="AR172">
        <v>2</v>
      </c>
      <c r="AS172">
        <v>1690228365.5</v>
      </c>
      <c r="AT172">
        <v>564.01700000000005</v>
      </c>
      <c r="AU172">
        <v>800.072</v>
      </c>
      <c r="AV172">
        <v>23.353899999999999</v>
      </c>
      <c r="AW172">
        <v>9.02346</v>
      </c>
      <c r="AX172">
        <v>564.29</v>
      </c>
      <c r="AY172">
        <v>23.044</v>
      </c>
      <c r="AZ172">
        <v>300.13600000000002</v>
      </c>
      <c r="BA172">
        <v>99.075500000000005</v>
      </c>
      <c r="BB172">
        <v>9.9954100000000004E-2</v>
      </c>
      <c r="BC172">
        <v>26.474599999999999</v>
      </c>
      <c r="BD172">
        <v>26.9907</v>
      </c>
      <c r="BE172">
        <v>28.0595</v>
      </c>
      <c r="BF172">
        <v>0</v>
      </c>
      <c r="BG172">
        <v>0</v>
      </c>
      <c r="BH172">
        <v>9988.1200000000008</v>
      </c>
      <c r="BI172">
        <v>1072.29</v>
      </c>
      <c r="BJ172">
        <v>1.47594</v>
      </c>
      <c r="BK172">
        <v>-236.05500000000001</v>
      </c>
      <c r="BL172">
        <v>577.50400000000002</v>
      </c>
      <c r="BM172">
        <v>807.35699999999997</v>
      </c>
      <c r="BN172">
        <v>14.330500000000001</v>
      </c>
      <c r="BO172">
        <v>800.072</v>
      </c>
      <c r="BP172">
        <v>9.02346</v>
      </c>
      <c r="BQ172">
        <v>2.3138000000000001</v>
      </c>
      <c r="BR172">
        <v>0.89400400000000002</v>
      </c>
      <c r="BS172">
        <v>19.7728</v>
      </c>
      <c r="BT172">
        <v>5.2945799999999998</v>
      </c>
      <c r="BU172">
        <v>1800</v>
      </c>
      <c r="BV172">
        <v>0.91002099999999997</v>
      </c>
      <c r="BW172">
        <v>3.3993000000000002E-2</v>
      </c>
      <c r="BX172">
        <v>2.1995500000000001E-2</v>
      </c>
      <c r="BY172">
        <v>3.3990199999999998E-2</v>
      </c>
      <c r="BZ172">
        <v>26</v>
      </c>
      <c r="CA172">
        <v>33528.5</v>
      </c>
      <c r="CB172">
        <v>1690226183.5999999</v>
      </c>
      <c r="CC172" t="s">
        <v>332</v>
      </c>
      <c r="CD172">
        <v>1690226177.5999999</v>
      </c>
      <c r="CE172">
        <v>1690226183.5999999</v>
      </c>
      <c r="CF172">
        <v>12</v>
      </c>
      <c r="CG172">
        <v>-0.255</v>
      </c>
      <c r="CH172">
        <v>0.113</v>
      </c>
      <c r="CI172">
        <v>-0.439</v>
      </c>
      <c r="CJ172">
        <v>0.31</v>
      </c>
      <c r="CK172">
        <v>800</v>
      </c>
      <c r="CL172">
        <v>25</v>
      </c>
      <c r="CM172">
        <v>0.02</v>
      </c>
      <c r="CN172">
        <v>0.03</v>
      </c>
      <c r="CO172">
        <v>-234.7604</v>
      </c>
      <c r="CP172">
        <v>-7.6807654784229502</v>
      </c>
      <c r="CQ172">
        <v>0.74127612264256726</v>
      </c>
      <c r="CR172">
        <v>-1</v>
      </c>
      <c r="CS172">
        <v>14.181785</v>
      </c>
      <c r="CT172">
        <v>0.56830243902432942</v>
      </c>
      <c r="CU172">
        <v>5.5444618990484598E-2</v>
      </c>
      <c r="CV172">
        <v>-1</v>
      </c>
      <c r="CW172">
        <v>0</v>
      </c>
      <c r="CX172">
        <v>0</v>
      </c>
      <c r="CY172" t="s">
        <v>333</v>
      </c>
      <c r="CZ172">
        <v>2.3644699999999998</v>
      </c>
      <c r="DA172">
        <v>2.71373</v>
      </c>
      <c r="DB172">
        <v>0.115342</v>
      </c>
      <c r="DC172">
        <v>0.14615400000000001</v>
      </c>
      <c r="DD172">
        <v>0.111308</v>
      </c>
      <c r="DE172">
        <v>5.4628200000000002E-2</v>
      </c>
      <c r="DF172">
        <v>32309.599999999999</v>
      </c>
      <c r="DG172">
        <v>27531</v>
      </c>
      <c r="DH172">
        <v>31178.9</v>
      </c>
      <c r="DI172">
        <v>28095.7</v>
      </c>
      <c r="DJ172">
        <v>37618.400000000001</v>
      </c>
      <c r="DK172">
        <v>37773.9</v>
      </c>
      <c r="DL172">
        <v>44373.3</v>
      </c>
      <c r="DM172">
        <v>42587.199999999997</v>
      </c>
      <c r="DN172">
        <v>1.48108</v>
      </c>
      <c r="DO172">
        <v>2.04047</v>
      </c>
      <c r="DP172">
        <v>9.9129999999999996E-2</v>
      </c>
      <c r="DQ172">
        <v>0.178814</v>
      </c>
      <c r="DR172">
        <v>25.3673</v>
      </c>
      <c r="DS172">
        <v>25.133199999999999</v>
      </c>
      <c r="DT172">
        <v>47.5</v>
      </c>
      <c r="DU172">
        <v>29.2</v>
      </c>
      <c r="DV172">
        <v>19.5044</v>
      </c>
      <c r="DW172">
        <v>61.802399999999999</v>
      </c>
      <c r="DX172">
        <v>36.995199999999997</v>
      </c>
      <c r="DY172">
        <v>1</v>
      </c>
      <c r="DZ172">
        <v>-9.1938500000000006E-2</v>
      </c>
      <c r="EA172">
        <v>0.25699300000000003</v>
      </c>
      <c r="EB172">
        <v>20.188700000000001</v>
      </c>
      <c r="EC172">
        <v>5.2409499999999998</v>
      </c>
      <c r="ED172">
        <v>12.039899999999999</v>
      </c>
      <c r="EE172">
        <v>5.0172999999999996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1.8646400000000001</v>
      </c>
      <c r="EM172">
        <v>1.8691899999999999</v>
      </c>
      <c r="EN172">
        <v>1.8672200000000001</v>
      </c>
      <c r="EO172">
        <v>1.8633999999999999</v>
      </c>
      <c r="EP172">
        <v>1.8645400000000001</v>
      </c>
      <c r="EQ172">
        <v>1.8701300000000001</v>
      </c>
      <c r="ER172">
        <v>1.8693900000000001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-0.27300000000000002</v>
      </c>
      <c r="FG172">
        <v>0.30990000000000001</v>
      </c>
      <c r="FH172">
        <v>0.1121710645629533</v>
      </c>
      <c r="FI172">
        <v>-6.1462078757559423E-4</v>
      </c>
      <c r="FJ172">
        <v>-1.8861989874597051E-7</v>
      </c>
      <c r="FK172">
        <v>1.1980462299894961E-10</v>
      </c>
      <c r="FL172">
        <v>0.30996499999999833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36.5</v>
      </c>
      <c r="FU172">
        <v>36.4</v>
      </c>
      <c r="FV172">
        <v>1.7736799999999999</v>
      </c>
      <c r="FW172">
        <v>2.5781200000000002</v>
      </c>
      <c r="FX172">
        <v>1.5490699999999999</v>
      </c>
      <c r="FY172">
        <v>2.32666</v>
      </c>
      <c r="FZ172">
        <v>1.50146</v>
      </c>
      <c r="GA172">
        <v>2.3730500000000001</v>
      </c>
      <c r="GB172">
        <v>33.963900000000002</v>
      </c>
      <c r="GC172">
        <v>23.991199999999999</v>
      </c>
      <c r="GD172">
        <v>19</v>
      </c>
      <c r="GE172">
        <v>284.971</v>
      </c>
      <c r="GF172">
        <v>586.53700000000003</v>
      </c>
      <c r="GG172">
        <v>24.339700000000001</v>
      </c>
      <c r="GH172">
        <v>26.222999999999999</v>
      </c>
      <c r="GI172">
        <v>30.000399999999999</v>
      </c>
      <c r="GJ172">
        <v>26.352599999999999</v>
      </c>
      <c r="GK172">
        <v>26.3369</v>
      </c>
      <c r="GL172">
        <v>35.466900000000003</v>
      </c>
      <c r="GM172">
        <v>54.869399999999999</v>
      </c>
      <c r="GN172">
        <v>64.047700000000006</v>
      </c>
      <c r="GO172">
        <v>24.343399999999999</v>
      </c>
      <c r="GP172">
        <v>800</v>
      </c>
      <c r="GQ172">
        <v>8.9913000000000007</v>
      </c>
      <c r="GR172">
        <v>99.762799999999999</v>
      </c>
      <c r="GS172">
        <v>99.622699999999995</v>
      </c>
    </row>
    <row r="173" spans="1:201" x14ac:dyDescent="0.25">
      <c r="A173">
        <v>157</v>
      </c>
      <c r="B173">
        <v>1690228375.5</v>
      </c>
      <c r="C173">
        <v>1805.900000095367</v>
      </c>
      <c r="D173" t="s">
        <v>645</v>
      </c>
      <c r="E173" t="s">
        <v>646</v>
      </c>
      <c r="F173" t="s">
        <v>330</v>
      </c>
      <c r="H173">
        <v>1690228375.5</v>
      </c>
      <c r="I173">
        <f t="shared" si="60"/>
        <v>1.3653878378599913E-3</v>
      </c>
      <c r="J173">
        <f t="shared" si="61"/>
        <v>1.3653878378599913</v>
      </c>
      <c r="K173">
        <f t="shared" si="62"/>
        <v>21.204134257983377</v>
      </c>
      <c r="L173">
        <f t="shared" si="63"/>
        <v>562.90700000000004</v>
      </c>
      <c r="M173">
        <f t="shared" si="64"/>
        <v>161.71907051744137</v>
      </c>
      <c r="N173">
        <f t="shared" si="65"/>
        <v>16.038747730799145</v>
      </c>
      <c r="O173">
        <f t="shared" si="66"/>
        <v>55.827202939106996</v>
      </c>
      <c r="P173">
        <f t="shared" si="67"/>
        <v>8.8242099459486162E-2</v>
      </c>
      <c r="Q173">
        <f t="shared" si="68"/>
        <v>2.1287528124716766</v>
      </c>
      <c r="R173">
        <f t="shared" si="69"/>
        <v>8.6259215747133605E-2</v>
      </c>
      <c r="S173">
        <f t="shared" si="70"/>
        <v>5.408645294441021E-2</v>
      </c>
      <c r="T173">
        <f t="shared" si="71"/>
        <v>276.114376386</v>
      </c>
      <c r="U173">
        <f t="shared" si="72"/>
        <v>28.181801223910043</v>
      </c>
      <c r="V173">
        <f t="shared" si="73"/>
        <v>28.181801223910043</v>
      </c>
      <c r="W173">
        <f t="shared" si="74"/>
        <v>3.8352452874325182</v>
      </c>
      <c r="X173">
        <f t="shared" si="75"/>
        <v>66.690577674702084</v>
      </c>
      <c r="Y173">
        <f t="shared" si="76"/>
        <v>2.3140578781526995</v>
      </c>
      <c r="Z173">
        <f t="shared" si="77"/>
        <v>3.4698423058202077</v>
      </c>
      <c r="AA173">
        <f t="shared" si="78"/>
        <v>1.5211874092798188</v>
      </c>
      <c r="AB173">
        <f t="shared" si="79"/>
        <v>-60.213603649625618</v>
      </c>
      <c r="AC173">
        <f t="shared" si="80"/>
        <v>-196.12259858905512</v>
      </c>
      <c r="AD173">
        <f t="shared" si="81"/>
        <v>-19.948111270937208</v>
      </c>
      <c r="AE173">
        <f t="shared" si="82"/>
        <v>-0.16993712361792745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52389.826960752398</v>
      </c>
      <c r="AK173">
        <f t="shared" si="86"/>
        <v>1800</v>
      </c>
      <c r="AL173">
        <f t="shared" si="87"/>
        <v>1499.1152256000003</v>
      </c>
      <c r="AM173">
        <f t="shared" si="88"/>
        <v>0.83284179200000008</v>
      </c>
      <c r="AN173">
        <f t="shared" si="89"/>
        <v>0.15339687577</v>
      </c>
      <c r="AO173">
        <v>32.4</v>
      </c>
      <c r="AP173">
        <v>0.5</v>
      </c>
      <c r="AQ173" t="s">
        <v>331</v>
      </c>
      <c r="AR173">
        <v>2</v>
      </c>
      <c r="AS173">
        <v>1690228375.5</v>
      </c>
      <c r="AT173">
        <v>562.90700000000004</v>
      </c>
      <c r="AU173">
        <v>799.99900000000002</v>
      </c>
      <c r="AV173">
        <v>23.332699999999999</v>
      </c>
      <c r="AW173">
        <v>8.9435300000000009</v>
      </c>
      <c r="AX173">
        <v>563.17899999999997</v>
      </c>
      <c r="AY173">
        <v>23.0228</v>
      </c>
      <c r="AZ173">
        <v>300.27</v>
      </c>
      <c r="BA173">
        <v>99.076499999999996</v>
      </c>
      <c r="BB173">
        <v>0.100101</v>
      </c>
      <c r="BC173">
        <v>26.472899999999999</v>
      </c>
      <c r="BD173">
        <v>26.953800000000001</v>
      </c>
      <c r="BE173">
        <v>28.042300000000001</v>
      </c>
      <c r="BF173">
        <v>0</v>
      </c>
      <c r="BG173">
        <v>0</v>
      </c>
      <c r="BH173">
        <v>9981.8799999999992</v>
      </c>
      <c r="BI173">
        <v>1072.21</v>
      </c>
      <c r="BJ173">
        <v>1.5137799999999999</v>
      </c>
      <c r="BK173">
        <v>-237.09200000000001</v>
      </c>
      <c r="BL173">
        <v>576.35500000000002</v>
      </c>
      <c r="BM173">
        <v>807.21900000000005</v>
      </c>
      <c r="BN173">
        <v>14.389200000000001</v>
      </c>
      <c r="BO173">
        <v>799.99900000000002</v>
      </c>
      <c r="BP173">
        <v>8.9435300000000009</v>
      </c>
      <c r="BQ173">
        <v>2.3117200000000002</v>
      </c>
      <c r="BR173">
        <v>0.88609400000000005</v>
      </c>
      <c r="BS173">
        <v>19.758299999999998</v>
      </c>
      <c r="BT173">
        <v>5.1668500000000002</v>
      </c>
      <c r="BU173">
        <v>1800</v>
      </c>
      <c r="BV173">
        <v>0.91002300000000003</v>
      </c>
      <c r="BW173">
        <v>3.3992300000000003E-2</v>
      </c>
      <c r="BX173">
        <v>2.19951E-2</v>
      </c>
      <c r="BY173">
        <v>3.3989499999999999E-2</v>
      </c>
      <c r="BZ173">
        <v>26</v>
      </c>
      <c r="CA173">
        <v>33528.5</v>
      </c>
      <c r="CB173">
        <v>1690226183.5999999</v>
      </c>
      <c r="CC173" t="s">
        <v>332</v>
      </c>
      <c r="CD173">
        <v>1690226177.5999999</v>
      </c>
      <c r="CE173">
        <v>1690226183.5999999</v>
      </c>
      <c r="CF173">
        <v>12</v>
      </c>
      <c r="CG173">
        <v>-0.255</v>
      </c>
      <c r="CH173">
        <v>0.113</v>
      </c>
      <c r="CI173">
        <v>-0.439</v>
      </c>
      <c r="CJ173">
        <v>0.31</v>
      </c>
      <c r="CK173">
        <v>800</v>
      </c>
      <c r="CL173">
        <v>25</v>
      </c>
      <c r="CM173">
        <v>0.02</v>
      </c>
      <c r="CN173">
        <v>0.03</v>
      </c>
      <c r="CO173">
        <v>-235.86778048780491</v>
      </c>
      <c r="CP173">
        <v>-6.7974564459931077</v>
      </c>
      <c r="CQ173">
        <v>0.67527676393606062</v>
      </c>
      <c r="CR173">
        <v>-1</v>
      </c>
      <c r="CS173">
        <v>14.28771219512195</v>
      </c>
      <c r="CT173">
        <v>0.74830452961676008</v>
      </c>
      <c r="CU173">
        <v>7.5090206549001323E-2</v>
      </c>
      <c r="CV173">
        <v>-1</v>
      </c>
      <c r="CW173">
        <v>0</v>
      </c>
      <c r="CX173">
        <v>0</v>
      </c>
      <c r="CY173" t="s">
        <v>333</v>
      </c>
      <c r="CZ173">
        <v>2.3649300000000002</v>
      </c>
      <c r="DA173">
        <v>2.7138800000000001</v>
      </c>
      <c r="DB173">
        <v>0.11518</v>
      </c>
      <c r="DC173">
        <v>0.146145</v>
      </c>
      <c r="DD173">
        <v>0.111237</v>
      </c>
      <c r="DE173">
        <v>5.4251500000000001E-2</v>
      </c>
      <c r="DF173">
        <v>32315.7</v>
      </c>
      <c r="DG173">
        <v>27531.3</v>
      </c>
      <c r="DH173">
        <v>31179.1</v>
      </c>
      <c r="DI173">
        <v>28095.7</v>
      </c>
      <c r="DJ173">
        <v>37621.699999999997</v>
      </c>
      <c r="DK173">
        <v>37789</v>
      </c>
      <c r="DL173">
        <v>44373.5</v>
      </c>
      <c r="DM173">
        <v>42587.199999999997</v>
      </c>
      <c r="DN173">
        <v>1.4817</v>
      </c>
      <c r="DO173">
        <v>2.0403699999999998</v>
      </c>
      <c r="DP173">
        <v>9.7006599999999998E-2</v>
      </c>
      <c r="DQ173">
        <v>0.17788300000000001</v>
      </c>
      <c r="DR173">
        <v>25.365200000000002</v>
      </c>
      <c r="DS173">
        <v>25.1312</v>
      </c>
      <c r="DT173">
        <v>47.2</v>
      </c>
      <c r="DU173">
        <v>29.2</v>
      </c>
      <c r="DV173">
        <v>19.384499999999999</v>
      </c>
      <c r="DW173">
        <v>61.642400000000002</v>
      </c>
      <c r="DX173">
        <v>36.041699999999999</v>
      </c>
      <c r="DY173">
        <v>1</v>
      </c>
      <c r="DZ173">
        <v>-9.26931E-2</v>
      </c>
      <c r="EA173">
        <v>6.6830100000000003E-2</v>
      </c>
      <c r="EB173">
        <v>20.189299999999999</v>
      </c>
      <c r="EC173">
        <v>5.2411000000000003</v>
      </c>
      <c r="ED173">
        <v>12.039899999999999</v>
      </c>
      <c r="EE173">
        <v>5.0171999999999999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1.86463</v>
      </c>
      <c r="EM173">
        <v>1.8691800000000001</v>
      </c>
      <c r="EN173">
        <v>1.8672200000000001</v>
      </c>
      <c r="EO173">
        <v>1.8633900000000001</v>
      </c>
      <c r="EP173">
        <v>1.8645099999999999</v>
      </c>
      <c r="EQ173">
        <v>1.87012</v>
      </c>
      <c r="ER173">
        <v>1.86938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-0.27200000000000002</v>
      </c>
      <c r="FG173">
        <v>0.30990000000000001</v>
      </c>
      <c r="FH173">
        <v>0.1121710645629533</v>
      </c>
      <c r="FI173">
        <v>-6.1462078757559423E-4</v>
      </c>
      <c r="FJ173">
        <v>-1.8861989874597051E-7</v>
      </c>
      <c r="FK173">
        <v>1.1980462299894961E-10</v>
      </c>
      <c r="FL173">
        <v>0.30996499999999833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36.6</v>
      </c>
      <c r="FU173">
        <v>36.5</v>
      </c>
      <c r="FV173">
        <v>1.7736799999999999</v>
      </c>
      <c r="FW173">
        <v>2.5830099999999998</v>
      </c>
      <c r="FX173">
        <v>1.5490699999999999</v>
      </c>
      <c r="FY173">
        <v>2.3278799999999999</v>
      </c>
      <c r="FZ173">
        <v>1.50146</v>
      </c>
      <c r="GA173">
        <v>2.3754900000000001</v>
      </c>
      <c r="GB173">
        <v>33.963900000000002</v>
      </c>
      <c r="GC173">
        <v>23.991199999999999</v>
      </c>
      <c r="GD173">
        <v>19</v>
      </c>
      <c r="GE173">
        <v>285.23899999999998</v>
      </c>
      <c r="GF173">
        <v>586.45399999999995</v>
      </c>
      <c r="GG173">
        <v>24.354900000000001</v>
      </c>
      <c r="GH173">
        <v>26.222200000000001</v>
      </c>
      <c r="GI173">
        <v>29.9999</v>
      </c>
      <c r="GJ173">
        <v>26.352599999999999</v>
      </c>
      <c r="GK173">
        <v>26.3369</v>
      </c>
      <c r="GL173">
        <v>35.467399999999998</v>
      </c>
      <c r="GM173">
        <v>54.869399999999999</v>
      </c>
      <c r="GN173">
        <v>63.297499999999999</v>
      </c>
      <c r="GO173">
        <v>24.378599999999999</v>
      </c>
      <c r="GP173">
        <v>800</v>
      </c>
      <c r="GQ173">
        <v>8.9108800000000006</v>
      </c>
      <c r="GR173">
        <v>99.763499999999993</v>
      </c>
      <c r="GS173">
        <v>99.622600000000006</v>
      </c>
    </row>
    <row r="174" spans="1:201" x14ac:dyDescent="0.25">
      <c r="A174">
        <v>158</v>
      </c>
      <c r="B174">
        <v>1690228385.5</v>
      </c>
      <c r="C174">
        <v>1815.900000095367</v>
      </c>
      <c r="D174" t="s">
        <v>647</v>
      </c>
      <c r="E174" t="s">
        <v>648</v>
      </c>
      <c r="F174" t="s">
        <v>330</v>
      </c>
      <c r="H174">
        <v>1690228385.5</v>
      </c>
      <c r="I174">
        <f t="shared" si="60"/>
        <v>1.3710120314365162E-3</v>
      </c>
      <c r="J174">
        <f t="shared" si="61"/>
        <v>1.3710120314365162</v>
      </c>
      <c r="K174">
        <f t="shared" si="62"/>
        <v>21.321054513271861</v>
      </c>
      <c r="L174">
        <f t="shared" si="63"/>
        <v>561.61</v>
      </c>
      <c r="M174">
        <f t="shared" si="64"/>
        <v>160.5696578345661</v>
      </c>
      <c r="N174">
        <f t="shared" si="65"/>
        <v>15.924394977997972</v>
      </c>
      <c r="O174">
        <f t="shared" si="66"/>
        <v>55.697319058919994</v>
      </c>
      <c r="P174">
        <f t="shared" si="67"/>
        <v>8.8761730356496579E-2</v>
      </c>
      <c r="Q174">
        <f t="shared" si="68"/>
        <v>2.1287993193795733</v>
      </c>
      <c r="R174">
        <f t="shared" si="69"/>
        <v>8.6755753435333025E-2</v>
      </c>
      <c r="S174">
        <f t="shared" si="70"/>
        <v>5.4398799121678887E-2</v>
      </c>
      <c r="T174">
        <f t="shared" si="71"/>
        <v>276.11429707800005</v>
      </c>
      <c r="U174">
        <f t="shared" si="72"/>
        <v>28.172814499233699</v>
      </c>
      <c r="V174">
        <f t="shared" si="73"/>
        <v>28.172814499233699</v>
      </c>
      <c r="W174">
        <f t="shared" si="74"/>
        <v>3.8332391921766416</v>
      </c>
      <c r="X174">
        <f t="shared" si="75"/>
        <v>66.732337571051346</v>
      </c>
      <c r="Y174">
        <f t="shared" si="76"/>
        <v>2.3145513286103996</v>
      </c>
      <c r="Z174">
        <f t="shared" si="77"/>
        <v>3.4684103882110335</v>
      </c>
      <c r="AA174">
        <f t="shared" si="78"/>
        <v>1.518687863566242</v>
      </c>
      <c r="AB174">
        <f t="shared" si="79"/>
        <v>-60.46163058635036</v>
      </c>
      <c r="AC174">
        <f t="shared" si="80"/>
        <v>-195.89887120589199</v>
      </c>
      <c r="AD174">
        <f t="shared" si="81"/>
        <v>-19.923328850141747</v>
      </c>
      <c r="AE174">
        <f t="shared" si="82"/>
        <v>-0.16953356438403944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52393.010683426321</v>
      </c>
      <c r="AK174">
        <f t="shared" si="86"/>
        <v>1800</v>
      </c>
      <c r="AL174">
        <f t="shared" si="87"/>
        <v>1499.1152238</v>
      </c>
      <c r="AM174">
        <f t="shared" si="88"/>
        <v>0.832841791</v>
      </c>
      <c r="AN174">
        <f t="shared" si="89"/>
        <v>0.15339683171000001</v>
      </c>
      <c r="AO174">
        <v>32.4</v>
      </c>
      <c r="AP174">
        <v>0.5</v>
      </c>
      <c r="AQ174" t="s">
        <v>331</v>
      </c>
      <c r="AR174">
        <v>2</v>
      </c>
      <c r="AS174">
        <v>1690228385.5</v>
      </c>
      <c r="AT174">
        <v>561.61</v>
      </c>
      <c r="AU174">
        <v>800.08500000000004</v>
      </c>
      <c r="AV174">
        <v>23.338200000000001</v>
      </c>
      <c r="AW174">
        <v>8.8833900000000003</v>
      </c>
      <c r="AX174">
        <v>561.88099999999997</v>
      </c>
      <c r="AY174">
        <v>23.028300000000002</v>
      </c>
      <c r="AZ174">
        <v>300.13600000000002</v>
      </c>
      <c r="BA174">
        <v>99.074299999999994</v>
      </c>
      <c r="BB174">
        <v>0.10007199999999999</v>
      </c>
      <c r="BC174">
        <v>26.465900000000001</v>
      </c>
      <c r="BD174">
        <v>26.949000000000002</v>
      </c>
      <c r="BE174">
        <v>28.034400000000002</v>
      </c>
      <c r="BF174">
        <v>0</v>
      </c>
      <c r="BG174">
        <v>0</v>
      </c>
      <c r="BH174">
        <v>9982.5</v>
      </c>
      <c r="BI174">
        <v>1072.26</v>
      </c>
      <c r="BJ174">
        <v>1.5137799999999999</v>
      </c>
      <c r="BK174">
        <v>-238.47499999999999</v>
      </c>
      <c r="BL174">
        <v>575.03</v>
      </c>
      <c r="BM174">
        <v>807.25599999999997</v>
      </c>
      <c r="BN174">
        <v>14.454800000000001</v>
      </c>
      <c r="BO174">
        <v>800.08500000000004</v>
      </c>
      <c r="BP174">
        <v>8.8833900000000003</v>
      </c>
      <c r="BQ174">
        <v>2.3122199999999999</v>
      </c>
      <c r="BR174">
        <v>0.88011600000000001</v>
      </c>
      <c r="BS174">
        <v>19.761800000000001</v>
      </c>
      <c r="BT174">
        <v>5.0696599999999998</v>
      </c>
      <c r="BU174">
        <v>1800</v>
      </c>
      <c r="BV174">
        <v>0.91002400000000006</v>
      </c>
      <c r="BW174">
        <v>3.3991899999999999E-2</v>
      </c>
      <c r="BX174">
        <v>2.1994799999999998E-2</v>
      </c>
      <c r="BY174">
        <v>3.3989100000000001E-2</v>
      </c>
      <c r="BZ174">
        <v>26</v>
      </c>
      <c r="CA174">
        <v>33528.5</v>
      </c>
      <c r="CB174">
        <v>1690226183.5999999</v>
      </c>
      <c r="CC174" t="s">
        <v>332</v>
      </c>
      <c r="CD174">
        <v>1690226177.5999999</v>
      </c>
      <c r="CE174">
        <v>1690226183.5999999</v>
      </c>
      <c r="CF174">
        <v>12</v>
      </c>
      <c r="CG174">
        <v>-0.255</v>
      </c>
      <c r="CH174">
        <v>0.113</v>
      </c>
      <c r="CI174">
        <v>-0.439</v>
      </c>
      <c r="CJ174">
        <v>0.31</v>
      </c>
      <c r="CK174">
        <v>800</v>
      </c>
      <c r="CL174">
        <v>25</v>
      </c>
      <c r="CM174">
        <v>0.02</v>
      </c>
      <c r="CN174">
        <v>0.03</v>
      </c>
      <c r="CO174">
        <v>-237.07935000000001</v>
      </c>
      <c r="CP174">
        <v>-6.8951819887425669</v>
      </c>
      <c r="CQ174">
        <v>0.66757821826359864</v>
      </c>
      <c r="CR174">
        <v>-1</v>
      </c>
      <c r="CS174">
        <v>14.3835175</v>
      </c>
      <c r="CT174">
        <v>0.27182926829260201</v>
      </c>
      <c r="CU174">
        <v>2.759972724049994E-2</v>
      </c>
      <c r="CV174">
        <v>-1</v>
      </c>
      <c r="CW174">
        <v>0</v>
      </c>
      <c r="CX174">
        <v>0</v>
      </c>
      <c r="CY174" t="s">
        <v>333</v>
      </c>
      <c r="CZ174">
        <v>2.3645</v>
      </c>
      <c r="DA174">
        <v>2.7138499999999999</v>
      </c>
      <c r="DB174">
        <v>0.11498899999999999</v>
      </c>
      <c r="DC174">
        <v>0.146151</v>
      </c>
      <c r="DD174">
        <v>0.11125400000000001</v>
      </c>
      <c r="DE174">
        <v>5.3965600000000002E-2</v>
      </c>
      <c r="DF174">
        <v>32322.5</v>
      </c>
      <c r="DG174">
        <v>27530.6</v>
      </c>
      <c r="DH174">
        <v>31178.9</v>
      </c>
      <c r="DI174">
        <v>28095.200000000001</v>
      </c>
      <c r="DJ174">
        <v>37620.6</v>
      </c>
      <c r="DK174">
        <v>37799.800000000003</v>
      </c>
      <c r="DL174">
        <v>44373.2</v>
      </c>
      <c r="DM174">
        <v>42586.5</v>
      </c>
      <c r="DN174">
        <v>1.48095</v>
      </c>
      <c r="DO174">
        <v>2.0402300000000002</v>
      </c>
      <c r="DP174">
        <v>9.6838900000000006E-2</v>
      </c>
      <c r="DQ174">
        <v>0.17752899999999999</v>
      </c>
      <c r="DR174">
        <v>25.363099999999999</v>
      </c>
      <c r="DS174">
        <v>25.129100000000001</v>
      </c>
      <c r="DT174">
        <v>46.9</v>
      </c>
      <c r="DU174">
        <v>29.2</v>
      </c>
      <c r="DV174">
        <v>19.260400000000001</v>
      </c>
      <c r="DW174">
        <v>62.172400000000003</v>
      </c>
      <c r="DX174">
        <v>36.057699999999997</v>
      </c>
      <c r="DY174">
        <v>1</v>
      </c>
      <c r="DZ174">
        <v>-9.3020800000000001E-2</v>
      </c>
      <c r="EA174">
        <v>-2.0343099999999999E-2</v>
      </c>
      <c r="EB174">
        <v>20.189</v>
      </c>
      <c r="EC174">
        <v>5.24125</v>
      </c>
      <c r="ED174">
        <v>12.039899999999999</v>
      </c>
      <c r="EE174">
        <v>5.0171999999999999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1.86463</v>
      </c>
      <c r="EM174">
        <v>1.8691899999999999</v>
      </c>
      <c r="EN174">
        <v>1.8672299999999999</v>
      </c>
      <c r="EO174">
        <v>1.8633999999999999</v>
      </c>
      <c r="EP174">
        <v>1.8645099999999999</v>
      </c>
      <c r="EQ174">
        <v>1.87012</v>
      </c>
      <c r="ER174">
        <v>1.8693900000000001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-0.27100000000000002</v>
      </c>
      <c r="FG174">
        <v>0.30990000000000001</v>
      </c>
      <c r="FH174">
        <v>0.1121710645629533</v>
      </c>
      <c r="FI174">
        <v>-6.1462078757559423E-4</v>
      </c>
      <c r="FJ174">
        <v>-1.8861989874597051E-7</v>
      </c>
      <c r="FK174">
        <v>1.1980462299894961E-10</v>
      </c>
      <c r="FL174">
        <v>0.30996499999999833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36.799999999999997</v>
      </c>
      <c r="FU174">
        <v>36.700000000000003</v>
      </c>
      <c r="FV174">
        <v>1.7736799999999999</v>
      </c>
      <c r="FW174">
        <v>2.5903299999999998</v>
      </c>
      <c r="FX174">
        <v>1.5490699999999999</v>
      </c>
      <c r="FY174">
        <v>2.3278799999999999</v>
      </c>
      <c r="FZ174">
        <v>1.50146</v>
      </c>
      <c r="GA174">
        <v>2.32178</v>
      </c>
      <c r="GB174">
        <v>33.963900000000002</v>
      </c>
      <c r="GC174">
        <v>23.982399999999998</v>
      </c>
      <c r="GD174">
        <v>19</v>
      </c>
      <c r="GE174">
        <v>284.916</v>
      </c>
      <c r="GF174">
        <v>586.33000000000004</v>
      </c>
      <c r="GG174">
        <v>24.442299999999999</v>
      </c>
      <c r="GH174">
        <v>26.222200000000001</v>
      </c>
      <c r="GI174">
        <v>30.0001</v>
      </c>
      <c r="GJ174">
        <v>26.3521</v>
      </c>
      <c r="GK174">
        <v>26.3369</v>
      </c>
      <c r="GL174">
        <v>35.467599999999997</v>
      </c>
      <c r="GM174">
        <v>54.869399999999999</v>
      </c>
      <c r="GN174">
        <v>62.549599999999998</v>
      </c>
      <c r="GO174">
        <v>24.4499</v>
      </c>
      <c r="GP174">
        <v>800</v>
      </c>
      <c r="GQ174">
        <v>8.8071099999999998</v>
      </c>
      <c r="GR174">
        <v>99.762699999999995</v>
      </c>
      <c r="GS174">
        <v>99.620900000000006</v>
      </c>
    </row>
    <row r="175" spans="1:201" x14ac:dyDescent="0.25">
      <c r="A175">
        <v>159</v>
      </c>
      <c r="B175">
        <v>1690228395.5</v>
      </c>
      <c r="C175">
        <v>1825.900000095367</v>
      </c>
      <c r="D175" t="s">
        <v>649</v>
      </c>
      <c r="E175" t="s">
        <v>650</v>
      </c>
      <c r="F175" t="s">
        <v>330</v>
      </c>
      <c r="H175">
        <v>1690228395.5</v>
      </c>
      <c r="I175">
        <f t="shared" si="60"/>
        <v>1.380482377346771E-3</v>
      </c>
      <c r="J175">
        <f t="shared" si="61"/>
        <v>1.3804823773467709</v>
      </c>
      <c r="K175">
        <f t="shared" si="62"/>
        <v>21.415027048255794</v>
      </c>
      <c r="L175">
        <f t="shared" si="63"/>
        <v>560.48</v>
      </c>
      <c r="M175">
        <f t="shared" si="64"/>
        <v>159.66001493349998</v>
      </c>
      <c r="N175">
        <f t="shared" si="65"/>
        <v>15.83440416883929</v>
      </c>
      <c r="O175">
        <f t="shared" si="66"/>
        <v>55.586032935344008</v>
      </c>
      <c r="P175">
        <f t="shared" si="67"/>
        <v>8.9212239994112597E-2</v>
      </c>
      <c r="Q175">
        <f t="shared" si="68"/>
        <v>2.1261160695638814</v>
      </c>
      <c r="R175">
        <f t="shared" si="69"/>
        <v>8.7183604711303875E-2</v>
      </c>
      <c r="S175">
        <f t="shared" si="70"/>
        <v>5.4668175651319699E-2</v>
      </c>
      <c r="T175">
        <f t="shared" si="71"/>
        <v>276.11449317</v>
      </c>
      <c r="U175">
        <f t="shared" si="72"/>
        <v>28.189035649776386</v>
      </c>
      <c r="V175">
        <f t="shared" si="73"/>
        <v>28.189035649776386</v>
      </c>
      <c r="W175">
        <f t="shared" si="74"/>
        <v>3.8368608845729262</v>
      </c>
      <c r="X175">
        <f t="shared" si="75"/>
        <v>66.681768043831511</v>
      </c>
      <c r="Y175">
        <f t="shared" si="76"/>
        <v>2.3151987354693202</v>
      </c>
      <c r="Z175">
        <f t="shared" si="77"/>
        <v>3.4720116208488729</v>
      </c>
      <c r="AA175">
        <f t="shared" si="78"/>
        <v>1.521662149103606</v>
      </c>
      <c r="AB175">
        <f t="shared" si="79"/>
        <v>-60.879272840992599</v>
      </c>
      <c r="AC175">
        <f t="shared" si="80"/>
        <v>-195.49390194480327</v>
      </c>
      <c r="AD175">
        <f t="shared" si="81"/>
        <v>-19.910597498970684</v>
      </c>
      <c r="AE175">
        <f t="shared" si="82"/>
        <v>-0.1692791147665389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52274.306899864467</v>
      </c>
      <c r="AK175">
        <f t="shared" si="86"/>
        <v>1800</v>
      </c>
      <c r="AL175">
        <f t="shared" si="87"/>
        <v>1499.116059</v>
      </c>
      <c r="AM175">
        <f t="shared" si="88"/>
        <v>0.83284225499999998</v>
      </c>
      <c r="AN175">
        <f t="shared" si="89"/>
        <v>0.15339694065000001</v>
      </c>
      <c r="AO175">
        <v>32.4</v>
      </c>
      <c r="AP175">
        <v>0.5</v>
      </c>
      <c r="AQ175" t="s">
        <v>331</v>
      </c>
      <c r="AR175">
        <v>2</v>
      </c>
      <c r="AS175">
        <v>1690228395.5</v>
      </c>
      <c r="AT175">
        <v>560.48</v>
      </c>
      <c r="AU175">
        <v>800.01800000000003</v>
      </c>
      <c r="AV175">
        <v>23.3444</v>
      </c>
      <c r="AW175">
        <v>8.7893500000000007</v>
      </c>
      <c r="AX175">
        <v>560.75</v>
      </c>
      <c r="AY175">
        <v>23.034500000000001</v>
      </c>
      <c r="AZ175">
        <v>300.12599999999998</v>
      </c>
      <c r="BA175">
        <v>99.075900000000004</v>
      </c>
      <c r="BB175">
        <v>9.9865300000000004E-2</v>
      </c>
      <c r="BC175">
        <v>26.483499999999999</v>
      </c>
      <c r="BD175">
        <v>26.983699999999999</v>
      </c>
      <c r="BE175">
        <v>28.055099999999999</v>
      </c>
      <c r="BF175">
        <v>0</v>
      </c>
      <c r="BG175">
        <v>0</v>
      </c>
      <c r="BH175">
        <v>9959.3799999999992</v>
      </c>
      <c r="BI175">
        <v>1072.18</v>
      </c>
      <c r="BJ175">
        <v>1.5137799999999999</v>
      </c>
      <c r="BK175">
        <v>-239.53800000000001</v>
      </c>
      <c r="BL175">
        <v>573.87699999999995</v>
      </c>
      <c r="BM175">
        <v>807.11199999999997</v>
      </c>
      <c r="BN175">
        <v>14.555099999999999</v>
      </c>
      <c r="BO175">
        <v>800.01800000000003</v>
      </c>
      <c r="BP175">
        <v>8.7893500000000007</v>
      </c>
      <c r="BQ175">
        <v>2.3128700000000002</v>
      </c>
      <c r="BR175">
        <v>0.87081299999999995</v>
      </c>
      <c r="BS175">
        <v>19.766300000000001</v>
      </c>
      <c r="BT175">
        <v>4.9172200000000004</v>
      </c>
      <c r="BU175">
        <v>1800</v>
      </c>
      <c r="BV175">
        <v>0.91002400000000006</v>
      </c>
      <c r="BW175">
        <v>3.3992099999999997E-2</v>
      </c>
      <c r="BX175">
        <v>2.1995000000000001E-2</v>
      </c>
      <c r="BY175">
        <v>3.39893E-2</v>
      </c>
      <c r="BZ175">
        <v>26</v>
      </c>
      <c r="CA175">
        <v>33528.5</v>
      </c>
      <c r="CB175">
        <v>1690226183.5999999</v>
      </c>
      <c r="CC175" t="s">
        <v>332</v>
      </c>
      <c r="CD175">
        <v>1690226177.5999999</v>
      </c>
      <c r="CE175">
        <v>1690226183.5999999</v>
      </c>
      <c r="CF175">
        <v>12</v>
      </c>
      <c r="CG175">
        <v>-0.255</v>
      </c>
      <c r="CH175">
        <v>0.113</v>
      </c>
      <c r="CI175">
        <v>-0.439</v>
      </c>
      <c r="CJ175">
        <v>0.31</v>
      </c>
      <c r="CK175">
        <v>800</v>
      </c>
      <c r="CL175">
        <v>25</v>
      </c>
      <c r="CM175">
        <v>0.02</v>
      </c>
      <c r="CN175">
        <v>0.03</v>
      </c>
      <c r="CO175">
        <v>-238.27212499999999</v>
      </c>
      <c r="CP175">
        <v>-7.5334446529073187</v>
      </c>
      <c r="CQ175">
        <v>0.7274495923258183</v>
      </c>
      <c r="CR175">
        <v>-1</v>
      </c>
      <c r="CS175">
        <v>14.445365000000001</v>
      </c>
      <c r="CT175">
        <v>0.48467617260786</v>
      </c>
      <c r="CU175">
        <v>4.7490528266171263E-2</v>
      </c>
      <c r="CV175">
        <v>-1</v>
      </c>
      <c r="CW175">
        <v>0</v>
      </c>
      <c r="CX175">
        <v>0</v>
      </c>
      <c r="CY175" t="s">
        <v>333</v>
      </c>
      <c r="CZ175">
        <v>2.3644500000000002</v>
      </c>
      <c r="DA175">
        <v>2.7136200000000001</v>
      </c>
      <c r="DB175">
        <v>0.114826</v>
      </c>
      <c r="DC175">
        <v>0.146144</v>
      </c>
      <c r="DD175">
        <v>0.111277</v>
      </c>
      <c r="DE175">
        <v>5.35203E-2</v>
      </c>
      <c r="DF175">
        <v>32328.5</v>
      </c>
      <c r="DG175">
        <v>27530.799999999999</v>
      </c>
      <c r="DH175">
        <v>31178.9</v>
      </c>
      <c r="DI175">
        <v>28095.200000000001</v>
      </c>
      <c r="DJ175">
        <v>37619.800000000003</v>
      </c>
      <c r="DK175">
        <v>37817.5</v>
      </c>
      <c r="DL175">
        <v>44373.3</v>
      </c>
      <c r="DM175">
        <v>42586.3</v>
      </c>
      <c r="DN175">
        <v>1.4811799999999999</v>
      </c>
      <c r="DO175">
        <v>2.0401500000000001</v>
      </c>
      <c r="DP175">
        <v>9.8962300000000003E-2</v>
      </c>
      <c r="DQ175">
        <v>0.17879500000000001</v>
      </c>
      <c r="DR175">
        <v>25.363099999999999</v>
      </c>
      <c r="DS175">
        <v>25.129100000000001</v>
      </c>
      <c r="DT175">
        <v>46.6</v>
      </c>
      <c r="DU175">
        <v>29.2</v>
      </c>
      <c r="DV175">
        <v>19.1374</v>
      </c>
      <c r="DW175">
        <v>62.282400000000003</v>
      </c>
      <c r="DX175">
        <v>36.822899999999997</v>
      </c>
      <c r="DY175">
        <v>1</v>
      </c>
      <c r="DZ175">
        <v>-9.3272400000000005E-2</v>
      </c>
      <c r="EA175">
        <v>-4.0100799999999999E-2</v>
      </c>
      <c r="EB175">
        <v>20.1891</v>
      </c>
      <c r="EC175">
        <v>5.2411000000000003</v>
      </c>
      <c r="ED175">
        <v>12.039899999999999</v>
      </c>
      <c r="EE175">
        <v>5.0164999999999997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1.8691899999999999</v>
      </c>
      <c r="EN175">
        <v>1.8672200000000001</v>
      </c>
      <c r="EO175">
        <v>1.8633999999999999</v>
      </c>
      <c r="EP175">
        <v>1.8645099999999999</v>
      </c>
      <c r="EQ175">
        <v>1.8701300000000001</v>
      </c>
      <c r="ER175">
        <v>1.8694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-0.27</v>
      </c>
      <c r="FG175">
        <v>0.30990000000000001</v>
      </c>
      <c r="FH175">
        <v>0.1121710645629533</v>
      </c>
      <c r="FI175">
        <v>-6.1462078757559423E-4</v>
      </c>
      <c r="FJ175">
        <v>-1.8861989874597051E-7</v>
      </c>
      <c r="FK175">
        <v>1.1980462299894961E-10</v>
      </c>
      <c r="FL175">
        <v>0.30996499999999833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37</v>
      </c>
      <c r="FU175">
        <v>36.9</v>
      </c>
      <c r="FV175">
        <v>1.7736799999999999</v>
      </c>
      <c r="FW175">
        <v>2.5842299999999998</v>
      </c>
      <c r="FX175">
        <v>1.5490699999999999</v>
      </c>
      <c r="FY175">
        <v>2.3278799999999999</v>
      </c>
      <c r="FZ175">
        <v>1.50146</v>
      </c>
      <c r="GA175">
        <v>2.32178</v>
      </c>
      <c r="GB175">
        <v>33.963900000000002</v>
      </c>
      <c r="GC175">
        <v>23.991199999999999</v>
      </c>
      <c r="GD175">
        <v>19</v>
      </c>
      <c r="GE175">
        <v>285.00400000000002</v>
      </c>
      <c r="GF175">
        <v>586.24199999999996</v>
      </c>
      <c r="GG175">
        <v>24.511399999999998</v>
      </c>
      <c r="GH175">
        <v>26.222200000000001</v>
      </c>
      <c r="GI175">
        <v>30</v>
      </c>
      <c r="GJ175">
        <v>26.3504</v>
      </c>
      <c r="GK175">
        <v>26.334700000000002</v>
      </c>
      <c r="GL175">
        <v>35.470399999999998</v>
      </c>
      <c r="GM175">
        <v>55.152799999999999</v>
      </c>
      <c r="GN175">
        <v>62.166600000000003</v>
      </c>
      <c r="GO175">
        <v>24.5137</v>
      </c>
      <c r="GP175">
        <v>800</v>
      </c>
      <c r="GQ175">
        <v>8.7047699999999999</v>
      </c>
      <c r="GR175">
        <v>99.762900000000002</v>
      </c>
      <c r="GS175">
        <v>99.620699999999999</v>
      </c>
    </row>
    <row r="176" spans="1:201" x14ac:dyDescent="0.25">
      <c r="A176">
        <v>160</v>
      </c>
      <c r="B176">
        <v>1690228405.5</v>
      </c>
      <c r="C176">
        <v>1835.900000095367</v>
      </c>
      <c r="D176" t="s">
        <v>651</v>
      </c>
      <c r="E176" t="s">
        <v>652</v>
      </c>
      <c r="F176" t="s">
        <v>330</v>
      </c>
      <c r="H176">
        <v>1690228405.5</v>
      </c>
      <c r="I176">
        <f t="shared" si="60"/>
        <v>1.389566246987142E-3</v>
      </c>
      <c r="J176">
        <f t="shared" si="61"/>
        <v>1.3895662469871419</v>
      </c>
      <c r="K176">
        <f t="shared" si="62"/>
        <v>21.507110425652861</v>
      </c>
      <c r="L176">
        <f t="shared" si="63"/>
        <v>559.524</v>
      </c>
      <c r="M176">
        <f t="shared" si="64"/>
        <v>159.57539731552055</v>
      </c>
      <c r="N176">
        <f t="shared" si="65"/>
        <v>15.825766836560023</v>
      </c>
      <c r="O176">
        <f t="shared" si="66"/>
        <v>55.490360747471996</v>
      </c>
      <c r="P176">
        <f t="shared" si="67"/>
        <v>8.979883859273903E-2</v>
      </c>
      <c r="Q176">
        <f t="shared" si="68"/>
        <v>2.1326566263553799</v>
      </c>
      <c r="R176">
        <f t="shared" si="69"/>
        <v>8.7749916493193081E-2</v>
      </c>
      <c r="S176">
        <f t="shared" si="70"/>
        <v>5.5023891578346765E-2</v>
      </c>
      <c r="T176">
        <f t="shared" si="71"/>
        <v>276.11453176200001</v>
      </c>
      <c r="U176">
        <f t="shared" si="72"/>
        <v>28.187807791589098</v>
      </c>
      <c r="V176">
        <f t="shared" si="73"/>
        <v>28.187807791589098</v>
      </c>
      <c r="W176">
        <f t="shared" si="74"/>
        <v>3.8365866365831054</v>
      </c>
      <c r="X176">
        <f t="shared" si="75"/>
        <v>66.644406048647213</v>
      </c>
      <c r="Y176">
        <f t="shared" si="76"/>
        <v>2.3148157383251999</v>
      </c>
      <c r="Z176">
        <f t="shared" si="77"/>
        <v>3.4733834024051409</v>
      </c>
      <c r="AA176">
        <f t="shared" si="78"/>
        <v>1.5217708982579055</v>
      </c>
      <c r="AB176">
        <f t="shared" si="79"/>
        <v>-61.279871492132962</v>
      </c>
      <c r="AC176">
        <f t="shared" si="80"/>
        <v>-195.18378683049019</v>
      </c>
      <c r="AD176">
        <f t="shared" si="81"/>
        <v>-19.818587021002394</v>
      </c>
      <c r="AE176">
        <f t="shared" si="82"/>
        <v>-0.16771358162552019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52555.310099458453</v>
      </c>
      <c r="AK176">
        <f t="shared" si="86"/>
        <v>1800</v>
      </c>
      <c r="AL176">
        <f t="shared" si="87"/>
        <v>1499.1159041999999</v>
      </c>
      <c r="AM176">
        <f t="shared" si="88"/>
        <v>0.83284216899999997</v>
      </c>
      <c r="AN176">
        <f t="shared" si="89"/>
        <v>0.15339696209000001</v>
      </c>
      <c r="AO176">
        <v>32.4</v>
      </c>
      <c r="AP176">
        <v>0.5</v>
      </c>
      <c r="AQ176" t="s">
        <v>331</v>
      </c>
      <c r="AR176">
        <v>2</v>
      </c>
      <c r="AS176">
        <v>1690228405.5</v>
      </c>
      <c r="AT176">
        <v>559.524</v>
      </c>
      <c r="AU176">
        <v>800.03499999999997</v>
      </c>
      <c r="AV176">
        <v>23.340900000000001</v>
      </c>
      <c r="AW176">
        <v>8.6937800000000003</v>
      </c>
      <c r="AX176">
        <v>559.79399999999998</v>
      </c>
      <c r="AY176">
        <v>23.030999999999999</v>
      </c>
      <c r="AZ176">
        <v>300.20299999999997</v>
      </c>
      <c r="BA176">
        <v>99.074200000000005</v>
      </c>
      <c r="BB176">
        <v>0.10002800000000001</v>
      </c>
      <c r="BC176">
        <v>26.490200000000002</v>
      </c>
      <c r="BD176">
        <v>26.999500000000001</v>
      </c>
      <c r="BE176">
        <v>28.0505</v>
      </c>
      <c r="BF176">
        <v>0</v>
      </c>
      <c r="BG176">
        <v>0</v>
      </c>
      <c r="BH176">
        <v>10015.6</v>
      </c>
      <c r="BI176">
        <v>1072.3900000000001</v>
      </c>
      <c r="BJ176">
        <v>1.5137799999999999</v>
      </c>
      <c r="BK176">
        <v>-240.511</v>
      </c>
      <c r="BL176">
        <v>572.89599999999996</v>
      </c>
      <c r="BM176">
        <v>807.05200000000002</v>
      </c>
      <c r="BN176">
        <v>14.6472</v>
      </c>
      <c r="BO176">
        <v>800.03499999999997</v>
      </c>
      <c r="BP176">
        <v>8.6937800000000003</v>
      </c>
      <c r="BQ176">
        <v>2.3124799999999999</v>
      </c>
      <c r="BR176">
        <v>0.86132900000000001</v>
      </c>
      <c r="BS176">
        <v>19.7636</v>
      </c>
      <c r="BT176">
        <v>4.7603200000000001</v>
      </c>
      <c r="BU176">
        <v>1800</v>
      </c>
      <c r="BV176">
        <v>0.91002300000000003</v>
      </c>
      <c r="BW176">
        <v>3.3992500000000002E-2</v>
      </c>
      <c r="BX176">
        <v>2.1995199999999999E-2</v>
      </c>
      <c r="BY176">
        <v>3.3989699999999998E-2</v>
      </c>
      <c r="BZ176">
        <v>26</v>
      </c>
      <c r="CA176">
        <v>33528.5</v>
      </c>
      <c r="CB176">
        <v>1690226183.5999999</v>
      </c>
      <c r="CC176" t="s">
        <v>332</v>
      </c>
      <c r="CD176">
        <v>1690226177.5999999</v>
      </c>
      <c r="CE176">
        <v>1690226183.5999999</v>
      </c>
      <c r="CF176">
        <v>12</v>
      </c>
      <c r="CG176">
        <v>-0.255</v>
      </c>
      <c r="CH176">
        <v>0.113</v>
      </c>
      <c r="CI176">
        <v>-0.439</v>
      </c>
      <c r="CJ176">
        <v>0.31</v>
      </c>
      <c r="CK176">
        <v>800</v>
      </c>
      <c r="CL176">
        <v>25</v>
      </c>
      <c r="CM176">
        <v>0.02</v>
      </c>
      <c r="CN176">
        <v>0.03</v>
      </c>
      <c r="CO176">
        <v>-239.33629268292691</v>
      </c>
      <c r="CP176">
        <v>-6.3822439024388746</v>
      </c>
      <c r="CQ176">
        <v>0.63343451136669482</v>
      </c>
      <c r="CR176">
        <v>-1</v>
      </c>
      <c r="CS176">
        <v>14.536568292682929</v>
      </c>
      <c r="CT176">
        <v>0.63857770034843031</v>
      </c>
      <c r="CU176">
        <v>6.3549425508425419E-2</v>
      </c>
      <c r="CV176">
        <v>-1</v>
      </c>
      <c r="CW176">
        <v>0</v>
      </c>
      <c r="CX176">
        <v>0</v>
      </c>
      <c r="CY176" t="s">
        <v>333</v>
      </c>
      <c r="CZ176">
        <v>2.3647</v>
      </c>
      <c r="DA176">
        <v>2.7138300000000002</v>
      </c>
      <c r="DB176">
        <v>0.11468399999999999</v>
      </c>
      <c r="DC176">
        <v>0.14614199999999999</v>
      </c>
      <c r="DD176">
        <v>0.111263</v>
      </c>
      <c r="DE176">
        <v>5.3064E-2</v>
      </c>
      <c r="DF176">
        <v>32333.5</v>
      </c>
      <c r="DG176">
        <v>27531.3</v>
      </c>
      <c r="DH176">
        <v>31178.799999999999</v>
      </c>
      <c r="DI176">
        <v>28095.599999999999</v>
      </c>
      <c r="DJ176">
        <v>37620.1</v>
      </c>
      <c r="DK176">
        <v>37836.400000000001</v>
      </c>
      <c r="DL176">
        <v>44373</v>
      </c>
      <c r="DM176">
        <v>42586.9</v>
      </c>
      <c r="DN176">
        <v>1.4815</v>
      </c>
      <c r="DO176">
        <v>2.0398499999999999</v>
      </c>
      <c r="DP176">
        <v>9.9930900000000003E-2</v>
      </c>
      <c r="DQ176">
        <v>0.17851600000000001</v>
      </c>
      <c r="DR176">
        <v>25.363099999999999</v>
      </c>
      <c r="DS176">
        <v>25.129100000000001</v>
      </c>
      <c r="DT176">
        <v>46.4</v>
      </c>
      <c r="DU176">
        <v>29.2</v>
      </c>
      <c r="DV176">
        <v>19.0562</v>
      </c>
      <c r="DW176">
        <v>61.822400000000002</v>
      </c>
      <c r="DX176">
        <v>36.875</v>
      </c>
      <c r="DY176">
        <v>1</v>
      </c>
      <c r="DZ176">
        <v>-9.3584899999999999E-2</v>
      </c>
      <c r="EA176">
        <v>-4.2726E-2</v>
      </c>
      <c r="EB176">
        <v>20.189399999999999</v>
      </c>
      <c r="EC176">
        <v>5.2411000000000003</v>
      </c>
      <c r="ED176">
        <v>12.039899999999999</v>
      </c>
      <c r="EE176">
        <v>5.0160499999999999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1.8646199999999999</v>
      </c>
      <c r="EM176">
        <v>1.8691800000000001</v>
      </c>
      <c r="EN176">
        <v>1.8672299999999999</v>
      </c>
      <c r="EO176">
        <v>1.8633999999999999</v>
      </c>
      <c r="EP176">
        <v>1.8645</v>
      </c>
      <c r="EQ176">
        <v>1.87012</v>
      </c>
      <c r="ER176">
        <v>1.86938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-0.27</v>
      </c>
      <c r="FG176">
        <v>0.30990000000000001</v>
      </c>
      <c r="FH176">
        <v>0.1121710645629533</v>
      </c>
      <c r="FI176">
        <v>-6.1462078757559423E-4</v>
      </c>
      <c r="FJ176">
        <v>-1.8861989874597051E-7</v>
      </c>
      <c r="FK176">
        <v>1.1980462299894961E-10</v>
      </c>
      <c r="FL176">
        <v>0.30996499999999833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37.1</v>
      </c>
      <c r="FU176">
        <v>37</v>
      </c>
      <c r="FV176">
        <v>1.7736799999999999</v>
      </c>
      <c r="FW176">
        <v>2.5830099999999998</v>
      </c>
      <c r="FX176">
        <v>1.5490699999999999</v>
      </c>
      <c r="FY176">
        <v>2.3278799999999999</v>
      </c>
      <c r="FZ176">
        <v>1.50146</v>
      </c>
      <c r="GA176">
        <v>2.3156699999999999</v>
      </c>
      <c r="GB176">
        <v>33.963900000000002</v>
      </c>
      <c r="GC176">
        <v>23.982399999999998</v>
      </c>
      <c r="GD176">
        <v>19</v>
      </c>
      <c r="GE176">
        <v>285.14400000000001</v>
      </c>
      <c r="GF176">
        <v>585.99400000000003</v>
      </c>
      <c r="GG176">
        <v>24.558499999999999</v>
      </c>
      <c r="GH176">
        <v>26.220800000000001</v>
      </c>
      <c r="GI176">
        <v>29.999700000000001</v>
      </c>
      <c r="GJ176">
        <v>26.3504</v>
      </c>
      <c r="GK176">
        <v>26.334700000000002</v>
      </c>
      <c r="GL176">
        <v>35.462899999999998</v>
      </c>
      <c r="GM176">
        <v>55.152799999999999</v>
      </c>
      <c r="GN176">
        <v>61.391300000000001</v>
      </c>
      <c r="GO176">
        <v>24.562000000000001</v>
      </c>
      <c r="GP176">
        <v>800</v>
      </c>
      <c r="GQ176">
        <v>8.6094100000000005</v>
      </c>
      <c r="GR176">
        <v>99.762299999999996</v>
      </c>
      <c r="GS176">
        <v>99.622100000000003</v>
      </c>
    </row>
    <row r="177" spans="1:201" x14ac:dyDescent="0.25">
      <c r="A177">
        <v>161</v>
      </c>
      <c r="B177">
        <v>1690228415.5</v>
      </c>
      <c r="C177">
        <v>1845.900000095367</v>
      </c>
      <c r="D177" t="s">
        <v>653</v>
      </c>
      <c r="E177" t="s">
        <v>654</v>
      </c>
      <c r="F177" t="s">
        <v>330</v>
      </c>
      <c r="H177">
        <v>1690228415.5</v>
      </c>
      <c r="I177">
        <f t="shared" si="60"/>
        <v>1.4027917214498814E-3</v>
      </c>
      <c r="J177">
        <f t="shared" si="61"/>
        <v>1.4027917214498815</v>
      </c>
      <c r="K177">
        <f t="shared" si="62"/>
        <v>21.601859123067165</v>
      </c>
      <c r="L177">
        <f t="shared" si="63"/>
        <v>558.35900000000004</v>
      </c>
      <c r="M177">
        <f t="shared" si="64"/>
        <v>160.03904679285728</v>
      </c>
      <c r="N177">
        <f t="shared" si="65"/>
        <v>15.87169930343299</v>
      </c>
      <c r="O177">
        <f t="shared" si="66"/>
        <v>55.374649680562001</v>
      </c>
      <c r="P177">
        <f t="shared" si="67"/>
        <v>9.0588495494432889E-2</v>
      </c>
      <c r="Q177">
        <f t="shared" si="68"/>
        <v>2.1311973438541747</v>
      </c>
      <c r="R177">
        <f t="shared" si="69"/>
        <v>8.8502438691803853E-2</v>
      </c>
      <c r="S177">
        <f t="shared" si="70"/>
        <v>5.5497447118710283E-2</v>
      </c>
      <c r="T177">
        <f t="shared" si="71"/>
        <v>276.11427834</v>
      </c>
      <c r="U177">
        <f t="shared" si="72"/>
        <v>28.193236198639212</v>
      </c>
      <c r="V177">
        <f t="shared" si="73"/>
        <v>28.193236198639212</v>
      </c>
      <c r="W177">
        <f t="shared" si="74"/>
        <v>3.8377992265527241</v>
      </c>
      <c r="X177">
        <f t="shared" si="75"/>
        <v>66.603424165787132</v>
      </c>
      <c r="Y177">
        <f t="shared" si="76"/>
        <v>2.3146200722020001</v>
      </c>
      <c r="Z177">
        <f t="shared" si="77"/>
        <v>3.4752268388491876</v>
      </c>
      <c r="AA177">
        <f t="shared" si="78"/>
        <v>1.523179154350724</v>
      </c>
      <c r="AB177">
        <f t="shared" si="79"/>
        <v>-61.863114915939768</v>
      </c>
      <c r="AC177">
        <f t="shared" si="80"/>
        <v>-194.63986549503659</v>
      </c>
      <c r="AD177">
        <f t="shared" si="81"/>
        <v>-19.778315240828793</v>
      </c>
      <c r="AE177">
        <f t="shared" si="82"/>
        <v>-0.16701731180518209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52490.675992377815</v>
      </c>
      <c r="AK177">
        <f t="shared" si="86"/>
        <v>1800</v>
      </c>
      <c r="AL177">
        <f t="shared" si="87"/>
        <v>1499.114808</v>
      </c>
      <c r="AM177">
        <f t="shared" si="88"/>
        <v>0.83284155999999998</v>
      </c>
      <c r="AN177">
        <f t="shared" si="89"/>
        <v>0.15339682130000001</v>
      </c>
      <c r="AO177">
        <v>32.4</v>
      </c>
      <c r="AP177">
        <v>0.5</v>
      </c>
      <c r="AQ177" t="s">
        <v>331</v>
      </c>
      <c r="AR177">
        <v>2</v>
      </c>
      <c r="AS177">
        <v>1690228415.5</v>
      </c>
      <c r="AT177">
        <v>558.35900000000004</v>
      </c>
      <c r="AU177">
        <v>800.01599999999996</v>
      </c>
      <c r="AV177">
        <v>23.338999999999999</v>
      </c>
      <c r="AW177">
        <v>8.5487000000000002</v>
      </c>
      <c r="AX177">
        <v>558.62800000000004</v>
      </c>
      <c r="AY177">
        <v>23.0291</v>
      </c>
      <c r="AZ177">
        <v>300.12700000000001</v>
      </c>
      <c r="BA177">
        <v>99.073899999999995</v>
      </c>
      <c r="BB177">
        <v>0.100018</v>
      </c>
      <c r="BC177">
        <v>26.499199999999998</v>
      </c>
      <c r="BD177">
        <v>27.0169</v>
      </c>
      <c r="BE177">
        <v>28.060600000000001</v>
      </c>
      <c r="BF177">
        <v>0</v>
      </c>
      <c r="BG177">
        <v>0</v>
      </c>
      <c r="BH177">
        <v>10003.1</v>
      </c>
      <c r="BI177">
        <v>1072.4000000000001</v>
      </c>
      <c r="BJ177">
        <v>1.5137799999999999</v>
      </c>
      <c r="BK177">
        <v>-241.65799999999999</v>
      </c>
      <c r="BL177">
        <v>571.702</v>
      </c>
      <c r="BM177">
        <v>806.91399999999999</v>
      </c>
      <c r="BN177">
        <v>14.7903</v>
      </c>
      <c r="BO177">
        <v>800.01599999999996</v>
      </c>
      <c r="BP177">
        <v>8.5487000000000002</v>
      </c>
      <c r="BQ177">
        <v>2.31229</v>
      </c>
      <c r="BR177">
        <v>0.84695399999999998</v>
      </c>
      <c r="BS177">
        <v>19.7623</v>
      </c>
      <c r="BT177">
        <v>4.51959</v>
      </c>
      <c r="BU177">
        <v>1800</v>
      </c>
      <c r="BV177">
        <v>0.91002300000000003</v>
      </c>
      <c r="BW177">
        <v>3.39922E-2</v>
      </c>
      <c r="BX177">
        <v>2.1995000000000001E-2</v>
      </c>
      <c r="BY177">
        <v>3.3989400000000003E-2</v>
      </c>
      <c r="BZ177">
        <v>26</v>
      </c>
      <c r="CA177">
        <v>33528.5</v>
      </c>
      <c r="CB177">
        <v>1690226183.5999999</v>
      </c>
      <c r="CC177" t="s">
        <v>332</v>
      </c>
      <c r="CD177">
        <v>1690226177.5999999</v>
      </c>
      <c r="CE177">
        <v>1690226183.5999999</v>
      </c>
      <c r="CF177">
        <v>12</v>
      </c>
      <c r="CG177">
        <v>-0.255</v>
      </c>
      <c r="CH177">
        <v>0.113</v>
      </c>
      <c r="CI177">
        <v>-0.439</v>
      </c>
      <c r="CJ177">
        <v>0.31</v>
      </c>
      <c r="CK177">
        <v>800</v>
      </c>
      <c r="CL177">
        <v>25</v>
      </c>
      <c r="CM177">
        <v>0.02</v>
      </c>
      <c r="CN177">
        <v>0.03</v>
      </c>
      <c r="CO177">
        <v>-240.478375</v>
      </c>
      <c r="CP177">
        <v>-6.5264127579724649</v>
      </c>
      <c r="CQ177">
        <v>0.63165487758347816</v>
      </c>
      <c r="CR177">
        <v>-1</v>
      </c>
      <c r="CS177">
        <v>14.6535175</v>
      </c>
      <c r="CT177">
        <v>0.6684776735459339</v>
      </c>
      <c r="CU177">
        <v>6.6513310275086959E-2</v>
      </c>
      <c r="CV177">
        <v>-1</v>
      </c>
      <c r="CW177">
        <v>0</v>
      </c>
      <c r="CX177">
        <v>0</v>
      </c>
      <c r="CY177" t="s">
        <v>333</v>
      </c>
      <c r="CZ177">
        <v>2.3644599999999998</v>
      </c>
      <c r="DA177">
        <v>2.7138100000000001</v>
      </c>
      <c r="DB177">
        <v>0.114513</v>
      </c>
      <c r="DC177">
        <v>0.14613599999999999</v>
      </c>
      <c r="DD177">
        <v>0.11125599999999999</v>
      </c>
      <c r="DE177">
        <v>5.2369300000000001E-2</v>
      </c>
      <c r="DF177">
        <v>32339.8</v>
      </c>
      <c r="DG177">
        <v>27531.5</v>
      </c>
      <c r="DH177">
        <v>31178.799999999999</v>
      </c>
      <c r="DI177">
        <v>28095.599999999999</v>
      </c>
      <c r="DJ177">
        <v>37620.400000000001</v>
      </c>
      <c r="DK177">
        <v>37864.199999999997</v>
      </c>
      <c r="DL177">
        <v>44373.1</v>
      </c>
      <c r="DM177">
        <v>42587</v>
      </c>
      <c r="DN177">
        <v>1.48125</v>
      </c>
      <c r="DO177">
        <v>2.0397799999999999</v>
      </c>
      <c r="DP177">
        <v>0.100993</v>
      </c>
      <c r="DQ177">
        <v>0.17896300000000001</v>
      </c>
      <c r="DR177">
        <v>25.363099999999999</v>
      </c>
      <c r="DS177">
        <v>25.131900000000002</v>
      </c>
      <c r="DT177">
        <v>46.1</v>
      </c>
      <c r="DU177">
        <v>29.2</v>
      </c>
      <c r="DV177">
        <v>18.9329</v>
      </c>
      <c r="DW177">
        <v>61.782400000000003</v>
      </c>
      <c r="DX177">
        <v>36.209899999999998</v>
      </c>
      <c r="DY177">
        <v>1</v>
      </c>
      <c r="DZ177">
        <v>-9.3175800000000003E-2</v>
      </c>
      <c r="EA177">
        <v>6.71514E-2</v>
      </c>
      <c r="EB177">
        <v>20.189599999999999</v>
      </c>
      <c r="EC177">
        <v>5.2409499999999998</v>
      </c>
      <c r="ED177">
        <v>12.039899999999999</v>
      </c>
      <c r="EE177">
        <v>5.0170500000000002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1.8691800000000001</v>
      </c>
      <c r="EN177">
        <v>1.8672200000000001</v>
      </c>
      <c r="EO177">
        <v>1.8633999999999999</v>
      </c>
      <c r="EP177">
        <v>1.8644700000000001</v>
      </c>
      <c r="EQ177">
        <v>1.87012</v>
      </c>
      <c r="ER177">
        <v>1.8693599999999999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-0.26900000000000002</v>
      </c>
      <c r="FG177">
        <v>0.30990000000000001</v>
      </c>
      <c r="FH177">
        <v>0.1121710645629533</v>
      </c>
      <c r="FI177">
        <v>-6.1462078757559423E-4</v>
      </c>
      <c r="FJ177">
        <v>-1.8861989874597051E-7</v>
      </c>
      <c r="FK177">
        <v>1.1980462299894961E-10</v>
      </c>
      <c r="FL177">
        <v>0.30996499999999833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37.299999999999997</v>
      </c>
      <c r="FU177">
        <v>37.200000000000003</v>
      </c>
      <c r="FV177">
        <v>1.7736799999999999</v>
      </c>
      <c r="FW177">
        <v>2.5866699999999998</v>
      </c>
      <c r="FX177">
        <v>1.5490699999999999</v>
      </c>
      <c r="FY177">
        <v>2.32666</v>
      </c>
      <c r="FZ177">
        <v>1.50146</v>
      </c>
      <c r="GA177">
        <v>2.3767100000000001</v>
      </c>
      <c r="GB177">
        <v>33.963900000000002</v>
      </c>
      <c r="GC177">
        <v>23.991199999999999</v>
      </c>
      <c r="GD177">
        <v>19</v>
      </c>
      <c r="GE177">
        <v>285.036</v>
      </c>
      <c r="GF177">
        <v>585.93200000000002</v>
      </c>
      <c r="GG177">
        <v>24.577200000000001</v>
      </c>
      <c r="GH177">
        <v>26.219899999999999</v>
      </c>
      <c r="GI177">
        <v>30.0001</v>
      </c>
      <c r="GJ177">
        <v>26.3504</v>
      </c>
      <c r="GK177">
        <v>26.334700000000002</v>
      </c>
      <c r="GL177">
        <v>35.462899999999998</v>
      </c>
      <c r="GM177">
        <v>55.442999999999998</v>
      </c>
      <c r="GN177">
        <v>61.018799999999999</v>
      </c>
      <c r="GO177">
        <v>24.569700000000001</v>
      </c>
      <c r="GP177">
        <v>800</v>
      </c>
      <c r="GQ177">
        <v>8.5125899999999994</v>
      </c>
      <c r="GR177">
        <v>99.7624</v>
      </c>
      <c r="GS177">
        <v>99.622299999999996</v>
      </c>
    </row>
    <row r="178" spans="1:201" x14ac:dyDescent="0.25">
      <c r="A178">
        <v>162</v>
      </c>
      <c r="B178">
        <v>1690228425.5</v>
      </c>
      <c r="C178">
        <v>1855.900000095367</v>
      </c>
      <c r="D178" t="s">
        <v>655</v>
      </c>
      <c r="E178" t="s">
        <v>656</v>
      </c>
      <c r="F178" t="s">
        <v>330</v>
      </c>
      <c r="H178">
        <v>1690228425.5</v>
      </c>
      <c r="I178">
        <f t="shared" si="60"/>
        <v>1.4092525485175835E-3</v>
      </c>
      <c r="J178">
        <f t="shared" si="61"/>
        <v>1.4092525485175835</v>
      </c>
      <c r="K178">
        <f t="shared" si="62"/>
        <v>21.711249367580113</v>
      </c>
      <c r="L178">
        <f t="shared" si="63"/>
        <v>557.24</v>
      </c>
      <c r="M178">
        <f t="shared" si="64"/>
        <v>158.61423415208574</v>
      </c>
      <c r="N178">
        <f t="shared" si="65"/>
        <v>15.730417733267233</v>
      </c>
      <c r="O178">
        <f t="shared" si="66"/>
        <v>55.263753751639996</v>
      </c>
      <c r="P178">
        <f t="shared" si="67"/>
        <v>9.0975099645342505E-2</v>
      </c>
      <c r="Q178">
        <f t="shared" si="68"/>
        <v>2.1331663000139733</v>
      </c>
      <c r="R178">
        <f t="shared" si="69"/>
        <v>8.8873315675306611E-2</v>
      </c>
      <c r="S178">
        <f t="shared" si="70"/>
        <v>5.5730614959743741E-2</v>
      </c>
      <c r="T178">
        <f t="shared" si="71"/>
        <v>276.11419903199999</v>
      </c>
      <c r="U178">
        <f t="shared" si="72"/>
        <v>28.186968044452939</v>
      </c>
      <c r="V178">
        <f t="shared" si="73"/>
        <v>28.186968044452939</v>
      </c>
      <c r="W178">
        <f t="shared" si="74"/>
        <v>3.8363990848969696</v>
      </c>
      <c r="X178">
        <f t="shared" si="75"/>
        <v>66.554362894324299</v>
      </c>
      <c r="Y178">
        <f t="shared" si="76"/>
        <v>2.3125605892101997</v>
      </c>
      <c r="Z178">
        <f t="shared" si="77"/>
        <v>3.4746942028159853</v>
      </c>
      <c r="AA178">
        <f t="shared" si="78"/>
        <v>1.5238384956867699</v>
      </c>
      <c r="AB178">
        <f t="shared" si="79"/>
        <v>-62.148037389625436</v>
      </c>
      <c r="AC178">
        <f t="shared" si="80"/>
        <v>-194.39783835962649</v>
      </c>
      <c r="AD178">
        <f t="shared" si="81"/>
        <v>-19.734613842788164</v>
      </c>
      <c r="AE178">
        <f t="shared" si="82"/>
        <v>-0.16629056004012455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52576.214977812931</v>
      </c>
      <c r="AK178">
        <f t="shared" si="86"/>
        <v>1800</v>
      </c>
      <c r="AL178">
        <f t="shared" si="87"/>
        <v>1499.1148062</v>
      </c>
      <c r="AM178">
        <f t="shared" si="88"/>
        <v>0.83284155900000001</v>
      </c>
      <c r="AN178">
        <f t="shared" si="89"/>
        <v>0.15339677724</v>
      </c>
      <c r="AO178">
        <v>32.4</v>
      </c>
      <c r="AP178">
        <v>0.5</v>
      </c>
      <c r="AQ178" t="s">
        <v>331</v>
      </c>
      <c r="AR178">
        <v>2</v>
      </c>
      <c r="AS178">
        <v>1690228425.5</v>
      </c>
      <c r="AT178">
        <v>557.24</v>
      </c>
      <c r="AU178">
        <v>800.06100000000004</v>
      </c>
      <c r="AV178">
        <v>23.318200000000001</v>
      </c>
      <c r="AW178">
        <v>8.4618400000000005</v>
      </c>
      <c r="AX178">
        <v>557.50800000000004</v>
      </c>
      <c r="AY178">
        <v>23.008199999999999</v>
      </c>
      <c r="AZ178">
        <v>300.17500000000001</v>
      </c>
      <c r="BA178">
        <v>99.073999999999998</v>
      </c>
      <c r="BB178">
        <v>0.100061</v>
      </c>
      <c r="BC178">
        <v>26.496600000000001</v>
      </c>
      <c r="BD178">
        <v>27.006499999999999</v>
      </c>
      <c r="BE178">
        <v>28.0745</v>
      </c>
      <c r="BF178">
        <v>0</v>
      </c>
      <c r="BG178">
        <v>0</v>
      </c>
      <c r="BH178">
        <v>10020</v>
      </c>
      <c r="BI178">
        <v>1072.4100000000001</v>
      </c>
      <c r="BJ178">
        <v>1.5137799999999999</v>
      </c>
      <c r="BK178">
        <v>-242.821</v>
      </c>
      <c r="BL178">
        <v>570.54399999999998</v>
      </c>
      <c r="BM178">
        <v>806.88900000000001</v>
      </c>
      <c r="BN178">
        <v>14.856299999999999</v>
      </c>
      <c r="BO178">
        <v>800.06100000000004</v>
      </c>
      <c r="BP178">
        <v>8.4618400000000005</v>
      </c>
      <c r="BQ178">
        <v>2.3102200000000002</v>
      </c>
      <c r="BR178">
        <v>0.83834799999999998</v>
      </c>
      <c r="BS178">
        <v>19.747900000000001</v>
      </c>
      <c r="BT178">
        <v>4.3737500000000002</v>
      </c>
      <c r="BU178">
        <v>1800</v>
      </c>
      <c r="BV178">
        <v>0.91002400000000006</v>
      </c>
      <c r="BW178">
        <v>3.3991800000000003E-2</v>
      </c>
      <c r="BX178">
        <v>2.1994699999999999E-2</v>
      </c>
      <c r="BY178">
        <v>3.3988999999999998E-2</v>
      </c>
      <c r="BZ178">
        <v>26</v>
      </c>
      <c r="CA178">
        <v>33528.5</v>
      </c>
      <c r="CB178">
        <v>1690226183.5999999</v>
      </c>
      <c r="CC178" t="s">
        <v>332</v>
      </c>
      <c r="CD178">
        <v>1690226177.5999999</v>
      </c>
      <c r="CE178">
        <v>1690226183.5999999</v>
      </c>
      <c r="CF178">
        <v>12</v>
      </c>
      <c r="CG178">
        <v>-0.255</v>
      </c>
      <c r="CH178">
        <v>0.113</v>
      </c>
      <c r="CI178">
        <v>-0.439</v>
      </c>
      <c r="CJ178">
        <v>0.31</v>
      </c>
      <c r="CK178">
        <v>800</v>
      </c>
      <c r="CL178">
        <v>25</v>
      </c>
      <c r="CM178">
        <v>0.02</v>
      </c>
      <c r="CN178">
        <v>0.03</v>
      </c>
      <c r="CO178">
        <v>-241.5925</v>
      </c>
      <c r="CP178">
        <v>-7.0290506566602131</v>
      </c>
      <c r="CQ178">
        <v>0.67886920684326224</v>
      </c>
      <c r="CR178">
        <v>-1</v>
      </c>
      <c r="CS178">
        <v>14.76371</v>
      </c>
      <c r="CT178">
        <v>0.69207354596616943</v>
      </c>
      <c r="CU178">
        <v>6.8995354191423636E-2</v>
      </c>
      <c r="CV178">
        <v>-1</v>
      </c>
      <c r="CW178">
        <v>0</v>
      </c>
      <c r="CX178">
        <v>0</v>
      </c>
      <c r="CY178" t="s">
        <v>333</v>
      </c>
      <c r="CZ178">
        <v>2.3646199999999999</v>
      </c>
      <c r="DA178">
        <v>2.71387</v>
      </c>
      <c r="DB178">
        <v>0.11434900000000001</v>
      </c>
      <c r="DC178">
        <v>0.14614099999999999</v>
      </c>
      <c r="DD178">
        <v>0.11118599999999999</v>
      </c>
      <c r="DE178">
        <v>5.1951900000000002E-2</v>
      </c>
      <c r="DF178">
        <v>32345.7</v>
      </c>
      <c r="DG178">
        <v>27531.1</v>
      </c>
      <c r="DH178">
        <v>31178.799999999999</v>
      </c>
      <c r="DI178">
        <v>28095.4</v>
      </c>
      <c r="DJ178">
        <v>37623.5</v>
      </c>
      <c r="DK178">
        <v>37880.800000000003</v>
      </c>
      <c r="DL178">
        <v>44373.2</v>
      </c>
      <c r="DM178">
        <v>42586.8</v>
      </c>
      <c r="DN178">
        <v>1.48125</v>
      </c>
      <c r="DO178">
        <v>2.0394999999999999</v>
      </c>
      <c r="DP178">
        <v>0.100248</v>
      </c>
      <c r="DQ178">
        <v>0.179727</v>
      </c>
      <c r="DR178">
        <v>25.364899999999999</v>
      </c>
      <c r="DS178">
        <v>25.133400000000002</v>
      </c>
      <c r="DT178">
        <v>45.8</v>
      </c>
      <c r="DU178">
        <v>29.2</v>
      </c>
      <c r="DV178">
        <v>18.809000000000001</v>
      </c>
      <c r="DW178">
        <v>61.352400000000003</v>
      </c>
      <c r="DX178">
        <v>35.953499999999998</v>
      </c>
      <c r="DY178">
        <v>1</v>
      </c>
      <c r="DZ178">
        <v>-9.1504100000000005E-2</v>
      </c>
      <c r="EA178">
        <v>0.32373400000000002</v>
      </c>
      <c r="EB178">
        <v>20.1889</v>
      </c>
      <c r="EC178">
        <v>5.2409499999999998</v>
      </c>
      <c r="ED178">
        <v>12.039899999999999</v>
      </c>
      <c r="EE178">
        <v>5.0172999999999996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1.8646199999999999</v>
      </c>
      <c r="EM178">
        <v>1.86917</v>
      </c>
      <c r="EN178">
        <v>1.8672200000000001</v>
      </c>
      <c r="EO178">
        <v>1.8633999999999999</v>
      </c>
      <c r="EP178">
        <v>1.86449</v>
      </c>
      <c r="EQ178">
        <v>1.87012</v>
      </c>
      <c r="ER178">
        <v>1.86941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-0.26800000000000002</v>
      </c>
      <c r="FG178">
        <v>0.31</v>
      </c>
      <c r="FH178">
        <v>0.1121710645629533</v>
      </c>
      <c r="FI178">
        <v>-6.1462078757559423E-4</v>
      </c>
      <c r="FJ178">
        <v>-1.8861989874597051E-7</v>
      </c>
      <c r="FK178">
        <v>1.1980462299894961E-10</v>
      </c>
      <c r="FL178">
        <v>0.30996499999999833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37.5</v>
      </c>
      <c r="FU178">
        <v>37.4</v>
      </c>
      <c r="FV178">
        <v>1.7736799999999999</v>
      </c>
      <c r="FW178">
        <v>2.5903299999999998</v>
      </c>
      <c r="FX178">
        <v>1.5490699999999999</v>
      </c>
      <c r="FY178">
        <v>2.32666</v>
      </c>
      <c r="FZ178">
        <v>1.50146</v>
      </c>
      <c r="GA178">
        <v>2.32666</v>
      </c>
      <c r="GB178">
        <v>33.941299999999998</v>
      </c>
      <c r="GC178">
        <v>23.982399999999998</v>
      </c>
      <c r="GD178">
        <v>19</v>
      </c>
      <c r="GE178">
        <v>285.02600000000001</v>
      </c>
      <c r="GF178">
        <v>585.67899999999997</v>
      </c>
      <c r="GG178">
        <v>24.467400000000001</v>
      </c>
      <c r="GH178">
        <v>26.219899999999999</v>
      </c>
      <c r="GI178">
        <v>30.000800000000002</v>
      </c>
      <c r="GJ178">
        <v>26.348199999999999</v>
      </c>
      <c r="GK178">
        <v>26.3324</v>
      </c>
      <c r="GL178">
        <v>35.4574</v>
      </c>
      <c r="GM178">
        <v>55.442999999999998</v>
      </c>
      <c r="GN178">
        <v>60.252600000000001</v>
      </c>
      <c r="GO178">
        <v>24.465</v>
      </c>
      <c r="GP178">
        <v>800</v>
      </c>
      <c r="GQ178">
        <v>8.4362899999999996</v>
      </c>
      <c r="GR178">
        <v>99.762600000000006</v>
      </c>
      <c r="GS178">
        <v>99.621799999999993</v>
      </c>
    </row>
    <row r="179" spans="1:201" x14ac:dyDescent="0.25">
      <c r="A179">
        <v>163</v>
      </c>
      <c r="B179">
        <v>1690228435.5</v>
      </c>
      <c r="C179">
        <v>1865.900000095367</v>
      </c>
      <c r="D179" t="s">
        <v>657</v>
      </c>
      <c r="E179" t="s">
        <v>658</v>
      </c>
      <c r="F179" t="s">
        <v>330</v>
      </c>
      <c r="H179">
        <v>1690228435.5</v>
      </c>
      <c r="I179">
        <f t="shared" si="60"/>
        <v>1.412018890048934E-3</v>
      </c>
      <c r="J179">
        <f t="shared" si="61"/>
        <v>1.4120188900489339</v>
      </c>
      <c r="K179">
        <f t="shared" si="62"/>
        <v>21.779004012253822</v>
      </c>
      <c r="L179">
        <f t="shared" si="63"/>
        <v>556.28899999999999</v>
      </c>
      <c r="M179">
        <f t="shared" si="64"/>
        <v>156.7331903362834</v>
      </c>
      <c r="N179">
        <f t="shared" si="65"/>
        <v>15.544110605206239</v>
      </c>
      <c r="O179">
        <f t="shared" si="66"/>
        <v>55.170303915250592</v>
      </c>
      <c r="P179">
        <f t="shared" si="67"/>
        <v>9.1041470975993272E-2</v>
      </c>
      <c r="Q179">
        <f t="shared" si="68"/>
        <v>2.1283043297198105</v>
      </c>
      <c r="R179">
        <f t="shared" si="69"/>
        <v>8.893196909440633E-2</v>
      </c>
      <c r="S179">
        <f t="shared" si="70"/>
        <v>5.5767939982895268E-2</v>
      </c>
      <c r="T179">
        <f t="shared" si="71"/>
        <v>276.11447441399997</v>
      </c>
      <c r="U179">
        <f t="shared" si="72"/>
        <v>28.184819386368289</v>
      </c>
      <c r="V179">
        <f t="shared" si="73"/>
        <v>28.184819386368289</v>
      </c>
      <c r="W179">
        <f t="shared" si="74"/>
        <v>3.8359192334620786</v>
      </c>
      <c r="X179">
        <f t="shared" si="75"/>
        <v>66.50047633245174</v>
      </c>
      <c r="Y179">
        <f t="shared" si="76"/>
        <v>2.3100480217045001</v>
      </c>
      <c r="Z179">
        <f t="shared" si="77"/>
        <v>3.4737315416449337</v>
      </c>
      <c r="AA179">
        <f t="shared" si="78"/>
        <v>1.5258712117575786</v>
      </c>
      <c r="AB179">
        <f t="shared" si="79"/>
        <v>-62.270033051157988</v>
      </c>
      <c r="AC179">
        <f t="shared" si="80"/>
        <v>-194.24750543913964</v>
      </c>
      <c r="AD179">
        <f t="shared" si="81"/>
        <v>-19.763724562174261</v>
      </c>
      <c r="AE179">
        <f t="shared" si="82"/>
        <v>-0.16678863847192815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52367.14426844324</v>
      </c>
      <c r="AK179">
        <f t="shared" si="86"/>
        <v>1800</v>
      </c>
      <c r="AL179">
        <f t="shared" si="87"/>
        <v>1499.1156773999999</v>
      </c>
      <c r="AM179">
        <f t="shared" si="88"/>
        <v>0.83284204299999998</v>
      </c>
      <c r="AN179">
        <f t="shared" si="89"/>
        <v>0.15339693022999998</v>
      </c>
      <c r="AO179">
        <v>32.4</v>
      </c>
      <c r="AP179">
        <v>0.5</v>
      </c>
      <c r="AQ179" t="s">
        <v>331</v>
      </c>
      <c r="AR179">
        <v>2</v>
      </c>
      <c r="AS179">
        <v>1690228435.5</v>
      </c>
      <c r="AT179">
        <v>556.28899999999999</v>
      </c>
      <c r="AU179">
        <v>799.93600000000004</v>
      </c>
      <c r="AV179">
        <v>23.2925</v>
      </c>
      <c r="AW179">
        <v>8.4009300000000007</v>
      </c>
      <c r="AX179">
        <v>556.55600000000004</v>
      </c>
      <c r="AY179">
        <v>22.982500000000002</v>
      </c>
      <c r="AZ179">
        <v>300.06099999999998</v>
      </c>
      <c r="BA179">
        <v>99.075699999999998</v>
      </c>
      <c r="BB179">
        <v>9.9915400000000001E-2</v>
      </c>
      <c r="BC179">
        <v>26.491900000000001</v>
      </c>
      <c r="BD179">
        <v>26.997</v>
      </c>
      <c r="BE179">
        <v>28.047499999999999</v>
      </c>
      <c r="BF179">
        <v>0</v>
      </c>
      <c r="BG179">
        <v>0</v>
      </c>
      <c r="BH179">
        <v>9978.1200000000008</v>
      </c>
      <c r="BI179">
        <v>1072.3800000000001</v>
      </c>
      <c r="BJ179">
        <v>1.5137799999999999</v>
      </c>
      <c r="BK179">
        <v>-243.64699999999999</v>
      </c>
      <c r="BL179">
        <v>569.55499999999995</v>
      </c>
      <c r="BM179">
        <v>806.71299999999997</v>
      </c>
      <c r="BN179">
        <v>14.8916</v>
      </c>
      <c r="BO179">
        <v>799.93600000000004</v>
      </c>
      <c r="BP179">
        <v>8.4009300000000007</v>
      </c>
      <c r="BQ179">
        <v>2.3077200000000002</v>
      </c>
      <c r="BR179">
        <v>0.83232700000000004</v>
      </c>
      <c r="BS179">
        <v>19.730399999999999</v>
      </c>
      <c r="BT179">
        <v>4.2709200000000003</v>
      </c>
      <c r="BU179">
        <v>1800</v>
      </c>
      <c r="BV179">
        <v>0.91002300000000003</v>
      </c>
      <c r="BW179">
        <v>3.39946E-2</v>
      </c>
      <c r="BX179">
        <v>2.1994400000000001E-2</v>
      </c>
      <c r="BY179">
        <v>3.3988499999999998E-2</v>
      </c>
      <c r="BZ179">
        <v>26</v>
      </c>
      <c r="CA179">
        <v>33528.5</v>
      </c>
      <c r="CB179">
        <v>1690226183.5999999</v>
      </c>
      <c r="CC179" t="s">
        <v>332</v>
      </c>
      <c r="CD179">
        <v>1690226177.5999999</v>
      </c>
      <c r="CE179">
        <v>1690226183.5999999</v>
      </c>
      <c r="CF179">
        <v>12</v>
      </c>
      <c r="CG179">
        <v>-0.255</v>
      </c>
      <c r="CH179">
        <v>0.113</v>
      </c>
      <c r="CI179">
        <v>-0.439</v>
      </c>
      <c r="CJ179">
        <v>0.31</v>
      </c>
      <c r="CK179">
        <v>800</v>
      </c>
      <c r="CL179">
        <v>25</v>
      </c>
      <c r="CM179">
        <v>0.02</v>
      </c>
      <c r="CN179">
        <v>0.03</v>
      </c>
      <c r="CO179">
        <v>-242.61124390243901</v>
      </c>
      <c r="CP179">
        <v>-6.2268501742156754</v>
      </c>
      <c r="CQ179">
        <v>0.61625698553356667</v>
      </c>
      <c r="CR179">
        <v>-1</v>
      </c>
      <c r="CS179">
        <v>14.841392682926831</v>
      </c>
      <c r="CT179">
        <v>0.31801672473871773</v>
      </c>
      <c r="CU179">
        <v>3.1808684120611247E-2</v>
      </c>
      <c r="CV179">
        <v>-1</v>
      </c>
      <c r="CW179">
        <v>0</v>
      </c>
      <c r="CX179">
        <v>0</v>
      </c>
      <c r="CY179" t="s">
        <v>333</v>
      </c>
      <c r="CZ179">
        <v>2.3642500000000002</v>
      </c>
      <c r="DA179">
        <v>2.7136900000000002</v>
      </c>
      <c r="DB179">
        <v>0.11421099999999999</v>
      </c>
      <c r="DC179">
        <v>0.14612700000000001</v>
      </c>
      <c r="DD179">
        <v>0.11110100000000001</v>
      </c>
      <c r="DE179">
        <v>5.1658999999999997E-2</v>
      </c>
      <c r="DF179">
        <v>32350.799999999999</v>
      </c>
      <c r="DG179">
        <v>27531.599999999999</v>
      </c>
      <c r="DH179">
        <v>31178.799999999999</v>
      </c>
      <c r="DI179">
        <v>28095.4</v>
      </c>
      <c r="DJ179">
        <v>37627.1</v>
      </c>
      <c r="DK179">
        <v>37892.6</v>
      </c>
      <c r="DL179">
        <v>44373.1</v>
      </c>
      <c r="DM179">
        <v>42586.9</v>
      </c>
      <c r="DN179">
        <v>1.48115</v>
      </c>
      <c r="DO179">
        <v>2.0395300000000001</v>
      </c>
      <c r="DP179">
        <v>9.9539799999999998E-2</v>
      </c>
      <c r="DQ179">
        <v>0.17799400000000001</v>
      </c>
      <c r="DR179">
        <v>25.367000000000001</v>
      </c>
      <c r="DS179">
        <v>25.134599999999999</v>
      </c>
      <c r="DT179">
        <v>45.5</v>
      </c>
      <c r="DU179">
        <v>29.2</v>
      </c>
      <c r="DV179">
        <v>18.682700000000001</v>
      </c>
      <c r="DW179">
        <v>61.822400000000002</v>
      </c>
      <c r="DX179">
        <v>36.915100000000002</v>
      </c>
      <c r="DY179">
        <v>1</v>
      </c>
      <c r="DZ179">
        <v>-9.2599100000000004E-2</v>
      </c>
      <c r="EA179">
        <v>0.15431600000000001</v>
      </c>
      <c r="EB179">
        <v>20.1891</v>
      </c>
      <c r="EC179">
        <v>5.2411000000000003</v>
      </c>
      <c r="ED179">
        <v>12.039899999999999</v>
      </c>
      <c r="EE179">
        <v>5.0172999999999996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1.86917</v>
      </c>
      <c r="EN179">
        <v>1.8672200000000001</v>
      </c>
      <c r="EO179">
        <v>1.8633999999999999</v>
      </c>
      <c r="EP179">
        <v>1.86449</v>
      </c>
      <c r="EQ179">
        <v>1.87012</v>
      </c>
      <c r="ER179">
        <v>1.86937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-0.26700000000000002</v>
      </c>
      <c r="FG179">
        <v>0.31</v>
      </c>
      <c r="FH179">
        <v>0.1121710645629533</v>
      </c>
      <c r="FI179">
        <v>-6.1462078757559423E-4</v>
      </c>
      <c r="FJ179">
        <v>-1.8861989874597051E-7</v>
      </c>
      <c r="FK179">
        <v>1.1980462299894961E-10</v>
      </c>
      <c r="FL179">
        <v>0.30996499999999833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37.6</v>
      </c>
      <c r="FU179">
        <v>37.5</v>
      </c>
      <c r="FV179">
        <v>1.7736799999999999</v>
      </c>
      <c r="FW179">
        <v>2.5842299999999998</v>
      </c>
      <c r="FX179">
        <v>1.5490699999999999</v>
      </c>
      <c r="FY179">
        <v>2.3278799999999999</v>
      </c>
      <c r="FZ179">
        <v>1.50146</v>
      </c>
      <c r="GA179">
        <v>2.32422</v>
      </c>
      <c r="GB179">
        <v>33.963900000000002</v>
      </c>
      <c r="GC179">
        <v>23.982399999999998</v>
      </c>
      <c r="GD179">
        <v>19</v>
      </c>
      <c r="GE179">
        <v>284.98399999999998</v>
      </c>
      <c r="GF179">
        <v>585.69899999999996</v>
      </c>
      <c r="GG179">
        <v>24.441400000000002</v>
      </c>
      <c r="GH179">
        <v>26.219899999999999</v>
      </c>
      <c r="GI179">
        <v>29.999700000000001</v>
      </c>
      <c r="GJ179">
        <v>26.348199999999999</v>
      </c>
      <c r="GK179">
        <v>26.3324</v>
      </c>
      <c r="GL179">
        <v>35.4587</v>
      </c>
      <c r="GM179">
        <v>55.442999999999998</v>
      </c>
      <c r="GN179">
        <v>59.857700000000001</v>
      </c>
      <c r="GO179">
        <v>24.459499999999998</v>
      </c>
      <c r="GP179">
        <v>800</v>
      </c>
      <c r="GQ179">
        <v>8.3603000000000005</v>
      </c>
      <c r="GR179">
        <v>99.762500000000003</v>
      </c>
      <c r="GS179">
        <v>99.621799999999993</v>
      </c>
    </row>
    <row r="180" spans="1:201" x14ac:dyDescent="0.25">
      <c r="A180">
        <v>164</v>
      </c>
      <c r="B180">
        <v>1690228445.5</v>
      </c>
      <c r="C180">
        <v>1875.900000095367</v>
      </c>
      <c r="D180" t="s">
        <v>659</v>
      </c>
      <c r="E180" t="s">
        <v>660</v>
      </c>
      <c r="F180" t="s">
        <v>330</v>
      </c>
      <c r="H180">
        <v>1690228445.5</v>
      </c>
      <c r="I180">
        <f t="shared" si="60"/>
        <v>1.4198268813901654E-3</v>
      </c>
      <c r="J180">
        <f t="shared" si="61"/>
        <v>1.4198268813901653</v>
      </c>
      <c r="K180">
        <f t="shared" si="62"/>
        <v>21.893718272456713</v>
      </c>
      <c r="L180">
        <f t="shared" si="63"/>
        <v>555.17200000000003</v>
      </c>
      <c r="M180">
        <f t="shared" si="64"/>
        <v>155.98679384175605</v>
      </c>
      <c r="N180">
        <f t="shared" si="65"/>
        <v>15.470227223196002</v>
      </c>
      <c r="O180">
        <f t="shared" si="66"/>
        <v>55.060026406268001</v>
      </c>
      <c r="P180">
        <f t="shared" si="67"/>
        <v>9.1611362580424571E-2</v>
      </c>
      <c r="Q180">
        <f t="shared" si="68"/>
        <v>2.1296281703050957</v>
      </c>
      <c r="R180">
        <f t="shared" si="69"/>
        <v>8.9476996355557614E-2</v>
      </c>
      <c r="S180">
        <f t="shared" si="70"/>
        <v>5.6110745371145576E-2</v>
      </c>
      <c r="T180">
        <f t="shared" si="71"/>
        <v>276.11449110000001</v>
      </c>
      <c r="U180">
        <f t="shared" si="72"/>
        <v>28.180240529409556</v>
      </c>
      <c r="V180">
        <f t="shared" si="73"/>
        <v>28.180240529409556</v>
      </c>
      <c r="W180">
        <f t="shared" si="74"/>
        <v>3.8348968298580202</v>
      </c>
      <c r="X180">
        <f t="shared" si="75"/>
        <v>66.50004258465772</v>
      </c>
      <c r="Y180">
        <f t="shared" si="76"/>
        <v>2.3099103863771</v>
      </c>
      <c r="Z180">
        <f t="shared" si="77"/>
        <v>3.4735472288404541</v>
      </c>
      <c r="AA180">
        <f t="shared" si="78"/>
        <v>1.5249864434809202</v>
      </c>
      <c r="AB180">
        <f t="shared" si="79"/>
        <v>-62.614365469306293</v>
      </c>
      <c r="AC180">
        <f t="shared" si="80"/>
        <v>-193.94595179281998</v>
      </c>
      <c r="AD180">
        <f t="shared" si="81"/>
        <v>-19.720236017519397</v>
      </c>
      <c r="AE180">
        <f t="shared" si="82"/>
        <v>-0.1660621796456212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52424.426306794514</v>
      </c>
      <c r="AK180">
        <f t="shared" si="86"/>
        <v>1800</v>
      </c>
      <c r="AL180">
        <f t="shared" si="87"/>
        <v>1499.114106</v>
      </c>
      <c r="AM180">
        <f t="shared" si="88"/>
        <v>0.83284117000000002</v>
      </c>
      <c r="AN180">
        <f t="shared" si="89"/>
        <v>0.1533969395</v>
      </c>
      <c r="AO180">
        <v>32.4</v>
      </c>
      <c r="AP180">
        <v>0.5</v>
      </c>
      <c r="AQ180" t="s">
        <v>331</v>
      </c>
      <c r="AR180">
        <v>2</v>
      </c>
      <c r="AS180">
        <v>1690228445.5</v>
      </c>
      <c r="AT180">
        <v>555.17200000000003</v>
      </c>
      <c r="AU180">
        <v>800.01400000000001</v>
      </c>
      <c r="AV180">
        <v>23.290900000000001</v>
      </c>
      <c r="AW180">
        <v>8.3214500000000005</v>
      </c>
      <c r="AX180">
        <v>555.43899999999996</v>
      </c>
      <c r="AY180">
        <v>22.981000000000002</v>
      </c>
      <c r="AZ180">
        <v>300.15100000000001</v>
      </c>
      <c r="BA180">
        <v>99.076499999999996</v>
      </c>
      <c r="BB180">
        <v>0.100019</v>
      </c>
      <c r="BC180">
        <v>26.491</v>
      </c>
      <c r="BD180">
        <v>27.0077</v>
      </c>
      <c r="BE180">
        <v>28.050699999999999</v>
      </c>
      <c r="BF180">
        <v>0</v>
      </c>
      <c r="BG180">
        <v>0</v>
      </c>
      <c r="BH180">
        <v>9989.3799999999992</v>
      </c>
      <c r="BI180">
        <v>1072.29</v>
      </c>
      <c r="BJ180">
        <v>1.5137799999999999</v>
      </c>
      <c r="BK180">
        <v>-244.84200000000001</v>
      </c>
      <c r="BL180">
        <v>568.41099999999994</v>
      </c>
      <c r="BM180">
        <v>806.72699999999998</v>
      </c>
      <c r="BN180">
        <v>14.9695</v>
      </c>
      <c r="BO180">
        <v>800.01400000000001</v>
      </c>
      <c r="BP180">
        <v>8.3214500000000005</v>
      </c>
      <c r="BQ180">
        <v>2.3075899999999998</v>
      </c>
      <c r="BR180">
        <v>0.82445999999999997</v>
      </c>
      <c r="BS180">
        <v>19.729399999999998</v>
      </c>
      <c r="BT180">
        <v>4.1355599999999999</v>
      </c>
      <c r="BU180">
        <v>1800</v>
      </c>
      <c r="BV180">
        <v>0.91001799999999999</v>
      </c>
      <c r="BW180">
        <v>3.4000599999999999E-2</v>
      </c>
      <c r="BX180">
        <v>2.1994E-2</v>
      </c>
      <c r="BY180">
        <v>3.3987799999999999E-2</v>
      </c>
      <c r="BZ180">
        <v>26</v>
      </c>
      <c r="CA180">
        <v>33528.5</v>
      </c>
      <c r="CB180">
        <v>1690226183.5999999</v>
      </c>
      <c r="CC180" t="s">
        <v>332</v>
      </c>
      <c r="CD180">
        <v>1690226177.5999999</v>
      </c>
      <c r="CE180">
        <v>1690226183.5999999</v>
      </c>
      <c r="CF180">
        <v>12</v>
      </c>
      <c r="CG180">
        <v>-0.255</v>
      </c>
      <c r="CH180">
        <v>0.113</v>
      </c>
      <c r="CI180">
        <v>-0.439</v>
      </c>
      <c r="CJ180">
        <v>0.31</v>
      </c>
      <c r="CK180">
        <v>800</v>
      </c>
      <c r="CL180">
        <v>25</v>
      </c>
      <c r="CM180">
        <v>0.02</v>
      </c>
      <c r="CN180">
        <v>0.03</v>
      </c>
      <c r="CO180">
        <v>-243.694075</v>
      </c>
      <c r="CP180">
        <v>-6.1147654784238323</v>
      </c>
      <c r="CQ180">
        <v>0.59203641727093226</v>
      </c>
      <c r="CR180">
        <v>-1</v>
      </c>
      <c r="CS180">
        <v>14.897835000000001</v>
      </c>
      <c r="CT180">
        <v>0.33157823639771122</v>
      </c>
      <c r="CU180">
        <v>3.2327817355955343E-2</v>
      </c>
      <c r="CV180">
        <v>-1</v>
      </c>
      <c r="CW180">
        <v>0</v>
      </c>
      <c r="CX180">
        <v>0</v>
      </c>
      <c r="CY180" t="s">
        <v>333</v>
      </c>
      <c r="CZ180">
        <v>2.3645399999999999</v>
      </c>
      <c r="DA180">
        <v>2.7138</v>
      </c>
      <c r="DB180">
        <v>0.114048</v>
      </c>
      <c r="DC180">
        <v>0.14613599999999999</v>
      </c>
      <c r="DD180">
        <v>0.111096</v>
      </c>
      <c r="DE180">
        <v>5.1275000000000001E-2</v>
      </c>
      <c r="DF180">
        <v>32356.799999999999</v>
      </c>
      <c r="DG180">
        <v>27531.5</v>
      </c>
      <c r="DH180">
        <v>31178.799999999999</v>
      </c>
      <c r="DI180">
        <v>28095.7</v>
      </c>
      <c r="DJ180">
        <v>37627.300000000003</v>
      </c>
      <c r="DK180">
        <v>37908.199999999997</v>
      </c>
      <c r="DL180">
        <v>44373.2</v>
      </c>
      <c r="DM180">
        <v>42587.199999999997</v>
      </c>
      <c r="DN180">
        <v>1.4817</v>
      </c>
      <c r="DO180">
        <v>2.0392999999999999</v>
      </c>
      <c r="DP180">
        <v>0.10004300000000001</v>
      </c>
      <c r="DQ180">
        <v>0.178013</v>
      </c>
      <c r="DR180">
        <v>25.369499999999999</v>
      </c>
      <c r="DS180">
        <v>25.137599999999999</v>
      </c>
      <c r="DT180">
        <v>45.3</v>
      </c>
      <c r="DU180">
        <v>29.2</v>
      </c>
      <c r="DV180">
        <v>18.601500000000001</v>
      </c>
      <c r="DW180">
        <v>61.7224</v>
      </c>
      <c r="DX180">
        <v>37.147399999999998</v>
      </c>
      <c r="DY180">
        <v>1</v>
      </c>
      <c r="DZ180">
        <v>-9.2680399999999996E-2</v>
      </c>
      <c r="EA180">
        <v>0.173679</v>
      </c>
      <c r="EB180">
        <v>20.189</v>
      </c>
      <c r="EC180">
        <v>5.2411000000000003</v>
      </c>
      <c r="ED180">
        <v>12.039899999999999</v>
      </c>
      <c r="EE180">
        <v>5.0174000000000003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1.86917</v>
      </c>
      <c r="EN180">
        <v>1.8672299999999999</v>
      </c>
      <c r="EO180">
        <v>1.8633999999999999</v>
      </c>
      <c r="EP180">
        <v>1.8645099999999999</v>
      </c>
      <c r="EQ180">
        <v>1.8701399999999999</v>
      </c>
      <c r="ER180">
        <v>1.86937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-0.26700000000000002</v>
      </c>
      <c r="FG180">
        <v>0.30990000000000001</v>
      </c>
      <c r="FH180">
        <v>0.1121710645629533</v>
      </c>
      <c r="FI180">
        <v>-6.1462078757559423E-4</v>
      </c>
      <c r="FJ180">
        <v>-1.8861989874597051E-7</v>
      </c>
      <c r="FK180">
        <v>1.1980462299894961E-10</v>
      </c>
      <c r="FL180">
        <v>0.30996499999999833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37.799999999999997</v>
      </c>
      <c r="FU180">
        <v>37.700000000000003</v>
      </c>
      <c r="FV180">
        <v>1.7736799999999999</v>
      </c>
      <c r="FW180">
        <v>2.5817899999999998</v>
      </c>
      <c r="FX180">
        <v>1.5490699999999999</v>
      </c>
      <c r="FY180">
        <v>2.32666</v>
      </c>
      <c r="FZ180">
        <v>1.50024</v>
      </c>
      <c r="GA180">
        <v>2.3999000000000001</v>
      </c>
      <c r="GB180">
        <v>33.963900000000002</v>
      </c>
      <c r="GC180">
        <v>23.991199999999999</v>
      </c>
      <c r="GD180">
        <v>19</v>
      </c>
      <c r="GE180">
        <v>285.21899999999999</v>
      </c>
      <c r="GF180">
        <v>585.51300000000003</v>
      </c>
      <c r="GG180">
        <v>24.447199999999999</v>
      </c>
      <c r="GH180">
        <v>26.219899999999999</v>
      </c>
      <c r="GI180">
        <v>30</v>
      </c>
      <c r="GJ180">
        <v>26.348199999999999</v>
      </c>
      <c r="GK180">
        <v>26.3324</v>
      </c>
      <c r="GL180">
        <v>35.457700000000003</v>
      </c>
      <c r="GM180">
        <v>55.442999999999998</v>
      </c>
      <c r="GN180">
        <v>59.462699999999998</v>
      </c>
      <c r="GO180">
        <v>24.449300000000001</v>
      </c>
      <c r="GP180">
        <v>800</v>
      </c>
      <c r="GQ180">
        <v>8.2720800000000008</v>
      </c>
      <c r="GR180">
        <v>99.762600000000006</v>
      </c>
      <c r="GS180">
        <v>99.622600000000006</v>
      </c>
    </row>
    <row r="181" spans="1:201" x14ac:dyDescent="0.25">
      <c r="A181">
        <v>165</v>
      </c>
      <c r="B181">
        <v>1690228455.5</v>
      </c>
      <c r="C181">
        <v>1885.900000095367</v>
      </c>
      <c r="D181" t="s">
        <v>661</v>
      </c>
      <c r="E181" t="s">
        <v>662</v>
      </c>
      <c r="F181" t="s">
        <v>330</v>
      </c>
      <c r="H181">
        <v>1690228455.5</v>
      </c>
      <c r="I181">
        <f t="shared" si="60"/>
        <v>1.4256617523066982E-3</v>
      </c>
      <c r="J181">
        <f t="shared" si="61"/>
        <v>1.4256617523066981</v>
      </c>
      <c r="K181">
        <f t="shared" si="62"/>
        <v>21.983583977990055</v>
      </c>
      <c r="L181">
        <f t="shared" si="63"/>
        <v>554.20399999999995</v>
      </c>
      <c r="M181">
        <f t="shared" si="64"/>
        <v>154.89667246492704</v>
      </c>
      <c r="N181">
        <f t="shared" si="65"/>
        <v>15.361977400062877</v>
      </c>
      <c r="O181">
        <f t="shared" si="66"/>
        <v>54.963539161579988</v>
      </c>
      <c r="P181">
        <f t="shared" si="67"/>
        <v>9.1959064497756551E-2</v>
      </c>
      <c r="Q181">
        <f t="shared" si="68"/>
        <v>2.1309959235362825</v>
      </c>
      <c r="R181">
        <f t="shared" si="69"/>
        <v>8.981001627833024E-2</v>
      </c>
      <c r="S181">
        <f t="shared" si="70"/>
        <v>5.6320160640299911E-2</v>
      </c>
      <c r="T181">
        <f t="shared" si="71"/>
        <v>276.11302657421925</v>
      </c>
      <c r="U181">
        <f t="shared" si="72"/>
        <v>28.183100108052486</v>
      </c>
      <c r="V181">
        <f t="shared" si="73"/>
        <v>28.183100108052486</v>
      </c>
      <c r="W181">
        <f t="shared" si="74"/>
        <v>3.8355353114473276</v>
      </c>
      <c r="X181">
        <f t="shared" si="75"/>
        <v>66.478898550367376</v>
      </c>
      <c r="Y181">
        <f t="shared" si="76"/>
        <v>2.3099792882109997</v>
      </c>
      <c r="Z181">
        <f t="shared" si="77"/>
        <v>3.4747556571817388</v>
      </c>
      <c r="AA181">
        <f t="shared" si="78"/>
        <v>1.5255560232363279</v>
      </c>
      <c r="AB181">
        <f t="shared" si="79"/>
        <v>-62.871683276725392</v>
      </c>
      <c r="AC181">
        <f t="shared" si="80"/>
        <v>-193.72121092344514</v>
      </c>
      <c r="AD181">
        <f t="shared" si="81"/>
        <v>-19.685602697756558</v>
      </c>
      <c r="AE181">
        <f t="shared" si="82"/>
        <v>-0.16547032370783654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52482.417396840079</v>
      </c>
      <c r="AK181">
        <f t="shared" si="86"/>
        <v>1799.99</v>
      </c>
      <c r="AL181">
        <f t="shared" si="87"/>
        <v>1499.1041359974201</v>
      </c>
      <c r="AM181">
        <f t="shared" si="88"/>
        <v>0.83284025800000006</v>
      </c>
      <c r="AN181">
        <f t="shared" si="89"/>
        <v>0.15339697808000002</v>
      </c>
      <c r="AO181">
        <v>32.4</v>
      </c>
      <c r="AP181">
        <v>0.5</v>
      </c>
      <c r="AQ181" t="s">
        <v>331</v>
      </c>
      <c r="AR181">
        <v>2</v>
      </c>
      <c r="AS181">
        <v>1690228455.5</v>
      </c>
      <c r="AT181">
        <v>554.20399999999995</v>
      </c>
      <c r="AU181">
        <v>799.98699999999997</v>
      </c>
      <c r="AV181">
        <v>23.291799999999999</v>
      </c>
      <c r="AW181">
        <v>8.2638499999999997</v>
      </c>
      <c r="AX181">
        <v>554.47</v>
      </c>
      <c r="AY181">
        <v>22.9818</v>
      </c>
      <c r="AZ181">
        <v>300.21100000000001</v>
      </c>
      <c r="BA181">
        <v>99.075599999999994</v>
      </c>
      <c r="BB181">
        <v>0.100045</v>
      </c>
      <c r="BC181">
        <v>26.4969</v>
      </c>
      <c r="BD181">
        <v>27.014500000000002</v>
      </c>
      <c r="BE181">
        <v>28.081900000000001</v>
      </c>
      <c r="BF181">
        <v>0</v>
      </c>
      <c r="BG181">
        <v>0</v>
      </c>
      <c r="BH181">
        <v>10001.200000000001</v>
      </c>
      <c r="BI181">
        <v>1072.24</v>
      </c>
      <c r="BJ181">
        <v>1.5137799999999999</v>
      </c>
      <c r="BK181">
        <v>-245.78299999999999</v>
      </c>
      <c r="BL181">
        <v>567.41999999999996</v>
      </c>
      <c r="BM181">
        <v>806.65300000000002</v>
      </c>
      <c r="BN181">
        <v>15.027900000000001</v>
      </c>
      <c r="BO181">
        <v>799.98699999999997</v>
      </c>
      <c r="BP181">
        <v>8.2638499999999997</v>
      </c>
      <c r="BQ181">
        <v>2.3076400000000001</v>
      </c>
      <c r="BR181">
        <v>0.81874599999999997</v>
      </c>
      <c r="BS181">
        <v>19.729900000000001</v>
      </c>
      <c r="BT181">
        <v>4.03653</v>
      </c>
      <c r="BU181">
        <v>1799.99</v>
      </c>
      <c r="BV181">
        <v>0.91001200000000004</v>
      </c>
      <c r="BW181">
        <v>3.4008099999999999E-2</v>
      </c>
      <c r="BX181">
        <v>2.19934E-2</v>
      </c>
      <c r="BY181">
        <v>3.3987000000000003E-2</v>
      </c>
      <c r="BZ181">
        <v>26</v>
      </c>
      <c r="CA181">
        <v>33528.300000000003</v>
      </c>
      <c r="CB181">
        <v>1690226183.5999999</v>
      </c>
      <c r="CC181" t="s">
        <v>332</v>
      </c>
      <c r="CD181">
        <v>1690226177.5999999</v>
      </c>
      <c r="CE181">
        <v>1690226183.5999999</v>
      </c>
      <c r="CF181">
        <v>12</v>
      </c>
      <c r="CG181">
        <v>-0.255</v>
      </c>
      <c r="CH181">
        <v>0.113</v>
      </c>
      <c r="CI181">
        <v>-0.439</v>
      </c>
      <c r="CJ181">
        <v>0.31</v>
      </c>
      <c r="CK181">
        <v>800</v>
      </c>
      <c r="CL181">
        <v>25</v>
      </c>
      <c r="CM181">
        <v>0.02</v>
      </c>
      <c r="CN181">
        <v>0.03</v>
      </c>
      <c r="CO181">
        <v>-244.72925000000001</v>
      </c>
      <c r="CP181">
        <v>-6.5744915572231326</v>
      </c>
      <c r="CQ181">
        <v>0.63462716416806275</v>
      </c>
      <c r="CR181">
        <v>-1</v>
      </c>
      <c r="CS181">
        <v>14.960369999999999</v>
      </c>
      <c r="CT181">
        <v>0.41786791744832619</v>
      </c>
      <c r="CU181">
        <v>4.0339002218696518E-2</v>
      </c>
      <c r="CV181">
        <v>-1</v>
      </c>
      <c r="CW181">
        <v>0</v>
      </c>
      <c r="CX181">
        <v>0</v>
      </c>
      <c r="CY181" t="s">
        <v>333</v>
      </c>
      <c r="CZ181">
        <v>2.3647300000000002</v>
      </c>
      <c r="DA181">
        <v>2.7138399999999998</v>
      </c>
      <c r="DB181">
        <v>0.11390500000000001</v>
      </c>
      <c r="DC181">
        <v>0.14613000000000001</v>
      </c>
      <c r="DD181">
        <v>0.111098</v>
      </c>
      <c r="DE181">
        <v>5.0995199999999997E-2</v>
      </c>
      <c r="DF181">
        <v>32362</v>
      </c>
      <c r="DG181">
        <v>27531.3</v>
      </c>
      <c r="DH181">
        <v>31178.799999999999</v>
      </c>
      <c r="DI181">
        <v>28095.3</v>
      </c>
      <c r="DJ181">
        <v>37627</v>
      </c>
      <c r="DK181">
        <v>37918.9</v>
      </c>
      <c r="DL181">
        <v>44373</v>
      </c>
      <c r="DM181">
        <v>42586.6</v>
      </c>
      <c r="DN181">
        <v>1.4817199999999999</v>
      </c>
      <c r="DO181">
        <v>2.0392000000000001</v>
      </c>
      <c r="DP181">
        <v>0.10032199999999999</v>
      </c>
      <c r="DQ181">
        <v>0.179783</v>
      </c>
      <c r="DR181">
        <v>25.371700000000001</v>
      </c>
      <c r="DS181">
        <v>25.139900000000001</v>
      </c>
      <c r="DT181">
        <v>45</v>
      </c>
      <c r="DU181">
        <v>29.2</v>
      </c>
      <c r="DV181">
        <v>18.477699999999999</v>
      </c>
      <c r="DW181">
        <v>61.952399999999997</v>
      </c>
      <c r="DX181">
        <v>36.414299999999997</v>
      </c>
      <c r="DY181">
        <v>1</v>
      </c>
      <c r="DZ181">
        <v>-9.2545699999999995E-2</v>
      </c>
      <c r="EA181">
        <v>0.17844499999999999</v>
      </c>
      <c r="EB181">
        <v>20.189</v>
      </c>
      <c r="EC181">
        <v>5.2411000000000003</v>
      </c>
      <c r="ED181">
        <v>12.039899999999999</v>
      </c>
      <c r="EE181">
        <v>5.0172499999999998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1.8646400000000001</v>
      </c>
      <c r="EM181">
        <v>1.86917</v>
      </c>
      <c r="EN181">
        <v>1.8672299999999999</v>
      </c>
      <c r="EO181">
        <v>1.8633999999999999</v>
      </c>
      <c r="EP181">
        <v>1.86449</v>
      </c>
      <c r="EQ181">
        <v>1.8701399999999999</v>
      </c>
      <c r="ER181">
        <v>1.8693900000000001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-0.26600000000000001</v>
      </c>
      <c r="FG181">
        <v>0.31</v>
      </c>
      <c r="FH181">
        <v>0.1121710645629533</v>
      </c>
      <c r="FI181">
        <v>-6.1462078757559423E-4</v>
      </c>
      <c r="FJ181">
        <v>-1.8861989874597051E-7</v>
      </c>
      <c r="FK181">
        <v>1.1980462299894961E-10</v>
      </c>
      <c r="FL181">
        <v>0.30996499999999833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38</v>
      </c>
      <c r="FU181">
        <v>37.9</v>
      </c>
      <c r="FV181">
        <v>1.7736799999999999</v>
      </c>
      <c r="FW181">
        <v>2.5805699999999998</v>
      </c>
      <c r="FX181">
        <v>1.5490699999999999</v>
      </c>
      <c r="FY181">
        <v>2.32666</v>
      </c>
      <c r="FZ181">
        <v>1.50146</v>
      </c>
      <c r="GA181">
        <v>2.3877000000000002</v>
      </c>
      <c r="GB181">
        <v>33.963900000000002</v>
      </c>
      <c r="GC181">
        <v>23.982399999999998</v>
      </c>
      <c r="GD181">
        <v>19</v>
      </c>
      <c r="GE181">
        <v>285.23</v>
      </c>
      <c r="GF181">
        <v>585.42999999999995</v>
      </c>
      <c r="GG181">
        <v>24.453399999999998</v>
      </c>
      <c r="GH181">
        <v>26.219899999999999</v>
      </c>
      <c r="GI181">
        <v>30.0001</v>
      </c>
      <c r="GJ181">
        <v>26.348199999999999</v>
      </c>
      <c r="GK181">
        <v>26.3324</v>
      </c>
      <c r="GL181">
        <v>35.455399999999997</v>
      </c>
      <c r="GM181">
        <v>55.442999999999998</v>
      </c>
      <c r="GN181">
        <v>58.693800000000003</v>
      </c>
      <c r="GO181">
        <v>24.450900000000001</v>
      </c>
      <c r="GP181">
        <v>800</v>
      </c>
      <c r="GQ181">
        <v>8.1861999999999995</v>
      </c>
      <c r="GR181">
        <v>99.762299999999996</v>
      </c>
      <c r="GS181">
        <v>99.621300000000005</v>
      </c>
    </row>
    <row r="182" spans="1:201" x14ac:dyDescent="0.25">
      <c r="A182">
        <v>166</v>
      </c>
      <c r="B182">
        <v>1690228465.5</v>
      </c>
      <c r="C182">
        <v>1895.900000095367</v>
      </c>
      <c r="D182" t="s">
        <v>663</v>
      </c>
      <c r="E182" t="s">
        <v>664</v>
      </c>
      <c r="F182" t="s">
        <v>330</v>
      </c>
      <c r="H182">
        <v>1690228465.5</v>
      </c>
      <c r="I182">
        <f t="shared" si="60"/>
        <v>1.4340692609297607E-3</v>
      </c>
      <c r="J182">
        <f t="shared" si="61"/>
        <v>1.4340692609297607</v>
      </c>
      <c r="K182">
        <f t="shared" si="62"/>
        <v>22.07648438532992</v>
      </c>
      <c r="L182">
        <f t="shared" si="63"/>
        <v>553.22199999999998</v>
      </c>
      <c r="M182">
        <f t="shared" si="64"/>
        <v>155.08180540099337</v>
      </c>
      <c r="N182">
        <f t="shared" si="65"/>
        <v>15.380184609453378</v>
      </c>
      <c r="O182">
        <f t="shared" si="66"/>
        <v>54.865601209698795</v>
      </c>
      <c r="P182">
        <f t="shared" si="67"/>
        <v>9.2632995506286481E-2</v>
      </c>
      <c r="Q182">
        <f t="shared" si="68"/>
        <v>2.1311368378060802</v>
      </c>
      <c r="R182">
        <f t="shared" si="69"/>
        <v>9.0452875621059081E-2</v>
      </c>
      <c r="S182">
        <f t="shared" si="70"/>
        <v>5.6724648877611313E-2</v>
      </c>
      <c r="T182">
        <f t="shared" si="71"/>
        <v>276.11429293800001</v>
      </c>
      <c r="U182">
        <f t="shared" si="72"/>
        <v>28.174485788201171</v>
      </c>
      <c r="V182">
        <f t="shared" si="73"/>
        <v>28.174485788201171</v>
      </c>
      <c r="W182">
        <f t="shared" si="74"/>
        <v>3.8336122026077524</v>
      </c>
      <c r="X182">
        <f t="shared" si="75"/>
        <v>66.500471946033684</v>
      </c>
      <c r="Y182">
        <f t="shared" si="76"/>
        <v>2.3099661561112597</v>
      </c>
      <c r="Z182">
        <f t="shared" si="77"/>
        <v>3.4736086654931384</v>
      </c>
      <c r="AA182">
        <f t="shared" si="78"/>
        <v>1.5236460464964927</v>
      </c>
      <c r="AB182">
        <f t="shared" si="79"/>
        <v>-63.242454407002448</v>
      </c>
      <c r="AC182">
        <f t="shared" si="80"/>
        <v>-193.3876941248343</v>
      </c>
      <c r="AD182">
        <f t="shared" si="81"/>
        <v>-19.649016396256521</v>
      </c>
      <c r="AE182">
        <f t="shared" si="82"/>
        <v>-0.16487199009324627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52489.464782794385</v>
      </c>
      <c r="AK182">
        <f t="shared" si="86"/>
        <v>1800</v>
      </c>
      <c r="AL182">
        <f t="shared" si="87"/>
        <v>1499.1113178000001</v>
      </c>
      <c r="AM182">
        <f t="shared" si="88"/>
        <v>0.83283962100000009</v>
      </c>
      <c r="AN182">
        <f t="shared" si="89"/>
        <v>0.15339682940999999</v>
      </c>
      <c r="AO182">
        <v>32.4</v>
      </c>
      <c r="AP182">
        <v>0.5</v>
      </c>
      <c r="AQ182" t="s">
        <v>331</v>
      </c>
      <c r="AR182">
        <v>2</v>
      </c>
      <c r="AS182">
        <v>1690228465.5</v>
      </c>
      <c r="AT182">
        <v>553.22199999999998</v>
      </c>
      <c r="AU182">
        <v>800.08299999999997</v>
      </c>
      <c r="AV182">
        <v>23.291899999999998</v>
      </c>
      <c r="AW182">
        <v>8.17286</v>
      </c>
      <c r="AX182">
        <v>553.48800000000006</v>
      </c>
      <c r="AY182">
        <v>22.9819</v>
      </c>
      <c r="AZ182">
        <v>300.16199999999998</v>
      </c>
      <c r="BA182">
        <v>99.074700000000007</v>
      </c>
      <c r="BB182">
        <v>9.99554E-2</v>
      </c>
      <c r="BC182">
        <v>26.491299999999999</v>
      </c>
      <c r="BD182">
        <v>27.011399999999998</v>
      </c>
      <c r="BE182">
        <v>28.040099999999999</v>
      </c>
      <c r="BF182">
        <v>0</v>
      </c>
      <c r="BG182">
        <v>0</v>
      </c>
      <c r="BH182">
        <v>10002.5</v>
      </c>
      <c r="BI182">
        <v>1072.18</v>
      </c>
      <c r="BJ182">
        <v>1.5137799999999999</v>
      </c>
      <c r="BK182">
        <v>-246.86099999999999</v>
      </c>
      <c r="BL182">
        <v>566.41499999999996</v>
      </c>
      <c r="BM182">
        <v>806.67600000000004</v>
      </c>
      <c r="BN182">
        <v>15.119</v>
      </c>
      <c r="BO182">
        <v>800.08299999999997</v>
      </c>
      <c r="BP182">
        <v>8.17286</v>
      </c>
      <c r="BQ182">
        <v>2.3076400000000001</v>
      </c>
      <c r="BR182">
        <v>0.809724</v>
      </c>
      <c r="BS182">
        <v>19.729800000000001</v>
      </c>
      <c r="BT182">
        <v>3.87893</v>
      </c>
      <c r="BU182">
        <v>1800</v>
      </c>
      <c r="BV182">
        <v>0.91001200000000004</v>
      </c>
      <c r="BW182">
        <v>3.4008900000000002E-2</v>
      </c>
      <c r="BX182">
        <v>2.19928E-2</v>
      </c>
      <c r="BY182">
        <v>3.3986099999999998E-2</v>
      </c>
      <c r="BZ182">
        <v>26</v>
      </c>
      <c r="CA182">
        <v>33528.5</v>
      </c>
      <c r="CB182">
        <v>1690226183.5999999</v>
      </c>
      <c r="CC182" t="s">
        <v>332</v>
      </c>
      <c r="CD182">
        <v>1690226177.5999999</v>
      </c>
      <c r="CE182">
        <v>1690226183.5999999</v>
      </c>
      <c r="CF182">
        <v>12</v>
      </c>
      <c r="CG182">
        <v>-0.255</v>
      </c>
      <c r="CH182">
        <v>0.113</v>
      </c>
      <c r="CI182">
        <v>-0.439</v>
      </c>
      <c r="CJ182">
        <v>0.31</v>
      </c>
      <c r="CK182">
        <v>800</v>
      </c>
      <c r="CL182">
        <v>25</v>
      </c>
      <c r="CM182">
        <v>0.02</v>
      </c>
      <c r="CN182">
        <v>0.03</v>
      </c>
      <c r="CO182">
        <v>-245.669487804878</v>
      </c>
      <c r="CP182">
        <v>-5.8775121951225318</v>
      </c>
      <c r="CQ182">
        <v>0.58134474562510052</v>
      </c>
      <c r="CR182">
        <v>-1</v>
      </c>
      <c r="CS182">
        <v>15.021951219512189</v>
      </c>
      <c r="CT182">
        <v>0.38612404181183468</v>
      </c>
      <c r="CU182">
        <v>3.8195582185807569E-2</v>
      </c>
      <c r="CV182">
        <v>-1</v>
      </c>
      <c r="CW182">
        <v>0</v>
      </c>
      <c r="CX182">
        <v>0</v>
      </c>
      <c r="CY182" t="s">
        <v>333</v>
      </c>
      <c r="CZ182">
        <v>2.3645800000000001</v>
      </c>
      <c r="DA182">
        <v>2.7137500000000001</v>
      </c>
      <c r="DB182">
        <v>0.113759</v>
      </c>
      <c r="DC182">
        <v>0.14613899999999999</v>
      </c>
      <c r="DD182">
        <v>0.111098</v>
      </c>
      <c r="DE182">
        <v>5.0552199999999999E-2</v>
      </c>
      <c r="DF182">
        <v>32367</v>
      </c>
      <c r="DG182">
        <v>27531.5</v>
      </c>
      <c r="DH182">
        <v>31178.5</v>
      </c>
      <c r="DI182">
        <v>28095.7</v>
      </c>
      <c r="DJ182">
        <v>37626.9</v>
      </c>
      <c r="DK182">
        <v>37937.199999999997</v>
      </c>
      <c r="DL182">
        <v>44372.800000000003</v>
      </c>
      <c r="DM182">
        <v>42587.199999999997</v>
      </c>
      <c r="DN182">
        <v>1.4817199999999999</v>
      </c>
      <c r="DO182">
        <v>2.0391499999999998</v>
      </c>
      <c r="DP182">
        <v>9.9893700000000002E-2</v>
      </c>
      <c r="DQ182">
        <v>0.17702599999999999</v>
      </c>
      <c r="DR182">
        <v>25.375599999999999</v>
      </c>
      <c r="DS182">
        <v>25.1431</v>
      </c>
      <c r="DT182">
        <v>44.8</v>
      </c>
      <c r="DU182">
        <v>29.2</v>
      </c>
      <c r="DV182">
        <v>18.395700000000001</v>
      </c>
      <c r="DW182">
        <v>61.792400000000001</v>
      </c>
      <c r="DX182">
        <v>36.0657</v>
      </c>
      <c r="DY182">
        <v>1</v>
      </c>
      <c r="DZ182">
        <v>-9.2228199999999996E-2</v>
      </c>
      <c r="EA182">
        <v>0.20472499999999999</v>
      </c>
      <c r="EB182">
        <v>20.1892</v>
      </c>
      <c r="EC182">
        <v>5.2411000000000003</v>
      </c>
      <c r="ED182">
        <v>12.039899999999999</v>
      </c>
      <c r="EE182">
        <v>5.0171000000000001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1.86463</v>
      </c>
      <c r="EM182">
        <v>1.8691800000000001</v>
      </c>
      <c r="EN182">
        <v>1.8672200000000001</v>
      </c>
      <c r="EO182">
        <v>1.8633999999999999</v>
      </c>
      <c r="EP182">
        <v>1.8645</v>
      </c>
      <c r="EQ182">
        <v>1.8701300000000001</v>
      </c>
      <c r="ER182">
        <v>1.8694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-0.26600000000000001</v>
      </c>
      <c r="FG182">
        <v>0.31</v>
      </c>
      <c r="FH182">
        <v>0.1121710645629533</v>
      </c>
      <c r="FI182">
        <v>-6.1462078757559423E-4</v>
      </c>
      <c r="FJ182">
        <v>-1.8861989874597051E-7</v>
      </c>
      <c r="FK182">
        <v>1.1980462299894961E-10</v>
      </c>
      <c r="FL182">
        <v>0.30996499999999833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38.1</v>
      </c>
      <c r="FU182">
        <v>38</v>
      </c>
      <c r="FV182">
        <v>1.7724599999999999</v>
      </c>
      <c r="FW182">
        <v>2.5854499999999998</v>
      </c>
      <c r="FX182">
        <v>1.5490699999999999</v>
      </c>
      <c r="FY182">
        <v>2.32666</v>
      </c>
      <c r="FZ182">
        <v>1.50146</v>
      </c>
      <c r="GA182">
        <v>2.3913600000000002</v>
      </c>
      <c r="GB182">
        <v>33.963900000000002</v>
      </c>
      <c r="GC182">
        <v>23.991199999999999</v>
      </c>
      <c r="GD182">
        <v>19</v>
      </c>
      <c r="GE182">
        <v>285.23</v>
      </c>
      <c r="GF182">
        <v>585.38800000000003</v>
      </c>
      <c r="GG182">
        <v>24.445799999999998</v>
      </c>
      <c r="GH182">
        <v>26.219899999999999</v>
      </c>
      <c r="GI182">
        <v>30.000299999999999</v>
      </c>
      <c r="GJ182">
        <v>26.348199999999999</v>
      </c>
      <c r="GK182">
        <v>26.3324</v>
      </c>
      <c r="GL182">
        <v>35.452599999999997</v>
      </c>
      <c r="GM182">
        <v>55.740200000000002</v>
      </c>
      <c r="GN182">
        <v>58.301200000000001</v>
      </c>
      <c r="GO182">
        <v>24.4422</v>
      </c>
      <c r="GP182">
        <v>800</v>
      </c>
      <c r="GQ182">
        <v>8.0946999999999996</v>
      </c>
      <c r="GR182">
        <v>99.761700000000005</v>
      </c>
      <c r="GS182">
        <v>99.622699999999995</v>
      </c>
    </row>
    <row r="183" spans="1:201" x14ac:dyDescent="0.25">
      <c r="A183">
        <v>167</v>
      </c>
      <c r="B183">
        <v>1690228475.5</v>
      </c>
      <c r="C183">
        <v>1905.900000095367</v>
      </c>
      <c r="D183" t="s">
        <v>665</v>
      </c>
      <c r="E183" t="s">
        <v>666</v>
      </c>
      <c r="F183" t="s">
        <v>330</v>
      </c>
      <c r="H183">
        <v>1690228475.5</v>
      </c>
      <c r="I183">
        <f t="shared" si="60"/>
        <v>1.4402317431344927E-3</v>
      </c>
      <c r="J183">
        <f t="shared" si="61"/>
        <v>1.4402317431344926</v>
      </c>
      <c r="K183">
        <f t="shared" si="62"/>
        <v>22.152551752580496</v>
      </c>
      <c r="L183">
        <f t="shared" si="63"/>
        <v>552.21</v>
      </c>
      <c r="M183">
        <f t="shared" si="64"/>
        <v>154.31796136385745</v>
      </c>
      <c r="N183">
        <f t="shared" si="65"/>
        <v>15.304658938283119</v>
      </c>
      <c r="O183">
        <f t="shared" si="66"/>
        <v>54.76605339790801</v>
      </c>
      <c r="P183">
        <f t="shared" si="67"/>
        <v>9.3014981857216877E-2</v>
      </c>
      <c r="Q183">
        <f t="shared" si="68"/>
        <v>2.130499396644475</v>
      </c>
      <c r="R183">
        <f t="shared" si="69"/>
        <v>9.0816433711289515E-2</v>
      </c>
      <c r="S183">
        <f t="shared" si="70"/>
        <v>5.6953473683316408E-2</v>
      </c>
      <c r="T183">
        <f t="shared" si="71"/>
        <v>276.114352392</v>
      </c>
      <c r="U183">
        <f t="shared" si="72"/>
        <v>28.173992462170357</v>
      </c>
      <c r="V183">
        <f t="shared" si="73"/>
        <v>28.173992462170357</v>
      </c>
      <c r="W183">
        <f t="shared" si="74"/>
        <v>3.8335020952212999</v>
      </c>
      <c r="X183">
        <f t="shared" si="75"/>
        <v>66.479629744557116</v>
      </c>
      <c r="Y183">
        <f t="shared" si="76"/>
        <v>2.3094055573393204</v>
      </c>
      <c r="Z183">
        <f t="shared" si="77"/>
        <v>3.4738544215920495</v>
      </c>
      <c r="AA183">
        <f t="shared" si="78"/>
        <v>1.5240965378819795</v>
      </c>
      <c r="AB183">
        <f t="shared" si="79"/>
        <v>-63.514219872231124</v>
      </c>
      <c r="AC183">
        <f t="shared" si="80"/>
        <v>-193.13535566677547</v>
      </c>
      <c r="AD183">
        <f t="shared" si="81"/>
        <v>-19.629317975916312</v>
      </c>
      <c r="AE183">
        <f t="shared" si="82"/>
        <v>-0.16454112292291256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52461.762001027884</v>
      </c>
      <c r="AK183">
        <f t="shared" si="86"/>
        <v>1800</v>
      </c>
      <c r="AL183">
        <f t="shared" si="87"/>
        <v>1499.1118902000001</v>
      </c>
      <c r="AM183">
        <f t="shared" si="88"/>
        <v>0.83283993899999997</v>
      </c>
      <c r="AN183">
        <f t="shared" si="89"/>
        <v>0.15339686244</v>
      </c>
      <c r="AO183">
        <v>32.4</v>
      </c>
      <c r="AP183">
        <v>0.5</v>
      </c>
      <c r="AQ183" t="s">
        <v>331</v>
      </c>
      <c r="AR183">
        <v>2</v>
      </c>
      <c r="AS183">
        <v>1690228475.5</v>
      </c>
      <c r="AT183">
        <v>552.21</v>
      </c>
      <c r="AU183">
        <v>800.01800000000003</v>
      </c>
      <c r="AV183">
        <v>23.285900000000002</v>
      </c>
      <c r="AW183">
        <v>8.0953700000000008</v>
      </c>
      <c r="AX183">
        <v>552.47500000000002</v>
      </c>
      <c r="AY183">
        <v>22.975899999999999</v>
      </c>
      <c r="AZ183">
        <v>300.03500000000003</v>
      </c>
      <c r="BA183">
        <v>99.0762</v>
      </c>
      <c r="BB183">
        <v>9.9934800000000004E-2</v>
      </c>
      <c r="BC183">
        <v>26.4925</v>
      </c>
      <c r="BD183">
        <v>27.0032</v>
      </c>
      <c r="BE183">
        <v>28.0501</v>
      </c>
      <c r="BF183">
        <v>0</v>
      </c>
      <c r="BG183">
        <v>0</v>
      </c>
      <c r="BH183">
        <v>9996.8799999999992</v>
      </c>
      <c r="BI183">
        <v>1072.22</v>
      </c>
      <c r="BJ183">
        <v>1.5137799999999999</v>
      </c>
      <c r="BK183">
        <v>-247.80799999999999</v>
      </c>
      <c r="BL183">
        <v>565.375</v>
      </c>
      <c r="BM183">
        <v>806.54700000000003</v>
      </c>
      <c r="BN183">
        <v>15.1905</v>
      </c>
      <c r="BO183">
        <v>800.01800000000003</v>
      </c>
      <c r="BP183">
        <v>8.0953700000000008</v>
      </c>
      <c r="BQ183">
        <v>2.30708</v>
      </c>
      <c r="BR183">
        <v>0.80205800000000005</v>
      </c>
      <c r="BS183">
        <v>19.725899999999999</v>
      </c>
      <c r="BT183">
        <v>3.7437800000000001</v>
      </c>
      <c r="BU183">
        <v>1800</v>
      </c>
      <c r="BV183">
        <v>0.91001299999999996</v>
      </c>
      <c r="BW183">
        <v>3.40086E-2</v>
      </c>
      <c r="BX183">
        <v>2.19927E-2</v>
      </c>
      <c r="BY183">
        <v>3.3985799999999997E-2</v>
      </c>
      <c r="BZ183">
        <v>26</v>
      </c>
      <c r="CA183">
        <v>33528.5</v>
      </c>
      <c r="CB183">
        <v>1690226183.5999999</v>
      </c>
      <c r="CC183" t="s">
        <v>332</v>
      </c>
      <c r="CD183">
        <v>1690226177.5999999</v>
      </c>
      <c r="CE183">
        <v>1690226183.5999999</v>
      </c>
      <c r="CF183">
        <v>12</v>
      </c>
      <c r="CG183">
        <v>-0.255</v>
      </c>
      <c r="CH183">
        <v>0.113</v>
      </c>
      <c r="CI183">
        <v>-0.439</v>
      </c>
      <c r="CJ183">
        <v>0.31</v>
      </c>
      <c r="CK183">
        <v>800</v>
      </c>
      <c r="CL183">
        <v>25</v>
      </c>
      <c r="CM183">
        <v>0.02</v>
      </c>
      <c r="CN183">
        <v>0.03</v>
      </c>
      <c r="CO183">
        <v>-246.643243902439</v>
      </c>
      <c r="CP183">
        <v>-5.8107386759585813</v>
      </c>
      <c r="CQ183">
        <v>0.57434368823807558</v>
      </c>
      <c r="CR183">
        <v>-1</v>
      </c>
      <c r="CS183">
        <v>15.10157317073171</v>
      </c>
      <c r="CT183">
        <v>0.54161184668988904</v>
      </c>
      <c r="CU183">
        <v>5.392094495259335E-2</v>
      </c>
      <c r="CV183">
        <v>-1</v>
      </c>
      <c r="CW183">
        <v>0</v>
      </c>
      <c r="CX183">
        <v>0</v>
      </c>
      <c r="CY183" t="s">
        <v>333</v>
      </c>
      <c r="CZ183">
        <v>2.3641700000000001</v>
      </c>
      <c r="DA183">
        <v>2.7137199999999999</v>
      </c>
      <c r="DB183">
        <v>0.113612</v>
      </c>
      <c r="DC183">
        <v>0.14613200000000001</v>
      </c>
      <c r="DD183">
        <v>0.111079</v>
      </c>
      <c r="DE183">
        <v>5.0174799999999999E-2</v>
      </c>
      <c r="DF183">
        <v>32372.7</v>
      </c>
      <c r="DG183">
        <v>27531.5</v>
      </c>
      <c r="DH183">
        <v>31178.9</v>
      </c>
      <c r="DI183">
        <v>28095.5</v>
      </c>
      <c r="DJ183">
        <v>37628.300000000003</v>
      </c>
      <c r="DK183">
        <v>37952.1</v>
      </c>
      <c r="DL183">
        <v>44373.5</v>
      </c>
      <c r="DM183">
        <v>42587</v>
      </c>
      <c r="DN183">
        <v>1.4809699999999999</v>
      </c>
      <c r="DO183">
        <v>2.0390999999999999</v>
      </c>
      <c r="DP183">
        <v>9.9167199999999997E-2</v>
      </c>
      <c r="DQ183">
        <v>0.17738000000000001</v>
      </c>
      <c r="DR183">
        <v>25.379300000000001</v>
      </c>
      <c r="DS183">
        <v>25.147300000000001</v>
      </c>
      <c r="DT183">
        <v>44.5</v>
      </c>
      <c r="DU183">
        <v>29.2</v>
      </c>
      <c r="DV183">
        <v>18.272099999999998</v>
      </c>
      <c r="DW183">
        <v>61.662399999999998</v>
      </c>
      <c r="DX183">
        <v>36.506399999999999</v>
      </c>
      <c r="DY183">
        <v>1</v>
      </c>
      <c r="DZ183">
        <v>-9.2436500000000005E-2</v>
      </c>
      <c r="EA183">
        <v>0.31741799999999998</v>
      </c>
      <c r="EB183">
        <v>20.188800000000001</v>
      </c>
      <c r="EC183">
        <v>5.2409499999999998</v>
      </c>
      <c r="ED183">
        <v>12.039899999999999</v>
      </c>
      <c r="EE183">
        <v>5.0172999999999996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1.8646499999999999</v>
      </c>
      <c r="EM183">
        <v>1.8691800000000001</v>
      </c>
      <c r="EN183">
        <v>1.8672299999999999</v>
      </c>
      <c r="EO183">
        <v>1.8633999999999999</v>
      </c>
      <c r="EP183">
        <v>1.86452</v>
      </c>
      <c r="EQ183">
        <v>1.87015</v>
      </c>
      <c r="ER183">
        <v>1.8694200000000001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-0.26500000000000001</v>
      </c>
      <c r="FG183">
        <v>0.31</v>
      </c>
      <c r="FH183">
        <v>0.1121710645629533</v>
      </c>
      <c r="FI183">
        <v>-6.1462078757559423E-4</v>
      </c>
      <c r="FJ183">
        <v>-1.8861989874597051E-7</v>
      </c>
      <c r="FK183">
        <v>1.1980462299894961E-10</v>
      </c>
      <c r="FL183">
        <v>0.30996499999999833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38.299999999999997</v>
      </c>
      <c r="FU183">
        <v>38.200000000000003</v>
      </c>
      <c r="FV183">
        <v>1.7736799999999999</v>
      </c>
      <c r="FW183">
        <v>2.5891099999999998</v>
      </c>
      <c r="FX183">
        <v>1.5490699999999999</v>
      </c>
      <c r="FY183">
        <v>2.32666</v>
      </c>
      <c r="FZ183">
        <v>1.50146</v>
      </c>
      <c r="GA183">
        <v>2.2802699999999998</v>
      </c>
      <c r="GB183">
        <v>33.963900000000002</v>
      </c>
      <c r="GC183">
        <v>23.973700000000001</v>
      </c>
      <c r="GD183">
        <v>19</v>
      </c>
      <c r="GE183">
        <v>284.90800000000002</v>
      </c>
      <c r="GF183">
        <v>585.34699999999998</v>
      </c>
      <c r="GG183">
        <v>24.418299999999999</v>
      </c>
      <c r="GH183">
        <v>26.219899999999999</v>
      </c>
      <c r="GI183">
        <v>30.0002</v>
      </c>
      <c r="GJ183">
        <v>26.348199999999999</v>
      </c>
      <c r="GK183">
        <v>26.3324</v>
      </c>
      <c r="GL183">
        <v>35.455199999999998</v>
      </c>
      <c r="GM183">
        <v>55.740200000000002</v>
      </c>
      <c r="GN183">
        <v>57.537300000000002</v>
      </c>
      <c r="GO183">
        <v>24.404699999999998</v>
      </c>
      <c r="GP183">
        <v>800</v>
      </c>
      <c r="GQ183">
        <v>8.0069400000000002</v>
      </c>
      <c r="GR183">
        <v>99.763099999999994</v>
      </c>
      <c r="GS183">
        <v>99.622100000000003</v>
      </c>
    </row>
    <row r="184" spans="1:201" x14ac:dyDescent="0.25">
      <c r="A184">
        <v>168</v>
      </c>
      <c r="B184">
        <v>1690228485.5</v>
      </c>
      <c r="C184">
        <v>1915.900000095367</v>
      </c>
      <c r="D184" t="s">
        <v>667</v>
      </c>
      <c r="E184" t="s">
        <v>668</v>
      </c>
      <c r="F184" t="s">
        <v>330</v>
      </c>
      <c r="H184">
        <v>1690228485.5</v>
      </c>
      <c r="I184">
        <f t="shared" si="60"/>
        <v>1.4526220385386959E-3</v>
      </c>
      <c r="J184">
        <f t="shared" si="61"/>
        <v>1.4526220385386959</v>
      </c>
      <c r="K184">
        <f t="shared" si="62"/>
        <v>22.229163197487136</v>
      </c>
      <c r="L184">
        <f t="shared" si="63"/>
        <v>551.42200000000003</v>
      </c>
      <c r="M184">
        <f t="shared" si="64"/>
        <v>155.78390218402677</v>
      </c>
      <c r="N184">
        <f t="shared" si="65"/>
        <v>15.450293166018207</v>
      </c>
      <c r="O184">
        <f t="shared" si="66"/>
        <v>54.688780026372001</v>
      </c>
      <c r="P184">
        <f t="shared" si="67"/>
        <v>9.3899589238894521E-2</v>
      </c>
      <c r="Q184">
        <f t="shared" si="68"/>
        <v>2.1302255245677069</v>
      </c>
      <c r="R184">
        <f t="shared" si="69"/>
        <v>9.1659286063073511E-2</v>
      </c>
      <c r="S184">
        <f t="shared" si="70"/>
        <v>5.7483884293959703E-2</v>
      </c>
      <c r="T184">
        <f t="shared" si="71"/>
        <v>276.11449538399995</v>
      </c>
      <c r="U184">
        <f t="shared" si="72"/>
        <v>28.166173496391519</v>
      </c>
      <c r="V184">
        <f t="shared" si="73"/>
        <v>28.166173496391519</v>
      </c>
      <c r="W184">
        <f t="shared" si="74"/>
        <v>3.8317573176910518</v>
      </c>
      <c r="X184">
        <f t="shared" si="75"/>
        <v>66.472069591612254</v>
      </c>
      <c r="Y184">
        <f t="shared" si="76"/>
        <v>2.3086392702827996</v>
      </c>
      <c r="Z184">
        <f t="shared" si="77"/>
        <v>3.4730967223775351</v>
      </c>
      <c r="AA184">
        <f t="shared" si="78"/>
        <v>1.5231180474082522</v>
      </c>
      <c r="AB184">
        <f t="shared" si="79"/>
        <v>-64.060631899556483</v>
      </c>
      <c r="AC184">
        <f t="shared" si="80"/>
        <v>-192.63748697972611</v>
      </c>
      <c r="AD184">
        <f t="shared" si="81"/>
        <v>-19.580106960748729</v>
      </c>
      <c r="AE184">
        <f t="shared" si="82"/>
        <v>-0.16373045603134528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52450.619313711672</v>
      </c>
      <c r="AK184">
        <f t="shared" si="86"/>
        <v>1800</v>
      </c>
      <c r="AL184">
        <f t="shared" si="87"/>
        <v>1499.1104213999997</v>
      </c>
      <c r="AM184">
        <f t="shared" si="88"/>
        <v>0.83283912299999985</v>
      </c>
      <c r="AN184">
        <f t="shared" si="89"/>
        <v>0.15339694187999997</v>
      </c>
      <c r="AO184">
        <v>32.4</v>
      </c>
      <c r="AP184">
        <v>0.5</v>
      </c>
      <c r="AQ184" t="s">
        <v>331</v>
      </c>
      <c r="AR184">
        <v>2</v>
      </c>
      <c r="AS184">
        <v>1690228485.5</v>
      </c>
      <c r="AT184">
        <v>551.42200000000003</v>
      </c>
      <c r="AU184">
        <v>800.03099999999995</v>
      </c>
      <c r="AV184">
        <v>23.277799999999999</v>
      </c>
      <c r="AW184">
        <v>7.9618700000000002</v>
      </c>
      <c r="AX184">
        <v>551.68600000000004</v>
      </c>
      <c r="AY184">
        <v>22.9678</v>
      </c>
      <c r="AZ184">
        <v>300.14100000000002</v>
      </c>
      <c r="BA184">
        <v>99.077699999999993</v>
      </c>
      <c r="BB184">
        <v>0.100026</v>
      </c>
      <c r="BC184">
        <v>26.488800000000001</v>
      </c>
      <c r="BD184">
        <v>26.994</v>
      </c>
      <c r="BE184">
        <v>28.029</v>
      </c>
      <c r="BF184">
        <v>0</v>
      </c>
      <c r="BG184">
        <v>0</v>
      </c>
      <c r="BH184">
        <v>9994.3799999999992</v>
      </c>
      <c r="BI184">
        <v>1072.26</v>
      </c>
      <c r="BJ184">
        <v>1.4815499999999999</v>
      </c>
      <c r="BK184">
        <v>-248.60900000000001</v>
      </c>
      <c r="BL184">
        <v>564.56399999999996</v>
      </c>
      <c r="BM184">
        <v>806.452</v>
      </c>
      <c r="BN184">
        <v>15.315899999999999</v>
      </c>
      <c r="BO184">
        <v>800.03099999999995</v>
      </c>
      <c r="BP184">
        <v>7.9618700000000002</v>
      </c>
      <c r="BQ184">
        <v>2.3063099999999999</v>
      </c>
      <c r="BR184">
        <v>0.78884399999999999</v>
      </c>
      <c r="BS184">
        <v>19.720600000000001</v>
      </c>
      <c r="BT184">
        <v>3.50813</v>
      </c>
      <c r="BU184">
        <v>1800</v>
      </c>
      <c r="BV184">
        <v>0.91000099999999995</v>
      </c>
      <c r="BW184">
        <v>3.40074E-2</v>
      </c>
      <c r="BX184">
        <v>2.1991900000000002E-2</v>
      </c>
      <c r="BY184">
        <v>3.4000200000000001E-2</v>
      </c>
      <c r="BZ184">
        <v>26</v>
      </c>
      <c r="CA184">
        <v>33528.5</v>
      </c>
      <c r="CB184">
        <v>1690226183.5999999</v>
      </c>
      <c r="CC184" t="s">
        <v>332</v>
      </c>
      <c r="CD184">
        <v>1690226177.5999999</v>
      </c>
      <c r="CE184">
        <v>1690226183.5999999</v>
      </c>
      <c r="CF184">
        <v>12</v>
      </c>
      <c r="CG184">
        <v>-0.255</v>
      </c>
      <c r="CH184">
        <v>0.113</v>
      </c>
      <c r="CI184">
        <v>-0.439</v>
      </c>
      <c r="CJ184">
        <v>0.31</v>
      </c>
      <c r="CK184">
        <v>800</v>
      </c>
      <c r="CL184">
        <v>25</v>
      </c>
      <c r="CM184">
        <v>0.02</v>
      </c>
      <c r="CN184">
        <v>0.03</v>
      </c>
      <c r="CO184">
        <v>-247.69810000000001</v>
      </c>
      <c r="CP184">
        <v>-5.7210731707303193</v>
      </c>
      <c r="CQ184">
        <v>0.55237762445631577</v>
      </c>
      <c r="CR184">
        <v>-1</v>
      </c>
      <c r="CS184">
        <v>15.19509</v>
      </c>
      <c r="CT184">
        <v>0.49505290806751268</v>
      </c>
      <c r="CU184">
        <v>4.8556115989646369E-2</v>
      </c>
      <c r="CV184">
        <v>-1</v>
      </c>
      <c r="CW184">
        <v>0</v>
      </c>
      <c r="CX184">
        <v>0</v>
      </c>
      <c r="CY184" t="s">
        <v>333</v>
      </c>
      <c r="CZ184">
        <v>2.3645100000000001</v>
      </c>
      <c r="DA184">
        <v>2.7138100000000001</v>
      </c>
      <c r="DB184">
        <v>0.113497</v>
      </c>
      <c r="DC184">
        <v>0.14613300000000001</v>
      </c>
      <c r="DD184">
        <v>0.111053</v>
      </c>
      <c r="DE184">
        <v>4.9521200000000001E-2</v>
      </c>
      <c r="DF184">
        <v>32377</v>
      </c>
      <c r="DG184">
        <v>27531.5</v>
      </c>
      <c r="DH184">
        <v>31179</v>
      </c>
      <c r="DI184">
        <v>28095.599999999999</v>
      </c>
      <c r="DJ184">
        <v>37629.199999999997</v>
      </c>
      <c r="DK184">
        <v>37978.400000000001</v>
      </c>
      <c r="DL184">
        <v>44373.3</v>
      </c>
      <c r="DM184">
        <v>42587.1</v>
      </c>
      <c r="DN184">
        <v>1.4815</v>
      </c>
      <c r="DO184">
        <v>2.0388000000000002</v>
      </c>
      <c r="DP184">
        <v>9.8422200000000001E-2</v>
      </c>
      <c r="DQ184">
        <v>0.17583399999999999</v>
      </c>
      <c r="DR184">
        <v>25.382300000000001</v>
      </c>
      <c r="DS184">
        <v>25.151499999999999</v>
      </c>
      <c r="DT184">
        <v>44.3</v>
      </c>
      <c r="DU184">
        <v>29.2</v>
      </c>
      <c r="DV184">
        <v>18.193300000000001</v>
      </c>
      <c r="DW184">
        <v>61.532400000000003</v>
      </c>
      <c r="DX184">
        <v>37.019199999999998</v>
      </c>
      <c r="DY184">
        <v>1</v>
      </c>
      <c r="DZ184">
        <v>-9.1719999999999996E-2</v>
      </c>
      <c r="EA184">
        <v>0.40717900000000001</v>
      </c>
      <c r="EB184">
        <v>20.188500000000001</v>
      </c>
      <c r="EC184">
        <v>5.2411000000000003</v>
      </c>
      <c r="ED184">
        <v>12.039899999999999</v>
      </c>
      <c r="EE184">
        <v>5.0174500000000002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1.8689100000000001</v>
      </c>
      <c r="EL184">
        <v>1.86463</v>
      </c>
      <c r="EM184">
        <v>1.8691899999999999</v>
      </c>
      <c r="EN184">
        <v>1.8672299999999999</v>
      </c>
      <c r="EO184">
        <v>1.8633999999999999</v>
      </c>
      <c r="EP184">
        <v>1.8645099999999999</v>
      </c>
      <c r="EQ184">
        <v>1.8701399999999999</v>
      </c>
      <c r="ER184">
        <v>1.8694200000000001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-0.26400000000000001</v>
      </c>
      <c r="FG184">
        <v>0.31</v>
      </c>
      <c r="FH184">
        <v>0.1121710645629533</v>
      </c>
      <c r="FI184">
        <v>-6.1462078757559423E-4</v>
      </c>
      <c r="FJ184">
        <v>-1.8861989874597051E-7</v>
      </c>
      <c r="FK184">
        <v>1.1980462299894961E-10</v>
      </c>
      <c r="FL184">
        <v>0.30996499999999833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38.5</v>
      </c>
      <c r="FU184">
        <v>38.4</v>
      </c>
      <c r="FV184">
        <v>1.7724599999999999</v>
      </c>
      <c r="FW184">
        <v>2.5830099999999998</v>
      </c>
      <c r="FX184">
        <v>1.5490699999999999</v>
      </c>
      <c r="FY184">
        <v>2.32666</v>
      </c>
      <c r="FZ184">
        <v>1.50146</v>
      </c>
      <c r="GA184">
        <v>2.3327599999999999</v>
      </c>
      <c r="GB184">
        <v>33.963900000000002</v>
      </c>
      <c r="GC184">
        <v>23.991199999999999</v>
      </c>
      <c r="GD184">
        <v>19</v>
      </c>
      <c r="GE184">
        <v>285.13400000000001</v>
      </c>
      <c r="GF184">
        <v>585.08799999999997</v>
      </c>
      <c r="GG184">
        <v>24.361499999999999</v>
      </c>
      <c r="GH184">
        <v>26.219899999999999</v>
      </c>
      <c r="GI184">
        <v>30.000299999999999</v>
      </c>
      <c r="GJ184">
        <v>26.348199999999999</v>
      </c>
      <c r="GK184">
        <v>26.331499999999998</v>
      </c>
      <c r="GL184">
        <v>35.447600000000001</v>
      </c>
      <c r="GM184">
        <v>56.015099999999997</v>
      </c>
      <c r="GN184">
        <v>57.146599999999999</v>
      </c>
      <c r="GO184">
        <v>24.347799999999999</v>
      </c>
      <c r="GP184">
        <v>800</v>
      </c>
      <c r="GQ184">
        <v>7.9277199999999999</v>
      </c>
      <c r="GR184">
        <v>99.763000000000005</v>
      </c>
      <c r="GS184">
        <v>99.622299999999996</v>
      </c>
    </row>
    <row r="185" spans="1:201" x14ac:dyDescent="0.25">
      <c r="A185">
        <v>169</v>
      </c>
      <c r="B185">
        <v>1690228495.5</v>
      </c>
      <c r="C185">
        <v>1925.900000095367</v>
      </c>
      <c r="D185" t="s">
        <v>669</v>
      </c>
      <c r="E185" t="s">
        <v>670</v>
      </c>
      <c r="F185" t="s">
        <v>330</v>
      </c>
      <c r="H185">
        <v>1690228495.5</v>
      </c>
      <c r="I185">
        <f t="shared" si="60"/>
        <v>1.4562986532997702E-3</v>
      </c>
      <c r="J185">
        <f t="shared" si="61"/>
        <v>1.4562986532997702</v>
      </c>
      <c r="K185">
        <f t="shared" si="62"/>
        <v>22.31453577784097</v>
      </c>
      <c r="L185">
        <f t="shared" si="63"/>
        <v>550.42100000000005</v>
      </c>
      <c r="M185">
        <f t="shared" si="64"/>
        <v>154.44525262027986</v>
      </c>
      <c r="N185">
        <f t="shared" si="65"/>
        <v>15.317571341596745</v>
      </c>
      <c r="O185">
        <f t="shared" si="66"/>
        <v>54.589654213210508</v>
      </c>
      <c r="P185">
        <f t="shared" si="67"/>
        <v>9.4177733823927259E-2</v>
      </c>
      <c r="Q185">
        <f t="shared" si="68"/>
        <v>2.128040538942539</v>
      </c>
      <c r="R185">
        <f t="shared" si="69"/>
        <v>9.1922056297242427E-2</v>
      </c>
      <c r="S185">
        <f t="shared" si="70"/>
        <v>5.7649449028437577E-2</v>
      </c>
      <c r="T185">
        <f t="shared" si="71"/>
        <v>276.114452868</v>
      </c>
      <c r="U185">
        <f t="shared" si="72"/>
        <v>28.153973093022064</v>
      </c>
      <c r="V185">
        <f t="shared" si="73"/>
        <v>28.153973093022064</v>
      </c>
      <c r="W185">
        <f t="shared" si="74"/>
        <v>3.8290362200132391</v>
      </c>
      <c r="X185">
        <f t="shared" si="75"/>
        <v>66.456105797570814</v>
      </c>
      <c r="Y185">
        <f t="shared" si="76"/>
        <v>2.3063844016275001</v>
      </c>
      <c r="Z185">
        <f t="shared" si="77"/>
        <v>3.4705379948877559</v>
      </c>
      <c r="AA185">
        <f t="shared" si="78"/>
        <v>1.5226518183857389</v>
      </c>
      <c r="AB185">
        <f t="shared" si="79"/>
        <v>-64.222770610519859</v>
      </c>
      <c r="AC185">
        <f t="shared" si="80"/>
        <v>-192.47426930531202</v>
      </c>
      <c r="AD185">
        <f t="shared" si="81"/>
        <v>-19.581188363936331</v>
      </c>
      <c r="AE185">
        <f t="shared" si="82"/>
        <v>-0.16377541176822774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52358.548159073252</v>
      </c>
      <c r="AK185">
        <f t="shared" si="86"/>
        <v>1800</v>
      </c>
      <c r="AL185">
        <f t="shared" si="87"/>
        <v>1499.1112817999999</v>
      </c>
      <c r="AM185">
        <f t="shared" si="88"/>
        <v>0.83283960099999998</v>
      </c>
      <c r="AN185">
        <f t="shared" si="89"/>
        <v>0.15339691825999999</v>
      </c>
      <c r="AO185">
        <v>32.4</v>
      </c>
      <c r="AP185">
        <v>0.5</v>
      </c>
      <c r="AQ185" t="s">
        <v>331</v>
      </c>
      <c r="AR185">
        <v>2</v>
      </c>
      <c r="AS185">
        <v>1690228495.5</v>
      </c>
      <c r="AT185">
        <v>550.42100000000005</v>
      </c>
      <c r="AU185">
        <v>799.99099999999999</v>
      </c>
      <c r="AV185">
        <v>23.254999999999999</v>
      </c>
      <c r="AW185">
        <v>7.8978999999999999</v>
      </c>
      <c r="AX185">
        <v>550.68399999999997</v>
      </c>
      <c r="AY185">
        <v>22.945</v>
      </c>
      <c r="AZ185">
        <v>300.101</v>
      </c>
      <c r="BA185">
        <v>99.078100000000006</v>
      </c>
      <c r="BB185">
        <v>9.9900500000000003E-2</v>
      </c>
      <c r="BC185">
        <v>26.476299999999998</v>
      </c>
      <c r="BD185">
        <v>26.963000000000001</v>
      </c>
      <c r="BE185">
        <v>28.02</v>
      </c>
      <c r="BF185">
        <v>0</v>
      </c>
      <c r="BG185">
        <v>0</v>
      </c>
      <c r="BH185">
        <v>9975.6200000000008</v>
      </c>
      <c r="BI185">
        <v>1072.18</v>
      </c>
      <c r="BJ185">
        <v>1.4577199999999999</v>
      </c>
      <c r="BK185">
        <v>-249.57</v>
      </c>
      <c r="BL185">
        <v>563.52599999999995</v>
      </c>
      <c r="BM185">
        <v>806.35900000000004</v>
      </c>
      <c r="BN185">
        <v>15.357100000000001</v>
      </c>
      <c r="BO185">
        <v>799.99099999999999</v>
      </c>
      <c r="BP185">
        <v>7.8978999999999999</v>
      </c>
      <c r="BQ185">
        <v>2.3040600000000002</v>
      </c>
      <c r="BR185">
        <v>0.78250900000000001</v>
      </c>
      <c r="BS185">
        <v>19.704799999999999</v>
      </c>
      <c r="BT185">
        <v>3.3938999999999999</v>
      </c>
      <c r="BU185">
        <v>1800</v>
      </c>
      <c r="BV185">
        <v>0.91000700000000001</v>
      </c>
      <c r="BW185">
        <v>3.4008099999999999E-2</v>
      </c>
      <c r="BX185">
        <v>2.1992299999999999E-2</v>
      </c>
      <c r="BY185">
        <v>3.3993000000000002E-2</v>
      </c>
      <c r="BZ185">
        <v>26</v>
      </c>
      <c r="CA185">
        <v>33528.5</v>
      </c>
      <c r="CB185">
        <v>1690226183.5999999</v>
      </c>
      <c r="CC185" t="s">
        <v>332</v>
      </c>
      <c r="CD185">
        <v>1690226177.5999999</v>
      </c>
      <c r="CE185">
        <v>1690226183.5999999</v>
      </c>
      <c r="CF185">
        <v>12</v>
      </c>
      <c r="CG185">
        <v>-0.255</v>
      </c>
      <c r="CH185">
        <v>0.113</v>
      </c>
      <c r="CI185">
        <v>-0.439</v>
      </c>
      <c r="CJ185">
        <v>0.31</v>
      </c>
      <c r="CK185">
        <v>800</v>
      </c>
      <c r="CL185">
        <v>25</v>
      </c>
      <c r="CM185">
        <v>0.02</v>
      </c>
      <c r="CN185">
        <v>0.03</v>
      </c>
      <c r="CO185">
        <v>-248.51570731707321</v>
      </c>
      <c r="CP185">
        <v>-4.9687108013941987</v>
      </c>
      <c r="CQ185">
        <v>0.49528066661939102</v>
      </c>
      <c r="CR185">
        <v>-1</v>
      </c>
      <c r="CS185">
        <v>15.27690487804878</v>
      </c>
      <c r="CT185">
        <v>0.57084041811848962</v>
      </c>
      <c r="CU185">
        <v>5.7757423559267509E-2</v>
      </c>
      <c r="CV185">
        <v>-1</v>
      </c>
      <c r="CW185">
        <v>0</v>
      </c>
      <c r="CX185">
        <v>0</v>
      </c>
      <c r="CY185" t="s">
        <v>333</v>
      </c>
      <c r="CZ185">
        <v>2.36435</v>
      </c>
      <c r="DA185">
        <v>2.71367</v>
      </c>
      <c r="DB185">
        <v>0.11335000000000001</v>
      </c>
      <c r="DC185">
        <v>0.14612700000000001</v>
      </c>
      <c r="DD185">
        <v>0.11097600000000001</v>
      </c>
      <c r="DE185">
        <v>4.9206699999999999E-2</v>
      </c>
      <c r="DF185">
        <v>32382.2</v>
      </c>
      <c r="DG185">
        <v>27531.1</v>
      </c>
      <c r="DH185">
        <v>31178.7</v>
      </c>
      <c r="DI185">
        <v>28095</v>
      </c>
      <c r="DJ185">
        <v>37631.9</v>
      </c>
      <c r="DK185">
        <v>37990.199999999997</v>
      </c>
      <c r="DL185">
        <v>44372.6</v>
      </c>
      <c r="DM185">
        <v>42586.1</v>
      </c>
      <c r="DN185">
        <v>1.4814700000000001</v>
      </c>
      <c r="DO185">
        <v>2.0389200000000001</v>
      </c>
      <c r="DP185">
        <v>9.6522300000000005E-2</v>
      </c>
      <c r="DQ185">
        <v>0.17516300000000001</v>
      </c>
      <c r="DR185">
        <v>25.382300000000001</v>
      </c>
      <c r="DS185">
        <v>25.153500000000001</v>
      </c>
      <c r="DT185">
        <v>44.1</v>
      </c>
      <c r="DU185">
        <v>29.2</v>
      </c>
      <c r="DV185">
        <v>18.108799999999999</v>
      </c>
      <c r="DW185">
        <v>61.5824</v>
      </c>
      <c r="DX185">
        <v>37.1434</v>
      </c>
      <c r="DY185">
        <v>1</v>
      </c>
      <c r="DZ185">
        <v>-9.2362799999999995E-2</v>
      </c>
      <c r="EA185">
        <v>3.4202099999999999E-2</v>
      </c>
      <c r="EB185">
        <v>20.1892</v>
      </c>
      <c r="EC185">
        <v>5.2411000000000003</v>
      </c>
      <c r="ED185">
        <v>12.039899999999999</v>
      </c>
      <c r="EE185">
        <v>5.0172499999999998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1.86463</v>
      </c>
      <c r="EM185">
        <v>1.8692</v>
      </c>
      <c r="EN185">
        <v>1.8672200000000001</v>
      </c>
      <c r="EO185">
        <v>1.8633999999999999</v>
      </c>
      <c r="EP185">
        <v>1.8645</v>
      </c>
      <c r="EQ185">
        <v>1.8701399999999999</v>
      </c>
      <c r="ER185">
        <v>1.8694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-0.26300000000000001</v>
      </c>
      <c r="FG185">
        <v>0.31</v>
      </c>
      <c r="FH185">
        <v>0.1121710645629533</v>
      </c>
      <c r="FI185">
        <v>-6.1462078757559423E-4</v>
      </c>
      <c r="FJ185">
        <v>-1.8861989874597051E-7</v>
      </c>
      <c r="FK185">
        <v>1.1980462299894961E-10</v>
      </c>
      <c r="FL185">
        <v>0.30996499999999833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38.6</v>
      </c>
      <c r="FU185">
        <v>38.5</v>
      </c>
      <c r="FV185">
        <v>1.7724599999999999</v>
      </c>
      <c r="FW185">
        <v>2.5842299999999998</v>
      </c>
      <c r="FX185">
        <v>1.5490699999999999</v>
      </c>
      <c r="FY185">
        <v>2.32666</v>
      </c>
      <c r="FZ185">
        <v>1.50146</v>
      </c>
      <c r="GA185">
        <v>2.4047900000000002</v>
      </c>
      <c r="GB185">
        <v>33.963900000000002</v>
      </c>
      <c r="GC185">
        <v>23.991199999999999</v>
      </c>
      <c r="GD185">
        <v>19</v>
      </c>
      <c r="GE185">
        <v>285.12099999999998</v>
      </c>
      <c r="GF185">
        <v>585.17899999999997</v>
      </c>
      <c r="GG185">
        <v>24.3415</v>
      </c>
      <c r="GH185">
        <v>26.221299999999999</v>
      </c>
      <c r="GI185">
        <v>29.999600000000001</v>
      </c>
      <c r="GJ185">
        <v>26.3477</v>
      </c>
      <c r="GK185">
        <v>26.330400000000001</v>
      </c>
      <c r="GL185">
        <v>35.450400000000002</v>
      </c>
      <c r="GM185">
        <v>56.015099999999997</v>
      </c>
      <c r="GN185">
        <v>56.361699999999999</v>
      </c>
      <c r="GO185">
        <v>24.3858</v>
      </c>
      <c r="GP185">
        <v>800</v>
      </c>
      <c r="GQ185">
        <v>7.8638599999999999</v>
      </c>
      <c r="GR185">
        <v>99.761799999999994</v>
      </c>
      <c r="GS185">
        <v>99.620099999999994</v>
      </c>
    </row>
    <row r="186" spans="1:201" x14ac:dyDescent="0.25">
      <c r="A186">
        <v>170</v>
      </c>
      <c r="B186">
        <v>1690228505.5</v>
      </c>
      <c r="C186">
        <v>1935.900000095367</v>
      </c>
      <c r="D186" t="s">
        <v>671</v>
      </c>
      <c r="E186" t="s">
        <v>672</v>
      </c>
      <c r="F186" t="s">
        <v>330</v>
      </c>
      <c r="H186">
        <v>1690228505.5</v>
      </c>
      <c r="I186">
        <f t="shared" si="60"/>
        <v>1.4607755966032775E-3</v>
      </c>
      <c r="J186">
        <f t="shared" si="61"/>
        <v>1.4607755966032776</v>
      </c>
      <c r="K186">
        <f t="shared" si="62"/>
        <v>22.381627483102694</v>
      </c>
      <c r="L186">
        <f t="shared" si="63"/>
        <v>549.68299999999999</v>
      </c>
      <c r="M186">
        <f t="shared" si="64"/>
        <v>153.63842187856989</v>
      </c>
      <c r="N186">
        <f t="shared" si="65"/>
        <v>15.237398043200084</v>
      </c>
      <c r="O186">
        <f t="shared" si="66"/>
        <v>54.5159118804294</v>
      </c>
      <c r="P186">
        <f t="shared" si="67"/>
        <v>9.4440262227787689E-2</v>
      </c>
      <c r="Q186">
        <f t="shared" si="68"/>
        <v>2.133644816112227</v>
      </c>
      <c r="R186">
        <f t="shared" si="69"/>
        <v>9.2177958245902955E-2</v>
      </c>
      <c r="S186">
        <f t="shared" si="70"/>
        <v>5.7809969212372581E-2</v>
      </c>
      <c r="T186">
        <f t="shared" si="71"/>
        <v>276.11430260399999</v>
      </c>
      <c r="U186">
        <f t="shared" si="72"/>
        <v>28.152302706948966</v>
      </c>
      <c r="V186">
        <f t="shared" si="73"/>
        <v>28.152302706948966</v>
      </c>
      <c r="W186">
        <f t="shared" si="74"/>
        <v>3.8286637993277339</v>
      </c>
      <c r="X186">
        <f t="shared" si="75"/>
        <v>66.41758633565</v>
      </c>
      <c r="Y186">
        <f t="shared" si="76"/>
        <v>2.3055776785447804</v>
      </c>
      <c r="Z186">
        <f t="shared" si="77"/>
        <v>3.4713361411437633</v>
      </c>
      <c r="AA186">
        <f t="shared" si="78"/>
        <v>1.5230861207829536</v>
      </c>
      <c r="AB186">
        <f t="shared" si="79"/>
        <v>-64.420203810204541</v>
      </c>
      <c r="AC186">
        <f t="shared" si="80"/>
        <v>-192.34040147720307</v>
      </c>
      <c r="AD186">
        <f t="shared" si="81"/>
        <v>-19.516389179230895</v>
      </c>
      <c r="AE186">
        <f t="shared" si="82"/>
        <v>-0.16269186263852475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52599.854432995751</v>
      </c>
      <c r="AK186">
        <f t="shared" si="86"/>
        <v>1800</v>
      </c>
      <c r="AL186">
        <f t="shared" si="87"/>
        <v>1499.1099353999998</v>
      </c>
      <c r="AM186">
        <f t="shared" si="88"/>
        <v>0.83283885299999993</v>
      </c>
      <c r="AN186">
        <f t="shared" si="89"/>
        <v>0.15339683477999999</v>
      </c>
      <c r="AO186">
        <v>32.4</v>
      </c>
      <c r="AP186">
        <v>0.5</v>
      </c>
      <c r="AQ186" t="s">
        <v>331</v>
      </c>
      <c r="AR186">
        <v>2</v>
      </c>
      <c r="AS186">
        <v>1690228505.5</v>
      </c>
      <c r="AT186">
        <v>549.68299999999999</v>
      </c>
      <c r="AU186">
        <v>800.01400000000001</v>
      </c>
      <c r="AV186">
        <v>23.2471</v>
      </c>
      <c r="AW186">
        <v>7.8413300000000001</v>
      </c>
      <c r="AX186">
        <v>549.94600000000003</v>
      </c>
      <c r="AY186">
        <v>22.937100000000001</v>
      </c>
      <c r="AZ186">
        <v>300.07499999999999</v>
      </c>
      <c r="BA186">
        <v>99.077100000000002</v>
      </c>
      <c r="BB186">
        <v>9.9901799999999999E-2</v>
      </c>
      <c r="BC186">
        <v>26.4802</v>
      </c>
      <c r="BD186">
        <v>26.975100000000001</v>
      </c>
      <c r="BE186">
        <v>28.0245</v>
      </c>
      <c r="BF186">
        <v>0</v>
      </c>
      <c r="BG186">
        <v>0</v>
      </c>
      <c r="BH186">
        <v>10023.799999999999</v>
      </c>
      <c r="BI186">
        <v>1072.1600000000001</v>
      </c>
      <c r="BJ186">
        <v>1.4577199999999999</v>
      </c>
      <c r="BK186">
        <v>-250.33099999999999</v>
      </c>
      <c r="BL186">
        <v>562.76599999999996</v>
      </c>
      <c r="BM186">
        <v>806.33600000000001</v>
      </c>
      <c r="BN186">
        <v>15.405799999999999</v>
      </c>
      <c r="BO186">
        <v>800.01400000000001</v>
      </c>
      <c r="BP186">
        <v>7.8413300000000001</v>
      </c>
      <c r="BQ186">
        <v>2.3032499999999998</v>
      </c>
      <c r="BR186">
        <v>0.77689600000000003</v>
      </c>
      <c r="BS186">
        <v>19.699200000000001</v>
      </c>
      <c r="BT186">
        <v>3.2920199999999999</v>
      </c>
      <c r="BU186">
        <v>1800</v>
      </c>
      <c r="BV186">
        <v>0.91000300000000001</v>
      </c>
      <c r="BW186">
        <v>3.40074E-2</v>
      </c>
      <c r="BX186">
        <v>2.1991900000000002E-2</v>
      </c>
      <c r="BY186">
        <v>3.3997600000000003E-2</v>
      </c>
      <c r="BZ186">
        <v>26</v>
      </c>
      <c r="CA186">
        <v>33528.400000000001</v>
      </c>
      <c r="CB186">
        <v>1690226183.5999999</v>
      </c>
      <c r="CC186" t="s">
        <v>332</v>
      </c>
      <c r="CD186">
        <v>1690226177.5999999</v>
      </c>
      <c r="CE186">
        <v>1690226183.5999999</v>
      </c>
      <c r="CF186">
        <v>12</v>
      </c>
      <c r="CG186">
        <v>-0.255</v>
      </c>
      <c r="CH186">
        <v>0.113</v>
      </c>
      <c r="CI186">
        <v>-0.439</v>
      </c>
      <c r="CJ186">
        <v>0.31</v>
      </c>
      <c r="CK186">
        <v>800</v>
      </c>
      <c r="CL186">
        <v>25</v>
      </c>
      <c r="CM186">
        <v>0.02</v>
      </c>
      <c r="CN186">
        <v>0.03</v>
      </c>
      <c r="CO186">
        <v>-249.36212195121951</v>
      </c>
      <c r="CP186">
        <v>-5.3982229965156776</v>
      </c>
      <c r="CQ186">
        <v>0.53634968549249373</v>
      </c>
      <c r="CR186">
        <v>-1</v>
      </c>
      <c r="CS186">
        <v>15.350421951219509</v>
      </c>
      <c r="CT186">
        <v>0.26653379790939741</v>
      </c>
      <c r="CU186">
        <v>2.660930987084232E-2</v>
      </c>
      <c r="CV186">
        <v>-1</v>
      </c>
      <c r="CW186">
        <v>0</v>
      </c>
      <c r="CX186">
        <v>0</v>
      </c>
      <c r="CY186" t="s">
        <v>333</v>
      </c>
      <c r="CZ186">
        <v>2.3642599999999998</v>
      </c>
      <c r="DA186">
        <v>2.7137099999999998</v>
      </c>
      <c r="DB186">
        <v>0.11323999999999999</v>
      </c>
      <c r="DC186">
        <v>0.14612800000000001</v>
      </c>
      <c r="DD186">
        <v>0.110948</v>
      </c>
      <c r="DE186">
        <v>4.8926999999999998E-2</v>
      </c>
      <c r="DF186">
        <v>32386</v>
      </c>
      <c r="DG186">
        <v>27531.3</v>
      </c>
      <c r="DH186">
        <v>31178.6</v>
      </c>
      <c r="DI186">
        <v>28095.200000000001</v>
      </c>
      <c r="DJ186">
        <v>37633.300000000003</v>
      </c>
      <c r="DK186">
        <v>38001.599999999999</v>
      </c>
      <c r="DL186">
        <v>44372.800000000003</v>
      </c>
      <c r="DM186">
        <v>42586.5</v>
      </c>
      <c r="DN186">
        <v>1.4816199999999999</v>
      </c>
      <c r="DO186">
        <v>2.0387300000000002</v>
      </c>
      <c r="DP186">
        <v>9.7136899999999998E-2</v>
      </c>
      <c r="DQ186">
        <v>0.175368</v>
      </c>
      <c r="DR186">
        <v>25.384499999999999</v>
      </c>
      <c r="DS186">
        <v>25.154499999999999</v>
      </c>
      <c r="DT186">
        <v>43.8</v>
      </c>
      <c r="DU186">
        <v>29.3</v>
      </c>
      <c r="DV186">
        <v>18.088999999999999</v>
      </c>
      <c r="DW186">
        <v>61.662399999999998</v>
      </c>
      <c r="DX186">
        <v>36.246000000000002</v>
      </c>
      <c r="DY186">
        <v>1</v>
      </c>
      <c r="DZ186">
        <v>-9.2736299999999994E-2</v>
      </c>
      <c r="EA186">
        <v>6.6160099999999999E-2</v>
      </c>
      <c r="EB186">
        <v>20.189299999999999</v>
      </c>
      <c r="EC186">
        <v>5.2408000000000001</v>
      </c>
      <c r="ED186">
        <v>12.039899999999999</v>
      </c>
      <c r="EE186">
        <v>5.0170500000000002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1.8646199999999999</v>
      </c>
      <c r="EM186">
        <v>1.8691899999999999</v>
      </c>
      <c r="EN186">
        <v>1.8672200000000001</v>
      </c>
      <c r="EO186">
        <v>1.8633999999999999</v>
      </c>
      <c r="EP186">
        <v>1.86449</v>
      </c>
      <c r="EQ186">
        <v>1.87012</v>
      </c>
      <c r="ER186">
        <v>1.86941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-0.26300000000000001</v>
      </c>
      <c r="FG186">
        <v>0.31</v>
      </c>
      <c r="FH186">
        <v>0.1121710645629533</v>
      </c>
      <c r="FI186">
        <v>-6.1462078757559423E-4</v>
      </c>
      <c r="FJ186">
        <v>-1.8861989874597051E-7</v>
      </c>
      <c r="FK186">
        <v>1.1980462299894961E-10</v>
      </c>
      <c r="FL186">
        <v>0.30996499999999833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38.799999999999997</v>
      </c>
      <c r="FU186">
        <v>38.700000000000003</v>
      </c>
      <c r="FV186">
        <v>1.7736799999999999</v>
      </c>
      <c r="FW186">
        <v>2.5866699999999998</v>
      </c>
      <c r="FX186">
        <v>1.5490699999999999</v>
      </c>
      <c r="FY186">
        <v>2.32666</v>
      </c>
      <c r="FZ186">
        <v>1.50146</v>
      </c>
      <c r="GA186">
        <v>2.3742700000000001</v>
      </c>
      <c r="GB186">
        <v>33.963900000000002</v>
      </c>
      <c r="GC186">
        <v>23.982399999999998</v>
      </c>
      <c r="GD186">
        <v>19</v>
      </c>
      <c r="GE186">
        <v>285.178</v>
      </c>
      <c r="GF186">
        <v>585.01199999999994</v>
      </c>
      <c r="GG186">
        <v>24.412800000000001</v>
      </c>
      <c r="GH186">
        <v>26.222200000000001</v>
      </c>
      <c r="GI186">
        <v>29.9999</v>
      </c>
      <c r="GJ186">
        <v>26.346299999999999</v>
      </c>
      <c r="GK186">
        <v>26.330200000000001</v>
      </c>
      <c r="GL186">
        <v>35.450200000000002</v>
      </c>
      <c r="GM186">
        <v>56.015099999999997</v>
      </c>
      <c r="GN186">
        <v>55.9636</v>
      </c>
      <c r="GO186">
        <v>24.418700000000001</v>
      </c>
      <c r="GP186">
        <v>800</v>
      </c>
      <c r="GQ186">
        <v>7.7820299999999998</v>
      </c>
      <c r="GR186">
        <v>99.761899999999997</v>
      </c>
      <c r="GS186">
        <v>99.620900000000006</v>
      </c>
    </row>
    <row r="187" spans="1:201" x14ac:dyDescent="0.25">
      <c r="A187">
        <v>171</v>
      </c>
      <c r="B187">
        <v>1690228515.5</v>
      </c>
      <c r="C187">
        <v>1945.900000095367</v>
      </c>
      <c r="D187" t="s">
        <v>673</v>
      </c>
      <c r="E187" t="s">
        <v>674</v>
      </c>
      <c r="F187" t="s">
        <v>330</v>
      </c>
      <c r="H187">
        <v>1690228515.5</v>
      </c>
      <c r="I187">
        <f t="shared" si="60"/>
        <v>1.4679127065860516E-3</v>
      </c>
      <c r="J187">
        <f t="shared" si="61"/>
        <v>1.4679127065860516</v>
      </c>
      <c r="K187">
        <f t="shared" si="62"/>
        <v>22.474219682207334</v>
      </c>
      <c r="L187">
        <f t="shared" si="63"/>
        <v>548.83000000000004</v>
      </c>
      <c r="M187">
        <f t="shared" si="64"/>
        <v>152.92378735771788</v>
      </c>
      <c r="N187">
        <f t="shared" si="65"/>
        <v>15.166906144558869</v>
      </c>
      <c r="O187">
        <f t="shared" si="66"/>
        <v>54.432689924470012</v>
      </c>
      <c r="P187">
        <f t="shared" si="67"/>
        <v>9.487053691841682E-2</v>
      </c>
      <c r="Q187">
        <f t="shared" si="68"/>
        <v>2.1328691131876547</v>
      </c>
      <c r="R187">
        <f t="shared" si="69"/>
        <v>9.2587031336240883E-2</v>
      </c>
      <c r="S187">
        <f t="shared" si="70"/>
        <v>5.8067480627432715E-2</v>
      </c>
      <c r="T187">
        <f t="shared" si="71"/>
        <v>276.11442851399994</v>
      </c>
      <c r="U187">
        <f t="shared" si="72"/>
        <v>28.156459978024252</v>
      </c>
      <c r="V187">
        <f t="shared" si="73"/>
        <v>28.156459978024252</v>
      </c>
      <c r="W187">
        <f t="shared" si="74"/>
        <v>3.8295907416491013</v>
      </c>
      <c r="X187">
        <f t="shared" si="75"/>
        <v>66.399951439996244</v>
      </c>
      <c r="Y187">
        <f t="shared" si="76"/>
        <v>2.3057946508883003</v>
      </c>
      <c r="Z187">
        <f t="shared" si="77"/>
        <v>3.4725848451440235</v>
      </c>
      <c r="AA187">
        <f t="shared" si="78"/>
        <v>1.523796090760801</v>
      </c>
      <c r="AB187">
        <f t="shared" si="79"/>
        <v>-64.734950360444884</v>
      </c>
      <c r="AC187">
        <f t="shared" si="80"/>
        <v>-192.04708561379886</v>
      </c>
      <c r="AD187">
        <f t="shared" si="81"/>
        <v>-19.494712474318572</v>
      </c>
      <c r="AE187">
        <f t="shared" si="82"/>
        <v>-0.16231993456239024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52565.293417810157</v>
      </c>
      <c r="AK187">
        <f t="shared" si="86"/>
        <v>1800</v>
      </c>
      <c r="AL187">
        <f t="shared" si="87"/>
        <v>1499.1082253999998</v>
      </c>
      <c r="AM187">
        <f t="shared" si="88"/>
        <v>0.83283790299999994</v>
      </c>
      <c r="AN187">
        <f t="shared" si="89"/>
        <v>0.15339690472999998</v>
      </c>
      <c r="AO187">
        <v>32.4</v>
      </c>
      <c r="AP187">
        <v>0.5</v>
      </c>
      <c r="AQ187" t="s">
        <v>331</v>
      </c>
      <c r="AR187">
        <v>2</v>
      </c>
      <c r="AS187">
        <v>1690228515.5</v>
      </c>
      <c r="AT187">
        <v>548.83000000000004</v>
      </c>
      <c r="AU187">
        <v>800.06399999999996</v>
      </c>
      <c r="AV187">
        <v>23.248699999999999</v>
      </c>
      <c r="AW187">
        <v>7.7754200000000004</v>
      </c>
      <c r="AX187">
        <v>549.09199999999998</v>
      </c>
      <c r="AY187">
        <v>22.938800000000001</v>
      </c>
      <c r="AZ187">
        <v>300.22500000000002</v>
      </c>
      <c r="BA187">
        <v>99.079400000000007</v>
      </c>
      <c r="BB187">
        <v>0.100109</v>
      </c>
      <c r="BC187">
        <v>26.4863</v>
      </c>
      <c r="BD187">
        <v>26.935500000000001</v>
      </c>
      <c r="BE187">
        <v>28.031400000000001</v>
      </c>
      <c r="BF187">
        <v>0</v>
      </c>
      <c r="BG187">
        <v>0</v>
      </c>
      <c r="BH187">
        <v>10016.9</v>
      </c>
      <c r="BI187">
        <v>1072.0899999999999</v>
      </c>
      <c r="BJ187">
        <v>1.4577199999999999</v>
      </c>
      <c r="BK187">
        <v>-251.23400000000001</v>
      </c>
      <c r="BL187">
        <v>561.89300000000003</v>
      </c>
      <c r="BM187">
        <v>806.33299999999997</v>
      </c>
      <c r="BN187">
        <v>15.4733</v>
      </c>
      <c r="BO187">
        <v>800.06399999999996</v>
      </c>
      <c r="BP187">
        <v>7.7754200000000004</v>
      </c>
      <c r="BQ187">
        <v>2.3034699999999999</v>
      </c>
      <c r="BR187">
        <v>0.77038399999999996</v>
      </c>
      <c r="BS187">
        <v>19.700700000000001</v>
      </c>
      <c r="BT187">
        <v>3.17299</v>
      </c>
      <c r="BU187">
        <v>1800</v>
      </c>
      <c r="BV187">
        <v>0.90999099999999999</v>
      </c>
      <c r="BW187">
        <v>3.4006599999999998E-2</v>
      </c>
      <c r="BX187">
        <v>2.1991400000000001E-2</v>
      </c>
      <c r="BY187">
        <v>3.4011100000000002E-2</v>
      </c>
      <c r="BZ187">
        <v>26</v>
      </c>
      <c r="CA187">
        <v>33528.400000000001</v>
      </c>
      <c r="CB187">
        <v>1690226183.5999999</v>
      </c>
      <c r="CC187" t="s">
        <v>332</v>
      </c>
      <c r="CD187">
        <v>1690226177.5999999</v>
      </c>
      <c r="CE187">
        <v>1690226183.5999999</v>
      </c>
      <c r="CF187">
        <v>12</v>
      </c>
      <c r="CG187">
        <v>-0.255</v>
      </c>
      <c r="CH187">
        <v>0.113</v>
      </c>
      <c r="CI187">
        <v>-0.439</v>
      </c>
      <c r="CJ187">
        <v>0.31</v>
      </c>
      <c r="CK187">
        <v>800</v>
      </c>
      <c r="CL187">
        <v>25</v>
      </c>
      <c r="CM187">
        <v>0.02</v>
      </c>
      <c r="CN187">
        <v>0.03</v>
      </c>
      <c r="CO187">
        <v>-250.28415000000001</v>
      </c>
      <c r="CP187">
        <v>-5.0102363977486686</v>
      </c>
      <c r="CQ187">
        <v>0.48426839407502192</v>
      </c>
      <c r="CR187">
        <v>-1</v>
      </c>
      <c r="CS187">
        <v>15.404567500000001</v>
      </c>
      <c r="CT187">
        <v>0.34408592870543919</v>
      </c>
      <c r="CU187">
        <v>3.3311517433914618E-2</v>
      </c>
      <c r="CV187">
        <v>-1</v>
      </c>
      <c r="CW187">
        <v>0</v>
      </c>
      <c r="CX187">
        <v>0</v>
      </c>
      <c r="CY187" t="s">
        <v>333</v>
      </c>
      <c r="CZ187">
        <v>2.36476</v>
      </c>
      <c r="DA187">
        <v>2.7139199999999999</v>
      </c>
      <c r="DB187">
        <v>0.11311599999999999</v>
      </c>
      <c r="DC187">
        <v>0.14613599999999999</v>
      </c>
      <c r="DD187">
        <v>0.110956</v>
      </c>
      <c r="DE187">
        <v>4.8602100000000002E-2</v>
      </c>
      <c r="DF187">
        <v>32390.799999999999</v>
      </c>
      <c r="DG187">
        <v>27531.5</v>
      </c>
      <c r="DH187">
        <v>31178.799999999999</v>
      </c>
      <c r="DI187">
        <v>28095.7</v>
      </c>
      <c r="DJ187">
        <v>37633</v>
      </c>
      <c r="DK187">
        <v>38015.599999999999</v>
      </c>
      <c r="DL187">
        <v>44372.9</v>
      </c>
      <c r="DM187">
        <v>42587.5</v>
      </c>
      <c r="DN187">
        <v>1.4823999999999999</v>
      </c>
      <c r="DO187">
        <v>2.0384799999999998</v>
      </c>
      <c r="DP187">
        <v>9.4715499999999994E-2</v>
      </c>
      <c r="DQ187">
        <v>0.17579600000000001</v>
      </c>
      <c r="DR187">
        <v>25.384499999999999</v>
      </c>
      <c r="DS187">
        <v>25.154499999999999</v>
      </c>
      <c r="DT187">
        <v>43.6</v>
      </c>
      <c r="DU187">
        <v>29.2</v>
      </c>
      <c r="DV187">
        <v>17.903600000000001</v>
      </c>
      <c r="DW187">
        <v>61.622399999999999</v>
      </c>
      <c r="DX187">
        <v>36.097799999999999</v>
      </c>
      <c r="DY187">
        <v>1</v>
      </c>
      <c r="DZ187">
        <v>-9.2555899999999997E-2</v>
      </c>
      <c r="EA187">
        <v>0.11311499999999999</v>
      </c>
      <c r="EB187">
        <v>20.189299999999999</v>
      </c>
      <c r="EC187">
        <v>5.24125</v>
      </c>
      <c r="ED187">
        <v>12.039899999999999</v>
      </c>
      <c r="EE187">
        <v>5.0173500000000004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1.86463</v>
      </c>
      <c r="EM187">
        <v>1.8691899999999999</v>
      </c>
      <c r="EN187">
        <v>1.8672200000000001</v>
      </c>
      <c r="EO187">
        <v>1.8633999999999999</v>
      </c>
      <c r="EP187">
        <v>1.8644799999999999</v>
      </c>
      <c r="EQ187">
        <v>1.8701300000000001</v>
      </c>
      <c r="ER187">
        <v>1.86944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-0.26200000000000001</v>
      </c>
      <c r="FG187">
        <v>0.30990000000000001</v>
      </c>
      <c r="FH187">
        <v>0.1121710645629533</v>
      </c>
      <c r="FI187">
        <v>-6.1462078757559423E-4</v>
      </c>
      <c r="FJ187">
        <v>-1.8861989874597051E-7</v>
      </c>
      <c r="FK187">
        <v>1.1980462299894961E-10</v>
      </c>
      <c r="FL187">
        <v>0.30996499999999833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39</v>
      </c>
      <c r="FU187">
        <v>38.9</v>
      </c>
      <c r="FV187">
        <v>1.7736799999999999</v>
      </c>
      <c r="FW187">
        <v>2.5866699999999998</v>
      </c>
      <c r="FX187">
        <v>1.5490699999999999</v>
      </c>
      <c r="FY187">
        <v>2.32666</v>
      </c>
      <c r="FZ187">
        <v>1.50146</v>
      </c>
      <c r="GA187">
        <v>2.3120099999999999</v>
      </c>
      <c r="GB187">
        <v>33.963900000000002</v>
      </c>
      <c r="GC187">
        <v>23.982399999999998</v>
      </c>
      <c r="GD187">
        <v>19</v>
      </c>
      <c r="GE187">
        <v>285.517</v>
      </c>
      <c r="GF187">
        <v>584.80499999999995</v>
      </c>
      <c r="GG187">
        <v>24.442599999999999</v>
      </c>
      <c r="GH187">
        <v>26.222200000000001</v>
      </c>
      <c r="GI187">
        <v>30</v>
      </c>
      <c r="GJ187">
        <v>26.3477</v>
      </c>
      <c r="GK187">
        <v>26.330200000000001</v>
      </c>
      <c r="GL187">
        <v>35.449599999999997</v>
      </c>
      <c r="GM187">
        <v>56.015099999999997</v>
      </c>
      <c r="GN187">
        <v>55.180999999999997</v>
      </c>
      <c r="GO187">
        <v>24.4405</v>
      </c>
      <c r="GP187">
        <v>800</v>
      </c>
      <c r="GQ187">
        <v>7.7016900000000001</v>
      </c>
      <c r="GR187">
        <v>99.762200000000007</v>
      </c>
      <c r="GS187">
        <v>99.623099999999994</v>
      </c>
    </row>
    <row r="188" spans="1:201" x14ac:dyDescent="0.25">
      <c r="A188">
        <v>172</v>
      </c>
      <c r="B188">
        <v>1690228525.5</v>
      </c>
      <c r="C188">
        <v>1955.900000095367</v>
      </c>
      <c r="D188" t="s">
        <v>675</v>
      </c>
      <c r="E188" t="s">
        <v>676</v>
      </c>
      <c r="F188" t="s">
        <v>330</v>
      </c>
      <c r="H188">
        <v>1690228525.5</v>
      </c>
      <c r="I188">
        <f t="shared" si="60"/>
        <v>1.4750600531066066E-3</v>
      </c>
      <c r="J188">
        <f t="shared" si="61"/>
        <v>1.4750600531066067</v>
      </c>
      <c r="K188">
        <f t="shared" si="62"/>
        <v>22.540089835256847</v>
      </c>
      <c r="L188">
        <f t="shared" si="63"/>
        <v>547.98599999999999</v>
      </c>
      <c r="M188">
        <f t="shared" si="64"/>
        <v>152.91023851792451</v>
      </c>
      <c r="N188">
        <f t="shared" si="65"/>
        <v>15.165278422967713</v>
      </c>
      <c r="O188">
        <f t="shared" si="66"/>
        <v>54.347964808872</v>
      </c>
      <c r="P188">
        <f t="shared" si="67"/>
        <v>9.5360019237988605E-2</v>
      </c>
      <c r="Q188">
        <f t="shared" si="68"/>
        <v>2.133140026757756</v>
      </c>
      <c r="R188">
        <f t="shared" si="69"/>
        <v>9.3053483418288091E-2</v>
      </c>
      <c r="S188">
        <f t="shared" si="70"/>
        <v>5.83610135184367E-2</v>
      </c>
      <c r="T188">
        <f t="shared" si="71"/>
        <v>276.11430211800001</v>
      </c>
      <c r="U188">
        <f t="shared" si="72"/>
        <v>28.155173956727126</v>
      </c>
      <c r="V188">
        <f t="shared" si="73"/>
        <v>28.155173956727126</v>
      </c>
      <c r="W188">
        <f t="shared" si="74"/>
        <v>3.8293039779331997</v>
      </c>
      <c r="X188">
        <f t="shared" si="75"/>
        <v>66.394370102538787</v>
      </c>
      <c r="Y188">
        <f t="shared" si="76"/>
        <v>2.3057911491132002</v>
      </c>
      <c r="Z188">
        <f t="shared" si="77"/>
        <v>3.472871488278539</v>
      </c>
      <c r="AA188">
        <f t="shared" si="78"/>
        <v>1.5235128288199995</v>
      </c>
      <c r="AB188">
        <f t="shared" si="79"/>
        <v>-65.05014834200135</v>
      </c>
      <c r="AC188">
        <f t="shared" si="80"/>
        <v>-191.76258171744209</v>
      </c>
      <c r="AD188">
        <f t="shared" si="81"/>
        <v>-19.463370856882399</v>
      </c>
      <c r="AE188">
        <f t="shared" si="82"/>
        <v>-0.16179879832586153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52576.722654969722</v>
      </c>
      <c r="AK188">
        <f t="shared" si="86"/>
        <v>1800</v>
      </c>
      <c r="AL188">
        <f t="shared" si="87"/>
        <v>1499.1076727999998</v>
      </c>
      <c r="AM188">
        <f t="shared" si="88"/>
        <v>0.83283759599999996</v>
      </c>
      <c r="AN188">
        <f t="shared" si="89"/>
        <v>0.15339683451</v>
      </c>
      <c r="AO188">
        <v>32.4</v>
      </c>
      <c r="AP188">
        <v>0.5</v>
      </c>
      <c r="AQ188" t="s">
        <v>331</v>
      </c>
      <c r="AR188">
        <v>2</v>
      </c>
      <c r="AS188">
        <v>1690228525.5</v>
      </c>
      <c r="AT188">
        <v>547.98599999999999</v>
      </c>
      <c r="AU188">
        <v>800.03700000000003</v>
      </c>
      <c r="AV188">
        <v>23.249099999999999</v>
      </c>
      <c r="AW188">
        <v>7.6957199999999997</v>
      </c>
      <c r="AX188">
        <v>548.24800000000005</v>
      </c>
      <c r="AY188">
        <v>22.9391</v>
      </c>
      <c r="AZ188">
        <v>300.13299999999998</v>
      </c>
      <c r="BA188">
        <v>99.077699999999993</v>
      </c>
      <c r="BB188">
        <v>9.9951999999999999E-2</v>
      </c>
      <c r="BC188">
        <v>26.4877</v>
      </c>
      <c r="BD188">
        <v>26.971499999999999</v>
      </c>
      <c r="BE188">
        <v>28.0305</v>
      </c>
      <c r="BF188">
        <v>0</v>
      </c>
      <c r="BG188">
        <v>0</v>
      </c>
      <c r="BH188">
        <v>10019.4</v>
      </c>
      <c r="BI188">
        <v>1072.08</v>
      </c>
      <c r="BJ188">
        <v>1.5137799999999999</v>
      </c>
      <c r="BK188">
        <v>-252.05099999999999</v>
      </c>
      <c r="BL188">
        <v>561.029</v>
      </c>
      <c r="BM188">
        <v>806.24199999999996</v>
      </c>
      <c r="BN188">
        <v>15.5534</v>
      </c>
      <c r="BO188">
        <v>800.03700000000003</v>
      </c>
      <c r="BP188">
        <v>7.6957199999999997</v>
      </c>
      <c r="BQ188">
        <v>2.3034699999999999</v>
      </c>
      <c r="BR188">
        <v>0.76247399999999999</v>
      </c>
      <c r="BS188">
        <v>19.700700000000001</v>
      </c>
      <c r="BT188">
        <v>3.0272100000000002</v>
      </c>
      <c r="BU188">
        <v>1800</v>
      </c>
      <c r="BV188">
        <v>0.90999099999999999</v>
      </c>
      <c r="BW188">
        <v>3.4006500000000002E-2</v>
      </c>
      <c r="BX188">
        <v>2.1991299999999998E-2</v>
      </c>
      <c r="BY188">
        <v>3.4010899999999997E-2</v>
      </c>
      <c r="BZ188">
        <v>26</v>
      </c>
      <c r="CA188">
        <v>33528.5</v>
      </c>
      <c r="CB188">
        <v>1690226183.5999999</v>
      </c>
      <c r="CC188" t="s">
        <v>332</v>
      </c>
      <c r="CD188">
        <v>1690226177.5999999</v>
      </c>
      <c r="CE188">
        <v>1690226183.5999999</v>
      </c>
      <c r="CF188">
        <v>12</v>
      </c>
      <c r="CG188">
        <v>-0.255</v>
      </c>
      <c r="CH188">
        <v>0.113</v>
      </c>
      <c r="CI188">
        <v>-0.439</v>
      </c>
      <c r="CJ188">
        <v>0.31</v>
      </c>
      <c r="CK188">
        <v>800</v>
      </c>
      <c r="CL188">
        <v>25</v>
      </c>
      <c r="CM188">
        <v>0.02</v>
      </c>
      <c r="CN188">
        <v>0.03</v>
      </c>
      <c r="CO188">
        <v>-251.07165853658529</v>
      </c>
      <c r="CP188">
        <v>-5.4197770034844881</v>
      </c>
      <c r="CQ188">
        <v>0.53550284596525222</v>
      </c>
      <c r="CR188">
        <v>-1</v>
      </c>
      <c r="CS188">
        <v>15.46083658536585</v>
      </c>
      <c r="CT188">
        <v>0.38958606271777058</v>
      </c>
      <c r="CU188">
        <v>3.8648066597889483E-2</v>
      </c>
      <c r="CV188">
        <v>-1</v>
      </c>
      <c r="CW188">
        <v>0</v>
      </c>
      <c r="CX188">
        <v>0</v>
      </c>
      <c r="CY188" t="s">
        <v>333</v>
      </c>
      <c r="CZ188">
        <v>2.3644699999999998</v>
      </c>
      <c r="DA188">
        <v>2.7137600000000002</v>
      </c>
      <c r="DB188">
        <v>0.11298999999999999</v>
      </c>
      <c r="DC188">
        <v>0.14612800000000001</v>
      </c>
      <c r="DD188">
        <v>0.110956</v>
      </c>
      <c r="DE188">
        <v>4.82058E-2</v>
      </c>
      <c r="DF188">
        <v>32395.8</v>
      </c>
      <c r="DG188">
        <v>27532</v>
      </c>
      <c r="DH188">
        <v>31179.200000000001</v>
      </c>
      <c r="DI188">
        <v>28096</v>
      </c>
      <c r="DJ188">
        <v>37633.4</v>
      </c>
      <c r="DK188">
        <v>38031.699999999997</v>
      </c>
      <c r="DL188">
        <v>44373.4</v>
      </c>
      <c r="DM188">
        <v>42587.7</v>
      </c>
      <c r="DN188">
        <v>1.4821299999999999</v>
      </c>
      <c r="DO188">
        <v>2.0384199999999999</v>
      </c>
      <c r="DP188">
        <v>9.6838900000000006E-2</v>
      </c>
      <c r="DQ188">
        <v>0.17574100000000001</v>
      </c>
      <c r="DR188">
        <v>25.3857</v>
      </c>
      <c r="DS188">
        <v>25.154499999999999</v>
      </c>
      <c r="DT188">
        <v>43.4</v>
      </c>
      <c r="DU188">
        <v>29.2</v>
      </c>
      <c r="DV188">
        <v>17.8218</v>
      </c>
      <c r="DW188">
        <v>61.702399999999997</v>
      </c>
      <c r="DX188">
        <v>36.586500000000001</v>
      </c>
      <c r="DY188">
        <v>1</v>
      </c>
      <c r="DZ188">
        <v>-9.2738799999999996E-2</v>
      </c>
      <c r="EA188">
        <v>-1.78105E-2</v>
      </c>
      <c r="EB188">
        <v>20.189499999999999</v>
      </c>
      <c r="EC188">
        <v>5.24125</v>
      </c>
      <c r="ED188">
        <v>12.039899999999999</v>
      </c>
      <c r="EE188">
        <v>5.0171999999999999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1.8646400000000001</v>
      </c>
      <c r="EM188">
        <v>1.8692</v>
      </c>
      <c r="EN188">
        <v>1.8672200000000001</v>
      </c>
      <c r="EO188">
        <v>1.8633999999999999</v>
      </c>
      <c r="EP188">
        <v>1.86449</v>
      </c>
      <c r="EQ188">
        <v>1.8701300000000001</v>
      </c>
      <c r="ER188">
        <v>1.8694200000000001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-0.26200000000000001</v>
      </c>
      <c r="FG188">
        <v>0.31</v>
      </c>
      <c r="FH188">
        <v>0.1121710645629533</v>
      </c>
      <c r="FI188">
        <v>-6.1462078757559423E-4</v>
      </c>
      <c r="FJ188">
        <v>-1.8861989874597051E-7</v>
      </c>
      <c r="FK188">
        <v>1.1980462299894961E-10</v>
      </c>
      <c r="FL188">
        <v>0.30996499999999833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39.1</v>
      </c>
      <c r="FU188">
        <v>39</v>
      </c>
      <c r="FV188">
        <v>1.7736799999999999</v>
      </c>
      <c r="FW188">
        <v>2.5878899999999998</v>
      </c>
      <c r="FX188">
        <v>1.5490699999999999</v>
      </c>
      <c r="FY188">
        <v>2.32666</v>
      </c>
      <c r="FZ188">
        <v>1.50146</v>
      </c>
      <c r="GA188">
        <v>2.34497</v>
      </c>
      <c r="GB188">
        <v>33.941299999999998</v>
      </c>
      <c r="GC188">
        <v>23.982399999999998</v>
      </c>
      <c r="GD188">
        <v>19</v>
      </c>
      <c r="GE188">
        <v>285.392</v>
      </c>
      <c r="GF188">
        <v>584.76400000000001</v>
      </c>
      <c r="GG188">
        <v>24.496500000000001</v>
      </c>
      <c r="GH188">
        <v>26.222200000000001</v>
      </c>
      <c r="GI188">
        <v>29.9999</v>
      </c>
      <c r="GJ188">
        <v>26.346</v>
      </c>
      <c r="GK188">
        <v>26.330200000000001</v>
      </c>
      <c r="GL188">
        <v>35.448500000000003</v>
      </c>
      <c r="GM188">
        <v>56.2881</v>
      </c>
      <c r="GN188">
        <v>54.792099999999998</v>
      </c>
      <c r="GO188">
        <v>24.505600000000001</v>
      </c>
      <c r="GP188">
        <v>800</v>
      </c>
      <c r="GQ188">
        <v>7.6203099999999999</v>
      </c>
      <c r="GR188">
        <v>99.763400000000004</v>
      </c>
      <c r="GS188">
        <v>99.623800000000003</v>
      </c>
    </row>
    <row r="189" spans="1:201" x14ac:dyDescent="0.25">
      <c r="A189">
        <v>173</v>
      </c>
      <c r="B189">
        <v>1690228535.5</v>
      </c>
      <c r="C189">
        <v>1965.900000095367</v>
      </c>
      <c r="D189" t="s">
        <v>677</v>
      </c>
      <c r="E189" t="s">
        <v>678</v>
      </c>
      <c r="F189" t="s">
        <v>330</v>
      </c>
      <c r="H189">
        <v>1690228535.5</v>
      </c>
      <c r="I189">
        <f t="shared" si="60"/>
        <v>1.4830845352778092E-3</v>
      </c>
      <c r="J189">
        <f t="shared" si="61"/>
        <v>1.4830845352778093</v>
      </c>
      <c r="K189">
        <f t="shared" si="62"/>
        <v>22.602073039023413</v>
      </c>
      <c r="L189">
        <f t="shared" si="63"/>
        <v>547.26499999999999</v>
      </c>
      <c r="M189">
        <f t="shared" si="64"/>
        <v>152.39743976527038</v>
      </c>
      <c r="N189">
        <f t="shared" si="65"/>
        <v>15.114513209169203</v>
      </c>
      <c r="O189">
        <f t="shared" si="66"/>
        <v>54.276791553429987</v>
      </c>
      <c r="P189">
        <f t="shared" si="67"/>
        <v>9.5687253484138396E-2</v>
      </c>
      <c r="Q189">
        <f t="shared" si="68"/>
        <v>2.1269466257807048</v>
      </c>
      <c r="R189">
        <f t="shared" si="69"/>
        <v>9.3358483427775307E-2</v>
      </c>
      <c r="S189">
        <f t="shared" si="70"/>
        <v>5.8553562357577471E-2</v>
      </c>
      <c r="T189">
        <f t="shared" si="71"/>
        <v>276.11436621600001</v>
      </c>
      <c r="U189">
        <f t="shared" si="72"/>
        <v>28.16686609676896</v>
      </c>
      <c r="V189">
        <f t="shared" si="73"/>
        <v>28.16686609676896</v>
      </c>
      <c r="W189">
        <f t="shared" si="74"/>
        <v>3.8319118413092892</v>
      </c>
      <c r="X189">
        <f t="shared" si="75"/>
        <v>66.335562162998158</v>
      </c>
      <c r="Y189">
        <f t="shared" si="76"/>
        <v>2.3051210010564001</v>
      </c>
      <c r="Z189">
        <f t="shared" si="77"/>
        <v>3.4749400259732663</v>
      </c>
      <c r="AA189">
        <f t="shared" si="78"/>
        <v>1.5267908402528891</v>
      </c>
      <c r="AB189">
        <f t="shared" si="79"/>
        <v>-65.404028005751385</v>
      </c>
      <c r="AC189">
        <f t="shared" si="80"/>
        <v>-191.38838187105617</v>
      </c>
      <c r="AD189">
        <f t="shared" si="81"/>
        <v>-19.484075750849399</v>
      </c>
      <c r="AE189">
        <f t="shared" si="82"/>
        <v>-0.16211941165695976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52307.640571384734</v>
      </c>
      <c r="AK189">
        <f t="shared" si="86"/>
        <v>1800</v>
      </c>
      <c r="AL189">
        <f t="shared" si="87"/>
        <v>1499.1074405999998</v>
      </c>
      <c r="AM189">
        <f t="shared" si="88"/>
        <v>0.83283746699999994</v>
      </c>
      <c r="AN189">
        <f t="shared" si="89"/>
        <v>0.15339687012</v>
      </c>
      <c r="AO189">
        <v>32.4</v>
      </c>
      <c r="AP189">
        <v>0.5</v>
      </c>
      <c r="AQ189" t="s">
        <v>331</v>
      </c>
      <c r="AR189">
        <v>2</v>
      </c>
      <c r="AS189">
        <v>1690228535.5</v>
      </c>
      <c r="AT189">
        <v>547.26499999999999</v>
      </c>
      <c r="AU189">
        <v>800.048</v>
      </c>
      <c r="AV189">
        <v>23.2422</v>
      </c>
      <c r="AW189">
        <v>7.60243</v>
      </c>
      <c r="AX189">
        <v>547.52700000000004</v>
      </c>
      <c r="AY189">
        <v>22.932300000000001</v>
      </c>
      <c r="AZ189">
        <v>300.101</v>
      </c>
      <c r="BA189">
        <v>99.078199999999995</v>
      </c>
      <c r="BB189">
        <v>0.100062</v>
      </c>
      <c r="BC189">
        <v>26.497800000000002</v>
      </c>
      <c r="BD189">
        <v>26.9877</v>
      </c>
      <c r="BE189">
        <v>28.059899999999999</v>
      </c>
      <c r="BF189">
        <v>0</v>
      </c>
      <c r="BG189">
        <v>0</v>
      </c>
      <c r="BH189">
        <v>9966.25</v>
      </c>
      <c r="BI189">
        <v>1072.17</v>
      </c>
      <c r="BJ189">
        <v>1.4857499999999999</v>
      </c>
      <c r="BK189">
        <v>-252.78299999999999</v>
      </c>
      <c r="BL189">
        <v>560.28800000000001</v>
      </c>
      <c r="BM189">
        <v>806.17700000000002</v>
      </c>
      <c r="BN189">
        <v>15.639799999999999</v>
      </c>
      <c r="BO189">
        <v>800.048</v>
      </c>
      <c r="BP189">
        <v>7.60243</v>
      </c>
      <c r="BQ189">
        <v>2.3028</v>
      </c>
      <c r="BR189">
        <v>0.75323600000000002</v>
      </c>
      <c r="BS189">
        <v>19.696000000000002</v>
      </c>
      <c r="BT189">
        <v>2.8552599999999999</v>
      </c>
      <c r="BU189">
        <v>1800</v>
      </c>
      <c r="BV189">
        <v>0.90998800000000002</v>
      </c>
      <c r="BW189">
        <v>3.40062E-2</v>
      </c>
      <c r="BX189">
        <v>2.19911E-2</v>
      </c>
      <c r="BY189">
        <v>3.4014599999999999E-2</v>
      </c>
      <c r="BZ189">
        <v>26</v>
      </c>
      <c r="CA189">
        <v>33528.400000000001</v>
      </c>
      <c r="CB189">
        <v>1690226183.5999999</v>
      </c>
      <c r="CC189" t="s">
        <v>332</v>
      </c>
      <c r="CD189">
        <v>1690226177.5999999</v>
      </c>
      <c r="CE189">
        <v>1690226183.5999999</v>
      </c>
      <c r="CF189">
        <v>12</v>
      </c>
      <c r="CG189">
        <v>-0.255</v>
      </c>
      <c r="CH189">
        <v>0.113</v>
      </c>
      <c r="CI189">
        <v>-0.439</v>
      </c>
      <c r="CJ189">
        <v>0.31</v>
      </c>
      <c r="CK189">
        <v>800</v>
      </c>
      <c r="CL189">
        <v>25</v>
      </c>
      <c r="CM189">
        <v>0.02</v>
      </c>
      <c r="CN189">
        <v>0.03</v>
      </c>
      <c r="CO189">
        <v>-251.94380000000001</v>
      </c>
      <c r="CP189">
        <v>-4.4218311444656333</v>
      </c>
      <c r="CQ189">
        <v>0.42808078676810613</v>
      </c>
      <c r="CR189">
        <v>-1</v>
      </c>
      <c r="CS189">
        <v>15.545805</v>
      </c>
      <c r="CT189">
        <v>0.5402273921199986</v>
      </c>
      <c r="CU189">
        <v>5.2403911829175399E-2</v>
      </c>
      <c r="CV189">
        <v>-1</v>
      </c>
      <c r="CW189">
        <v>0</v>
      </c>
      <c r="CX189">
        <v>0</v>
      </c>
      <c r="CY189" t="s">
        <v>333</v>
      </c>
      <c r="CZ189">
        <v>2.3643700000000001</v>
      </c>
      <c r="DA189">
        <v>2.7138200000000001</v>
      </c>
      <c r="DB189">
        <v>0.112884</v>
      </c>
      <c r="DC189">
        <v>0.14612900000000001</v>
      </c>
      <c r="DD189">
        <v>0.110933</v>
      </c>
      <c r="DE189">
        <v>4.7741499999999999E-2</v>
      </c>
      <c r="DF189">
        <v>32399.599999999999</v>
      </c>
      <c r="DG189">
        <v>27532.2</v>
      </c>
      <c r="DH189">
        <v>31179.1</v>
      </c>
      <c r="DI189">
        <v>28096.1</v>
      </c>
      <c r="DJ189">
        <v>37634.400000000001</v>
      </c>
      <c r="DK189">
        <v>38050.699999999997</v>
      </c>
      <c r="DL189">
        <v>44373.5</v>
      </c>
      <c r="DM189">
        <v>42588.2</v>
      </c>
      <c r="DN189">
        <v>1.482</v>
      </c>
      <c r="DO189">
        <v>2.0382500000000001</v>
      </c>
      <c r="DP189">
        <v>9.7639900000000002E-2</v>
      </c>
      <c r="DQ189">
        <v>0.177398</v>
      </c>
      <c r="DR189">
        <v>25.3888</v>
      </c>
      <c r="DS189">
        <v>25.1568</v>
      </c>
      <c r="DT189">
        <v>43.1</v>
      </c>
      <c r="DU189">
        <v>29.3</v>
      </c>
      <c r="DV189">
        <v>17.799499999999998</v>
      </c>
      <c r="DW189">
        <v>61.9024</v>
      </c>
      <c r="DX189">
        <v>37.291699999999999</v>
      </c>
      <c r="DY189">
        <v>1</v>
      </c>
      <c r="DZ189">
        <v>-9.3104699999999999E-2</v>
      </c>
      <c r="EA189">
        <v>-2.74428E-2</v>
      </c>
      <c r="EB189">
        <v>20.189499999999999</v>
      </c>
      <c r="EC189">
        <v>5.2406499999999996</v>
      </c>
      <c r="ED189">
        <v>12.039899999999999</v>
      </c>
      <c r="EE189">
        <v>5.0172999999999996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1.8691899999999999</v>
      </c>
      <c r="EN189">
        <v>1.8672200000000001</v>
      </c>
      <c r="EO189">
        <v>1.8633999999999999</v>
      </c>
      <c r="EP189">
        <v>1.86449</v>
      </c>
      <c r="EQ189">
        <v>1.87012</v>
      </c>
      <c r="ER189">
        <v>1.86941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-0.26200000000000001</v>
      </c>
      <c r="FG189">
        <v>0.30990000000000001</v>
      </c>
      <c r="FH189">
        <v>0.1121710645629533</v>
      </c>
      <c r="FI189">
        <v>-6.1462078757559423E-4</v>
      </c>
      <c r="FJ189">
        <v>-1.8861989874597051E-7</v>
      </c>
      <c r="FK189">
        <v>1.1980462299894961E-10</v>
      </c>
      <c r="FL189">
        <v>0.30996499999999833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39.299999999999997</v>
      </c>
      <c r="FU189">
        <v>39.200000000000003</v>
      </c>
      <c r="FV189">
        <v>1.7724599999999999</v>
      </c>
      <c r="FW189">
        <v>2.5830099999999998</v>
      </c>
      <c r="FX189">
        <v>1.5490699999999999</v>
      </c>
      <c r="FY189">
        <v>2.32666</v>
      </c>
      <c r="FZ189">
        <v>1.50146</v>
      </c>
      <c r="GA189">
        <v>2.3571800000000001</v>
      </c>
      <c r="GB189">
        <v>33.963900000000002</v>
      </c>
      <c r="GC189">
        <v>23.982399999999998</v>
      </c>
      <c r="GD189">
        <v>19</v>
      </c>
      <c r="GE189">
        <v>285.33800000000002</v>
      </c>
      <c r="GF189">
        <v>584.61900000000003</v>
      </c>
      <c r="GG189">
        <v>24.553999999999998</v>
      </c>
      <c r="GH189">
        <v>26.222200000000001</v>
      </c>
      <c r="GI189">
        <v>30</v>
      </c>
      <c r="GJ189">
        <v>26.346</v>
      </c>
      <c r="GK189">
        <v>26.330200000000001</v>
      </c>
      <c r="GL189">
        <v>35.446300000000001</v>
      </c>
      <c r="GM189">
        <v>56.2881</v>
      </c>
      <c r="GN189">
        <v>54.043799999999997</v>
      </c>
      <c r="GO189">
        <v>24.5562</v>
      </c>
      <c r="GP189">
        <v>800</v>
      </c>
      <c r="GQ189">
        <v>7.5442600000000004</v>
      </c>
      <c r="GR189">
        <v>99.763400000000004</v>
      </c>
      <c r="GS189">
        <v>99.624700000000004</v>
      </c>
    </row>
    <row r="190" spans="1:201" x14ac:dyDescent="0.25">
      <c r="A190">
        <v>174</v>
      </c>
      <c r="B190">
        <v>1690228545.5</v>
      </c>
      <c r="C190">
        <v>1975.900000095367</v>
      </c>
      <c r="D190" t="s">
        <v>679</v>
      </c>
      <c r="E190" t="s">
        <v>680</v>
      </c>
      <c r="F190" t="s">
        <v>330</v>
      </c>
      <c r="H190">
        <v>1690228545.5</v>
      </c>
      <c r="I190">
        <f t="shared" si="60"/>
        <v>1.4893110162288393E-3</v>
      </c>
      <c r="J190">
        <f t="shared" si="61"/>
        <v>1.4893110162288394</v>
      </c>
      <c r="K190">
        <f t="shared" si="62"/>
        <v>22.665853747528846</v>
      </c>
      <c r="L190">
        <f t="shared" si="63"/>
        <v>546.41300000000001</v>
      </c>
      <c r="M190">
        <f t="shared" si="64"/>
        <v>151.72746161429021</v>
      </c>
      <c r="N190">
        <f t="shared" si="65"/>
        <v>15.047709987952068</v>
      </c>
      <c r="O190">
        <f t="shared" si="66"/>
        <v>54.191009789307998</v>
      </c>
      <c r="P190">
        <f t="shared" si="67"/>
        <v>9.6002916371743213E-2</v>
      </c>
      <c r="Q190">
        <f t="shared" si="68"/>
        <v>2.1306416119561389</v>
      </c>
      <c r="R190">
        <f t="shared" si="69"/>
        <v>9.3662917111213842E-2</v>
      </c>
      <c r="S190">
        <f t="shared" si="70"/>
        <v>5.8744812344882581E-2</v>
      </c>
      <c r="T190">
        <f t="shared" si="71"/>
        <v>276.11272458989691</v>
      </c>
      <c r="U190">
        <f t="shared" si="72"/>
        <v>28.17433320885883</v>
      </c>
      <c r="V190">
        <f t="shared" si="73"/>
        <v>28.17433320885883</v>
      </c>
      <c r="W190">
        <f t="shared" si="74"/>
        <v>3.8335781475266515</v>
      </c>
      <c r="X190">
        <f t="shared" si="75"/>
        <v>66.2958941319487</v>
      </c>
      <c r="Y190">
        <f t="shared" si="76"/>
        <v>2.3054135905611997</v>
      </c>
      <c r="Z190">
        <f t="shared" si="77"/>
        <v>3.4774605889962595</v>
      </c>
      <c r="AA190">
        <f t="shared" si="78"/>
        <v>1.5281645569654518</v>
      </c>
      <c r="AB190">
        <f t="shared" si="79"/>
        <v>-65.678615815691813</v>
      </c>
      <c r="AC190">
        <f t="shared" si="80"/>
        <v>-191.16572660851335</v>
      </c>
      <c r="AD190">
        <f t="shared" si="81"/>
        <v>-19.429575564673719</v>
      </c>
      <c r="AE190">
        <f t="shared" si="82"/>
        <v>-0.16119339898196472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52464.814629275694</v>
      </c>
      <c r="AK190">
        <f t="shared" si="86"/>
        <v>1799.99</v>
      </c>
      <c r="AL190">
        <f t="shared" si="87"/>
        <v>1499.0989754260902</v>
      </c>
      <c r="AM190">
        <f t="shared" si="88"/>
        <v>0.83283739100000009</v>
      </c>
      <c r="AN190">
        <f t="shared" si="89"/>
        <v>0.15339681031000002</v>
      </c>
      <c r="AO190">
        <v>32.4</v>
      </c>
      <c r="AP190">
        <v>0.5</v>
      </c>
      <c r="AQ190" t="s">
        <v>331</v>
      </c>
      <c r="AR190">
        <v>2</v>
      </c>
      <c r="AS190">
        <v>1690228545.5</v>
      </c>
      <c r="AT190">
        <v>546.41300000000001</v>
      </c>
      <c r="AU190">
        <v>799.90599999999995</v>
      </c>
      <c r="AV190">
        <v>23.245699999999999</v>
      </c>
      <c r="AW190">
        <v>7.5404299999999997</v>
      </c>
      <c r="AX190">
        <v>546.673</v>
      </c>
      <c r="AY190">
        <v>22.9358</v>
      </c>
      <c r="AZ190">
        <v>300.10300000000001</v>
      </c>
      <c r="BA190">
        <v>99.075999999999993</v>
      </c>
      <c r="BB190">
        <v>9.9916000000000005E-2</v>
      </c>
      <c r="BC190">
        <v>26.510100000000001</v>
      </c>
      <c r="BD190">
        <v>27.0062</v>
      </c>
      <c r="BE190">
        <v>28.049900000000001</v>
      </c>
      <c r="BF190">
        <v>0</v>
      </c>
      <c r="BG190">
        <v>0</v>
      </c>
      <c r="BH190">
        <v>9998.1200000000008</v>
      </c>
      <c r="BI190">
        <v>1072.19</v>
      </c>
      <c r="BJ190">
        <v>1.4577199999999999</v>
      </c>
      <c r="BK190">
        <v>-253.49299999999999</v>
      </c>
      <c r="BL190">
        <v>559.41700000000003</v>
      </c>
      <c r="BM190">
        <v>805.98299999999995</v>
      </c>
      <c r="BN190">
        <v>15.705299999999999</v>
      </c>
      <c r="BO190">
        <v>799.90599999999995</v>
      </c>
      <c r="BP190">
        <v>7.5404299999999997</v>
      </c>
      <c r="BQ190">
        <v>2.3031000000000001</v>
      </c>
      <c r="BR190">
        <v>0.74707500000000004</v>
      </c>
      <c r="BS190">
        <v>19.6981</v>
      </c>
      <c r="BT190">
        <v>2.73956</v>
      </c>
      <c r="BU190">
        <v>1799.99</v>
      </c>
      <c r="BV190">
        <v>0.90998900000000005</v>
      </c>
      <c r="BW190">
        <v>3.4005800000000003E-2</v>
      </c>
      <c r="BX190">
        <v>2.1990800000000001E-2</v>
      </c>
      <c r="BY190">
        <v>3.4014099999999999E-2</v>
      </c>
      <c r="BZ190">
        <v>26</v>
      </c>
      <c r="CA190">
        <v>33528.300000000003</v>
      </c>
      <c r="CB190">
        <v>1690226183.5999999</v>
      </c>
      <c r="CC190" t="s">
        <v>332</v>
      </c>
      <c r="CD190">
        <v>1690226177.5999999</v>
      </c>
      <c r="CE190">
        <v>1690226183.5999999</v>
      </c>
      <c r="CF190">
        <v>12</v>
      </c>
      <c r="CG190">
        <v>-0.255</v>
      </c>
      <c r="CH190">
        <v>0.113</v>
      </c>
      <c r="CI190">
        <v>-0.439</v>
      </c>
      <c r="CJ190">
        <v>0.31</v>
      </c>
      <c r="CK190">
        <v>800</v>
      </c>
      <c r="CL190">
        <v>25</v>
      </c>
      <c r="CM190">
        <v>0.02</v>
      </c>
      <c r="CN190">
        <v>0.03</v>
      </c>
      <c r="CO190">
        <v>-252.70547500000001</v>
      </c>
      <c r="CP190">
        <v>-4.6559887429637978</v>
      </c>
      <c r="CQ190">
        <v>0.4497137971810522</v>
      </c>
      <c r="CR190">
        <v>-1</v>
      </c>
      <c r="CS190">
        <v>15.6312575</v>
      </c>
      <c r="CT190">
        <v>0.45365966228888538</v>
      </c>
      <c r="CU190">
        <v>4.3847479331770009E-2</v>
      </c>
      <c r="CV190">
        <v>-1</v>
      </c>
      <c r="CW190">
        <v>0</v>
      </c>
      <c r="CX190">
        <v>0</v>
      </c>
      <c r="CY190" t="s">
        <v>333</v>
      </c>
      <c r="CZ190">
        <v>2.3643800000000001</v>
      </c>
      <c r="DA190">
        <v>2.7136999999999998</v>
      </c>
      <c r="DB190">
        <v>0.11275499999999999</v>
      </c>
      <c r="DC190">
        <v>0.14610699999999999</v>
      </c>
      <c r="DD190">
        <v>0.110943</v>
      </c>
      <c r="DE190">
        <v>4.7430699999999999E-2</v>
      </c>
      <c r="DF190">
        <v>32404.400000000001</v>
      </c>
      <c r="DG190">
        <v>27532.9</v>
      </c>
      <c r="DH190">
        <v>31179.3</v>
      </c>
      <c r="DI190">
        <v>28096.2</v>
      </c>
      <c r="DJ190">
        <v>37634</v>
      </c>
      <c r="DK190">
        <v>38063.300000000003</v>
      </c>
      <c r="DL190">
        <v>44373.5</v>
      </c>
      <c r="DM190">
        <v>42588.4</v>
      </c>
      <c r="DN190">
        <v>1.48153</v>
      </c>
      <c r="DO190">
        <v>2.0383200000000001</v>
      </c>
      <c r="DP190">
        <v>9.85153E-2</v>
      </c>
      <c r="DQ190">
        <v>0.176542</v>
      </c>
      <c r="DR190">
        <v>25.393000000000001</v>
      </c>
      <c r="DS190">
        <v>25.160900000000002</v>
      </c>
      <c r="DT190">
        <v>42.8</v>
      </c>
      <c r="DU190">
        <v>29.2</v>
      </c>
      <c r="DV190">
        <v>17.5777</v>
      </c>
      <c r="DW190">
        <v>61.922400000000003</v>
      </c>
      <c r="DX190">
        <v>36.871000000000002</v>
      </c>
      <c r="DY190">
        <v>1</v>
      </c>
      <c r="DZ190">
        <v>-9.2865900000000001E-2</v>
      </c>
      <c r="EA190">
        <v>2.9458100000000001E-2</v>
      </c>
      <c r="EB190">
        <v>20.189499999999999</v>
      </c>
      <c r="EC190">
        <v>5.2411000000000003</v>
      </c>
      <c r="ED190">
        <v>12.039899999999999</v>
      </c>
      <c r="EE190">
        <v>5.0175000000000001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1.86463</v>
      </c>
      <c r="EM190">
        <v>1.8692</v>
      </c>
      <c r="EN190">
        <v>1.8672299999999999</v>
      </c>
      <c r="EO190">
        <v>1.8633999999999999</v>
      </c>
      <c r="EP190">
        <v>1.8645</v>
      </c>
      <c r="EQ190">
        <v>1.87015</v>
      </c>
      <c r="ER190">
        <v>1.86944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-0.26</v>
      </c>
      <c r="FG190">
        <v>0.30990000000000001</v>
      </c>
      <c r="FH190">
        <v>0.1121710645629533</v>
      </c>
      <c r="FI190">
        <v>-6.1462078757559423E-4</v>
      </c>
      <c r="FJ190">
        <v>-1.8861989874597051E-7</v>
      </c>
      <c r="FK190">
        <v>1.1980462299894961E-10</v>
      </c>
      <c r="FL190">
        <v>0.30996499999999833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39.5</v>
      </c>
      <c r="FU190">
        <v>39.4</v>
      </c>
      <c r="FV190">
        <v>1.7724599999999999</v>
      </c>
      <c r="FW190">
        <v>2.5830099999999998</v>
      </c>
      <c r="FX190">
        <v>1.5490699999999999</v>
      </c>
      <c r="FY190">
        <v>2.32666</v>
      </c>
      <c r="FZ190">
        <v>1.50146</v>
      </c>
      <c r="GA190">
        <v>2.3889200000000002</v>
      </c>
      <c r="GB190">
        <v>33.941299999999998</v>
      </c>
      <c r="GC190">
        <v>23.991199999999999</v>
      </c>
      <c r="GD190">
        <v>19</v>
      </c>
      <c r="GE190">
        <v>285.13499999999999</v>
      </c>
      <c r="GF190">
        <v>584.68100000000004</v>
      </c>
      <c r="GG190">
        <v>24.585999999999999</v>
      </c>
      <c r="GH190">
        <v>26.222200000000001</v>
      </c>
      <c r="GI190">
        <v>30.0002</v>
      </c>
      <c r="GJ190">
        <v>26.346299999999999</v>
      </c>
      <c r="GK190">
        <v>26.330200000000001</v>
      </c>
      <c r="GL190">
        <v>35.449300000000001</v>
      </c>
      <c r="GM190">
        <v>56.2881</v>
      </c>
      <c r="GN190">
        <v>53.6539</v>
      </c>
      <c r="GO190">
        <v>24.581499999999998</v>
      </c>
      <c r="GP190">
        <v>800</v>
      </c>
      <c r="GQ190">
        <v>7.4591599999999998</v>
      </c>
      <c r="GR190">
        <v>99.763599999999997</v>
      </c>
      <c r="GS190">
        <v>99.625</v>
      </c>
    </row>
    <row r="191" spans="1:201" x14ac:dyDescent="0.25">
      <c r="A191">
        <v>175</v>
      </c>
      <c r="B191">
        <v>1690228555.5</v>
      </c>
      <c r="C191">
        <v>1985.900000095367</v>
      </c>
      <c r="D191" t="s">
        <v>681</v>
      </c>
      <c r="E191" t="s">
        <v>682</v>
      </c>
      <c r="F191" t="s">
        <v>330</v>
      </c>
      <c r="H191">
        <v>1690228555.5</v>
      </c>
      <c r="I191">
        <f t="shared" si="60"/>
        <v>1.5016021474574431E-3</v>
      </c>
      <c r="J191">
        <f t="shared" si="61"/>
        <v>1.501602147457443</v>
      </c>
      <c r="K191">
        <f t="shared" si="62"/>
        <v>22.746804550442864</v>
      </c>
      <c r="L191">
        <f t="shared" si="63"/>
        <v>545.62099999999998</v>
      </c>
      <c r="M191">
        <f t="shared" si="64"/>
        <v>152.83624398475621</v>
      </c>
      <c r="N191">
        <f t="shared" si="65"/>
        <v>15.157819842455716</v>
      </c>
      <c r="O191">
        <f t="shared" si="66"/>
        <v>54.112981349406994</v>
      </c>
      <c r="P191">
        <f t="shared" si="67"/>
        <v>9.6843456817921822E-2</v>
      </c>
      <c r="Q191">
        <f t="shared" si="68"/>
        <v>2.1279528166605255</v>
      </c>
      <c r="R191">
        <f t="shared" si="69"/>
        <v>9.4459922046460615E-2</v>
      </c>
      <c r="S191">
        <f t="shared" si="70"/>
        <v>5.9246716281110147E-2</v>
      </c>
      <c r="T191">
        <f t="shared" si="71"/>
        <v>276.11424831599999</v>
      </c>
      <c r="U191">
        <f t="shared" si="72"/>
        <v>28.171065062058815</v>
      </c>
      <c r="V191">
        <f t="shared" si="73"/>
        <v>28.171065062058815</v>
      </c>
      <c r="W191">
        <f t="shared" si="74"/>
        <v>3.8328487739773633</v>
      </c>
      <c r="X191">
        <f t="shared" si="75"/>
        <v>66.288923826336116</v>
      </c>
      <c r="Y191">
        <f t="shared" si="76"/>
        <v>2.3050489074406002</v>
      </c>
      <c r="Z191">
        <f t="shared" si="77"/>
        <v>3.4772761034398036</v>
      </c>
      <c r="AA191">
        <f t="shared" si="78"/>
        <v>1.5277998665367631</v>
      </c>
      <c r="AB191">
        <f t="shared" si="79"/>
        <v>-66.220654702873233</v>
      </c>
      <c r="AC191">
        <f t="shared" si="80"/>
        <v>-190.65280314606471</v>
      </c>
      <c r="AD191">
        <f t="shared" si="81"/>
        <v>-19.401523636404633</v>
      </c>
      <c r="AE191">
        <f t="shared" si="82"/>
        <v>-0.16073316934259196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52348.987128819768</v>
      </c>
      <c r="AK191">
        <f t="shared" si="86"/>
        <v>1800</v>
      </c>
      <c r="AL191">
        <f t="shared" si="87"/>
        <v>1499.1075935999997</v>
      </c>
      <c r="AM191">
        <f t="shared" si="88"/>
        <v>0.83283755199999987</v>
      </c>
      <c r="AN191">
        <f t="shared" si="89"/>
        <v>0.15339680461999999</v>
      </c>
      <c r="AO191">
        <v>32.4</v>
      </c>
      <c r="AP191">
        <v>0.5</v>
      </c>
      <c r="AQ191" t="s">
        <v>331</v>
      </c>
      <c r="AR191">
        <v>2</v>
      </c>
      <c r="AS191">
        <v>1690228555.5</v>
      </c>
      <c r="AT191">
        <v>545.62099999999998</v>
      </c>
      <c r="AU191">
        <v>799.99</v>
      </c>
      <c r="AV191">
        <v>23.241800000000001</v>
      </c>
      <c r="AW191">
        <v>7.4104400000000004</v>
      </c>
      <c r="AX191">
        <v>545.88099999999997</v>
      </c>
      <c r="AY191">
        <v>22.931899999999999</v>
      </c>
      <c r="AZ191">
        <v>300.17099999999999</v>
      </c>
      <c r="BA191">
        <v>99.076800000000006</v>
      </c>
      <c r="BB191">
        <v>0.100067</v>
      </c>
      <c r="BC191">
        <v>26.5092</v>
      </c>
      <c r="BD191">
        <v>27.004100000000001</v>
      </c>
      <c r="BE191">
        <v>28.034199999999998</v>
      </c>
      <c r="BF191">
        <v>0</v>
      </c>
      <c r="BG191">
        <v>0</v>
      </c>
      <c r="BH191">
        <v>9975</v>
      </c>
      <c r="BI191">
        <v>1072.23</v>
      </c>
      <c r="BJ191">
        <v>1.4577199999999999</v>
      </c>
      <c r="BK191">
        <v>-254.37</v>
      </c>
      <c r="BL191">
        <v>558.60400000000004</v>
      </c>
      <c r="BM191">
        <v>805.96299999999997</v>
      </c>
      <c r="BN191">
        <v>15.8314</v>
      </c>
      <c r="BO191">
        <v>799.99</v>
      </c>
      <c r="BP191">
        <v>7.4104400000000004</v>
      </c>
      <c r="BQ191">
        <v>2.3027299999999999</v>
      </c>
      <c r="BR191">
        <v>0.73420300000000005</v>
      </c>
      <c r="BS191">
        <v>19.695499999999999</v>
      </c>
      <c r="BT191">
        <v>2.4950199999999998</v>
      </c>
      <c r="BU191">
        <v>1800</v>
      </c>
      <c r="BV191">
        <v>0.90998999999999997</v>
      </c>
      <c r="BW191">
        <v>3.4005399999999998E-2</v>
      </c>
      <c r="BX191">
        <v>2.1990599999999999E-2</v>
      </c>
      <c r="BY191">
        <v>3.4013799999999997E-2</v>
      </c>
      <c r="BZ191">
        <v>26</v>
      </c>
      <c r="CA191">
        <v>33528.5</v>
      </c>
      <c r="CB191">
        <v>1690226183.5999999</v>
      </c>
      <c r="CC191" t="s">
        <v>332</v>
      </c>
      <c r="CD191">
        <v>1690226177.5999999</v>
      </c>
      <c r="CE191">
        <v>1690226183.5999999</v>
      </c>
      <c r="CF191">
        <v>12</v>
      </c>
      <c r="CG191">
        <v>-0.255</v>
      </c>
      <c r="CH191">
        <v>0.113</v>
      </c>
      <c r="CI191">
        <v>-0.439</v>
      </c>
      <c r="CJ191">
        <v>0.31</v>
      </c>
      <c r="CK191">
        <v>800</v>
      </c>
      <c r="CL191">
        <v>25</v>
      </c>
      <c r="CM191">
        <v>0.02</v>
      </c>
      <c r="CN191">
        <v>0.03</v>
      </c>
      <c r="CO191">
        <v>-253.56126829268291</v>
      </c>
      <c r="CP191">
        <v>-5.1782299651562091</v>
      </c>
      <c r="CQ191">
        <v>0.51327219158374682</v>
      </c>
      <c r="CR191">
        <v>-1</v>
      </c>
      <c r="CS191">
        <v>15.70936097560976</v>
      </c>
      <c r="CT191">
        <v>0.4722752613240549</v>
      </c>
      <c r="CU191">
        <v>4.7271777162714711E-2</v>
      </c>
      <c r="CV191">
        <v>-1</v>
      </c>
      <c r="CW191">
        <v>0</v>
      </c>
      <c r="CX191">
        <v>0</v>
      </c>
      <c r="CY191" t="s">
        <v>333</v>
      </c>
      <c r="CZ191">
        <v>2.3645999999999998</v>
      </c>
      <c r="DA191">
        <v>2.7138399999999998</v>
      </c>
      <c r="DB191">
        <v>0.112638</v>
      </c>
      <c r="DC191">
        <v>0.146116</v>
      </c>
      <c r="DD191">
        <v>0.11093</v>
      </c>
      <c r="DE191">
        <v>4.6778800000000002E-2</v>
      </c>
      <c r="DF191">
        <v>32408.9</v>
      </c>
      <c r="DG191">
        <v>27532.7</v>
      </c>
      <c r="DH191">
        <v>31179.5</v>
      </c>
      <c r="DI191">
        <v>28096.2</v>
      </c>
      <c r="DJ191">
        <v>37634.9</v>
      </c>
      <c r="DK191">
        <v>38089.199999999997</v>
      </c>
      <c r="DL191">
        <v>44373.9</v>
      </c>
      <c r="DM191">
        <v>42588.1</v>
      </c>
      <c r="DN191">
        <v>1.48193</v>
      </c>
      <c r="DO191">
        <v>2.0377800000000001</v>
      </c>
      <c r="DP191">
        <v>9.8254499999999995E-2</v>
      </c>
      <c r="DQ191">
        <v>0.17540500000000001</v>
      </c>
      <c r="DR191">
        <v>25.395199999999999</v>
      </c>
      <c r="DS191">
        <v>25.163699999999999</v>
      </c>
      <c r="DT191">
        <v>42.6</v>
      </c>
      <c r="DU191">
        <v>29.3</v>
      </c>
      <c r="DV191">
        <v>17.595099999999999</v>
      </c>
      <c r="DW191">
        <v>61.912399999999998</v>
      </c>
      <c r="DX191">
        <v>36.101799999999997</v>
      </c>
      <c r="DY191">
        <v>1</v>
      </c>
      <c r="DZ191">
        <v>-9.1887700000000003E-2</v>
      </c>
      <c r="EA191">
        <v>0.478935</v>
      </c>
      <c r="EB191">
        <v>20.188199999999998</v>
      </c>
      <c r="EC191">
        <v>5.2409499999999998</v>
      </c>
      <c r="ED191">
        <v>12.039899999999999</v>
      </c>
      <c r="EE191">
        <v>5.0171999999999999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1.86463</v>
      </c>
      <c r="EM191">
        <v>1.8691800000000001</v>
      </c>
      <c r="EN191">
        <v>1.86724</v>
      </c>
      <c r="EO191">
        <v>1.8633999999999999</v>
      </c>
      <c r="EP191">
        <v>1.86449</v>
      </c>
      <c r="EQ191">
        <v>1.87015</v>
      </c>
      <c r="ER191">
        <v>1.86941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-0.26</v>
      </c>
      <c r="FG191">
        <v>0.30990000000000001</v>
      </c>
      <c r="FH191">
        <v>0.1121710645629533</v>
      </c>
      <c r="FI191">
        <v>-6.1462078757559423E-4</v>
      </c>
      <c r="FJ191">
        <v>-1.8861989874597051E-7</v>
      </c>
      <c r="FK191">
        <v>1.1980462299894961E-10</v>
      </c>
      <c r="FL191">
        <v>0.30996499999999833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39.6</v>
      </c>
      <c r="FU191">
        <v>39.5</v>
      </c>
      <c r="FV191">
        <v>1.7724599999999999</v>
      </c>
      <c r="FW191">
        <v>2.5805699999999998</v>
      </c>
      <c r="FX191">
        <v>1.5490699999999999</v>
      </c>
      <c r="FY191">
        <v>2.32666</v>
      </c>
      <c r="FZ191">
        <v>1.50146</v>
      </c>
      <c r="GA191">
        <v>2.3986800000000001</v>
      </c>
      <c r="GB191">
        <v>33.941299999999998</v>
      </c>
      <c r="GC191">
        <v>23.991199999999999</v>
      </c>
      <c r="GD191">
        <v>19</v>
      </c>
      <c r="GE191">
        <v>285.31599999999997</v>
      </c>
      <c r="GF191">
        <v>584.226</v>
      </c>
      <c r="GG191">
        <v>24.5456</v>
      </c>
      <c r="GH191">
        <v>26.222200000000001</v>
      </c>
      <c r="GI191">
        <v>30.000699999999998</v>
      </c>
      <c r="GJ191">
        <v>26.348199999999999</v>
      </c>
      <c r="GK191">
        <v>26.330200000000001</v>
      </c>
      <c r="GL191">
        <v>35.4435</v>
      </c>
      <c r="GM191">
        <v>56.571199999999997</v>
      </c>
      <c r="GN191">
        <v>53.2684</v>
      </c>
      <c r="GO191">
        <v>24.49</v>
      </c>
      <c r="GP191">
        <v>800</v>
      </c>
      <c r="GQ191">
        <v>7.3854100000000003</v>
      </c>
      <c r="GR191">
        <v>99.764300000000006</v>
      </c>
      <c r="GS191">
        <v>99.624700000000004</v>
      </c>
    </row>
    <row r="192" spans="1:201" x14ac:dyDescent="0.25">
      <c r="A192">
        <v>176</v>
      </c>
      <c r="B192">
        <v>1690228565.5</v>
      </c>
      <c r="C192">
        <v>1995.900000095367</v>
      </c>
      <c r="D192" t="s">
        <v>683</v>
      </c>
      <c r="E192" t="s">
        <v>684</v>
      </c>
      <c r="F192" t="s">
        <v>330</v>
      </c>
      <c r="H192">
        <v>1690228565.5</v>
      </c>
      <c r="I192">
        <f t="shared" si="60"/>
        <v>1.5062878416491747E-3</v>
      </c>
      <c r="J192">
        <f t="shared" si="61"/>
        <v>1.5062878416491747</v>
      </c>
      <c r="K192">
        <f t="shared" si="62"/>
        <v>22.811300603204884</v>
      </c>
      <c r="L192">
        <f t="shared" si="63"/>
        <v>544.80899999999997</v>
      </c>
      <c r="M192">
        <f t="shared" si="64"/>
        <v>152.05377201692366</v>
      </c>
      <c r="N192">
        <f t="shared" si="65"/>
        <v>15.081158058662563</v>
      </c>
      <c r="O192">
        <f t="shared" si="66"/>
        <v>54.035822536960204</v>
      </c>
      <c r="P192">
        <f t="shared" si="67"/>
        <v>9.7125246658844699E-2</v>
      </c>
      <c r="Q192">
        <f t="shared" si="68"/>
        <v>2.1297058081569298</v>
      </c>
      <c r="R192">
        <f t="shared" si="69"/>
        <v>9.4729926457877991E-2</v>
      </c>
      <c r="S192">
        <f t="shared" si="70"/>
        <v>5.9416493787840675E-2</v>
      </c>
      <c r="T192">
        <f t="shared" si="71"/>
        <v>276.11421996600001</v>
      </c>
      <c r="U192">
        <f t="shared" si="72"/>
        <v>28.16069877572339</v>
      </c>
      <c r="V192">
        <f t="shared" si="73"/>
        <v>28.16069877572339</v>
      </c>
      <c r="W192">
        <f t="shared" si="74"/>
        <v>3.8305360634427905</v>
      </c>
      <c r="X192">
        <f t="shared" si="75"/>
        <v>66.236199762542626</v>
      </c>
      <c r="Y192">
        <f t="shared" si="76"/>
        <v>2.3021974644304799</v>
      </c>
      <c r="Z192">
        <f t="shared" si="77"/>
        <v>3.4757390561111277</v>
      </c>
      <c r="AA192">
        <f t="shared" si="78"/>
        <v>1.5283385990123106</v>
      </c>
      <c r="AB192">
        <f t="shared" si="79"/>
        <v>-66.427293816728607</v>
      </c>
      <c r="AC192">
        <f t="shared" si="80"/>
        <v>-190.4807639518026</v>
      </c>
      <c r="AD192">
        <f t="shared" si="81"/>
        <v>-19.366332370743244</v>
      </c>
      <c r="AE192">
        <f t="shared" si="82"/>
        <v>-0.16017017327442318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52426.045529765826</v>
      </c>
      <c r="AK192">
        <f t="shared" si="86"/>
        <v>1800</v>
      </c>
      <c r="AL192">
        <f t="shared" si="87"/>
        <v>1499.1074585999997</v>
      </c>
      <c r="AM192">
        <f t="shared" si="88"/>
        <v>0.83283747699999988</v>
      </c>
      <c r="AN192">
        <f t="shared" si="89"/>
        <v>0.15339678886999999</v>
      </c>
      <c r="AO192">
        <v>32.4</v>
      </c>
      <c r="AP192">
        <v>0.5</v>
      </c>
      <c r="AQ192" t="s">
        <v>331</v>
      </c>
      <c r="AR192">
        <v>2</v>
      </c>
      <c r="AS192">
        <v>1690228565.5</v>
      </c>
      <c r="AT192">
        <v>544.80899999999997</v>
      </c>
      <c r="AU192">
        <v>799.92</v>
      </c>
      <c r="AV192">
        <v>23.211600000000001</v>
      </c>
      <c r="AW192">
        <v>7.3283899999999997</v>
      </c>
      <c r="AX192">
        <v>545.06899999999996</v>
      </c>
      <c r="AY192">
        <v>22.901599999999998</v>
      </c>
      <c r="AZ192">
        <v>300.13400000000001</v>
      </c>
      <c r="BA192">
        <v>99.083100000000002</v>
      </c>
      <c r="BB192">
        <v>9.9957799999999999E-2</v>
      </c>
      <c r="BC192">
        <v>26.5017</v>
      </c>
      <c r="BD192">
        <v>26.9894</v>
      </c>
      <c r="BE192">
        <v>28.038599999999999</v>
      </c>
      <c r="BF192">
        <v>0</v>
      </c>
      <c r="BG192">
        <v>0</v>
      </c>
      <c r="BH192">
        <v>9989.3799999999992</v>
      </c>
      <c r="BI192">
        <v>1072.3599999999999</v>
      </c>
      <c r="BJ192">
        <v>1.4577199999999999</v>
      </c>
      <c r="BK192">
        <v>-255.11099999999999</v>
      </c>
      <c r="BL192">
        <v>557.75599999999997</v>
      </c>
      <c r="BM192">
        <v>805.82500000000005</v>
      </c>
      <c r="BN192">
        <v>15.8832</v>
      </c>
      <c r="BO192">
        <v>799.92</v>
      </c>
      <c r="BP192">
        <v>7.3283899999999997</v>
      </c>
      <c r="BQ192">
        <v>2.2998799999999999</v>
      </c>
      <c r="BR192">
        <v>0.72611899999999996</v>
      </c>
      <c r="BS192">
        <v>19.6755</v>
      </c>
      <c r="BT192">
        <v>2.3395299999999999</v>
      </c>
      <c r="BU192">
        <v>1800</v>
      </c>
      <c r="BV192">
        <v>0.90998999999999997</v>
      </c>
      <c r="BW192">
        <v>3.4005399999999998E-2</v>
      </c>
      <c r="BX192">
        <v>2.1990599999999999E-2</v>
      </c>
      <c r="BY192">
        <v>3.4013700000000001E-2</v>
      </c>
      <c r="BZ192">
        <v>26</v>
      </c>
      <c r="CA192">
        <v>33528.5</v>
      </c>
      <c r="CB192">
        <v>1690226183.5999999</v>
      </c>
      <c r="CC192" t="s">
        <v>332</v>
      </c>
      <c r="CD192">
        <v>1690226177.5999999</v>
      </c>
      <c r="CE192">
        <v>1690226183.5999999</v>
      </c>
      <c r="CF192">
        <v>12</v>
      </c>
      <c r="CG192">
        <v>-0.255</v>
      </c>
      <c r="CH192">
        <v>0.113</v>
      </c>
      <c r="CI192">
        <v>-0.439</v>
      </c>
      <c r="CJ192">
        <v>0.31</v>
      </c>
      <c r="CK192">
        <v>800</v>
      </c>
      <c r="CL192">
        <v>25</v>
      </c>
      <c r="CM192">
        <v>0.02</v>
      </c>
      <c r="CN192">
        <v>0.03</v>
      </c>
      <c r="CO192">
        <v>-254.29695121951221</v>
      </c>
      <c r="CP192">
        <v>-4.7782578397213307</v>
      </c>
      <c r="CQ192">
        <v>0.47496341072013393</v>
      </c>
      <c r="CR192">
        <v>-1</v>
      </c>
      <c r="CS192">
        <v>15.7957</v>
      </c>
      <c r="CT192">
        <v>0.64651777003486188</v>
      </c>
      <c r="CU192">
        <v>6.4921554915782234E-2</v>
      </c>
      <c r="CV192">
        <v>-1</v>
      </c>
      <c r="CW192">
        <v>0</v>
      </c>
      <c r="CX192">
        <v>0</v>
      </c>
      <c r="CY192" t="s">
        <v>333</v>
      </c>
      <c r="CZ192">
        <v>2.3644699999999998</v>
      </c>
      <c r="DA192">
        <v>2.71374</v>
      </c>
      <c r="DB192">
        <v>0.112524</v>
      </c>
      <c r="DC192">
        <v>0.14611399999999999</v>
      </c>
      <c r="DD192">
        <v>0.110833</v>
      </c>
      <c r="DE192">
        <v>4.6368100000000002E-2</v>
      </c>
      <c r="DF192">
        <v>32412.7</v>
      </c>
      <c r="DG192">
        <v>27532.6</v>
      </c>
      <c r="DH192">
        <v>31179.1</v>
      </c>
      <c r="DI192">
        <v>28096.1</v>
      </c>
      <c r="DJ192">
        <v>37638.6</v>
      </c>
      <c r="DK192">
        <v>38105.699999999997</v>
      </c>
      <c r="DL192">
        <v>44373.5</v>
      </c>
      <c r="DM192">
        <v>42588.2</v>
      </c>
      <c r="DN192">
        <v>1.4817499999999999</v>
      </c>
      <c r="DO192">
        <v>2.0377999999999998</v>
      </c>
      <c r="DP192">
        <v>9.7248699999999993E-2</v>
      </c>
      <c r="DQ192">
        <v>0.175592</v>
      </c>
      <c r="DR192">
        <v>25.396899999999999</v>
      </c>
      <c r="DS192">
        <v>25.165099999999999</v>
      </c>
      <c r="DT192">
        <v>42.3</v>
      </c>
      <c r="DU192">
        <v>29.3</v>
      </c>
      <c r="DV192">
        <v>17.470600000000001</v>
      </c>
      <c r="DW192">
        <v>61.7224</v>
      </c>
      <c r="DX192">
        <v>36.157899999999998</v>
      </c>
      <c r="DY192">
        <v>1</v>
      </c>
      <c r="DZ192">
        <v>-9.1666700000000004E-2</v>
      </c>
      <c r="EA192">
        <v>0.19769100000000001</v>
      </c>
      <c r="EB192">
        <v>20.188800000000001</v>
      </c>
      <c r="EC192">
        <v>5.2408000000000001</v>
      </c>
      <c r="ED192">
        <v>12.039899999999999</v>
      </c>
      <c r="EE192">
        <v>5.0170500000000002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1.8646400000000001</v>
      </c>
      <c r="EM192">
        <v>1.8691899999999999</v>
      </c>
      <c r="EN192">
        <v>1.86724</v>
      </c>
      <c r="EO192">
        <v>1.8633999999999999</v>
      </c>
      <c r="EP192">
        <v>1.8645099999999999</v>
      </c>
      <c r="EQ192">
        <v>1.8701399999999999</v>
      </c>
      <c r="ER192">
        <v>1.8694200000000001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-0.26</v>
      </c>
      <c r="FG192">
        <v>0.31</v>
      </c>
      <c r="FH192">
        <v>0.1121710645629533</v>
      </c>
      <c r="FI192">
        <v>-6.1462078757559423E-4</v>
      </c>
      <c r="FJ192">
        <v>-1.8861989874597051E-7</v>
      </c>
      <c r="FK192">
        <v>1.1980462299894961E-10</v>
      </c>
      <c r="FL192">
        <v>0.30996499999999833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39.799999999999997</v>
      </c>
      <c r="FU192">
        <v>39.700000000000003</v>
      </c>
      <c r="FV192">
        <v>1.7724599999999999</v>
      </c>
      <c r="FW192">
        <v>2.5903299999999998</v>
      </c>
      <c r="FX192">
        <v>1.5490699999999999</v>
      </c>
      <c r="FY192">
        <v>2.32666</v>
      </c>
      <c r="FZ192">
        <v>1.50146</v>
      </c>
      <c r="GA192">
        <v>2.3315399999999999</v>
      </c>
      <c r="GB192">
        <v>33.963900000000002</v>
      </c>
      <c r="GC192">
        <v>23.982399999999998</v>
      </c>
      <c r="GD192">
        <v>19</v>
      </c>
      <c r="GE192">
        <v>285.23899999999998</v>
      </c>
      <c r="GF192">
        <v>584.24699999999996</v>
      </c>
      <c r="GG192">
        <v>24.469200000000001</v>
      </c>
      <c r="GH192">
        <v>26.222200000000001</v>
      </c>
      <c r="GI192">
        <v>30</v>
      </c>
      <c r="GJ192">
        <v>26.3477</v>
      </c>
      <c r="GK192">
        <v>26.330200000000001</v>
      </c>
      <c r="GL192">
        <v>35.443300000000001</v>
      </c>
      <c r="GM192">
        <v>56.571199999999997</v>
      </c>
      <c r="GN192">
        <v>52.499899999999997</v>
      </c>
      <c r="GO192">
        <v>24.484100000000002</v>
      </c>
      <c r="GP192">
        <v>800</v>
      </c>
      <c r="GQ192">
        <v>7.3307900000000004</v>
      </c>
      <c r="GR192">
        <v>99.763300000000001</v>
      </c>
      <c r="GS192">
        <v>99.624700000000004</v>
      </c>
    </row>
    <row r="193" spans="1:201" x14ac:dyDescent="0.25">
      <c r="A193">
        <v>177</v>
      </c>
      <c r="B193">
        <v>1690228575.5</v>
      </c>
      <c r="C193">
        <v>2005.900000095367</v>
      </c>
      <c r="D193" t="s">
        <v>685</v>
      </c>
      <c r="E193" t="s">
        <v>686</v>
      </c>
      <c r="F193" t="s">
        <v>330</v>
      </c>
      <c r="H193">
        <v>1690228575.5</v>
      </c>
      <c r="I193">
        <f t="shared" si="60"/>
        <v>1.511945621086212E-3</v>
      </c>
      <c r="J193">
        <f t="shared" si="61"/>
        <v>1.5119456210862119</v>
      </c>
      <c r="K193">
        <f t="shared" si="62"/>
        <v>22.879667816617346</v>
      </c>
      <c r="L193">
        <f t="shared" si="63"/>
        <v>543.98900000000003</v>
      </c>
      <c r="M193">
        <f t="shared" si="64"/>
        <v>151.46105490362478</v>
      </c>
      <c r="N193">
        <f t="shared" si="65"/>
        <v>15.021836829343814</v>
      </c>
      <c r="O193">
        <f t="shared" si="66"/>
        <v>53.952575466727104</v>
      </c>
      <c r="P193">
        <f t="shared" si="67"/>
        <v>9.7476027785353456E-2</v>
      </c>
      <c r="Q193">
        <f t="shared" si="68"/>
        <v>2.1311245632947893</v>
      </c>
      <c r="R193">
        <f t="shared" si="69"/>
        <v>9.5065168978837225E-2</v>
      </c>
      <c r="S193">
        <f t="shared" si="70"/>
        <v>5.9627370335298274E-2</v>
      </c>
      <c r="T193">
        <f t="shared" si="71"/>
        <v>276.11583000231133</v>
      </c>
      <c r="U193">
        <f t="shared" si="72"/>
        <v>28.155738335264203</v>
      </c>
      <c r="V193">
        <f t="shared" si="73"/>
        <v>28.155738335264203</v>
      </c>
      <c r="W193">
        <f t="shared" si="74"/>
        <v>3.8294298236874091</v>
      </c>
      <c r="X193">
        <f t="shared" si="75"/>
        <v>66.203700365327137</v>
      </c>
      <c r="Y193">
        <f t="shared" si="76"/>
        <v>2.3007965812723699</v>
      </c>
      <c r="Z193">
        <f t="shared" si="77"/>
        <v>3.4753292770283974</v>
      </c>
      <c r="AA193">
        <f t="shared" si="78"/>
        <v>1.5286332424150393</v>
      </c>
      <c r="AB193">
        <f t="shared" si="79"/>
        <v>-66.676801889901952</v>
      </c>
      <c r="AC193">
        <f t="shared" si="80"/>
        <v>-190.26752288840964</v>
      </c>
      <c r="AD193">
        <f t="shared" si="81"/>
        <v>-19.331101089922619</v>
      </c>
      <c r="AE193">
        <f t="shared" si="82"/>
        <v>-0.15959586592290975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52487.568763220806</v>
      </c>
      <c r="AK193">
        <f t="shared" si="86"/>
        <v>1800.01</v>
      </c>
      <c r="AL193">
        <f t="shared" si="87"/>
        <v>1499.11646377853</v>
      </c>
      <c r="AM193">
        <f t="shared" si="88"/>
        <v>0.83283785300000002</v>
      </c>
      <c r="AN193">
        <f t="shared" si="89"/>
        <v>0.15339683113000002</v>
      </c>
      <c r="AO193">
        <v>32.4</v>
      </c>
      <c r="AP193">
        <v>0.5</v>
      </c>
      <c r="AQ193" t="s">
        <v>331</v>
      </c>
      <c r="AR193">
        <v>2</v>
      </c>
      <c r="AS193">
        <v>1690228575.5</v>
      </c>
      <c r="AT193">
        <v>543.98900000000003</v>
      </c>
      <c r="AU193">
        <v>799.92700000000002</v>
      </c>
      <c r="AV193">
        <v>23.1983</v>
      </c>
      <c r="AW193">
        <v>7.2509100000000002</v>
      </c>
      <c r="AX193">
        <v>544.24800000000005</v>
      </c>
      <c r="AY193">
        <v>22.888300000000001</v>
      </c>
      <c r="AZ193">
        <v>300.053</v>
      </c>
      <c r="BA193">
        <v>99.079599999999999</v>
      </c>
      <c r="BB193">
        <v>9.9933900000000006E-2</v>
      </c>
      <c r="BC193">
        <v>26.499700000000001</v>
      </c>
      <c r="BD193">
        <v>26.974900000000002</v>
      </c>
      <c r="BE193">
        <v>28.038900000000002</v>
      </c>
      <c r="BF193">
        <v>0</v>
      </c>
      <c r="BG193">
        <v>0</v>
      </c>
      <c r="BH193">
        <v>10001.9</v>
      </c>
      <c r="BI193">
        <v>1072.46</v>
      </c>
      <c r="BJ193">
        <v>1.47594</v>
      </c>
      <c r="BK193">
        <v>-255.93799999999999</v>
      </c>
      <c r="BL193">
        <v>556.90800000000002</v>
      </c>
      <c r="BM193">
        <v>805.76900000000001</v>
      </c>
      <c r="BN193">
        <v>15.9474</v>
      </c>
      <c r="BO193">
        <v>799.92700000000002</v>
      </c>
      <c r="BP193">
        <v>7.2509100000000002</v>
      </c>
      <c r="BQ193">
        <v>2.2984800000000001</v>
      </c>
      <c r="BR193">
        <v>0.71841699999999997</v>
      </c>
      <c r="BS193">
        <v>19.665800000000001</v>
      </c>
      <c r="BT193">
        <v>2.18994</v>
      </c>
      <c r="BU193">
        <v>1800.01</v>
      </c>
      <c r="BV193">
        <v>0.90999099999999999</v>
      </c>
      <c r="BW193">
        <v>3.4005199999999999E-2</v>
      </c>
      <c r="BX193">
        <v>2.19904E-2</v>
      </c>
      <c r="BY193">
        <v>3.4013500000000002E-2</v>
      </c>
      <c r="BZ193">
        <v>26</v>
      </c>
      <c r="CA193">
        <v>33528.6</v>
      </c>
      <c r="CB193">
        <v>1690226183.5999999</v>
      </c>
      <c r="CC193" t="s">
        <v>332</v>
      </c>
      <c r="CD193">
        <v>1690226177.5999999</v>
      </c>
      <c r="CE193">
        <v>1690226183.5999999</v>
      </c>
      <c r="CF193">
        <v>12</v>
      </c>
      <c r="CG193">
        <v>-0.255</v>
      </c>
      <c r="CH193">
        <v>0.113</v>
      </c>
      <c r="CI193">
        <v>-0.439</v>
      </c>
      <c r="CJ193">
        <v>0.31</v>
      </c>
      <c r="CK193">
        <v>800</v>
      </c>
      <c r="CL193">
        <v>25</v>
      </c>
      <c r="CM193">
        <v>0.02</v>
      </c>
      <c r="CN193">
        <v>0.03</v>
      </c>
      <c r="CO193">
        <v>-255.14165</v>
      </c>
      <c r="CP193">
        <v>-4.9796397748590291</v>
      </c>
      <c r="CQ193">
        <v>0.48211759716899011</v>
      </c>
      <c r="CR193">
        <v>-1</v>
      </c>
      <c r="CS193">
        <v>15.88536</v>
      </c>
      <c r="CT193">
        <v>0.30465365853657461</v>
      </c>
      <c r="CU193">
        <v>2.9714590692116301E-2</v>
      </c>
      <c r="CV193">
        <v>-1</v>
      </c>
      <c r="CW193">
        <v>0</v>
      </c>
      <c r="CX193">
        <v>0</v>
      </c>
      <c r="CY193" t="s">
        <v>333</v>
      </c>
      <c r="CZ193">
        <v>2.3641999999999999</v>
      </c>
      <c r="DA193">
        <v>2.71373</v>
      </c>
      <c r="DB193">
        <v>0.112399</v>
      </c>
      <c r="DC193">
        <v>0.14610899999999999</v>
      </c>
      <c r="DD193">
        <v>0.11078499999999999</v>
      </c>
      <c r="DE193">
        <v>4.5974800000000003E-2</v>
      </c>
      <c r="DF193">
        <v>32417.3</v>
      </c>
      <c r="DG193">
        <v>27533.200000000001</v>
      </c>
      <c r="DH193">
        <v>31179.1</v>
      </c>
      <c r="DI193">
        <v>28096.6</v>
      </c>
      <c r="DJ193">
        <v>37640.6</v>
      </c>
      <c r="DK193">
        <v>38122</v>
      </c>
      <c r="DL193">
        <v>44373.4</v>
      </c>
      <c r="DM193">
        <v>42588.800000000003</v>
      </c>
      <c r="DN193">
        <v>1.4817199999999999</v>
      </c>
      <c r="DO193">
        <v>2.0375999999999999</v>
      </c>
      <c r="DP193">
        <v>9.6336000000000005E-2</v>
      </c>
      <c r="DQ193">
        <v>0.17560999999999999</v>
      </c>
      <c r="DR193">
        <v>25.397300000000001</v>
      </c>
      <c r="DS193">
        <v>25.165099999999999</v>
      </c>
      <c r="DT193">
        <v>41.9</v>
      </c>
      <c r="DU193">
        <v>29.3</v>
      </c>
      <c r="DV193">
        <v>17.305299999999999</v>
      </c>
      <c r="DW193">
        <v>61.502400000000002</v>
      </c>
      <c r="DX193">
        <v>36.618600000000001</v>
      </c>
      <c r="DY193">
        <v>1</v>
      </c>
      <c r="DZ193">
        <v>-9.2568600000000001E-2</v>
      </c>
      <c r="EA193">
        <v>0.10892400000000001</v>
      </c>
      <c r="EB193">
        <v>20.189499999999999</v>
      </c>
      <c r="EC193">
        <v>5.2408000000000001</v>
      </c>
      <c r="ED193">
        <v>12.039899999999999</v>
      </c>
      <c r="EE193">
        <v>5.0174000000000003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1.8691599999999999</v>
      </c>
      <c r="EN193">
        <v>1.8672299999999999</v>
      </c>
      <c r="EO193">
        <v>1.8633999999999999</v>
      </c>
      <c r="EP193">
        <v>1.8645099999999999</v>
      </c>
      <c r="EQ193">
        <v>1.87012</v>
      </c>
      <c r="ER193">
        <v>1.86941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-0.25900000000000001</v>
      </c>
      <c r="FG193">
        <v>0.31</v>
      </c>
      <c r="FH193">
        <v>0.1121710645629533</v>
      </c>
      <c r="FI193">
        <v>-6.1462078757559423E-4</v>
      </c>
      <c r="FJ193">
        <v>-1.8861989874597051E-7</v>
      </c>
      <c r="FK193">
        <v>1.1980462299894961E-10</v>
      </c>
      <c r="FL193">
        <v>0.30996499999999833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40</v>
      </c>
      <c r="FU193">
        <v>39.9</v>
      </c>
      <c r="FV193">
        <v>1.7724599999999999</v>
      </c>
      <c r="FW193">
        <v>2.5866699999999998</v>
      </c>
      <c r="FX193">
        <v>1.5490699999999999</v>
      </c>
      <c r="FY193">
        <v>2.32666</v>
      </c>
      <c r="FZ193">
        <v>1.50146</v>
      </c>
      <c r="GA193">
        <v>2.2912599999999999</v>
      </c>
      <c r="GB193">
        <v>33.941299999999998</v>
      </c>
      <c r="GC193">
        <v>23.982399999999998</v>
      </c>
      <c r="GD193">
        <v>19</v>
      </c>
      <c r="GE193">
        <v>285.221</v>
      </c>
      <c r="GF193">
        <v>584.08100000000002</v>
      </c>
      <c r="GG193">
        <v>24.488199999999999</v>
      </c>
      <c r="GH193">
        <v>26.223500000000001</v>
      </c>
      <c r="GI193">
        <v>29.9999</v>
      </c>
      <c r="GJ193">
        <v>26.346299999999999</v>
      </c>
      <c r="GK193">
        <v>26.330200000000001</v>
      </c>
      <c r="GL193">
        <v>35.442300000000003</v>
      </c>
      <c r="GM193">
        <v>56.571199999999997</v>
      </c>
      <c r="GN193">
        <v>52.121699999999997</v>
      </c>
      <c r="GO193">
        <v>24.496400000000001</v>
      </c>
      <c r="GP193">
        <v>800</v>
      </c>
      <c r="GQ193">
        <v>7.2639399999999998</v>
      </c>
      <c r="GR193">
        <v>99.763400000000004</v>
      </c>
      <c r="GS193">
        <v>99.626099999999994</v>
      </c>
    </row>
    <row r="194" spans="1:201" x14ac:dyDescent="0.25">
      <c r="A194">
        <v>178</v>
      </c>
      <c r="B194">
        <v>1690228585.5</v>
      </c>
      <c r="C194">
        <v>2015.900000095367</v>
      </c>
      <c r="D194" t="s">
        <v>687</v>
      </c>
      <c r="E194" t="s">
        <v>688</v>
      </c>
      <c r="F194" t="s">
        <v>330</v>
      </c>
      <c r="H194">
        <v>1690228585.5</v>
      </c>
      <c r="I194">
        <f t="shared" si="60"/>
        <v>1.5173919084909963E-3</v>
      </c>
      <c r="J194">
        <f t="shared" si="61"/>
        <v>1.5173919084909964</v>
      </c>
      <c r="K194">
        <f t="shared" si="62"/>
        <v>22.957626022599939</v>
      </c>
      <c r="L194">
        <f t="shared" si="63"/>
        <v>543.32399999999996</v>
      </c>
      <c r="M194">
        <f t="shared" si="64"/>
        <v>150.84824255979072</v>
      </c>
      <c r="N194">
        <f t="shared" si="65"/>
        <v>14.960867427923931</v>
      </c>
      <c r="O194">
        <f t="shared" si="66"/>
        <v>53.885933282831999</v>
      </c>
      <c r="P194">
        <f t="shared" si="67"/>
        <v>9.7824197883943212E-2</v>
      </c>
      <c r="Q194">
        <f t="shared" si="68"/>
        <v>2.131913143039561</v>
      </c>
      <c r="R194">
        <f t="shared" si="69"/>
        <v>9.539719093746446E-2</v>
      </c>
      <c r="S194">
        <f t="shared" si="70"/>
        <v>5.9836286061967114E-2</v>
      </c>
      <c r="T194">
        <f t="shared" si="71"/>
        <v>276.11434636199994</v>
      </c>
      <c r="U194">
        <f t="shared" si="72"/>
        <v>28.150176322914028</v>
      </c>
      <c r="V194">
        <f t="shared" si="73"/>
        <v>28.150176322914028</v>
      </c>
      <c r="W194">
        <f t="shared" si="74"/>
        <v>3.8281897573994947</v>
      </c>
      <c r="X194">
        <f t="shared" si="75"/>
        <v>66.175280539959857</v>
      </c>
      <c r="Y194">
        <f t="shared" si="76"/>
        <v>2.2993886366192</v>
      </c>
      <c r="Z194">
        <f t="shared" si="77"/>
        <v>3.4746942028159853</v>
      </c>
      <c r="AA194">
        <f t="shared" si="78"/>
        <v>1.5288011207802947</v>
      </c>
      <c r="AB194">
        <f t="shared" si="79"/>
        <v>-66.91698316445293</v>
      </c>
      <c r="AC194">
        <f t="shared" si="80"/>
        <v>-190.05495443889612</v>
      </c>
      <c r="AD194">
        <f t="shared" si="81"/>
        <v>-19.301526279655558</v>
      </c>
      <c r="AE194">
        <f t="shared" si="82"/>
        <v>-0.15911752100464582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52522.147672973086</v>
      </c>
      <c r="AK194">
        <f t="shared" si="86"/>
        <v>1800</v>
      </c>
      <c r="AL194">
        <f t="shared" si="87"/>
        <v>1499.1080111999997</v>
      </c>
      <c r="AM194">
        <f t="shared" si="88"/>
        <v>0.83283778399999986</v>
      </c>
      <c r="AN194">
        <f t="shared" si="89"/>
        <v>0.15339685908999998</v>
      </c>
      <c r="AO194">
        <v>32.4</v>
      </c>
      <c r="AP194">
        <v>0.5</v>
      </c>
      <c r="AQ194" t="s">
        <v>331</v>
      </c>
      <c r="AR194">
        <v>2</v>
      </c>
      <c r="AS194">
        <v>1690228585.5</v>
      </c>
      <c r="AT194">
        <v>543.32399999999996</v>
      </c>
      <c r="AU194">
        <v>800.06500000000005</v>
      </c>
      <c r="AV194">
        <v>23.1844</v>
      </c>
      <c r="AW194">
        <v>7.1830699999999998</v>
      </c>
      <c r="AX194">
        <v>543.58199999999999</v>
      </c>
      <c r="AY194">
        <v>22.874500000000001</v>
      </c>
      <c r="AZ194">
        <v>300.12299999999999</v>
      </c>
      <c r="BA194">
        <v>99.078299999999999</v>
      </c>
      <c r="BB194">
        <v>9.9968000000000001E-2</v>
      </c>
      <c r="BC194">
        <v>26.496600000000001</v>
      </c>
      <c r="BD194">
        <v>26.997699999999998</v>
      </c>
      <c r="BE194">
        <v>28.029800000000002</v>
      </c>
      <c r="BF194">
        <v>0</v>
      </c>
      <c r="BG194">
        <v>0</v>
      </c>
      <c r="BH194">
        <v>10008.799999999999</v>
      </c>
      <c r="BI194">
        <v>1072.6099999999999</v>
      </c>
      <c r="BJ194">
        <v>1.5137799999999999</v>
      </c>
      <c r="BK194">
        <v>-256.74099999999999</v>
      </c>
      <c r="BL194">
        <v>556.22</v>
      </c>
      <c r="BM194">
        <v>805.85400000000004</v>
      </c>
      <c r="BN194">
        <v>16.0014</v>
      </c>
      <c r="BO194">
        <v>800.06500000000005</v>
      </c>
      <c r="BP194">
        <v>7.1830699999999998</v>
      </c>
      <c r="BQ194">
        <v>2.2970700000000002</v>
      </c>
      <c r="BR194">
        <v>0.71168600000000004</v>
      </c>
      <c r="BS194">
        <v>19.655899999999999</v>
      </c>
      <c r="BT194">
        <v>2.0580400000000001</v>
      </c>
      <c r="BU194">
        <v>1800</v>
      </c>
      <c r="BV194">
        <v>0.90998999999999997</v>
      </c>
      <c r="BW194">
        <v>3.4005500000000001E-2</v>
      </c>
      <c r="BX194">
        <v>2.1990699999999998E-2</v>
      </c>
      <c r="BY194">
        <v>3.40139E-2</v>
      </c>
      <c r="BZ194">
        <v>26</v>
      </c>
      <c r="CA194">
        <v>33528.5</v>
      </c>
      <c r="CB194">
        <v>1690226183.5999999</v>
      </c>
      <c r="CC194" t="s">
        <v>332</v>
      </c>
      <c r="CD194">
        <v>1690226177.5999999</v>
      </c>
      <c r="CE194">
        <v>1690226183.5999999</v>
      </c>
      <c r="CF194">
        <v>12</v>
      </c>
      <c r="CG194">
        <v>-0.255</v>
      </c>
      <c r="CH194">
        <v>0.113</v>
      </c>
      <c r="CI194">
        <v>-0.439</v>
      </c>
      <c r="CJ194">
        <v>0.31</v>
      </c>
      <c r="CK194">
        <v>800</v>
      </c>
      <c r="CL194">
        <v>25</v>
      </c>
      <c r="CM194">
        <v>0.02</v>
      </c>
      <c r="CN194">
        <v>0.03</v>
      </c>
      <c r="CO194">
        <v>-255.93690243902441</v>
      </c>
      <c r="CP194">
        <v>-4.6285505226483812</v>
      </c>
      <c r="CQ194">
        <v>0.46041305976677921</v>
      </c>
      <c r="CR194">
        <v>-1</v>
      </c>
      <c r="CS194">
        <v>15.94096097560975</v>
      </c>
      <c r="CT194">
        <v>0.35843414634145399</v>
      </c>
      <c r="CU194">
        <v>3.5552317190090117E-2</v>
      </c>
      <c r="CV194">
        <v>-1</v>
      </c>
      <c r="CW194">
        <v>0</v>
      </c>
      <c r="CX194">
        <v>0</v>
      </c>
      <c r="CY194" t="s">
        <v>333</v>
      </c>
      <c r="CZ194">
        <v>2.36443</v>
      </c>
      <c r="DA194">
        <v>2.7137699999999998</v>
      </c>
      <c r="DB194">
        <v>0.112298</v>
      </c>
      <c r="DC194">
        <v>0.146123</v>
      </c>
      <c r="DD194">
        <v>0.110736</v>
      </c>
      <c r="DE194">
        <v>4.5629999999999997E-2</v>
      </c>
      <c r="DF194">
        <v>32421</v>
      </c>
      <c r="DG194">
        <v>27532.2</v>
      </c>
      <c r="DH194">
        <v>31179.200000000001</v>
      </c>
      <c r="DI194">
        <v>28096</v>
      </c>
      <c r="DJ194">
        <v>37642.800000000003</v>
      </c>
      <c r="DK194">
        <v>38134.9</v>
      </c>
      <c r="DL194">
        <v>44373.5</v>
      </c>
      <c r="DM194">
        <v>42587.8</v>
      </c>
      <c r="DN194">
        <v>1.4819</v>
      </c>
      <c r="DO194">
        <v>2.03748</v>
      </c>
      <c r="DP194">
        <v>9.7807500000000006E-2</v>
      </c>
      <c r="DQ194">
        <v>0.175182</v>
      </c>
      <c r="DR194">
        <v>25.396100000000001</v>
      </c>
      <c r="DS194">
        <v>25.163</v>
      </c>
      <c r="DT194">
        <v>41.7</v>
      </c>
      <c r="DU194">
        <v>29.3</v>
      </c>
      <c r="DV194">
        <v>17.2209</v>
      </c>
      <c r="DW194">
        <v>61.372399999999999</v>
      </c>
      <c r="DX194">
        <v>37.119399999999999</v>
      </c>
      <c r="DY194">
        <v>1</v>
      </c>
      <c r="DZ194">
        <v>-9.2482200000000001E-2</v>
      </c>
      <c r="EA194">
        <v>4.3191699999999998E-3</v>
      </c>
      <c r="EB194">
        <v>20.189299999999999</v>
      </c>
      <c r="EC194">
        <v>5.2409499999999998</v>
      </c>
      <c r="ED194">
        <v>12.039899999999999</v>
      </c>
      <c r="EE194">
        <v>5.0172499999999998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1.86463</v>
      </c>
      <c r="EM194">
        <v>1.8691899999999999</v>
      </c>
      <c r="EN194">
        <v>1.86724</v>
      </c>
      <c r="EO194">
        <v>1.8633999999999999</v>
      </c>
      <c r="EP194">
        <v>1.86452</v>
      </c>
      <c r="EQ194">
        <v>1.8701300000000001</v>
      </c>
      <c r="ER194">
        <v>1.86941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-0.25800000000000001</v>
      </c>
      <c r="FG194">
        <v>0.30990000000000001</v>
      </c>
      <c r="FH194">
        <v>0.1121710645629533</v>
      </c>
      <c r="FI194">
        <v>-6.1462078757559423E-4</v>
      </c>
      <c r="FJ194">
        <v>-1.8861989874597051E-7</v>
      </c>
      <c r="FK194">
        <v>1.1980462299894961E-10</v>
      </c>
      <c r="FL194">
        <v>0.30996499999999833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40.1</v>
      </c>
      <c r="FU194">
        <v>40</v>
      </c>
      <c r="FV194">
        <v>1.7724599999999999</v>
      </c>
      <c r="FW194">
        <v>2.5891099999999998</v>
      </c>
      <c r="FX194">
        <v>1.5490699999999999</v>
      </c>
      <c r="FY194">
        <v>2.3278799999999999</v>
      </c>
      <c r="FZ194">
        <v>1.50146</v>
      </c>
      <c r="GA194">
        <v>2.2729499999999998</v>
      </c>
      <c r="GB194">
        <v>33.941299999999998</v>
      </c>
      <c r="GC194">
        <v>23.982399999999998</v>
      </c>
      <c r="GD194">
        <v>19</v>
      </c>
      <c r="GE194">
        <v>285.303</v>
      </c>
      <c r="GF194">
        <v>583.97799999999995</v>
      </c>
      <c r="GG194">
        <v>24.5319</v>
      </c>
      <c r="GH194">
        <v>26.224399999999999</v>
      </c>
      <c r="GI194">
        <v>30</v>
      </c>
      <c r="GJ194">
        <v>26.3477</v>
      </c>
      <c r="GK194">
        <v>26.330200000000001</v>
      </c>
      <c r="GL194">
        <v>35.440100000000001</v>
      </c>
      <c r="GM194">
        <v>56.571199999999997</v>
      </c>
      <c r="GN194">
        <v>51.370100000000001</v>
      </c>
      <c r="GO194">
        <v>24.540299999999998</v>
      </c>
      <c r="GP194">
        <v>800</v>
      </c>
      <c r="GQ194">
        <v>7.2062099999999996</v>
      </c>
      <c r="GR194">
        <v>99.763499999999993</v>
      </c>
      <c r="GS194">
        <v>99.623999999999995</v>
      </c>
    </row>
    <row r="195" spans="1:201" x14ac:dyDescent="0.25">
      <c r="A195">
        <v>179</v>
      </c>
      <c r="B195">
        <v>1690228595.5</v>
      </c>
      <c r="C195">
        <v>2025.900000095367</v>
      </c>
      <c r="D195" t="s">
        <v>689</v>
      </c>
      <c r="E195" t="s">
        <v>690</v>
      </c>
      <c r="F195" t="s">
        <v>330</v>
      </c>
      <c r="H195">
        <v>1690228595.5</v>
      </c>
      <c r="I195">
        <f t="shared" si="60"/>
        <v>1.523196818760652E-3</v>
      </c>
      <c r="J195">
        <f t="shared" si="61"/>
        <v>1.5231968187606519</v>
      </c>
      <c r="K195">
        <f t="shared" si="62"/>
        <v>23.009814543826849</v>
      </c>
      <c r="L195">
        <f t="shared" si="63"/>
        <v>542.59299999999996</v>
      </c>
      <c r="M195">
        <f t="shared" si="64"/>
        <v>149.93506949473425</v>
      </c>
      <c r="N195">
        <f t="shared" si="65"/>
        <v>14.870225822289264</v>
      </c>
      <c r="O195">
        <f t="shared" si="66"/>
        <v>53.813163703350696</v>
      </c>
      <c r="P195">
        <f t="shared" si="67"/>
        <v>9.8003835736643966E-2</v>
      </c>
      <c r="Q195">
        <f t="shared" si="68"/>
        <v>2.1311733092066154</v>
      </c>
      <c r="R195">
        <f t="shared" si="69"/>
        <v>9.5567203609126572E-2</v>
      </c>
      <c r="S195">
        <f t="shared" si="70"/>
        <v>5.9943378170709383E-2</v>
      </c>
      <c r="T195">
        <f t="shared" si="71"/>
        <v>276.1129677685459</v>
      </c>
      <c r="U195">
        <f t="shared" si="72"/>
        <v>28.160944151174245</v>
      </c>
      <c r="V195">
        <f t="shared" si="73"/>
        <v>28.160944151174245</v>
      </c>
      <c r="W195">
        <f t="shared" si="74"/>
        <v>3.8305907924476874</v>
      </c>
      <c r="X195">
        <f t="shared" si="75"/>
        <v>66.107301952117012</v>
      </c>
      <c r="Y195">
        <f t="shared" si="76"/>
        <v>2.2986927618572501</v>
      </c>
      <c r="Z195">
        <f t="shared" si="77"/>
        <v>3.4772146101534207</v>
      </c>
      <c r="AA195">
        <f t="shared" si="78"/>
        <v>1.5318980305904373</v>
      </c>
      <c r="AB195">
        <f t="shared" si="79"/>
        <v>-67.172979707344751</v>
      </c>
      <c r="AC195">
        <f t="shared" si="80"/>
        <v>-189.81295990187226</v>
      </c>
      <c r="AD195">
        <f t="shared" si="81"/>
        <v>-19.285863426972568</v>
      </c>
      <c r="AE195">
        <f t="shared" si="82"/>
        <v>-0.15883526764369549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52488.022625396588</v>
      </c>
      <c r="AK195">
        <f t="shared" si="86"/>
        <v>1799.99</v>
      </c>
      <c r="AL195">
        <f t="shared" si="87"/>
        <v>1499.1003614183899</v>
      </c>
      <c r="AM195">
        <f t="shared" si="88"/>
        <v>0.83283816099999997</v>
      </c>
      <c r="AN195">
        <f t="shared" si="89"/>
        <v>0.15339694540999999</v>
      </c>
      <c r="AO195">
        <v>32.4</v>
      </c>
      <c r="AP195">
        <v>0.5</v>
      </c>
      <c r="AQ195" t="s">
        <v>331</v>
      </c>
      <c r="AR195">
        <v>2</v>
      </c>
      <c r="AS195">
        <v>1690228595.5</v>
      </c>
      <c r="AT195">
        <v>542.59299999999996</v>
      </c>
      <c r="AU195">
        <v>799.89800000000002</v>
      </c>
      <c r="AV195">
        <v>23.177499999999998</v>
      </c>
      <c r="AW195">
        <v>7.1161799999999999</v>
      </c>
      <c r="AX195">
        <v>542.851</v>
      </c>
      <c r="AY195">
        <v>22.8675</v>
      </c>
      <c r="AZ195">
        <v>300.14800000000002</v>
      </c>
      <c r="BA195">
        <v>99.077799999999996</v>
      </c>
      <c r="BB195">
        <v>9.99699E-2</v>
      </c>
      <c r="BC195">
        <v>26.508900000000001</v>
      </c>
      <c r="BD195">
        <v>27.0093</v>
      </c>
      <c r="BE195">
        <v>28.018599999999999</v>
      </c>
      <c r="BF195">
        <v>0</v>
      </c>
      <c r="BG195">
        <v>0</v>
      </c>
      <c r="BH195">
        <v>10002.5</v>
      </c>
      <c r="BI195">
        <v>1072.73</v>
      </c>
      <c r="BJ195">
        <v>1.5137799999999999</v>
      </c>
      <c r="BK195">
        <v>-257.30500000000001</v>
      </c>
      <c r="BL195">
        <v>555.46699999999998</v>
      </c>
      <c r="BM195">
        <v>805.63099999999997</v>
      </c>
      <c r="BN195">
        <v>16.061299999999999</v>
      </c>
      <c r="BO195">
        <v>799.89800000000002</v>
      </c>
      <c r="BP195">
        <v>7.1161799999999999</v>
      </c>
      <c r="BQ195">
        <v>2.2963800000000001</v>
      </c>
      <c r="BR195">
        <v>0.70505600000000002</v>
      </c>
      <c r="BS195">
        <v>19.651</v>
      </c>
      <c r="BT195">
        <v>1.92702</v>
      </c>
      <c r="BU195">
        <v>1799.99</v>
      </c>
      <c r="BV195">
        <v>0.90998999999999997</v>
      </c>
      <c r="BW195">
        <v>3.40057E-2</v>
      </c>
      <c r="BX195">
        <v>2.1990800000000001E-2</v>
      </c>
      <c r="BY195">
        <v>3.4014099999999999E-2</v>
      </c>
      <c r="BZ195">
        <v>26</v>
      </c>
      <c r="CA195">
        <v>33528.300000000003</v>
      </c>
      <c r="CB195">
        <v>1690226183.5999999</v>
      </c>
      <c r="CC195" t="s">
        <v>332</v>
      </c>
      <c r="CD195">
        <v>1690226177.5999999</v>
      </c>
      <c r="CE195">
        <v>1690226183.5999999</v>
      </c>
      <c r="CF195">
        <v>12</v>
      </c>
      <c r="CG195">
        <v>-0.255</v>
      </c>
      <c r="CH195">
        <v>0.113</v>
      </c>
      <c r="CI195">
        <v>-0.439</v>
      </c>
      <c r="CJ195">
        <v>0.31</v>
      </c>
      <c r="CK195">
        <v>800</v>
      </c>
      <c r="CL195">
        <v>25</v>
      </c>
      <c r="CM195">
        <v>0.02</v>
      </c>
      <c r="CN195">
        <v>0.03</v>
      </c>
      <c r="CO195">
        <v>-256.6943658536585</v>
      </c>
      <c r="CP195">
        <v>-4.7446411149830237</v>
      </c>
      <c r="CQ195">
        <v>0.47332172094353842</v>
      </c>
      <c r="CR195">
        <v>-1</v>
      </c>
      <c r="CS195">
        <v>16.0005243902439</v>
      </c>
      <c r="CT195">
        <v>0.35361951219512328</v>
      </c>
      <c r="CU195">
        <v>3.5198148374856568E-2</v>
      </c>
      <c r="CV195">
        <v>-1</v>
      </c>
      <c r="CW195">
        <v>0</v>
      </c>
      <c r="CX195">
        <v>0</v>
      </c>
      <c r="CY195" t="s">
        <v>333</v>
      </c>
      <c r="CZ195">
        <v>2.3645</v>
      </c>
      <c r="DA195">
        <v>2.7137600000000002</v>
      </c>
      <c r="DB195">
        <v>0.112189</v>
      </c>
      <c r="DC195">
        <v>0.14610000000000001</v>
      </c>
      <c r="DD195">
        <v>0.110712</v>
      </c>
      <c r="DE195">
        <v>4.52894E-2</v>
      </c>
      <c r="DF195">
        <v>32424.5</v>
      </c>
      <c r="DG195">
        <v>27533.1</v>
      </c>
      <c r="DH195">
        <v>31178.7</v>
      </c>
      <c r="DI195">
        <v>28096.2</v>
      </c>
      <c r="DJ195">
        <v>37643.199999999997</v>
      </c>
      <c r="DK195">
        <v>38148.800000000003</v>
      </c>
      <c r="DL195">
        <v>44372.800000000003</v>
      </c>
      <c r="DM195">
        <v>42588.1</v>
      </c>
      <c r="DN195">
        <v>1.48207</v>
      </c>
      <c r="DO195">
        <v>2.0375200000000002</v>
      </c>
      <c r="DP195">
        <v>9.8571199999999998E-2</v>
      </c>
      <c r="DQ195">
        <v>0.17469699999999999</v>
      </c>
      <c r="DR195">
        <v>25.395199999999999</v>
      </c>
      <c r="DS195">
        <v>25.159700000000001</v>
      </c>
      <c r="DT195">
        <v>41.4</v>
      </c>
      <c r="DU195">
        <v>29.3</v>
      </c>
      <c r="DV195">
        <v>17.097999999999999</v>
      </c>
      <c r="DW195">
        <v>61.932400000000001</v>
      </c>
      <c r="DX195">
        <v>37.067300000000003</v>
      </c>
      <c r="DY195">
        <v>1</v>
      </c>
      <c r="DZ195">
        <v>-9.2329800000000004E-2</v>
      </c>
      <c r="EA195">
        <v>4.8308799999999999E-2</v>
      </c>
      <c r="EB195">
        <v>20.189299999999999</v>
      </c>
      <c r="EC195">
        <v>5.2408000000000001</v>
      </c>
      <c r="ED195">
        <v>12.039899999999999</v>
      </c>
      <c r="EE195">
        <v>5.01675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1.8646199999999999</v>
      </c>
      <c r="EM195">
        <v>1.86917</v>
      </c>
      <c r="EN195">
        <v>1.8672299999999999</v>
      </c>
      <c r="EO195">
        <v>1.8633999999999999</v>
      </c>
      <c r="EP195">
        <v>1.86449</v>
      </c>
      <c r="EQ195">
        <v>1.87012</v>
      </c>
      <c r="ER195">
        <v>1.8694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-0.25800000000000001</v>
      </c>
      <c r="FG195">
        <v>0.31</v>
      </c>
      <c r="FH195">
        <v>0.1121710645629533</v>
      </c>
      <c r="FI195">
        <v>-6.1462078757559423E-4</v>
      </c>
      <c r="FJ195">
        <v>-1.8861989874597051E-7</v>
      </c>
      <c r="FK195">
        <v>1.1980462299894961E-10</v>
      </c>
      <c r="FL195">
        <v>0.30996499999999833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40.299999999999997</v>
      </c>
      <c r="FU195">
        <v>40.200000000000003</v>
      </c>
      <c r="FV195">
        <v>1.7724599999999999</v>
      </c>
      <c r="FW195">
        <v>2.5854499999999998</v>
      </c>
      <c r="FX195">
        <v>1.5490699999999999</v>
      </c>
      <c r="FY195">
        <v>2.32666</v>
      </c>
      <c r="FZ195">
        <v>1.50146</v>
      </c>
      <c r="GA195">
        <v>2.3852500000000001</v>
      </c>
      <c r="GB195">
        <v>33.963900000000002</v>
      </c>
      <c r="GC195">
        <v>23.991199999999999</v>
      </c>
      <c r="GD195">
        <v>19</v>
      </c>
      <c r="GE195">
        <v>285.38</v>
      </c>
      <c r="GF195">
        <v>584.02</v>
      </c>
      <c r="GG195">
        <v>24.553999999999998</v>
      </c>
      <c r="GH195">
        <v>26.224399999999999</v>
      </c>
      <c r="GI195">
        <v>30.0002</v>
      </c>
      <c r="GJ195">
        <v>26.348199999999999</v>
      </c>
      <c r="GK195">
        <v>26.330200000000001</v>
      </c>
      <c r="GL195">
        <v>35.441499999999998</v>
      </c>
      <c r="GM195">
        <v>56.571199999999997</v>
      </c>
      <c r="GN195">
        <v>50.997700000000002</v>
      </c>
      <c r="GO195">
        <v>24.5548</v>
      </c>
      <c r="GP195">
        <v>800</v>
      </c>
      <c r="GQ195">
        <v>7.1419300000000003</v>
      </c>
      <c r="GR195">
        <v>99.762</v>
      </c>
      <c r="GS195">
        <v>99.624600000000001</v>
      </c>
    </row>
    <row r="196" spans="1:201" x14ac:dyDescent="0.25">
      <c r="A196">
        <v>180</v>
      </c>
      <c r="B196">
        <v>1690228605.5</v>
      </c>
      <c r="C196">
        <v>2035.900000095367</v>
      </c>
      <c r="D196" t="s">
        <v>691</v>
      </c>
      <c r="E196" t="s">
        <v>692</v>
      </c>
      <c r="F196" t="s">
        <v>330</v>
      </c>
      <c r="H196">
        <v>1690228605.5</v>
      </c>
      <c r="I196">
        <f t="shared" si="60"/>
        <v>1.5289301539971865E-3</v>
      </c>
      <c r="J196">
        <f t="shared" si="61"/>
        <v>1.5289301539971865</v>
      </c>
      <c r="K196">
        <f t="shared" si="62"/>
        <v>23.073028024812231</v>
      </c>
      <c r="L196">
        <f t="shared" si="63"/>
        <v>541.93700000000001</v>
      </c>
      <c r="M196">
        <f t="shared" si="64"/>
        <v>149.57435092900732</v>
      </c>
      <c r="N196">
        <f t="shared" si="65"/>
        <v>14.83460448634348</v>
      </c>
      <c r="O196">
        <f t="shared" si="66"/>
        <v>53.748660793662999</v>
      </c>
      <c r="P196">
        <f t="shared" si="67"/>
        <v>9.835460843684414E-2</v>
      </c>
      <c r="Q196">
        <f t="shared" si="68"/>
        <v>2.1300915140618146</v>
      </c>
      <c r="R196">
        <f t="shared" si="69"/>
        <v>9.5899525321478052E-2</v>
      </c>
      <c r="S196">
        <f t="shared" si="70"/>
        <v>6.0152678545799032E-2</v>
      </c>
      <c r="T196">
        <f t="shared" si="71"/>
        <v>276.114308886</v>
      </c>
      <c r="U196">
        <f t="shared" si="72"/>
        <v>28.159217613162475</v>
      </c>
      <c r="V196">
        <f t="shared" si="73"/>
        <v>28.159217613162475</v>
      </c>
      <c r="W196">
        <f t="shared" si="74"/>
        <v>3.830205716628404</v>
      </c>
      <c r="X196">
        <f t="shared" si="75"/>
        <v>66.08483588701452</v>
      </c>
      <c r="Y196">
        <f t="shared" si="76"/>
        <v>2.2978438403913</v>
      </c>
      <c r="Z196">
        <f t="shared" si="77"/>
        <v>3.4771121234528479</v>
      </c>
      <c r="AA196">
        <f t="shared" si="78"/>
        <v>1.5323618762371041</v>
      </c>
      <c r="AB196">
        <f t="shared" si="79"/>
        <v>-67.425819791275927</v>
      </c>
      <c r="AC196">
        <f t="shared" si="80"/>
        <v>-189.57575726146553</v>
      </c>
      <c r="AD196">
        <f t="shared" si="81"/>
        <v>-19.271330377074808</v>
      </c>
      <c r="AE196">
        <f t="shared" si="82"/>
        <v>-0.15859854381628224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52441.426314159609</v>
      </c>
      <c r="AK196">
        <f t="shared" si="86"/>
        <v>1800</v>
      </c>
      <c r="AL196">
        <f t="shared" si="87"/>
        <v>1499.1071795999999</v>
      </c>
      <c r="AM196">
        <f t="shared" si="88"/>
        <v>0.83283732199999994</v>
      </c>
      <c r="AN196">
        <f t="shared" si="89"/>
        <v>0.15339683827</v>
      </c>
      <c r="AO196">
        <v>32.4</v>
      </c>
      <c r="AP196">
        <v>0.5</v>
      </c>
      <c r="AQ196" t="s">
        <v>331</v>
      </c>
      <c r="AR196">
        <v>2</v>
      </c>
      <c r="AS196">
        <v>1690228605.5</v>
      </c>
      <c r="AT196">
        <v>541.93700000000001</v>
      </c>
      <c r="AU196">
        <v>799.95399999999995</v>
      </c>
      <c r="AV196">
        <v>23.168700000000001</v>
      </c>
      <c r="AW196">
        <v>7.0463500000000003</v>
      </c>
      <c r="AX196">
        <v>542.19500000000005</v>
      </c>
      <c r="AY196">
        <v>22.858699999999999</v>
      </c>
      <c r="AZ196">
        <v>300.14</v>
      </c>
      <c r="BA196">
        <v>99.078800000000001</v>
      </c>
      <c r="BB196">
        <v>9.9999000000000005E-2</v>
      </c>
      <c r="BC196">
        <v>26.508400000000002</v>
      </c>
      <c r="BD196">
        <v>27.009</v>
      </c>
      <c r="BE196">
        <v>28.051200000000001</v>
      </c>
      <c r="BF196">
        <v>0</v>
      </c>
      <c r="BG196">
        <v>0</v>
      </c>
      <c r="BH196">
        <v>9993.1200000000008</v>
      </c>
      <c r="BI196">
        <v>1072.8</v>
      </c>
      <c r="BJ196">
        <v>1.5137799999999999</v>
      </c>
      <c r="BK196">
        <v>-258.017</v>
      </c>
      <c r="BL196">
        <v>554.79100000000005</v>
      </c>
      <c r="BM196">
        <v>805.63099999999997</v>
      </c>
      <c r="BN196">
        <v>16.122299999999999</v>
      </c>
      <c r="BO196">
        <v>799.95399999999995</v>
      </c>
      <c r="BP196">
        <v>7.0463500000000003</v>
      </c>
      <c r="BQ196">
        <v>2.2955199999999998</v>
      </c>
      <c r="BR196">
        <v>0.69814399999999999</v>
      </c>
      <c r="BS196">
        <v>19.645</v>
      </c>
      <c r="BT196">
        <v>1.78929</v>
      </c>
      <c r="BU196">
        <v>1800</v>
      </c>
      <c r="BV196">
        <v>0.90998800000000002</v>
      </c>
      <c r="BW196">
        <v>3.4006099999999997E-2</v>
      </c>
      <c r="BX196">
        <v>2.19911E-2</v>
      </c>
      <c r="BY196">
        <v>3.4014500000000003E-2</v>
      </c>
      <c r="BZ196">
        <v>26</v>
      </c>
      <c r="CA196">
        <v>33528.5</v>
      </c>
      <c r="CB196">
        <v>1690226183.5999999</v>
      </c>
      <c r="CC196" t="s">
        <v>332</v>
      </c>
      <c r="CD196">
        <v>1690226177.5999999</v>
      </c>
      <c r="CE196">
        <v>1690226183.5999999</v>
      </c>
      <c r="CF196">
        <v>12</v>
      </c>
      <c r="CG196">
        <v>-0.255</v>
      </c>
      <c r="CH196">
        <v>0.113</v>
      </c>
      <c r="CI196">
        <v>-0.439</v>
      </c>
      <c r="CJ196">
        <v>0.31</v>
      </c>
      <c r="CK196">
        <v>800</v>
      </c>
      <c r="CL196">
        <v>25</v>
      </c>
      <c r="CM196">
        <v>0.02</v>
      </c>
      <c r="CN196">
        <v>0.03</v>
      </c>
      <c r="CO196">
        <v>-257.41692682926828</v>
      </c>
      <c r="CP196">
        <v>-4.2940557491293356</v>
      </c>
      <c r="CQ196">
        <v>0.43519512810242827</v>
      </c>
      <c r="CR196">
        <v>-1</v>
      </c>
      <c r="CS196">
        <v>16.05892926829268</v>
      </c>
      <c r="CT196">
        <v>0.35154564459931142</v>
      </c>
      <c r="CU196">
        <v>3.4929282173030013E-2</v>
      </c>
      <c r="CV196">
        <v>-1</v>
      </c>
      <c r="CW196">
        <v>0</v>
      </c>
      <c r="CX196">
        <v>0</v>
      </c>
      <c r="CY196" t="s">
        <v>333</v>
      </c>
      <c r="CZ196">
        <v>2.36449</v>
      </c>
      <c r="DA196">
        <v>2.7137799999999999</v>
      </c>
      <c r="DB196">
        <v>0.112093</v>
      </c>
      <c r="DC196">
        <v>0.14610699999999999</v>
      </c>
      <c r="DD196">
        <v>0.110683</v>
      </c>
      <c r="DE196">
        <v>4.4933500000000001E-2</v>
      </c>
      <c r="DF196">
        <v>32427.9</v>
      </c>
      <c r="DG196">
        <v>27532.9</v>
      </c>
      <c r="DH196">
        <v>31178.6</v>
      </c>
      <c r="DI196">
        <v>28096.2</v>
      </c>
      <c r="DJ196">
        <v>37644.300000000003</v>
      </c>
      <c r="DK196">
        <v>38163</v>
      </c>
      <c r="DL196">
        <v>44372.6</v>
      </c>
      <c r="DM196">
        <v>42588</v>
      </c>
      <c r="DN196">
        <v>1.4821299999999999</v>
      </c>
      <c r="DO196">
        <v>2.0371000000000001</v>
      </c>
      <c r="DP196">
        <v>9.8664299999999996E-2</v>
      </c>
      <c r="DQ196">
        <v>0.17687700000000001</v>
      </c>
      <c r="DR196">
        <v>25.3934</v>
      </c>
      <c r="DS196">
        <v>25.156600000000001</v>
      </c>
      <c r="DT196">
        <v>41</v>
      </c>
      <c r="DU196">
        <v>29.3</v>
      </c>
      <c r="DV196">
        <v>16.935199999999998</v>
      </c>
      <c r="DW196">
        <v>61.682400000000001</v>
      </c>
      <c r="DX196">
        <v>36.490400000000001</v>
      </c>
      <c r="DY196">
        <v>1</v>
      </c>
      <c r="DZ196">
        <v>-9.1725100000000004E-2</v>
      </c>
      <c r="EA196">
        <v>0.24257100000000001</v>
      </c>
      <c r="EB196">
        <v>20.1891</v>
      </c>
      <c r="EC196">
        <v>5.2408000000000001</v>
      </c>
      <c r="ED196">
        <v>12.039899999999999</v>
      </c>
      <c r="EE196">
        <v>5.0170500000000002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1.8646400000000001</v>
      </c>
      <c r="EM196">
        <v>1.8691899999999999</v>
      </c>
      <c r="EN196">
        <v>1.8672200000000001</v>
      </c>
      <c r="EO196">
        <v>1.8633999999999999</v>
      </c>
      <c r="EP196">
        <v>1.8644799999999999</v>
      </c>
      <c r="EQ196">
        <v>1.8701399999999999</v>
      </c>
      <c r="ER196">
        <v>1.86941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-0.25800000000000001</v>
      </c>
      <c r="FG196">
        <v>0.31</v>
      </c>
      <c r="FH196">
        <v>0.1121710645629533</v>
      </c>
      <c r="FI196">
        <v>-6.1462078757559423E-4</v>
      </c>
      <c r="FJ196">
        <v>-1.8861989874597051E-7</v>
      </c>
      <c r="FK196">
        <v>1.1980462299894961E-10</v>
      </c>
      <c r="FL196">
        <v>0.30996499999999833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40.5</v>
      </c>
      <c r="FU196">
        <v>40.4</v>
      </c>
      <c r="FV196">
        <v>1.7724599999999999</v>
      </c>
      <c r="FW196">
        <v>2.5866699999999998</v>
      </c>
      <c r="FX196">
        <v>1.5490699999999999</v>
      </c>
      <c r="FY196">
        <v>2.32666</v>
      </c>
      <c r="FZ196">
        <v>1.50146</v>
      </c>
      <c r="GA196">
        <v>2.3791500000000001</v>
      </c>
      <c r="GB196">
        <v>33.963900000000002</v>
      </c>
      <c r="GC196">
        <v>23.982399999999998</v>
      </c>
      <c r="GD196">
        <v>19</v>
      </c>
      <c r="GE196">
        <v>285.39400000000001</v>
      </c>
      <c r="GF196">
        <v>583.66800000000001</v>
      </c>
      <c r="GG196">
        <v>24.543600000000001</v>
      </c>
      <c r="GH196">
        <v>26.224399999999999</v>
      </c>
      <c r="GI196">
        <v>30.000499999999999</v>
      </c>
      <c r="GJ196">
        <v>26.346299999999999</v>
      </c>
      <c r="GK196">
        <v>26.330200000000001</v>
      </c>
      <c r="GL196">
        <v>35.4373</v>
      </c>
      <c r="GM196">
        <v>56.571199999999997</v>
      </c>
      <c r="GN196">
        <v>50.599899999999998</v>
      </c>
      <c r="GO196">
        <v>24.522400000000001</v>
      </c>
      <c r="GP196">
        <v>800</v>
      </c>
      <c r="GQ196">
        <v>7.0806500000000003</v>
      </c>
      <c r="GR196">
        <v>99.761499999999998</v>
      </c>
      <c r="GS196">
        <v>99.624499999999998</v>
      </c>
    </row>
    <row r="197" spans="1:201" x14ac:dyDescent="0.25">
      <c r="A197">
        <v>181</v>
      </c>
      <c r="B197">
        <v>1690228615.5</v>
      </c>
      <c r="C197">
        <v>2045.900000095367</v>
      </c>
      <c r="D197" t="s">
        <v>693</v>
      </c>
      <c r="E197" t="s">
        <v>694</v>
      </c>
      <c r="F197" t="s">
        <v>330</v>
      </c>
      <c r="H197">
        <v>1690228615.5</v>
      </c>
      <c r="I197">
        <f t="shared" si="60"/>
        <v>1.5330726112645263E-3</v>
      </c>
      <c r="J197">
        <f t="shared" si="61"/>
        <v>1.5330726112645263</v>
      </c>
      <c r="K197">
        <f t="shared" si="62"/>
        <v>23.15498299257732</v>
      </c>
      <c r="L197">
        <f t="shared" si="63"/>
        <v>541.19399999999996</v>
      </c>
      <c r="M197">
        <f t="shared" si="64"/>
        <v>148.31873035544194</v>
      </c>
      <c r="N197">
        <f t="shared" si="65"/>
        <v>14.710248117003202</v>
      </c>
      <c r="O197">
        <f t="shared" si="66"/>
        <v>53.67560793134399</v>
      </c>
      <c r="P197">
        <f t="shared" si="67"/>
        <v>9.8568556514892255E-2</v>
      </c>
      <c r="Q197">
        <f t="shared" si="68"/>
        <v>2.1330960987217016</v>
      </c>
      <c r="R197">
        <f t="shared" si="69"/>
        <v>9.6106304570359388E-2</v>
      </c>
      <c r="S197">
        <f t="shared" si="70"/>
        <v>6.0282540957636091E-2</v>
      </c>
      <c r="T197">
        <f t="shared" si="71"/>
        <v>276.11426817</v>
      </c>
      <c r="U197">
        <f t="shared" si="72"/>
        <v>28.158457235909225</v>
      </c>
      <c r="V197">
        <f t="shared" si="73"/>
        <v>28.158457235909225</v>
      </c>
      <c r="W197">
        <f t="shared" si="74"/>
        <v>3.8300361377381527</v>
      </c>
      <c r="X197">
        <f t="shared" si="75"/>
        <v>66.043912861241566</v>
      </c>
      <c r="Y197">
        <f t="shared" si="76"/>
        <v>2.2967999662104002</v>
      </c>
      <c r="Z197">
        <f t="shared" si="77"/>
        <v>3.4776860829490563</v>
      </c>
      <c r="AA197">
        <f t="shared" si="78"/>
        <v>1.5332361715277525</v>
      </c>
      <c r="AB197">
        <f t="shared" si="79"/>
        <v>-67.60850215676561</v>
      </c>
      <c r="AC197">
        <f t="shared" si="80"/>
        <v>-189.43372040694067</v>
      </c>
      <c r="AD197">
        <f t="shared" si="81"/>
        <v>-19.229962474413181</v>
      </c>
      <c r="AE197">
        <f t="shared" si="82"/>
        <v>-0.15791686811945738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52570.746592019284</v>
      </c>
      <c r="AK197">
        <f t="shared" si="86"/>
        <v>1800</v>
      </c>
      <c r="AL197">
        <f t="shared" si="87"/>
        <v>1499.107023</v>
      </c>
      <c r="AM197">
        <f t="shared" si="88"/>
        <v>0.83283723499999995</v>
      </c>
      <c r="AN197">
        <f t="shared" si="89"/>
        <v>0.15339681564999999</v>
      </c>
      <c r="AO197">
        <v>32.4</v>
      </c>
      <c r="AP197">
        <v>0.5</v>
      </c>
      <c r="AQ197" t="s">
        <v>331</v>
      </c>
      <c r="AR197">
        <v>2</v>
      </c>
      <c r="AS197">
        <v>1690228615.5</v>
      </c>
      <c r="AT197">
        <v>541.19399999999996</v>
      </c>
      <c r="AU197">
        <v>800.07399999999996</v>
      </c>
      <c r="AV197">
        <v>23.157900000000001</v>
      </c>
      <c r="AW197">
        <v>6.9937899999999997</v>
      </c>
      <c r="AX197">
        <v>541.45100000000002</v>
      </c>
      <c r="AY197">
        <v>22.847899999999999</v>
      </c>
      <c r="AZ197">
        <v>300.17899999999997</v>
      </c>
      <c r="BA197">
        <v>99.079899999999995</v>
      </c>
      <c r="BB197">
        <v>0.100076</v>
      </c>
      <c r="BC197">
        <v>26.511199999999999</v>
      </c>
      <c r="BD197">
        <v>26.982199999999999</v>
      </c>
      <c r="BE197">
        <v>28.035399999999999</v>
      </c>
      <c r="BF197">
        <v>0</v>
      </c>
      <c r="BG197">
        <v>0</v>
      </c>
      <c r="BH197">
        <v>10018.799999999999</v>
      </c>
      <c r="BI197">
        <v>1072.82</v>
      </c>
      <c r="BJ197">
        <v>1.5137799999999999</v>
      </c>
      <c r="BK197">
        <v>-258.87900000000002</v>
      </c>
      <c r="BL197">
        <v>554.024</v>
      </c>
      <c r="BM197">
        <v>805.70899999999995</v>
      </c>
      <c r="BN197">
        <v>16.164100000000001</v>
      </c>
      <c r="BO197">
        <v>800.07399999999996</v>
      </c>
      <c r="BP197">
        <v>6.9937899999999997</v>
      </c>
      <c r="BQ197">
        <v>2.2944800000000001</v>
      </c>
      <c r="BR197">
        <v>0.692944</v>
      </c>
      <c r="BS197">
        <v>19.637699999999999</v>
      </c>
      <c r="BT197">
        <v>1.68486</v>
      </c>
      <c r="BU197">
        <v>1800</v>
      </c>
      <c r="BV197">
        <v>0.90998800000000002</v>
      </c>
      <c r="BW197">
        <v>3.4006099999999997E-2</v>
      </c>
      <c r="BX197">
        <v>2.1991E-2</v>
      </c>
      <c r="BY197">
        <v>3.4014500000000003E-2</v>
      </c>
      <c r="BZ197">
        <v>26</v>
      </c>
      <c r="CA197">
        <v>33528.400000000001</v>
      </c>
      <c r="CB197">
        <v>1690226183.5999999</v>
      </c>
      <c r="CC197" t="s">
        <v>332</v>
      </c>
      <c r="CD197">
        <v>1690226177.5999999</v>
      </c>
      <c r="CE197">
        <v>1690226183.5999999</v>
      </c>
      <c r="CF197">
        <v>12</v>
      </c>
      <c r="CG197">
        <v>-0.255</v>
      </c>
      <c r="CH197">
        <v>0.113</v>
      </c>
      <c r="CI197">
        <v>-0.439</v>
      </c>
      <c r="CJ197">
        <v>0.31</v>
      </c>
      <c r="CK197">
        <v>800</v>
      </c>
      <c r="CL197">
        <v>25</v>
      </c>
      <c r="CM197">
        <v>0.02</v>
      </c>
      <c r="CN197">
        <v>0.03</v>
      </c>
      <c r="CO197">
        <v>-258.01065853658542</v>
      </c>
      <c r="CP197">
        <v>-4.2342020905927686</v>
      </c>
      <c r="CQ197">
        <v>0.42467540601724352</v>
      </c>
      <c r="CR197">
        <v>-1</v>
      </c>
      <c r="CS197">
        <v>16.10834634146341</v>
      </c>
      <c r="CT197">
        <v>0.31739999999999707</v>
      </c>
      <c r="CU197">
        <v>3.1514434149859827E-2</v>
      </c>
      <c r="CV197">
        <v>-1</v>
      </c>
      <c r="CW197">
        <v>0</v>
      </c>
      <c r="CX197">
        <v>0</v>
      </c>
      <c r="CY197" t="s">
        <v>333</v>
      </c>
      <c r="CZ197">
        <v>2.3646199999999999</v>
      </c>
      <c r="DA197">
        <v>2.7138800000000001</v>
      </c>
      <c r="DB197">
        <v>0.111983</v>
      </c>
      <c r="DC197">
        <v>0.146122</v>
      </c>
      <c r="DD197">
        <v>0.110648</v>
      </c>
      <c r="DE197">
        <v>4.4665000000000003E-2</v>
      </c>
      <c r="DF197">
        <v>32431.599999999999</v>
      </c>
      <c r="DG197">
        <v>27532.2</v>
      </c>
      <c r="DH197">
        <v>31178.3</v>
      </c>
      <c r="DI197">
        <v>28096</v>
      </c>
      <c r="DJ197">
        <v>37645.5</v>
      </c>
      <c r="DK197">
        <v>38173.5</v>
      </c>
      <c r="DL197">
        <v>44372.3</v>
      </c>
      <c r="DM197">
        <v>42587.7</v>
      </c>
      <c r="DN197">
        <v>1.48237</v>
      </c>
      <c r="DO197">
        <v>2.0371299999999999</v>
      </c>
      <c r="DP197">
        <v>9.6913399999999997E-2</v>
      </c>
      <c r="DQ197">
        <v>0.17590800000000001</v>
      </c>
      <c r="DR197">
        <v>25.395199999999999</v>
      </c>
      <c r="DS197">
        <v>25.156600000000001</v>
      </c>
      <c r="DT197">
        <v>40.799999999999997</v>
      </c>
      <c r="DU197">
        <v>29.3</v>
      </c>
      <c r="DV197">
        <v>16.8505</v>
      </c>
      <c r="DW197">
        <v>61.702399999999997</v>
      </c>
      <c r="DX197">
        <v>36.069699999999997</v>
      </c>
      <c r="DY197">
        <v>1</v>
      </c>
      <c r="DZ197">
        <v>-9.2842999999999995E-2</v>
      </c>
      <c r="EA197">
        <v>0.120479</v>
      </c>
      <c r="EB197">
        <v>20.189499999999999</v>
      </c>
      <c r="EC197">
        <v>5.2411000000000003</v>
      </c>
      <c r="ED197">
        <v>12.039899999999999</v>
      </c>
      <c r="EE197">
        <v>5.0171999999999999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1.8691800000000001</v>
      </c>
      <c r="EN197">
        <v>1.8672200000000001</v>
      </c>
      <c r="EO197">
        <v>1.8633999999999999</v>
      </c>
      <c r="EP197">
        <v>1.86449</v>
      </c>
      <c r="EQ197">
        <v>1.87012</v>
      </c>
      <c r="ER197">
        <v>1.86937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-0.25700000000000001</v>
      </c>
      <c r="FG197">
        <v>0.31</v>
      </c>
      <c r="FH197">
        <v>0.1121710645629533</v>
      </c>
      <c r="FI197">
        <v>-6.1462078757559423E-4</v>
      </c>
      <c r="FJ197">
        <v>-1.8861989874597051E-7</v>
      </c>
      <c r="FK197">
        <v>1.1980462299894961E-10</v>
      </c>
      <c r="FL197">
        <v>0.30996499999999833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40.6</v>
      </c>
      <c r="FU197">
        <v>40.5</v>
      </c>
      <c r="FV197">
        <v>1.7724599999999999</v>
      </c>
      <c r="FW197">
        <v>2.5817899999999998</v>
      </c>
      <c r="FX197">
        <v>1.5490699999999999</v>
      </c>
      <c r="FY197">
        <v>2.32666</v>
      </c>
      <c r="FZ197">
        <v>1.50146</v>
      </c>
      <c r="GA197">
        <v>2.3889200000000002</v>
      </c>
      <c r="GB197">
        <v>33.963900000000002</v>
      </c>
      <c r="GC197">
        <v>23.991199999999999</v>
      </c>
      <c r="GD197">
        <v>19</v>
      </c>
      <c r="GE197">
        <v>285.49900000000002</v>
      </c>
      <c r="GF197">
        <v>583.68899999999996</v>
      </c>
      <c r="GG197">
        <v>24.529499999999999</v>
      </c>
      <c r="GH197">
        <v>26.224399999999999</v>
      </c>
      <c r="GI197">
        <v>29.999700000000001</v>
      </c>
      <c r="GJ197">
        <v>26.346</v>
      </c>
      <c r="GK197">
        <v>26.330200000000001</v>
      </c>
      <c r="GL197">
        <v>35.433900000000001</v>
      </c>
      <c r="GM197">
        <v>56.571199999999997</v>
      </c>
      <c r="GN197">
        <v>49.823599999999999</v>
      </c>
      <c r="GO197">
        <v>24.534099999999999</v>
      </c>
      <c r="GP197">
        <v>800</v>
      </c>
      <c r="GQ197">
        <v>7.0217599999999996</v>
      </c>
      <c r="GR197">
        <v>99.760800000000003</v>
      </c>
      <c r="GS197">
        <v>99.623800000000003</v>
      </c>
    </row>
    <row r="198" spans="1:201" x14ac:dyDescent="0.25">
      <c r="A198">
        <v>182</v>
      </c>
      <c r="B198">
        <v>1690228625.5</v>
      </c>
      <c r="C198">
        <v>2055.900000095367</v>
      </c>
      <c r="D198" t="s">
        <v>695</v>
      </c>
      <c r="E198" t="s">
        <v>696</v>
      </c>
      <c r="F198" t="s">
        <v>330</v>
      </c>
      <c r="H198">
        <v>1690228625.5</v>
      </c>
      <c r="I198">
        <f t="shared" si="60"/>
        <v>1.5378284657936996E-3</v>
      </c>
      <c r="J198">
        <f t="shared" si="61"/>
        <v>1.5378284657936996</v>
      </c>
      <c r="K198">
        <f t="shared" si="62"/>
        <v>23.202072976141036</v>
      </c>
      <c r="L198">
        <f t="shared" si="63"/>
        <v>540.49900000000002</v>
      </c>
      <c r="M198">
        <f t="shared" si="64"/>
        <v>148.15271224229073</v>
      </c>
      <c r="N198">
        <f t="shared" si="65"/>
        <v>14.693786889106667</v>
      </c>
      <c r="O198">
        <f t="shared" si="66"/>
        <v>53.606694062994002</v>
      </c>
      <c r="P198">
        <f t="shared" si="67"/>
        <v>9.8911105024481596E-2</v>
      </c>
      <c r="Q198">
        <f t="shared" si="68"/>
        <v>2.1311292691041159</v>
      </c>
      <c r="R198">
        <f t="shared" si="69"/>
        <v>9.6429715165325683E-2</v>
      </c>
      <c r="S198">
        <f t="shared" si="70"/>
        <v>6.0486330111139464E-2</v>
      </c>
      <c r="T198">
        <f t="shared" si="71"/>
        <v>276.11432762400005</v>
      </c>
      <c r="U198">
        <f t="shared" si="72"/>
        <v>28.154486036995035</v>
      </c>
      <c r="V198">
        <f t="shared" si="73"/>
        <v>28.154486036995035</v>
      </c>
      <c r="W198">
        <f t="shared" si="74"/>
        <v>3.8291505897047569</v>
      </c>
      <c r="X198">
        <f t="shared" si="75"/>
        <v>66.044076535509973</v>
      </c>
      <c r="Y198">
        <f t="shared" si="76"/>
        <v>2.2963047609173994</v>
      </c>
      <c r="Z198">
        <f t="shared" si="77"/>
        <v>3.47692765403835</v>
      </c>
      <c r="AA198">
        <f t="shared" si="78"/>
        <v>1.5328458287873574</v>
      </c>
      <c r="AB198">
        <f t="shared" si="79"/>
        <v>-67.818235341502145</v>
      </c>
      <c r="AC198">
        <f t="shared" si="80"/>
        <v>-189.22789332614565</v>
      </c>
      <c r="AD198">
        <f t="shared" si="81"/>
        <v>-19.226059842550288</v>
      </c>
      <c r="AE198">
        <f t="shared" si="82"/>
        <v>-0.15786088619802285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52486.413737494397</v>
      </c>
      <c r="AK198">
        <f t="shared" si="86"/>
        <v>1800</v>
      </c>
      <c r="AL198">
        <f t="shared" si="87"/>
        <v>1499.1075954</v>
      </c>
      <c r="AM198">
        <f t="shared" si="88"/>
        <v>0.83283755300000006</v>
      </c>
      <c r="AN198">
        <f t="shared" si="89"/>
        <v>0.15339684868000003</v>
      </c>
      <c r="AO198">
        <v>32.4</v>
      </c>
      <c r="AP198">
        <v>0.5</v>
      </c>
      <c r="AQ198" t="s">
        <v>331</v>
      </c>
      <c r="AR198">
        <v>2</v>
      </c>
      <c r="AS198">
        <v>1690228625.5</v>
      </c>
      <c r="AT198">
        <v>540.49900000000002</v>
      </c>
      <c r="AU198">
        <v>799.94500000000005</v>
      </c>
      <c r="AV198">
        <v>23.152899999999999</v>
      </c>
      <c r="AW198">
        <v>6.9359700000000002</v>
      </c>
      <c r="AX198">
        <v>540.755</v>
      </c>
      <c r="AY198">
        <v>22.8429</v>
      </c>
      <c r="AZ198">
        <v>300.13099999999997</v>
      </c>
      <c r="BA198">
        <v>99.08</v>
      </c>
      <c r="BB198">
        <v>0.100006</v>
      </c>
      <c r="BC198">
        <v>26.5075</v>
      </c>
      <c r="BD198">
        <v>26.9758</v>
      </c>
      <c r="BE198">
        <v>28.026</v>
      </c>
      <c r="BF198">
        <v>0</v>
      </c>
      <c r="BG198">
        <v>0</v>
      </c>
      <c r="BH198">
        <v>10001.9</v>
      </c>
      <c r="BI198">
        <v>1072.8599999999999</v>
      </c>
      <c r="BJ198">
        <v>1.5137799999999999</v>
      </c>
      <c r="BK198">
        <v>-259.447</v>
      </c>
      <c r="BL198">
        <v>553.30899999999997</v>
      </c>
      <c r="BM198">
        <v>805.53300000000002</v>
      </c>
      <c r="BN198">
        <v>16.216899999999999</v>
      </c>
      <c r="BO198">
        <v>799.94500000000005</v>
      </c>
      <c r="BP198">
        <v>6.9359700000000002</v>
      </c>
      <c r="BQ198">
        <v>2.2939799999999999</v>
      </c>
      <c r="BR198">
        <v>0.68721500000000002</v>
      </c>
      <c r="BS198">
        <v>19.6342</v>
      </c>
      <c r="BT198">
        <v>1.5690200000000001</v>
      </c>
      <c r="BU198">
        <v>1800</v>
      </c>
      <c r="BV198">
        <v>0.90998900000000005</v>
      </c>
      <c r="BW198">
        <v>3.4005800000000003E-2</v>
      </c>
      <c r="BX198">
        <v>2.1990900000000001E-2</v>
      </c>
      <c r="BY198">
        <v>3.4014200000000001E-2</v>
      </c>
      <c r="BZ198">
        <v>26</v>
      </c>
      <c r="CA198">
        <v>33528.5</v>
      </c>
      <c r="CB198">
        <v>1690226183.5999999</v>
      </c>
      <c r="CC198" t="s">
        <v>332</v>
      </c>
      <c r="CD198">
        <v>1690226177.5999999</v>
      </c>
      <c r="CE198">
        <v>1690226183.5999999</v>
      </c>
      <c r="CF198">
        <v>12</v>
      </c>
      <c r="CG198">
        <v>-0.255</v>
      </c>
      <c r="CH198">
        <v>0.113</v>
      </c>
      <c r="CI198">
        <v>-0.439</v>
      </c>
      <c r="CJ198">
        <v>0.31</v>
      </c>
      <c r="CK198">
        <v>800</v>
      </c>
      <c r="CL198">
        <v>25</v>
      </c>
      <c r="CM198">
        <v>0.02</v>
      </c>
      <c r="CN198">
        <v>0.03</v>
      </c>
      <c r="CO198">
        <v>-258.75887499999999</v>
      </c>
      <c r="CP198">
        <v>-4.3926416510314672</v>
      </c>
      <c r="CQ198">
        <v>0.42482679926647782</v>
      </c>
      <c r="CR198">
        <v>-1</v>
      </c>
      <c r="CS198">
        <v>16.1636375</v>
      </c>
      <c r="CT198">
        <v>0.30463902439020368</v>
      </c>
      <c r="CU198">
        <v>2.959265692279054E-2</v>
      </c>
      <c r="CV198">
        <v>-1</v>
      </c>
      <c r="CW198">
        <v>0</v>
      </c>
      <c r="CX198">
        <v>0</v>
      </c>
      <c r="CY198" t="s">
        <v>333</v>
      </c>
      <c r="CZ198">
        <v>2.3644500000000002</v>
      </c>
      <c r="DA198">
        <v>2.7138</v>
      </c>
      <c r="DB198">
        <v>0.11187900000000001</v>
      </c>
      <c r="DC198">
        <v>0.14610500000000001</v>
      </c>
      <c r="DD198">
        <v>0.11063000000000001</v>
      </c>
      <c r="DE198">
        <v>4.4368299999999999E-2</v>
      </c>
      <c r="DF198">
        <v>32435.7</v>
      </c>
      <c r="DG198">
        <v>27532.6</v>
      </c>
      <c r="DH198">
        <v>31178.6</v>
      </c>
      <c r="DI198">
        <v>28095.9</v>
      </c>
      <c r="DJ198">
        <v>37646.699999999997</v>
      </c>
      <c r="DK198">
        <v>38185.599999999999</v>
      </c>
      <c r="DL198">
        <v>44372.800000000003</v>
      </c>
      <c r="DM198">
        <v>42588</v>
      </c>
      <c r="DN198">
        <v>1.48217</v>
      </c>
      <c r="DO198">
        <v>2.0369000000000002</v>
      </c>
      <c r="DP198">
        <v>9.6391900000000003E-2</v>
      </c>
      <c r="DQ198">
        <v>0.175312</v>
      </c>
      <c r="DR198">
        <v>25.397300000000001</v>
      </c>
      <c r="DS198">
        <v>25.157</v>
      </c>
      <c r="DT198">
        <v>40.5</v>
      </c>
      <c r="DU198">
        <v>29.3</v>
      </c>
      <c r="DV198">
        <v>16.729800000000001</v>
      </c>
      <c r="DW198">
        <v>61.782400000000003</v>
      </c>
      <c r="DX198">
        <v>36.2179</v>
      </c>
      <c r="DY198">
        <v>1</v>
      </c>
      <c r="DZ198">
        <v>-9.3038599999999999E-2</v>
      </c>
      <c r="EA198">
        <v>8.4956400000000001E-2</v>
      </c>
      <c r="EB198">
        <v>20.1892</v>
      </c>
      <c r="EC198">
        <v>5.2411000000000003</v>
      </c>
      <c r="ED198">
        <v>12.039899999999999</v>
      </c>
      <c r="EE198">
        <v>5.0170000000000003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1.8646199999999999</v>
      </c>
      <c r="EM198">
        <v>1.8692</v>
      </c>
      <c r="EN198">
        <v>1.8672200000000001</v>
      </c>
      <c r="EO198">
        <v>1.8633999999999999</v>
      </c>
      <c r="EP198">
        <v>1.8644799999999999</v>
      </c>
      <c r="EQ198">
        <v>1.87012</v>
      </c>
      <c r="ER198">
        <v>1.86937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-0.25600000000000001</v>
      </c>
      <c r="FG198">
        <v>0.31</v>
      </c>
      <c r="FH198">
        <v>0.1121710645629533</v>
      </c>
      <c r="FI198">
        <v>-6.1462078757559423E-4</v>
      </c>
      <c r="FJ198">
        <v>-1.8861989874597051E-7</v>
      </c>
      <c r="FK198">
        <v>1.1980462299894961E-10</v>
      </c>
      <c r="FL198">
        <v>0.30996499999999833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40.799999999999997</v>
      </c>
      <c r="FU198">
        <v>40.700000000000003</v>
      </c>
      <c r="FV198">
        <v>1.7724599999999999</v>
      </c>
      <c r="FW198">
        <v>2.5915499999999998</v>
      </c>
      <c r="FX198">
        <v>1.5490699999999999</v>
      </c>
      <c r="FY198">
        <v>2.32666</v>
      </c>
      <c r="FZ198">
        <v>1.50146</v>
      </c>
      <c r="GA198">
        <v>2.3010299999999999</v>
      </c>
      <c r="GB198">
        <v>33.963900000000002</v>
      </c>
      <c r="GC198">
        <v>23.982399999999998</v>
      </c>
      <c r="GD198">
        <v>19</v>
      </c>
      <c r="GE198">
        <v>285.41399999999999</v>
      </c>
      <c r="GF198">
        <v>583.47799999999995</v>
      </c>
      <c r="GG198">
        <v>24.5443</v>
      </c>
      <c r="GH198">
        <v>26.224399999999999</v>
      </c>
      <c r="GI198">
        <v>29.9999</v>
      </c>
      <c r="GJ198">
        <v>26.346</v>
      </c>
      <c r="GK198">
        <v>26.328099999999999</v>
      </c>
      <c r="GL198">
        <v>35.437600000000003</v>
      </c>
      <c r="GM198">
        <v>56.571199999999997</v>
      </c>
      <c r="GN198">
        <v>49.434199999999997</v>
      </c>
      <c r="GO198">
        <v>24.547000000000001</v>
      </c>
      <c r="GP198">
        <v>800</v>
      </c>
      <c r="GQ198">
        <v>6.96122</v>
      </c>
      <c r="GR198">
        <v>99.761700000000005</v>
      </c>
      <c r="GS198">
        <v>99.623999999999995</v>
      </c>
    </row>
    <row r="199" spans="1:201" x14ac:dyDescent="0.25">
      <c r="A199">
        <v>183</v>
      </c>
      <c r="B199">
        <v>1690228635.5</v>
      </c>
      <c r="C199">
        <v>2065.900000095367</v>
      </c>
      <c r="D199" t="s">
        <v>697</v>
      </c>
      <c r="E199" t="s">
        <v>698</v>
      </c>
      <c r="F199" t="s">
        <v>330</v>
      </c>
      <c r="H199">
        <v>1690228635.5</v>
      </c>
      <c r="I199">
        <f t="shared" si="60"/>
        <v>1.5432892374632494E-3</v>
      </c>
      <c r="J199">
        <f t="shared" si="61"/>
        <v>1.5432892374632494</v>
      </c>
      <c r="K199">
        <f t="shared" si="62"/>
        <v>23.250456269370886</v>
      </c>
      <c r="L199">
        <f t="shared" si="63"/>
        <v>539.91200000000003</v>
      </c>
      <c r="M199">
        <f t="shared" si="64"/>
        <v>148.21867916229357</v>
      </c>
      <c r="N199">
        <f t="shared" si="65"/>
        <v>14.700471333904311</v>
      </c>
      <c r="O199">
        <f t="shared" si="66"/>
        <v>53.548992095256004</v>
      </c>
      <c r="P199">
        <f t="shared" si="67"/>
        <v>9.929344039385396E-2</v>
      </c>
      <c r="Q199">
        <f t="shared" si="68"/>
        <v>2.1301162177712647</v>
      </c>
      <c r="R199">
        <f t="shared" si="69"/>
        <v>9.6791934409694885E-2</v>
      </c>
      <c r="S199">
        <f t="shared" si="70"/>
        <v>6.0714460369325964E-2</v>
      </c>
      <c r="T199">
        <f t="shared" si="71"/>
        <v>276.11448300000001</v>
      </c>
      <c r="U199">
        <f t="shared" si="72"/>
        <v>28.150498065974208</v>
      </c>
      <c r="V199">
        <f t="shared" si="73"/>
        <v>28.150498065974208</v>
      </c>
      <c r="W199">
        <f t="shared" si="74"/>
        <v>3.828261481371789</v>
      </c>
      <c r="X199">
        <f t="shared" si="75"/>
        <v>66.037641958090532</v>
      </c>
      <c r="Y199">
        <f t="shared" si="76"/>
        <v>2.2957020781758</v>
      </c>
      <c r="Z199">
        <f t="shared" si="77"/>
        <v>3.4763538038392126</v>
      </c>
      <c r="AA199">
        <f t="shared" si="78"/>
        <v>1.532559403195989</v>
      </c>
      <c r="AB199">
        <f t="shared" si="79"/>
        <v>-68.059055372129293</v>
      </c>
      <c r="AC199">
        <f t="shared" si="80"/>
        <v>-189.00151696011244</v>
      </c>
      <c r="AD199">
        <f t="shared" si="81"/>
        <v>-19.211540547620505</v>
      </c>
      <c r="AE199">
        <f t="shared" si="82"/>
        <v>-0.15762987986227017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52443.185684252916</v>
      </c>
      <c r="AK199">
        <f t="shared" si="86"/>
        <v>1800</v>
      </c>
      <c r="AL199">
        <f t="shared" si="87"/>
        <v>1499.1082740000004</v>
      </c>
      <c r="AM199">
        <f t="shared" si="88"/>
        <v>0.83283793000000017</v>
      </c>
      <c r="AN199">
        <f t="shared" si="89"/>
        <v>0.15339693500000001</v>
      </c>
      <c r="AO199">
        <v>32.4</v>
      </c>
      <c r="AP199">
        <v>0.5</v>
      </c>
      <c r="AQ199" t="s">
        <v>331</v>
      </c>
      <c r="AR199">
        <v>2</v>
      </c>
      <c r="AS199">
        <v>1690228635.5</v>
      </c>
      <c r="AT199">
        <v>539.91200000000003</v>
      </c>
      <c r="AU199">
        <v>799.89200000000005</v>
      </c>
      <c r="AV199">
        <v>23.146599999999999</v>
      </c>
      <c r="AW199">
        <v>6.87263</v>
      </c>
      <c r="AX199">
        <v>540.16800000000001</v>
      </c>
      <c r="AY199">
        <v>22.836600000000001</v>
      </c>
      <c r="AZ199">
        <v>300.14299999999997</v>
      </c>
      <c r="BA199">
        <v>99.0809</v>
      </c>
      <c r="BB199">
        <v>0.100063</v>
      </c>
      <c r="BC199">
        <v>26.5047</v>
      </c>
      <c r="BD199">
        <v>27.016300000000001</v>
      </c>
      <c r="BE199">
        <v>28.032900000000001</v>
      </c>
      <c r="BF199">
        <v>0</v>
      </c>
      <c r="BG199">
        <v>0</v>
      </c>
      <c r="BH199">
        <v>9993.1200000000008</v>
      </c>
      <c r="BI199">
        <v>1072.96</v>
      </c>
      <c r="BJ199">
        <v>1.5137799999999999</v>
      </c>
      <c r="BK199">
        <v>-259.98099999999999</v>
      </c>
      <c r="BL199">
        <v>552.70500000000004</v>
      </c>
      <c r="BM199">
        <v>805.428</v>
      </c>
      <c r="BN199">
        <v>16.273900000000001</v>
      </c>
      <c r="BO199">
        <v>799.89200000000005</v>
      </c>
      <c r="BP199">
        <v>6.87263</v>
      </c>
      <c r="BQ199">
        <v>2.29338</v>
      </c>
      <c r="BR199">
        <v>0.68094699999999997</v>
      </c>
      <c r="BS199">
        <v>19.63</v>
      </c>
      <c r="BT199">
        <v>1.4412700000000001</v>
      </c>
      <c r="BU199">
        <v>1800</v>
      </c>
      <c r="BV199">
        <v>0.90998900000000005</v>
      </c>
      <c r="BW199">
        <v>3.4006000000000002E-2</v>
      </c>
      <c r="BX199">
        <v>2.1991E-2</v>
      </c>
      <c r="BY199">
        <v>3.40144E-2</v>
      </c>
      <c r="BZ199">
        <v>26</v>
      </c>
      <c r="CA199">
        <v>33528.5</v>
      </c>
      <c r="CB199">
        <v>1690226183.5999999</v>
      </c>
      <c r="CC199" t="s">
        <v>332</v>
      </c>
      <c r="CD199">
        <v>1690226177.5999999</v>
      </c>
      <c r="CE199">
        <v>1690226183.5999999</v>
      </c>
      <c r="CF199">
        <v>12</v>
      </c>
      <c r="CG199">
        <v>-0.255</v>
      </c>
      <c r="CH199">
        <v>0.113</v>
      </c>
      <c r="CI199">
        <v>-0.439</v>
      </c>
      <c r="CJ199">
        <v>0.31</v>
      </c>
      <c r="CK199">
        <v>800</v>
      </c>
      <c r="CL199">
        <v>25</v>
      </c>
      <c r="CM199">
        <v>0.02</v>
      </c>
      <c r="CN199">
        <v>0.03</v>
      </c>
      <c r="CO199">
        <v>-259.44052499999998</v>
      </c>
      <c r="CP199">
        <v>-3.6759512195117718</v>
      </c>
      <c r="CQ199">
        <v>0.3554313567694915</v>
      </c>
      <c r="CR199">
        <v>-1</v>
      </c>
      <c r="CS199">
        <v>16.214692500000002</v>
      </c>
      <c r="CT199">
        <v>0.31047692307687058</v>
      </c>
      <c r="CU199">
        <v>3.0135621675186849E-2</v>
      </c>
      <c r="CV199">
        <v>-1</v>
      </c>
      <c r="CW199">
        <v>0</v>
      </c>
      <c r="CX199">
        <v>0</v>
      </c>
      <c r="CY199" t="s">
        <v>333</v>
      </c>
      <c r="CZ199">
        <v>2.36449</v>
      </c>
      <c r="DA199">
        <v>2.7138499999999999</v>
      </c>
      <c r="DB199">
        <v>0.111793</v>
      </c>
      <c r="DC199">
        <v>0.14610000000000001</v>
      </c>
      <c r="DD199">
        <v>0.11061</v>
      </c>
      <c r="DE199">
        <v>4.4043100000000002E-2</v>
      </c>
      <c r="DF199">
        <v>32438.6</v>
      </c>
      <c r="DG199">
        <v>27532.9</v>
      </c>
      <c r="DH199">
        <v>31178.400000000001</v>
      </c>
      <c r="DI199">
        <v>28096</v>
      </c>
      <c r="DJ199">
        <v>37647.199999999997</v>
      </c>
      <c r="DK199">
        <v>38198.6</v>
      </c>
      <c r="DL199">
        <v>44372.4</v>
      </c>
      <c r="DM199">
        <v>42588</v>
      </c>
      <c r="DN199">
        <v>1.48248</v>
      </c>
      <c r="DO199">
        <v>2.0368200000000001</v>
      </c>
      <c r="DP199">
        <v>9.9074099999999998E-2</v>
      </c>
      <c r="DQ199">
        <v>0.17579600000000001</v>
      </c>
      <c r="DR199">
        <v>25.393899999999999</v>
      </c>
      <c r="DS199">
        <v>25.155999999999999</v>
      </c>
      <c r="DT199">
        <v>40.200000000000003</v>
      </c>
      <c r="DU199">
        <v>29.3</v>
      </c>
      <c r="DV199">
        <v>16.6036</v>
      </c>
      <c r="DW199">
        <v>61.682400000000001</v>
      </c>
      <c r="DX199">
        <v>36.498399999999997</v>
      </c>
      <c r="DY199">
        <v>1</v>
      </c>
      <c r="DZ199">
        <v>-9.3063999999999994E-2</v>
      </c>
      <c r="EA199">
        <v>5.6279999999999997E-2</v>
      </c>
      <c r="EB199">
        <v>20.189399999999999</v>
      </c>
      <c r="EC199">
        <v>5.2409499999999998</v>
      </c>
      <c r="ED199">
        <v>12.039899999999999</v>
      </c>
      <c r="EE199">
        <v>5.0171000000000001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1.86463</v>
      </c>
      <c r="EM199">
        <v>1.8691800000000001</v>
      </c>
      <c r="EN199">
        <v>1.8672200000000001</v>
      </c>
      <c r="EO199">
        <v>1.8633999999999999</v>
      </c>
      <c r="EP199">
        <v>1.86449</v>
      </c>
      <c r="EQ199">
        <v>1.87012</v>
      </c>
      <c r="ER199">
        <v>1.8693500000000001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-0.25600000000000001</v>
      </c>
      <c r="FG199">
        <v>0.31</v>
      </c>
      <c r="FH199">
        <v>0.1121710645629533</v>
      </c>
      <c r="FI199">
        <v>-6.1462078757559423E-4</v>
      </c>
      <c r="FJ199">
        <v>-1.8861989874597051E-7</v>
      </c>
      <c r="FK199">
        <v>1.1980462299894961E-10</v>
      </c>
      <c r="FL199">
        <v>0.30996499999999833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41</v>
      </c>
      <c r="FU199">
        <v>40.9</v>
      </c>
      <c r="FV199">
        <v>1.7724599999999999</v>
      </c>
      <c r="FW199">
        <v>2.5891099999999998</v>
      </c>
      <c r="FX199">
        <v>1.5490699999999999</v>
      </c>
      <c r="FY199">
        <v>2.32544</v>
      </c>
      <c r="FZ199">
        <v>1.50146</v>
      </c>
      <c r="GA199">
        <v>2.2875999999999999</v>
      </c>
      <c r="GB199">
        <v>33.963900000000002</v>
      </c>
      <c r="GC199">
        <v>23.982399999999998</v>
      </c>
      <c r="GD199">
        <v>19</v>
      </c>
      <c r="GE199">
        <v>285.54199999999997</v>
      </c>
      <c r="GF199">
        <v>583.41700000000003</v>
      </c>
      <c r="GG199">
        <v>24.573499999999999</v>
      </c>
      <c r="GH199">
        <v>26.222999999999999</v>
      </c>
      <c r="GI199">
        <v>30.0001</v>
      </c>
      <c r="GJ199">
        <v>26.346</v>
      </c>
      <c r="GK199">
        <v>26.328099999999999</v>
      </c>
      <c r="GL199">
        <v>35.433599999999998</v>
      </c>
      <c r="GM199">
        <v>56.571199999999997</v>
      </c>
      <c r="GN199">
        <v>49.048000000000002</v>
      </c>
      <c r="GO199">
        <v>24.5718</v>
      </c>
      <c r="GP199">
        <v>800</v>
      </c>
      <c r="GQ199">
        <v>6.9016000000000002</v>
      </c>
      <c r="GR199">
        <v>99.760900000000007</v>
      </c>
      <c r="GS199">
        <v>99.624099999999999</v>
      </c>
    </row>
    <row r="200" spans="1:201" x14ac:dyDescent="0.25">
      <c r="A200">
        <v>184</v>
      </c>
      <c r="B200">
        <v>1690228645.5</v>
      </c>
      <c r="C200">
        <v>2075.900000095367</v>
      </c>
      <c r="D200" t="s">
        <v>699</v>
      </c>
      <c r="E200" t="s">
        <v>700</v>
      </c>
      <c r="F200" t="s">
        <v>330</v>
      </c>
      <c r="H200">
        <v>1690228645.5</v>
      </c>
      <c r="I200">
        <f t="shared" si="60"/>
        <v>1.5470114905634135E-3</v>
      </c>
      <c r="J200">
        <f t="shared" si="61"/>
        <v>1.5470114905634136</v>
      </c>
      <c r="K200">
        <f t="shared" si="62"/>
        <v>23.3082321687119</v>
      </c>
      <c r="L200">
        <f t="shared" si="63"/>
        <v>539.34900000000005</v>
      </c>
      <c r="M200">
        <f t="shared" si="64"/>
        <v>147.11458598920873</v>
      </c>
      <c r="N200">
        <f t="shared" si="65"/>
        <v>14.59095298117454</v>
      </c>
      <c r="O200">
        <f t="shared" si="66"/>
        <v>53.493104348067604</v>
      </c>
      <c r="P200">
        <f t="shared" si="67"/>
        <v>9.9399244009745383E-2</v>
      </c>
      <c r="Q200">
        <f t="shared" si="68"/>
        <v>2.1304812317015216</v>
      </c>
      <c r="R200">
        <f t="shared" si="69"/>
        <v>9.6892894451202777E-2</v>
      </c>
      <c r="S200">
        <f t="shared" si="70"/>
        <v>6.0777980832006639E-2</v>
      </c>
      <c r="T200">
        <f t="shared" si="71"/>
        <v>276.11427729600001</v>
      </c>
      <c r="U200">
        <f t="shared" si="72"/>
        <v>28.156830072957803</v>
      </c>
      <c r="V200">
        <f t="shared" si="73"/>
        <v>28.156830072957803</v>
      </c>
      <c r="W200">
        <f t="shared" si="74"/>
        <v>3.8296732708131684</v>
      </c>
      <c r="X200">
        <f t="shared" si="75"/>
        <v>65.987444103782252</v>
      </c>
      <c r="Y200">
        <f t="shared" si="76"/>
        <v>2.2950255511615199</v>
      </c>
      <c r="Z200">
        <f t="shared" si="77"/>
        <v>3.4779730937176487</v>
      </c>
      <c r="AA200">
        <f t="shared" si="78"/>
        <v>1.5346477196516486</v>
      </c>
      <c r="AB200">
        <f t="shared" si="79"/>
        <v>-68.223206733846538</v>
      </c>
      <c r="AC200">
        <f t="shared" si="80"/>
        <v>-188.85380668056337</v>
      </c>
      <c r="AD200">
        <f t="shared" si="81"/>
        <v>-19.194601284697814</v>
      </c>
      <c r="AE200">
        <f t="shared" si="82"/>
        <v>-0.15733740310770372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52457.558661943265</v>
      </c>
      <c r="AK200">
        <f t="shared" si="86"/>
        <v>1800</v>
      </c>
      <c r="AL200">
        <f t="shared" si="87"/>
        <v>1499.1077195999999</v>
      </c>
      <c r="AM200">
        <f t="shared" si="88"/>
        <v>0.83283762199999989</v>
      </c>
      <c r="AN200">
        <f t="shared" si="89"/>
        <v>0.15339682071999999</v>
      </c>
      <c r="AO200">
        <v>32.4</v>
      </c>
      <c r="AP200">
        <v>0.5</v>
      </c>
      <c r="AQ200" t="s">
        <v>331</v>
      </c>
      <c r="AR200">
        <v>2</v>
      </c>
      <c r="AS200">
        <v>1690228645.5</v>
      </c>
      <c r="AT200">
        <v>539.34900000000005</v>
      </c>
      <c r="AU200">
        <v>799.97799999999995</v>
      </c>
      <c r="AV200">
        <v>23.139800000000001</v>
      </c>
      <c r="AW200">
        <v>6.8256500000000004</v>
      </c>
      <c r="AX200">
        <v>539.60500000000002</v>
      </c>
      <c r="AY200">
        <v>22.829899999999999</v>
      </c>
      <c r="AZ200">
        <v>300.12799999999999</v>
      </c>
      <c r="BA200">
        <v>99.0809</v>
      </c>
      <c r="BB200">
        <v>9.9972400000000003E-2</v>
      </c>
      <c r="BC200">
        <v>26.512599999999999</v>
      </c>
      <c r="BD200">
        <v>27.006499999999999</v>
      </c>
      <c r="BE200">
        <v>28.036999999999999</v>
      </c>
      <c r="BF200">
        <v>0</v>
      </c>
      <c r="BG200">
        <v>0</v>
      </c>
      <c r="BH200">
        <v>9996.25</v>
      </c>
      <c r="BI200">
        <v>1073</v>
      </c>
      <c r="BJ200">
        <v>1.5137799999999999</v>
      </c>
      <c r="BK200">
        <v>-260.62900000000002</v>
      </c>
      <c r="BL200">
        <v>552.125</v>
      </c>
      <c r="BM200">
        <v>805.476</v>
      </c>
      <c r="BN200">
        <v>16.3142</v>
      </c>
      <c r="BO200">
        <v>799.97799999999995</v>
      </c>
      <c r="BP200">
        <v>6.8256500000000004</v>
      </c>
      <c r="BQ200">
        <v>2.2927200000000001</v>
      </c>
      <c r="BR200">
        <v>0.67629099999999998</v>
      </c>
      <c r="BS200">
        <v>19.625299999999999</v>
      </c>
      <c r="BT200">
        <v>1.34572</v>
      </c>
      <c r="BU200">
        <v>1800</v>
      </c>
      <c r="BV200">
        <v>0.90998999999999997</v>
      </c>
      <c r="BW200">
        <v>3.4005500000000001E-2</v>
      </c>
      <c r="BX200">
        <v>2.1990599999999999E-2</v>
      </c>
      <c r="BY200">
        <v>3.4013799999999997E-2</v>
      </c>
      <c r="BZ200">
        <v>26</v>
      </c>
      <c r="CA200">
        <v>33528.400000000001</v>
      </c>
      <c r="CB200">
        <v>1690226183.5999999</v>
      </c>
      <c r="CC200" t="s">
        <v>332</v>
      </c>
      <c r="CD200">
        <v>1690226177.5999999</v>
      </c>
      <c r="CE200">
        <v>1690226183.5999999</v>
      </c>
      <c r="CF200">
        <v>12</v>
      </c>
      <c r="CG200">
        <v>-0.255</v>
      </c>
      <c r="CH200">
        <v>0.113</v>
      </c>
      <c r="CI200">
        <v>-0.439</v>
      </c>
      <c r="CJ200">
        <v>0.31</v>
      </c>
      <c r="CK200">
        <v>800</v>
      </c>
      <c r="CL200">
        <v>25</v>
      </c>
      <c r="CM200">
        <v>0.02</v>
      </c>
      <c r="CN200">
        <v>0.03</v>
      </c>
      <c r="CO200">
        <v>-259.9946585365854</v>
      </c>
      <c r="CP200">
        <v>-3.5409198606276751</v>
      </c>
      <c r="CQ200">
        <v>0.3514722769316484</v>
      </c>
      <c r="CR200">
        <v>-1</v>
      </c>
      <c r="CS200">
        <v>16.262997560975609</v>
      </c>
      <c r="CT200">
        <v>0.31413031358889532</v>
      </c>
      <c r="CU200">
        <v>3.1149924541308591E-2</v>
      </c>
      <c r="CV200">
        <v>-1</v>
      </c>
      <c r="CW200">
        <v>0</v>
      </c>
      <c r="CX200">
        <v>0</v>
      </c>
      <c r="CY200" t="s">
        <v>333</v>
      </c>
      <c r="CZ200">
        <v>2.3644500000000002</v>
      </c>
      <c r="DA200">
        <v>2.7137600000000002</v>
      </c>
      <c r="DB200">
        <v>0.111709</v>
      </c>
      <c r="DC200">
        <v>0.14610899999999999</v>
      </c>
      <c r="DD200">
        <v>0.110587</v>
      </c>
      <c r="DE200">
        <v>4.3800699999999998E-2</v>
      </c>
      <c r="DF200">
        <v>32442</v>
      </c>
      <c r="DG200">
        <v>27532.6</v>
      </c>
      <c r="DH200">
        <v>31178.7</v>
      </c>
      <c r="DI200">
        <v>28096</v>
      </c>
      <c r="DJ200">
        <v>37648.400000000001</v>
      </c>
      <c r="DK200">
        <v>38208.5</v>
      </c>
      <c r="DL200">
        <v>44372.7</v>
      </c>
      <c r="DM200">
        <v>42588.2</v>
      </c>
      <c r="DN200">
        <v>1.48228</v>
      </c>
      <c r="DO200">
        <v>2.0368200000000001</v>
      </c>
      <c r="DP200">
        <v>9.8608399999999999E-2</v>
      </c>
      <c r="DQ200">
        <v>0.17624300000000001</v>
      </c>
      <c r="DR200">
        <v>25.3918</v>
      </c>
      <c r="DS200">
        <v>25.152799999999999</v>
      </c>
      <c r="DT200">
        <v>40</v>
      </c>
      <c r="DU200">
        <v>29.3</v>
      </c>
      <c r="DV200">
        <v>16.521699999999999</v>
      </c>
      <c r="DW200">
        <v>61.732399999999998</v>
      </c>
      <c r="DX200">
        <v>37.067300000000003</v>
      </c>
      <c r="DY200">
        <v>1</v>
      </c>
      <c r="DZ200">
        <v>-9.2591499999999993E-2</v>
      </c>
      <c r="EA200">
        <v>0.113554</v>
      </c>
      <c r="EB200">
        <v>20.1892</v>
      </c>
      <c r="EC200">
        <v>5.2411000000000003</v>
      </c>
      <c r="ED200">
        <v>12.039899999999999</v>
      </c>
      <c r="EE200">
        <v>5.0171000000000001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1.8691899999999999</v>
      </c>
      <c r="EN200">
        <v>1.8672200000000001</v>
      </c>
      <c r="EO200">
        <v>1.8633999999999999</v>
      </c>
      <c r="EP200">
        <v>1.8644700000000001</v>
      </c>
      <c r="EQ200">
        <v>1.8701300000000001</v>
      </c>
      <c r="ER200">
        <v>1.86937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-0.25600000000000001</v>
      </c>
      <c r="FG200">
        <v>0.30990000000000001</v>
      </c>
      <c r="FH200">
        <v>0.1121710645629533</v>
      </c>
      <c r="FI200">
        <v>-6.1462078757559423E-4</v>
      </c>
      <c r="FJ200">
        <v>-1.8861989874597051E-7</v>
      </c>
      <c r="FK200">
        <v>1.1980462299894961E-10</v>
      </c>
      <c r="FL200">
        <v>0.30996499999999833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41.1</v>
      </c>
      <c r="FU200">
        <v>41</v>
      </c>
      <c r="FV200">
        <v>1.7724599999999999</v>
      </c>
      <c r="FW200">
        <v>2.5903299999999998</v>
      </c>
      <c r="FX200">
        <v>1.5490699999999999</v>
      </c>
      <c r="FY200">
        <v>2.32666</v>
      </c>
      <c r="FZ200">
        <v>1.50146</v>
      </c>
      <c r="GA200">
        <v>2.2949199999999998</v>
      </c>
      <c r="GB200">
        <v>33.941299999999998</v>
      </c>
      <c r="GC200">
        <v>23.982399999999998</v>
      </c>
      <c r="GD200">
        <v>19</v>
      </c>
      <c r="GE200">
        <v>285.45600000000002</v>
      </c>
      <c r="GF200">
        <v>583.41600000000005</v>
      </c>
      <c r="GG200">
        <v>24.557500000000001</v>
      </c>
      <c r="GH200">
        <v>26.222200000000001</v>
      </c>
      <c r="GI200">
        <v>30</v>
      </c>
      <c r="GJ200">
        <v>26.346</v>
      </c>
      <c r="GK200">
        <v>26.328099999999999</v>
      </c>
      <c r="GL200">
        <v>35.433799999999998</v>
      </c>
      <c r="GM200">
        <v>56.571199999999997</v>
      </c>
      <c r="GN200">
        <v>48.282899999999998</v>
      </c>
      <c r="GO200">
        <v>24.558399999999999</v>
      </c>
      <c r="GP200">
        <v>800</v>
      </c>
      <c r="GQ200">
        <v>6.8419100000000004</v>
      </c>
      <c r="GR200">
        <v>99.761700000000005</v>
      </c>
      <c r="GS200">
        <v>99.624399999999994</v>
      </c>
    </row>
    <row r="201" spans="1:201" x14ac:dyDescent="0.25">
      <c r="A201">
        <v>185</v>
      </c>
      <c r="B201">
        <v>1690228655.5</v>
      </c>
      <c r="C201">
        <v>2085.900000095367</v>
      </c>
      <c r="D201" t="s">
        <v>701</v>
      </c>
      <c r="E201" t="s">
        <v>702</v>
      </c>
      <c r="F201" t="s">
        <v>330</v>
      </c>
      <c r="H201">
        <v>1690228655.5</v>
      </c>
      <c r="I201">
        <f t="shared" si="60"/>
        <v>1.5519997955181885E-3</v>
      </c>
      <c r="J201">
        <f t="shared" si="61"/>
        <v>1.5519997955181886</v>
      </c>
      <c r="K201">
        <f t="shared" si="62"/>
        <v>23.383167575846603</v>
      </c>
      <c r="L201">
        <f t="shared" si="63"/>
        <v>538.64400000000001</v>
      </c>
      <c r="M201">
        <f t="shared" si="64"/>
        <v>146.70840346817613</v>
      </c>
      <c r="N201">
        <f t="shared" si="65"/>
        <v>14.550218824757929</v>
      </c>
      <c r="O201">
        <f t="shared" si="66"/>
        <v>53.421534713538001</v>
      </c>
      <c r="P201">
        <f t="shared" si="67"/>
        <v>9.979848158141183E-2</v>
      </c>
      <c r="Q201">
        <f t="shared" si="68"/>
        <v>2.1319084368944599</v>
      </c>
      <c r="R201">
        <f t="shared" si="69"/>
        <v>9.7273878745407119E-2</v>
      </c>
      <c r="S201">
        <f t="shared" si="70"/>
        <v>6.1017680410983134E-2</v>
      </c>
      <c r="T201">
        <f t="shared" si="71"/>
        <v>276.11427729600001</v>
      </c>
      <c r="U201">
        <f t="shared" si="72"/>
        <v>28.151794722683739</v>
      </c>
      <c r="V201">
        <f t="shared" si="73"/>
        <v>28.151794722683739</v>
      </c>
      <c r="W201">
        <f t="shared" si="74"/>
        <v>3.8285505480356288</v>
      </c>
      <c r="X201">
        <f t="shared" si="75"/>
        <v>65.996352814090514</v>
      </c>
      <c r="Y201">
        <f t="shared" si="76"/>
        <v>2.2950242164372496</v>
      </c>
      <c r="Z201">
        <f t="shared" si="77"/>
        <v>3.4775015869471684</v>
      </c>
      <c r="AA201">
        <f t="shared" si="78"/>
        <v>1.5335263315983791</v>
      </c>
      <c r="AB201">
        <f t="shared" si="79"/>
        <v>-68.443190982352107</v>
      </c>
      <c r="AC201">
        <f t="shared" si="80"/>
        <v>-188.66593076652865</v>
      </c>
      <c r="AD201">
        <f t="shared" si="81"/>
        <v>-19.161966533058582</v>
      </c>
      <c r="AE201">
        <f t="shared" si="82"/>
        <v>-0.15681098593935872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52519.533206699431</v>
      </c>
      <c r="AK201">
        <f t="shared" si="86"/>
        <v>1800</v>
      </c>
      <c r="AL201">
        <f t="shared" si="87"/>
        <v>1499.1077195999999</v>
      </c>
      <c r="AM201">
        <f t="shared" si="88"/>
        <v>0.83283762199999989</v>
      </c>
      <c r="AN201">
        <f t="shared" si="89"/>
        <v>0.15339682071999999</v>
      </c>
      <c r="AO201">
        <v>32.4</v>
      </c>
      <c r="AP201">
        <v>0.5</v>
      </c>
      <c r="AQ201" t="s">
        <v>331</v>
      </c>
      <c r="AR201">
        <v>2</v>
      </c>
      <c r="AS201">
        <v>1690228655.5</v>
      </c>
      <c r="AT201">
        <v>538.64400000000001</v>
      </c>
      <c r="AU201">
        <v>800.11400000000003</v>
      </c>
      <c r="AV201">
        <v>23.140499999999999</v>
      </c>
      <c r="AW201">
        <v>6.7728299999999999</v>
      </c>
      <c r="AX201">
        <v>538.899</v>
      </c>
      <c r="AY201">
        <v>22.8306</v>
      </c>
      <c r="AZ201">
        <v>300.11099999999999</v>
      </c>
      <c r="BA201">
        <v>99.0779</v>
      </c>
      <c r="BB201">
        <v>9.9914500000000003E-2</v>
      </c>
      <c r="BC201">
        <v>26.510300000000001</v>
      </c>
      <c r="BD201">
        <v>27.0001</v>
      </c>
      <c r="BE201">
        <v>28.039100000000001</v>
      </c>
      <c r="BF201">
        <v>0</v>
      </c>
      <c r="BG201">
        <v>0</v>
      </c>
      <c r="BH201">
        <v>10008.799999999999</v>
      </c>
      <c r="BI201">
        <v>1073.03</v>
      </c>
      <c r="BJ201">
        <v>1.2881199999999999</v>
      </c>
      <c r="BK201">
        <v>-261.47000000000003</v>
      </c>
      <c r="BL201">
        <v>551.404</v>
      </c>
      <c r="BM201">
        <v>805.57</v>
      </c>
      <c r="BN201">
        <v>16.367699999999999</v>
      </c>
      <c r="BO201">
        <v>800.11400000000003</v>
      </c>
      <c r="BP201">
        <v>6.7728299999999999</v>
      </c>
      <c r="BQ201">
        <v>2.2927200000000001</v>
      </c>
      <c r="BR201">
        <v>0.67103800000000002</v>
      </c>
      <c r="BS201">
        <v>19.625299999999999</v>
      </c>
      <c r="BT201">
        <v>1.2372000000000001</v>
      </c>
      <c r="BU201">
        <v>1800</v>
      </c>
      <c r="BV201">
        <v>0.90998999999999997</v>
      </c>
      <c r="BW201">
        <v>3.4005500000000001E-2</v>
      </c>
      <c r="BX201">
        <v>2.1990599999999999E-2</v>
      </c>
      <c r="BY201">
        <v>3.4013799999999997E-2</v>
      </c>
      <c r="BZ201">
        <v>26</v>
      </c>
      <c r="CA201">
        <v>33528.400000000001</v>
      </c>
      <c r="CB201">
        <v>1690226183.5999999</v>
      </c>
      <c r="CC201" t="s">
        <v>332</v>
      </c>
      <c r="CD201">
        <v>1690226177.5999999</v>
      </c>
      <c r="CE201">
        <v>1690226183.5999999</v>
      </c>
      <c r="CF201">
        <v>12</v>
      </c>
      <c r="CG201">
        <v>-0.255</v>
      </c>
      <c r="CH201">
        <v>0.113</v>
      </c>
      <c r="CI201">
        <v>-0.439</v>
      </c>
      <c r="CJ201">
        <v>0.31</v>
      </c>
      <c r="CK201">
        <v>800</v>
      </c>
      <c r="CL201">
        <v>25</v>
      </c>
      <c r="CM201">
        <v>0.02</v>
      </c>
      <c r="CN201">
        <v>0.03</v>
      </c>
      <c r="CO201">
        <v>-260.62292682926829</v>
      </c>
      <c r="CP201">
        <v>-4.2548780487805464</v>
      </c>
      <c r="CQ201">
        <v>0.42324371058348897</v>
      </c>
      <c r="CR201">
        <v>-1</v>
      </c>
      <c r="CS201">
        <v>16.31288536585366</v>
      </c>
      <c r="CT201">
        <v>0.29149756097557938</v>
      </c>
      <c r="CU201">
        <v>2.897856702491278E-2</v>
      </c>
      <c r="CV201">
        <v>-1</v>
      </c>
      <c r="CW201">
        <v>0</v>
      </c>
      <c r="CX201">
        <v>0</v>
      </c>
      <c r="CY201" t="s">
        <v>333</v>
      </c>
      <c r="CZ201">
        <v>2.3643900000000002</v>
      </c>
      <c r="DA201">
        <v>2.7137099999999998</v>
      </c>
      <c r="DB201">
        <v>0.11160100000000001</v>
      </c>
      <c r="DC201">
        <v>0.14612</v>
      </c>
      <c r="DD201">
        <v>0.110586</v>
      </c>
      <c r="DE201">
        <v>4.35264E-2</v>
      </c>
      <c r="DF201">
        <v>32445.4</v>
      </c>
      <c r="DG201">
        <v>27532.1</v>
      </c>
      <c r="DH201">
        <v>31178.2</v>
      </c>
      <c r="DI201">
        <v>28095.8</v>
      </c>
      <c r="DJ201">
        <v>37647.800000000003</v>
      </c>
      <c r="DK201">
        <v>38219.1</v>
      </c>
      <c r="DL201">
        <v>44372</v>
      </c>
      <c r="DM201">
        <v>42587.7</v>
      </c>
      <c r="DN201">
        <v>1.4824999999999999</v>
      </c>
      <c r="DO201">
        <v>2.0367299999999999</v>
      </c>
      <c r="DP201">
        <v>9.8273200000000005E-2</v>
      </c>
      <c r="DQ201">
        <v>0.17639199999999999</v>
      </c>
      <c r="DR201">
        <v>25.390899999999998</v>
      </c>
      <c r="DS201">
        <v>25.1524</v>
      </c>
      <c r="DT201">
        <v>39.700000000000003</v>
      </c>
      <c r="DU201">
        <v>29.3</v>
      </c>
      <c r="DV201">
        <v>16.397600000000001</v>
      </c>
      <c r="DW201">
        <v>61.572400000000002</v>
      </c>
      <c r="DX201">
        <v>37.151400000000002</v>
      </c>
      <c r="DY201">
        <v>1</v>
      </c>
      <c r="DZ201">
        <v>-9.2446600000000004E-2</v>
      </c>
      <c r="EA201">
        <v>9.8709199999999997E-2</v>
      </c>
      <c r="EB201">
        <v>20.1892</v>
      </c>
      <c r="EC201">
        <v>5.2406499999999996</v>
      </c>
      <c r="ED201">
        <v>12.039899999999999</v>
      </c>
      <c r="EE201">
        <v>5.01715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1.86463</v>
      </c>
      <c r="EM201">
        <v>1.8691800000000001</v>
      </c>
      <c r="EN201">
        <v>1.8672200000000001</v>
      </c>
      <c r="EO201">
        <v>1.8633999999999999</v>
      </c>
      <c r="EP201">
        <v>1.8644799999999999</v>
      </c>
      <c r="EQ201">
        <v>1.87012</v>
      </c>
      <c r="ER201">
        <v>1.8694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-0.255</v>
      </c>
      <c r="FG201">
        <v>0.30990000000000001</v>
      </c>
      <c r="FH201">
        <v>0.1121710645629533</v>
      </c>
      <c r="FI201">
        <v>-6.1462078757559423E-4</v>
      </c>
      <c r="FJ201">
        <v>-1.8861989874597051E-7</v>
      </c>
      <c r="FK201">
        <v>1.1980462299894961E-10</v>
      </c>
      <c r="FL201">
        <v>0.30996499999999833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41.3</v>
      </c>
      <c r="FU201">
        <v>41.2</v>
      </c>
      <c r="FV201">
        <v>1.7712399999999999</v>
      </c>
      <c r="FW201">
        <v>2.5781200000000002</v>
      </c>
      <c r="FX201">
        <v>1.5490699999999999</v>
      </c>
      <c r="FY201">
        <v>2.32666</v>
      </c>
      <c r="FZ201">
        <v>1.50146</v>
      </c>
      <c r="GA201">
        <v>2.3791500000000001</v>
      </c>
      <c r="GB201">
        <v>33.963900000000002</v>
      </c>
      <c r="GC201">
        <v>23.991199999999999</v>
      </c>
      <c r="GD201">
        <v>19</v>
      </c>
      <c r="GE201">
        <v>285.553</v>
      </c>
      <c r="GF201">
        <v>583.33399999999995</v>
      </c>
      <c r="GG201">
        <v>24.563199999999998</v>
      </c>
      <c r="GH201">
        <v>26.222200000000001</v>
      </c>
      <c r="GI201">
        <v>30.0002</v>
      </c>
      <c r="GJ201">
        <v>26.346</v>
      </c>
      <c r="GK201">
        <v>26.328099999999999</v>
      </c>
      <c r="GL201">
        <v>35.426499999999997</v>
      </c>
      <c r="GM201">
        <v>56.571199999999997</v>
      </c>
      <c r="GN201">
        <v>47.901499999999999</v>
      </c>
      <c r="GO201">
        <v>24.563800000000001</v>
      </c>
      <c r="GP201">
        <v>800</v>
      </c>
      <c r="GQ201">
        <v>6.7840199999999999</v>
      </c>
      <c r="GR201">
        <v>99.760199999999998</v>
      </c>
      <c r="GS201">
        <v>99.623599999999996</v>
      </c>
    </row>
    <row r="202" spans="1:201" x14ac:dyDescent="0.25">
      <c r="A202">
        <v>186</v>
      </c>
      <c r="B202">
        <v>1690228665.5</v>
      </c>
      <c r="C202">
        <v>2095.900000095367</v>
      </c>
      <c r="D202" t="s">
        <v>703</v>
      </c>
      <c r="E202" t="s">
        <v>704</v>
      </c>
      <c r="F202" t="s">
        <v>330</v>
      </c>
      <c r="H202">
        <v>1690228665.5</v>
      </c>
      <c r="I202">
        <f t="shared" si="60"/>
        <v>1.5579078947838857E-3</v>
      </c>
      <c r="J202">
        <f t="shared" si="61"/>
        <v>1.5579078947838858</v>
      </c>
      <c r="K202">
        <f t="shared" si="62"/>
        <v>23.440153606910858</v>
      </c>
      <c r="L202">
        <f t="shared" si="63"/>
        <v>538.02099999999996</v>
      </c>
      <c r="M202">
        <f t="shared" si="64"/>
        <v>146.50132564675411</v>
      </c>
      <c r="N202">
        <f t="shared" si="65"/>
        <v>14.52990332175689</v>
      </c>
      <c r="O202">
        <f t="shared" si="66"/>
        <v>53.360562305929996</v>
      </c>
      <c r="P202">
        <f t="shared" si="67"/>
        <v>0.10015631976589565</v>
      </c>
      <c r="Q202">
        <f t="shared" si="68"/>
        <v>2.1317036024598259</v>
      </c>
      <c r="R202">
        <f t="shared" si="69"/>
        <v>9.7613590769184549E-2</v>
      </c>
      <c r="S202">
        <f t="shared" si="70"/>
        <v>6.1231571604040289E-2</v>
      </c>
      <c r="T202">
        <f t="shared" si="71"/>
        <v>276.11413041599997</v>
      </c>
      <c r="U202">
        <f t="shared" si="72"/>
        <v>28.154370469166988</v>
      </c>
      <c r="V202">
        <f t="shared" si="73"/>
        <v>28.154370469166988</v>
      </c>
      <c r="W202">
        <f t="shared" si="74"/>
        <v>3.8291248216073748</v>
      </c>
      <c r="X202">
        <f t="shared" si="75"/>
        <v>65.980997630668682</v>
      </c>
      <c r="Y202">
        <f t="shared" si="76"/>
        <v>2.2950989575970002</v>
      </c>
      <c r="Z202">
        <f t="shared" si="77"/>
        <v>3.4784241524262938</v>
      </c>
      <c r="AA202">
        <f t="shared" si="78"/>
        <v>1.5340258640103746</v>
      </c>
      <c r="AB202">
        <f t="shared" si="79"/>
        <v>-68.703738159969362</v>
      </c>
      <c r="AC202">
        <f t="shared" si="80"/>
        <v>-188.42665999468704</v>
      </c>
      <c r="AD202">
        <f t="shared" si="81"/>
        <v>-19.140179840224498</v>
      </c>
      <c r="AE202">
        <f t="shared" si="82"/>
        <v>-0.15644757888094318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52509.925658387205</v>
      </c>
      <c r="AK202">
        <f t="shared" si="86"/>
        <v>1800</v>
      </c>
      <c r="AL202">
        <f t="shared" si="87"/>
        <v>1499.1077465999999</v>
      </c>
      <c r="AM202">
        <f t="shared" si="88"/>
        <v>0.83283763700000002</v>
      </c>
      <c r="AN202">
        <f t="shared" si="89"/>
        <v>0.15339673911999999</v>
      </c>
      <c r="AO202">
        <v>32.4</v>
      </c>
      <c r="AP202">
        <v>0.5</v>
      </c>
      <c r="AQ202" t="s">
        <v>331</v>
      </c>
      <c r="AR202">
        <v>2</v>
      </c>
      <c r="AS202">
        <v>1690228665.5</v>
      </c>
      <c r="AT202">
        <v>538.02099999999996</v>
      </c>
      <c r="AU202">
        <v>800.11699999999996</v>
      </c>
      <c r="AV202">
        <v>23.140899999999998</v>
      </c>
      <c r="AW202">
        <v>6.7117500000000003</v>
      </c>
      <c r="AX202">
        <v>538.27599999999995</v>
      </c>
      <c r="AY202">
        <v>22.8309</v>
      </c>
      <c r="AZ202">
        <v>300.12599999999998</v>
      </c>
      <c r="BA202">
        <v>99.079300000000003</v>
      </c>
      <c r="BB202">
        <v>0.10002999999999999</v>
      </c>
      <c r="BC202">
        <v>26.514800000000001</v>
      </c>
      <c r="BD202">
        <v>26.979099999999999</v>
      </c>
      <c r="BE202">
        <v>28.045100000000001</v>
      </c>
      <c r="BF202">
        <v>0</v>
      </c>
      <c r="BG202">
        <v>0</v>
      </c>
      <c r="BH202">
        <v>10006.9</v>
      </c>
      <c r="BI202">
        <v>1072.98</v>
      </c>
      <c r="BJ202">
        <v>1.5137799999999999</v>
      </c>
      <c r="BK202">
        <v>-262.096</v>
      </c>
      <c r="BL202">
        <v>550.76599999999996</v>
      </c>
      <c r="BM202">
        <v>805.52300000000002</v>
      </c>
      <c r="BN202">
        <v>16.429099999999998</v>
      </c>
      <c r="BO202">
        <v>800.11699999999996</v>
      </c>
      <c r="BP202">
        <v>6.7117500000000003</v>
      </c>
      <c r="BQ202">
        <v>2.29278</v>
      </c>
      <c r="BR202">
        <v>0.66499600000000003</v>
      </c>
      <c r="BS202">
        <v>19.625800000000002</v>
      </c>
      <c r="BT202">
        <v>1.1114599999999999</v>
      </c>
      <c r="BU202">
        <v>1800</v>
      </c>
      <c r="BV202">
        <v>0.90999200000000002</v>
      </c>
      <c r="BW202">
        <v>3.4004600000000003E-2</v>
      </c>
      <c r="BX202">
        <v>2.1990099999999999E-2</v>
      </c>
      <c r="BY202">
        <v>3.4013000000000002E-2</v>
      </c>
      <c r="BZ202">
        <v>26</v>
      </c>
      <c r="CA202">
        <v>33528.5</v>
      </c>
      <c r="CB202">
        <v>1690226183.5999999</v>
      </c>
      <c r="CC202" t="s">
        <v>332</v>
      </c>
      <c r="CD202">
        <v>1690226177.5999999</v>
      </c>
      <c r="CE202">
        <v>1690226183.5999999</v>
      </c>
      <c r="CF202">
        <v>12</v>
      </c>
      <c r="CG202">
        <v>-0.255</v>
      </c>
      <c r="CH202">
        <v>0.113</v>
      </c>
      <c r="CI202">
        <v>-0.439</v>
      </c>
      <c r="CJ202">
        <v>0.31</v>
      </c>
      <c r="CK202">
        <v>800</v>
      </c>
      <c r="CL202">
        <v>25</v>
      </c>
      <c r="CM202">
        <v>0.02</v>
      </c>
      <c r="CN202">
        <v>0.03</v>
      </c>
      <c r="CO202">
        <v>-261.31032499999998</v>
      </c>
      <c r="CP202">
        <v>-3.6234484052529838</v>
      </c>
      <c r="CQ202">
        <v>0.35973597175567879</v>
      </c>
      <c r="CR202">
        <v>-1</v>
      </c>
      <c r="CS202">
        <v>16.366397500000001</v>
      </c>
      <c r="CT202">
        <v>0.32231257035649519</v>
      </c>
      <c r="CU202">
        <v>3.1194851237824651E-2</v>
      </c>
      <c r="CV202">
        <v>-1</v>
      </c>
      <c r="CW202">
        <v>0</v>
      </c>
      <c r="CX202">
        <v>0</v>
      </c>
      <c r="CY202" t="s">
        <v>333</v>
      </c>
      <c r="CZ202">
        <v>2.36442</v>
      </c>
      <c r="DA202">
        <v>2.7138300000000002</v>
      </c>
      <c r="DB202">
        <v>0.111509</v>
      </c>
      <c r="DC202">
        <v>0.146121</v>
      </c>
      <c r="DD202">
        <v>0.11058800000000001</v>
      </c>
      <c r="DE202">
        <v>4.3210199999999997E-2</v>
      </c>
      <c r="DF202">
        <v>32449.1</v>
      </c>
      <c r="DG202">
        <v>27531.9</v>
      </c>
      <c r="DH202">
        <v>31178.5</v>
      </c>
      <c r="DI202">
        <v>28095.599999999999</v>
      </c>
      <c r="DJ202">
        <v>37648.199999999997</v>
      </c>
      <c r="DK202">
        <v>38231.599999999999</v>
      </c>
      <c r="DL202">
        <v>44372.6</v>
      </c>
      <c r="DM202">
        <v>42587.6</v>
      </c>
      <c r="DN202">
        <v>1.4823999999999999</v>
      </c>
      <c r="DO202">
        <v>2.0368200000000001</v>
      </c>
      <c r="DP202">
        <v>9.6876199999999996E-2</v>
      </c>
      <c r="DQ202">
        <v>0.17676500000000001</v>
      </c>
      <c r="DR202">
        <v>25.392700000000001</v>
      </c>
      <c r="DS202">
        <v>25.1524</v>
      </c>
      <c r="DT202">
        <v>39.4</v>
      </c>
      <c r="DU202">
        <v>29.3</v>
      </c>
      <c r="DV202">
        <v>16.271999999999998</v>
      </c>
      <c r="DW202">
        <v>61.412399999999998</v>
      </c>
      <c r="DX202">
        <v>36.979199999999999</v>
      </c>
      <c r="DY202">
        <v>1</v>
      </c>
      <c r="DZ202">
        <v>-9.2583799999999994E-2</v>
      </c>
      <c r="EA202">
        <v>0.12339899999999999</v>
      </c>
      <c r="EB202">
        <v>20.1892</v>
      </c>
      <c r="EC202">
        <v>5.2411000000000003</v>
      </c>
      <c r="ED202">
        <v>12.039899999999999</v>
      </c>
      <c r="EE202">
        <v>5.0168499999999998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1.8672200000000001</v>
      </c>
      <c r="EO202">
        <v>1.8633999999999999</v>
      </c>
      <c r="EP202">
        <v>1.8644799999999999</v>
      </c>
      <c r="EQ202">
        <v>1.8701300000000001</v>
      </c>
      <c r="ER202">
        <v>1.8694200000000001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-0.255</v>
      </c>
      <c r="FG202">
        <v>0.31</v>
      </c>
      <c r="FH202">
        <v>0.1121710645629533</v>
      </c>
      <c r="FI202">
        <v>-6.1462078757559423E-4</v>
      </c>
      <c r="FJ202">
        <v>-1.8861989874597051E-7</v>
      </c>
      <c r="FK202">
        <v>1.1980462299894961E-10</v>
      </c>
      <c r="FL202">
        <v>0.30996499999999833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41.5</v>
      </c>
      <c r="FU202">
        <v>41.4</v>
      </c>
      <c r="FV202">
        <v>1.7712399999999999</v>
      </c>
      <c r="FW202">
        <v>2.5805699999999998</v>
      </c>
      <c r="FX202">
        <v>1.5490699999999999</v>
      </c>
      <c r="FY202">
        <v>2.32666</v>
      </c>
      <c r="FZ202">
        <v>1.50146</v>
      </c>
      <c r="GA202">
        <v>2.3938000000000001</v>
      </c>
      <c r="GB202">
        <v>33.941299999999998</v>
      </c>
      <c r="GC202">
        <v>23.991199999999999</v>
      </c>
      <c r="GD202">
        <v>19</v>
      </c>
      <c r="GE202">
        <v>285.50700000000001</v>
      </c>
      <c r="GF202">
        <v>583.41600000000005</v>
      </c>
      <c r="GG202">
        <v>24.568100000000001</v>
      </c>
      <c r="GH202">
        <v>26.222200000000001</v>
      </c>
      <c r="GI202">
        <v>30.0001</v>
      </c>
      <c r="GJ202">
        <v>26.345400000000001</v>
      </c>
      <c r="GK202">
        <v>26.328099999999999</v>
      </c>
      <c r="GL202">
        <v>35.4298</v>
      </c>
      <c r="GM202">
        <v>56.571199999999997</v>
      </c>
      <c r="GN202">
        <v>47.5246</v>
      </c>
      <c r="GO202">
        <v>24.563500000000001</v>
      </c>
      <c r="GP202">
        <v>800</v>
      </c>
      <c r="GQ202">
        <v>6.7196899999999999</v>
      </c>
      <c r="GR202">
        <v>99.761399999999995</v>
      </c>
      <c r="GS202">
        <v>99.623099999999994</v>
      </c>
    </row>
    <row r="203" spans="1:201" x14ac:dyDescent="0.25">
      <c r="A203">
        <v>187</v>
      </c>
      <c r="B203">
        <v>1690228675.5</v>
      </c>
      <c r="C203">
        <v>2105.900000095367</v>
      </c>
      <c r="D203" t="s">
        <v>705</v>
      </c>
      <c r="E203" t="s">
        <v>706</v>
      </c>
      <c r="F203" t="s">
        <v>330</v>
      </c>
      <c r="H203">
        <v>1690228675.5</v>
      </c>
      <c r="I203">
        <f t="shared" si="60"/>
        <v>1.5606167578340448E-3</v>
      </c>
      <c r="J203">
        <f t="shared" si="61"/>
        <v>1.5606167578340449</v>
      </c>
      <c r="K203">
        <f t="shared" si="62"/>
        <v>23.496106159762089</v>
      </c>
      <c r="L203">
        <f t="shared" si="63"/>
        <v>537.38099999999997</v>
      </c>
      <c r="M203">
        <f t="shared" si="64"/>
        <v>145.604577568937</v>
      </c>
      <c r="N203">
        <f t="shared" si="65"/>
        <v>14.440768959514358</v>
      </c>
      <c r="O203">
        <f t="shared" si="66"/>
        <v>53.296366046999402</v>
      </c>
      <c r="P203">
        <f t="shared" si="67"/>
        <v>0.10032796651043074</v>
      </c>
      <c r="Q203">
        <f t="shared" si="68"/>
        <v>2.1306651408882922</v>
      </c>
      <c r="R203">
        <f t="shared" si="69"/>
        <v>9.7775424793014432E-2</v>
      </c>
      <c r="S203">
        <f t="shared" si="70"/>
        <v>6.133356718996219E-2</v>
      </c>
      <c r="T203">
        <f t="shared" si="71"/>
        <v>276.11441002799995</v>
      </c>
      <c r="U203">
        <f t="shared" si="72"/>
        <v>28.152456420358945</v>
      </c>
      <c r="V203">
        <f t="shared" si="73"/>
        <v>28.152456420358945</v>
      </c>
      <c r="W203">
        <f t="shared" si="74"/>
        <v>3.8286980691586412</v>
      </c>
      <c r="X203">
        <f t="shared" si="75"/>
        <v>65.972173784539223</v>
      </c>
      <c r="Y203">
        <f t="shared" si="76"/>
        <v>2.2945620808889204</v>
      </c>
      <c r="Z203">
        <f t="shared" si="77"/>
        <v>3.4780756025757302</v>
      </c>
      <c r="AA203">
        <f t="shared" si="78"/>
        <v>1.5341359882697208</v>
      </c>
      <c r="AB203">
        <f t="shared" si="79"/>
        <v>-68.823199020481368</v>
      </c>
      <c r="AC203">
        <f t="shared" si="80"/>
        <v>-188.31028030801679</v>
      </c>
      <c r="AD203">
        <f t="shared" si="81"/>
        <v>-19.13733558534766</v>
      </c>
      <c r="AE203">
        <f t="shared" si="82"/>
        <v>-0.1564048858458591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52465.348199845423</v>
      </c>
      <c r="AK203">
        <f t="shared" si="86"/>
        <v>1800</v>
      </c>
      <c r="AL203">
        <f t="shared" si="87"/>
        <v>1499.1081138</v>
      </c>
      <c r="AM203">
        <f t="shared" si="88"/>
        <v>0.83283784099999991</v>
      </c>
      <c r="AN203">
        <f t="shared" si="89"/>
        <v>0.15339689445999999</v>
      </c>
      <c r="AO203">
        <v>32.4</v>
      </c>
      <c r="AP203">
        <v>0.5</v>
      </c>
      <c r="AQ203" t="s">
        <v>331</v>
      </c>
      <c r="AR203">
        <v>2</v>
      </c>
      <c r="AS203">
        <v>1690228675.5</v>
      </c>
      <c r="AT203">
        <v>537.38099999999997</v>
      </c>
      <c r="AU203">
        <v>799.96</v>
      </c>
      <c r="AV203">
        <v>23.1358</v>
      </c>
      <c r="AW203">
        <v>6.6858899999999997</v>
      </c>
      <c r="AX203">
        <v>537.63499999999999</v>
      </c>
      <c r="AY203">
        <v>22.825800000000001</v>
      </c>
      <c r="AZ203">
        <v>300.27</v>
      </c>
      <c r="BA203">
        <v>99.078000000000003</v>
      </c>
      <c r="BB203">
        <v>9.9987400000000004E-2</v>
      </c>
      <c r="BC203">
        <v>26.513100000000001</v>
      </c>
      <c r="BD203">
        <v>27.008400000000002</v>
      </c>
      <c r="BE203">
        <v>28.043299999999999</v>
      </c>
      <c r="BF203">
        <v>0</v>
      </c>
      <c r="BG203">
        <v>0</v>
      </c>
      <c r="BH203">
        <v>9998.1200000000008</v>
      </c>
      <c r="BI203">
        <v>1072.93</v>
      </c>
      <c r="BJ203">
        <v>1.5137799999999999</v>
      </c>
      <c r="BK203">
        <v>-262.57900000000001</v>
      </c>
      <c r="BL203">
        <v>550.10799999999995</v>
      </c>
      <c r="BM203">
        <v>805.34400000000005</v>
      </c>
      <c r="BN203">
        <v>16.4499</v>
      </c>
      <c r="BO203">
        <v>799.96</v>
      </c>
      <c r="BP203">
        <v>6.6858899999999997</v>
      </c>
      <c r="BQ203">
        <v>2.2922500000000001</v>
      </c>
      <c r="BR203">
        <v>0.66242400000000001</v>
      </c>
      <c r="BS203">
        <v>19.622</v>
      </c>
      <c r="BT203">
        <v>1.0576300000000001</v>
      </c>
      <c r="BU203">
        <v>1800</v>
      </c>
      <c r="BV203">
        <v>0.90999099999999999</v>
      </c>
      <c r="BW203">
        <v>3.4004E-2</v>
      </c>
      <c r="BX203">
        <v>2.1992299999999999E-2</v>
      </c>
      <c r="BY203">
        <v>3.4012399999999998E-2</v>
      </c>
      <c r="BZ203">
        <v>26</v>
      </c>
      <c r="CA203">
        <v>33528.5</v>
      </c>
      <c r="CB203">
        <v>1690226183.5999999</v>
      </c>
      <c r="CC203" t="s">
        <v>332</v>
      </c>
      <c r="CD203">
        <v>1690226177.5999999</v>
      </c>
      <c r="CE203">
        <v>1690226183.5999999</v>
      </c>
      <c r="CF203">
        <v>12</v>
      </c>
      <c r="CG203">
        <v>-0.255</v>
      </c>
      <c r="CH203">
        <v>0.113</v>
      </c>
      <c r="CI203">
        <v>-0.439</v>
      </c>
      <c r="CJ203">
        <v>0.31</v>
      </c>
      <c r="CK203">
        <v>800</v>
      </c>
      <c r="CL203">
        <v>25</v>
      </c>
      <c r="CM203">
        <v>0.02</v>
      </c>
      <c r="CN203">
        <v>0.03</v>
      </c>
      <c r="CO203">
        <v>-261.87236585365861</v>
      </c>
      <c r="CP203">
        <v>-3.6022578397216418</v>
      </c>
      <c r="CQ203">
        <v>0.36274843504377702</v>
      </c>
      <c r="CR203">
        <v>-1</v>
      </c>
      <c r="CS203">
        <v>16.412168292682921</v>
      </c>
      <c r="CT203">
        <v>0.27391986062718132</v>
      </c>
      <c r="CU203">
        <v>2.7507031819592711E-2</v>
      </c>
      <c r="CV203">
        <v>-1</v>
      </c>
      <c r="CW203">
        <v>0</v>
      </c>
      <c r="CX203">
        <v>0</v>
      </c>
      <c r="CY203" t="s">
        <v>333</v>
      </c>
      <c r="CZ203">
        <v>2.3649200000000001</v>
      </c>
      <c r="DA203">
        <v>2.7137799999999999</v>
      </c>
      <c r="DB203">
        <v>0.111414</v>
      </c>
      <c r="DC203">
        <v>0.14610200000000001</v>
      </c>
      <c r="DD203">
        <v>0.110572</v>
      </c>
      <c r="DE203">
        <v>4.3076099999999999E-2</v>
      </c>
      <c r="DF203">
        <v>32452.6</v>
      </c>
      <c r="DG203">
        <v>27532.7</v>
      </c>
      <c r="DH203">
        <v>31178.5</v>
      </c>
      <c r="DI203">
        <v>28095.8</v>
      </c>
      <c r="DJ203">
        <v>37649.1</v>
      </c>
      <c r="DK203">
        <v>38237.199999999997</v>
      </c>
      <c r="DL203">
        <v>44372.7</v>
      </c>
      <c r="DM203">
        <v>42587.7</v>
      </c>
      <c r="DN203">
        <v>1.48248</v>
      </c>
      <c r="DO203">
        <v>2.0365700000000002</v>
      </c>
      <c r="DP203">
        <v>9.8645700000000003E-2</v>
      </c>
      <c r="DQ203">
        <v>0.176653</v>
      </c>
      <c r="DR203">
        <v>25.393000000000001</v>
      </c>
      <c r="DS203">
        <v>25.1524</v>
      </c>
      <c r="DT203">
        <v>39.200000000000003</v>
      </c>
      <c r="DU203">
        <v>29.3</v>
      </c>
      <c r="DV203">
        <v>16.1919</v>
      </c>
      <c r="DW203">
        <v>61.522399999999998</v>
      </c>
      <c r="DX203">
        <v>36.302100000000003</v>
      </c>
      <c r="DY203">
        <v>1</v>
      </c>
      <c r="DZ203">
        <v>-9.3003000000000002E-2</v>
      </c>
      <c r="EA203">
        <v>8.3216200000000004E-2</v>
      </c>
      <c r="EB203">
        <v>20.189499999999999</v>
      </c>
      <c r="EC203">
        <v>5.24125</v>
      </c>
      <c r="ED203">
        <v>12.039899999999999</v>
      </c>
      <c r="EE203">
        <v>5.0171000000000001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1.8646400000000001</v>
      </c>
      <c r="EM203">
        <v>1.8691899999999999</v>
      </c>
      <c r="EN203">
        <v>1.8672299999999999</v>
      </c>
      <c r="EO203">
        <v>1.8633999999999999</v>
      </c>
      <c r="EP203">
        <v>1.86449</v>
      </c>
      <c r="EQ203">
        <v>1.87012</v>
      </c>
      <c r="ER203">
        <v>1.86938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-0.254</v>
      </c>
      <c r="FG203">
        <v>0.31</v>
      </c>
      <c r="FH203">
        <v>0.1121710645629533</v>
      </c>
      <c r="FI203">
        <v>-6.1462078757559423E-4</v>
      </c>
      <c r="FJ203">
        <v>-1.8861989874597051E-7</v>
      </c>
      <c r="FK203">
        <v>1.1980462299894961E-10</v>
      </c>
      <c r="FL203">
        <v>0.30996499999999833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41.6</v>
      </c>
      <c r="FU203">
        <v>41.5</v>
      </c>
      <c r="FV203">
        <v>1.7724599999999999</v>
      </c>
      <c r="FW203">
        <v>2.5805699999999998</v>
      </c>
      <c r="FX203">
        <v>1.5490699999999999</v>
      </c>
      <c r="FY203">
        <v>2.32666</v>
      </c>
      <c r="FZ203">
        <v>1.50146</v>
      </c>
      <c r="GA203">
        <v>2.3901400000000002</v>
      </c>
      <c r="GB203">
        <v>33.941299999999998</v>
      </c>
      <c r="GC203">
        <v>23.991199999999999</v>
      </c>
      <c r="GD203">
        <v>19</v>
      </c>
      <c r="GE203">
        <v>285.53199999999998</v>
      </c>
      <c r="GF203">
        <v>583.20399999999995</v>
      </c>
      <c r="GG203">
        <v>24.569600000000001</v>
      </c>
      <c r="GH203">
        <v>26.222200000000001</v>
      </c>
      <c r="GI203">
        <v>29.9999</v>
      </c>
      <c r="GJ203">
        <v>26.343800000000002</v>
      </c>
      <c r="GK203">
        <v>26.327500000000001</v>
      </c>
      <c r="GL203">
        <v>35.432099999999998</v>
      </c>
      <c r="GM203">
        <v>56.571199999999997</v>
      </c>
      <c r="GN203">
        <v>46.767400000000002</v>
      </c>
      <c r="GO203">
        <v>24.573</v>
      </c>
      <c r="GP203">
        <v>800</v>
      </c>
      <c r="GQ203">
        <v>6.6626799999999999</v>
      </c>
      <c r="GR203">
        <v>99.761600000000001</v>
      </c>
      <c r="GS203">
        <v>99.623599999999996</v>
      </c>
    </row>
    <row r="204" spans="1:201" x14ac:dyDescent="0.25">
      <c r="A204">
        <v>188</v>
      </c>
      <c r="B204">
        <v>1690228685.5</v>
      </c>
      <c r="C204">
        <v>2115.900000095367</v>
      </c>
      <c r="D204" t="s">
        <v>707</v>
      </c>
      <c r="E204" t="s">
        <v>708</v>
      </c>
      <c r="F204" t="s">
        <v>330</v>
      </c>
      <c r="H204">
        <v>1690228685.5</v>
      </c>
      <c r="I204">
        <f t="shared" si="60"/>
        <v>1.5646319573092264E-3</v>
      </c>
      <c r="J204">
        <f t="shared" si="61"/>
        <v>1.5646319573092264</v>
      </c>
      <c r="K204">
        <f t="shared" si="62"/>
        <v>23.533469568950277</v>
      </c>
      <c r="L204">
        <f t="shared" si="63"/>
        <v>536.83000000000004</v>
      </c>
      <c r="M204">
        <f t="shared" si="64"/>
        <v>145.61457502938515</v>
      </c>
      <c r="N204">
        <f t="shared" si="65"/>
        <v>14.441577246139499</v>
      </c>
      <c r="O204">
        <f t="shared" si="66"/>
        <v>53.241043429070004</v>
      </c>
      <c r="P204">
        <f t="shared" si="67"/>
        <v>0.10064139670221377</v>
      </c>
      <c r="Q204">
        <f t="shared" si="68"/>
        <v>2.1282436774723057</v>
      </c>
      <c r="R204">
        <f t="shared" si="69"/>
        <v>9.8070259633882412E-2</v>
      </c>
      <c r="S204">
        <f t="shared" si="70"/>
        <v>6.1519447670933938E-2</v>
      </c>
      <c r="T204">
        <f t="shared" si="71"/>
        <v>276.11414915400002</v>
      </c>
      <c r="U204">
        <f t="shared" si="72"/>
        <v>28.149751320068717</v>
      </c>
      <c r="V204">
        <f t="shared" si="73"/>
        <v>28.149751320068717</v>
      </c>
      <c r="W204">
        <f t="shared" si="74"/>
        <v>3.8280950162289678</v>
      </c>
      <c r="X204">
        <f t="shared" si="75"/>
        <v>65.98642659341634</v>
      </c>
      <c r="Y204">
        <f t="shared" si="76"/>
        <v>2.294651978873</v>
      </c>
      <c r="Z204">
        <f t="shared" si="77"/>
        <v>3.4774605889962595</v>
      </c>
      <c r="AA204">
        <f t="shared" si="78"/>
        <v>1.5334430373559678</v>
      </c>
      <c r="AB204">
        <f t="shared" si="79"/>
        <v>-69.000269317336887</v>
      </c>
      <c r="AC204">
        <f t="shared" si="80"/>
        <v>-188.13010515569243</v>
      </c>
      <c r="AD204">
        <f t="shared" si="81"/>
        <v>-19.140232816466586</v>
      </c>
      <c r="AE204">
        <f t="shared" si="82"/>
        <v>-0.15645813549591026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52361.368182742619</v>
      </c>
      <c r="AK204">
        <f t="shared" si="86"/>
        <v>1800</v>
      </c>
      <c r="AL204">
        <f t="shared" si="87"/>
        <v>1499.1081624000001</v>
      </c>
      <c r="AM204">
        <f t="shared" si="88"/>
        <v>0.83283786800000004</v>
      </c>
      <c r="AN204">
        <f t="shared" si="89"/>
        <v>0.15339674953000002</v>
      </c>
      <c r="AO204">
        <v>32.4</v>
      </c>
      <c r="AP204">
        <v>0.5</v>
      </c>
      <c r="AQ204" t="s">
        <v>331</v>
      </c>
      <c r="AR204">
        <v>2</v>
      </c>
      <c r="AS204">
        <v>1690228685.5</v>
      </c>
      <c r="AT204">
        <v>536.83000000000004</v>
      </c>
      <c r="AU204">
        <v>799.976</v>
      </c>
      <c r="AV204">
        <v>23.137</v>
      </c>
      <c r="AW204">
        <v>6.6353900000000001</v>
      </c>
      <c r="AX204">
        <v>537.08399999999995</v>
      </c>
      <c r="AY204">
        <v>22.827100000000002</v>
      </c>
      <c r="AZ204">
        <v>300.09899999999999</v>
      </c>
      <c r="BA204">
        <v>99.076700000000002</v>
      </c>
      <c r="BB204">
        <v>0.10002900000000001</v>
      </c>
      <c r="BC204">
        <v>26.510100000000001</v>
      </c>
      <c r="BD204">
        <v>26.983699999999999</v>
      </c>
      <c r="BE204">
        <v>28.043900000000001</v>
      </c>
      <c r="BF204">
        <v>0</v>
      </c>
      <c r="BG204">
        <v>0</v>
      </c>
      <c r="BH204">
        <v>9977.5</v>
      </c>
      <c r="BI204">
        <v>1073</v>
      </c>
      <c r="BJ204">
        <v>1.5278</v>
      </c>
      <c r="BK204">
        <v>-263.14600000000002</v>
      </c>
      <c r="BL204">
        <v>549.54499999999996</v>
      </c>
      <c r="BM204">
        <v>805.32</v>
      </c>
      <c r="BN204">
        <v>16.5016</v>
      </c>
      <c r="BO204">
        <v>799.976</v>
      </c>
      <c r="BP204">
        <v>6.6353900000000001</v>
      </c>
      <c r="BQ204">
        <v>2.2923399999999998</v>
      </c>
      <c r="BR204">
        <v>0.65741300000000003</v>
      </c>
      <c r="BS204">
        <v>19.622699999999998</v>
      </c>
      <c r="BT204">
        <v>0.95220199999999999</v>
      </c>
      <c r="BU204">
        <v>1800</v>
      </c>
      <c r="BV204">
        <v>0.90999300000000005</v>
      </c>
      <c r="BW204">
        <v>3.4004300000000001E-2</v>
      </c>
      <c r="BX204">
        <v>2.19899E-2</v>
      </c>
      <c r="BY204">
        <v>3.40127E-2</v>
      </c>
      <c r="BZ204">
        <v>26</v>
      </c>
      <c r="CA204">
        <v>33528.5</v>
      </c>
      <c r="CB204">
        <v>1690226183.5999999</v>
      </c>
      <c r="CC204" t="s">
        <v>332</v>
      </c>
      <c r="CD204">
        <v>1690226177.5999999</v>
      </c>
      <c r="CE204">
        <v>1690226183.5999999</v>
      </c>
      <c r="CF204">
        <v>12</v>
      </c>
      <c r="CG204">
        <v>-0.255</v>
      </c>
      <c r="CH204">
        <v>0.113</v>
      </c>
      <c r="CI204">
        <v>-0.439</v>
      </c>
      <c r="CJ204">
        <v>0.31</v>
      </c>
      <c r="CK204">
        <v>800</v>
      </c>
      <c r="CL204">
        <v>25</v>
      </c>
      <c r="CM204">
        <v>0.02</v>
      </c>
      <c r="CN204">
        <v>0.03</v>
      </c>
      <c r="CO204">
        <v>-262.53219999999999</v>
      </c>
      <c r="CP204">
        <v>-3.6228292682920422</v>
      </c>
      <c r="CQ204">
        <v>0.35350842988534392</v>
      </c>
      <c r="CR204">
        <v>-1</v>
      </c>
      <c r="CS204">
        <v>16.4548275</v>
      </c>
      <c r="CT204">
        <v>0.20421500938084269</v>
      </c>
      <c r="CU204">
        <v>2.0216465906532789E-2</v>
      </c>
      <c r="CV204">
        <v>-1</v>
      </c>
      <c r="CW204">
        <v>0</v>
      </c>
      <c r="CX204">
        <v>0</v>
      </c>
      <c r="CY204" t="s">
        <v>333</v>
      </c>
      <c r="CZ204">
        <v>2.36435</v>
      </c>
      <c r="DA204">
        <v>2.7138</v>
      </c>
      <c r="DB204">
        <v>0.11133</v>
      </c>
      <c r="DC204">
        <v>0.14610000000000001</v>
      </c>
      <c r="DD204">
        <v>0.11057400000000001</v>
      </c>
      <c r="DE204">
        <v>4.2812599999999999E-2</v>
      </c>
      <c r="DF204">
        <v>32456.1</v>
      </c>
      <c r="DG204">
        <v>27532.799999999999</v>
      </c>
      <c r="DH204">
        <v>31178.9</v>
      </c>
      <c r="DI204">
        <v>28095.9</v>
      </c>
      <c r="DJ204">
        <v>37649.300000000003</v>
      </c>
      <c r="DK204">
        <v>38247.9</v>
      </c>
      <c r="DL204">
        <v>44373.1</v>
      </c>
      <c r="DM204">
        <v>42587.9</v>
      </c>
      <c r="DN204">
        <v>1.4825200000000001</v>
      </c>
      <c r="DO204">
        <v>2.0364499999999999</v>
      </c>
      <c r="DP204">
        <v>9.7136899999999998E-2</v>
      </c>
      <c r="DQ204">
        <v>0.17676500000000001</v>
      </c>
      <c r="DR204">
        <v>25.393000000000001</v>
      </c>
      <c r="DS204">
        <v>25.151199999999999</v>
      </c>
      <c r="DT204">
        <v>39</v>
      </c>
      <c r="DU204">
        <v>29.3</v>
      </c>
      <c r="DV204">
        <v>16.108699999999999</v>
      </c>
      <c r="DW204">
        <v>61.782400000000003</v>
      </c>
      <c r="DX204">
        <v>36.153799999999997</v>
      </c>
      <c r="DY204">
        <v>1</v>
      </c>
      <c r="DZ204">
        <v>-9.3165700000000004E-2</v>
      </c>
      <c r="EA204">
        <v>4.47549E-2</v>
      </c>
      <c r="EB204">
        <v>20.189399999999999</v>
      </c>
      <c r="EC204">
        <v>5.2411000000000003</v>
      </c>
      <c r="ED204">
        <v>12.039899999999999</v>
      </c>
      <c r="EE204">
        <v>5.0171000000000001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1.8689100000000001</v>
      </c>
      <c r="EL204">
        <v>1.8646199999999999</v>
      </c>
      <c r="EM204">
        <v>1.8691899999999999</v>
      </c>
      <c r="EN204">
        <v>1.8672299999999999</v>
      </c>
      <c r="EO204">
        <v>1.8633900000000001</v>
      </c>
      <c r="EP204">
        <v>1.86449</v>
      </c>
      <c r="EQ204">
        <v>1.8701399999999999</v>
      </c>
      <c r="ER204">
        <v>1.8693900000000001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-0.254</v>
      </c>
      <c r="FG204">
        <v>0.30990000000000001</v>
      </c>
      <c r="FH204">
        <v>0.1121710645629533</v>
      </c>
      <c r="FI204">
        <v>-6.1462078757559423E-4</v>
      </c>
      <c r="FJ204">
        <v>-1.8861989874597051E-7</v>
      </c>
      <c r="FK204">
        <v>1.1980462299894961E-10</v>
      </c>
      <c r="FL204">
        <v>0.30996499999999833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41.8</v>
      </c>
      <c r="FU204">
        <v>41.7</v>
      </c>
      <c r="FV204">
        <v>1.7724599999999999</v>
      </c>
      <c r="FW204">
        <v>2.5854499999999998</v>
      </c>
      <c r="FX204">
        <v>1.5490699999999999</v>
      </c>
      <c r="FY204">
        <v>2.32666</v>
      </c>
      <c r="FZ204">
        <v>1.50146</v>
      </c>
      <c r="GA204">
        <v>2.35229</v>
      </c>
      <c r="GB204">
        <v>33.941299999999998</v>
      </c>
      <c r="GC204">
        <v>23.982399999999998</v>
      </c>
      <c r="GD204">
        <v>19</v>
      </c>
      <c r="GE204">
        <v>285.55399999999997</v>
      </c>
      <c r="GF204">
        <v>583.08199999999999</v>
      </c>
      <c r="GG204">
        <v>24.583200000000001</v>
      </c>
      <c r="GH204">
        <v>26.222200000000001</v>
      </c>
      <c r="GI204">
        <v>30</v>
      </c>
      <c r="GJ204">
        <v>26.343800000000002</v>
      </c>
      <c r="GK204">
        <v>26.325900000000001</v>
      </c>
      <c r="GL204">
        <v>35.429900000000004</v>
      </c>
      <c r="GM204">
        <v>56.571199999999997</v>
      </c>
      <c r="GN204">
        <v>46.395299999999999</v>
      </c>
      <c r="GO204">
        <v>24.589099999999998</v>
      </c>
      <c r="GP204">
        <v>800</v>
      </c>
      <c r="GQ204">
        <v>6.5982099999999999</v>
      </c>
      <c r="GR204">
        <v>99.762600000000006</v>
      </c>
      <c r="GS204">
        <v>99.623900000000006</v>
      </c>
    </row>
    <row r="205" spans="1:201" x14ac:dyDescent="0.25">
      <c r="A205">
        <v>189</v>
      </c>
      <c r="B205">
        <v>1690228695.5</v>
      </c>
      <c r="C205">
        <v>2125.900000095367</v>
      </c>
      <c r="D205" t="s">
        <v>709</v>
      </c>
      <c r="E205" t="s">
        <v>710</v>
      </c>
      <c r="F205" t="s">
        <v>330</v>
      </c>
      <c r="H205">
        <v>1690228695.5</v>
      </c>
      <c r="I205">
        <f t="shared" si="60"/>
        <v>1.5711894715297902E-3</v>
      </c>
      <c r="J205">
        <f t="shared" si="61"/>
        <v>1.5711894715297903</v>
      </c>
      <c r="K205">
        <f t="shared" si="62"/>
        <v>23.586425435850277</v>
      </c>
      <c r="L205">
        <f t="shared" si="63"/>
        <v>536.18200000000002</v>
      </c>
      <c r="M205">
        <f t="shared" si="64"/>
        <v>145.46264074865957</v>
      </c>
      <c r="N205">
        <f t="shared" si="65"/>
        <v>14.426710366911605</v>
      </c>
      <c r="O205">
        <f t="shared" si="66"/>
        <v>53.177519520748007</v>
      </c>
      <c r="P205">
        <f t="shared" si="67"/>
        <v>0.10100586711585893</v>
      </c>
      <c r="Q205">
        <f t="shared" si="68"/>
        <v>2.1280393627296168</v>
      </c>
      <c r="R205">
        <f t="shared" si="69"/>
        <v>9.8416089989790581E-2</v>
      </c>
      <c r="S205">
        <f t="shared" si="70"/>
        <v>6.1737206785721921E-2</v>
      </c>
      <c r="T205">
        <f t="shared" si="71"/>
        <v>276.11422146000001</v>
      </c>
      <c r="U205">
        <f t="shared" si="72"/>
        <v>28.155693116126823</v>
      </c>
      <c r="V205">
        <f t="shared" si="73"/>
        <v>28.155693116126823</v>
      </c>
      <c r="W205">
        <f t="shared" si="74"/>
        <v>3.8294197405408834</v>
      </c>
      <c r="X205">
        <f t="shared" si="75"/>
        <v>65.963545903083414</v>
      </c>
      <c r="Y205">
        <f t="shared" si="76"/>
        <v>2.2949518045258004</v>
      </c>
      <c r="Z205">
        <f t="shared" si="77"/>
        <v>3.4791213436246222</v>
      </c>
      <c r="AA205">
        <f t="shared" si="78"/>
        <v>1.534467936015083</v>
      </c>
      <c r="AB205">
        <f t="shared" si="79"/>
        <v>-69.289455694463754</v>
      </c>
      <c r="AC205">
        <f t="shared" si="80"/>
        <v>-187.86444041205573</v>
      </c>
      <c r="AD205">
        <f t="shared" si="81"/>
        <v>-19.116379557607086</v>
      </c>
      <c r="AE205">
        <f t="shared" si="82"/>
        <v>-0.15605420412657622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52351.170813681732</v>
      </c>
      <c r="AK205">
        <f t="shared" si="86"/>
        <v>1800</v>
      </c>
      <c r="AL205">
        <f t="shared" si="87"/>
        <v>1499.1083189999999</v>
      </c>
      <c r="AM205">
        <f t="shared" si="88"/>
        <v>0.83283795500000002</v>
      </c>
      <c r="AN205">
        <f t="shared" si="89"/>
        <v>0.15339678970000001</v>
      </c>
      <c r="AO205">
        <v>32.4</v>
      </c>
      <c r="AP205">
        <v>0.5</v>
      </c>
      <c r="AQ205" t="s">
        <v>331</v>
      </c>
      <c r="AR205">
        <v>2</v>
      </c>
      <c r="AS205">
        <v>1690228695.5</v>
      </c>
      <c r="AT205">
        <v>536.18200000000002</v>
      </c>
      <c r="AU205">
        <v>799.86699999999996</v>
      </c>
      <c r="AV205">
        <v>23.139700000000001</v>
      </c>
      <c r="AW205">
        <v>6.57273</v>
      </c>
      <c r="AX205">
        <v>536.43600000000004</v>
      </c>
      <c r="AY205">
        <v>22.829699999999999</v>
      </c>
      <c r="AZ205">
        <v>300.16699999999997</v>
      </c>
      <c r="BA205">
        <v>99.078000000000003</v>
      </c>
      <c r="BB205">
        <v>0.10011399999999999</v>
      </c>
      <c r="BC205">
        <v>26.5182</v>
      </c>
      <c r="BD205">
        <v>27.026299999999999</v>
      </c>
      <c r="BE205">
        <v>28.032699999999998</v>
      </c>
      <c r="BF205">
        <v>0</v>
      </c>
      <c r="BG205">
        <v>0</v>
      </c>
      <c r="BH205">
        <v>9975.6200000000008</v>
      </c>
      <c r="BI205">
        <v>1073.07</v>
      </c>
      <c r="BJ205">
        <v>1.5137799999999999</v>
      </c>
      <c r="BK205">
        <v>-263.685</v>
      </c>
      <c r="BL205">
        <v>548.88300000000004</v>
      </c>
      <c r="BM205">
        <v>805.15899999999999</v>
      </c>
      <c r="BN205">
        <v>16.567</v>
      </c>
      <c r="BO205">
        <v>799.86699999999996</v>
      </c>
      <c r="BP205">
        <v>6.57273</v>
      </c>
      <c r="BQ205">
        <v>2.2926299999999999</v>
      </c>
      <c r="BR205">
        <v>0.65121200000000001</v>
      </c>
      <c r="BS205">
        <v>19.624700000000001</v>
      </c>
      <c r="BT205">
        <v>0.820766</v>
      </c>
      <c r="BU205">
        <v>1800</v>
      </c>
      <c r="BV205">
        <v>0.90999300000000005</v>
      </c>
      <c r="BW205">
        <v>3.4004E-2</v>
      </c>
      <c r="BX205">
        <v>2.19905E-2</v>
      </c>
      <c r="BY205">
        <v>3.4012399999999998E-2</v>
      </c>
      <c r="BZ205">
        <v>26</v>
      </c>
      <c r="CA205">
        <v>33528.400000000001</v>
      </c>
      <c r="CB205">
        <v>1690226183.5999999</v>
      </c>
      <c r="CC205" t="s">
        <v>332</v>
      </c>
      <c r="CD205">
        <v>1690226177.5999999</v>
      </c>
      <c r="CE205">
        <v>1690226183.5999999</v>
      </c>
      <c r="CF205">
        <v>12</v>
      </c>
      <c r="CG205">
        <v>-0.255</v>
      </c>
      <c r="CH205">
        <v>0.113</v>
      </c>
      <c r="CI205">
        <v>-0.439</v>
      </c>
      <c r="CJ205">
        <v>0.31</v>
      </c>
      <c r="CK205">
        <v>800</v>
      </c>
      <c r="CL205">
        <v>25</v>
      </c>
      <c r="CM205">
        <v>0.02</v>
      </c>
      <c r="CN205">
        <v>0.03</v>
      </c>
      <c r="CO205">
        <v>-263.1652926829268</v>
      </c>
      <c r="CP205">
        <v>-3.906919860627688</v>
      </c>
      <c r="CQ205">
        <v>0.38837379806010258</v>
      </c>
      <c r="CR205">
        <v>-1</v>
      </c>
      <c r="CS205">
        <v>16.500743902439019</v>
      </c>
      <c r="CT205">
        <v>0.3350132404181359</v>
      </c>
      <c r="CU205">
        <v>3.3207735278575727E-2</v>
      </c>
      <c r="CV205">
        <v>-1</v>
      </c>
      <c r="CW205">
        <v>0</v>
      </c>
      <c r="CX205">
        <v>0</v>
      </c>
      <c r="CY205" t="s">
        <v>333</v>
      </c>
      <c r="CZ205">
        <v>2.36456</v>
      </c>
      <c r="DA205">
        <v>2.7138800000000001</v>
      </c>
      <c r="DB205">
        <v>0.111234</v>
      </c>
      <c r="DC205">
        <v>0.14608699999999999</v>
      </c>
      <c r="DD205">
        <v>0.110584</v>
      </c>
      <c r="DE205">
        <v>4.2486200000000002E-2</v>
      </c>
      <c r="DF205">
        <v>32459.1</v>
      </c>
      <c r="DG205">
        <v>27533.4</v>
      </c>
      <c r="DH205">
        <v>31178.400000000001</v>
      </c>
      <c r="DI205">
        <v>28096.1</v>
      </c>
      <c r="DJ205">
        <v>37648.400000000001</v>
      </c>
      <c r="DK205">
        <v>38261.1</v>
      </c>
      <c r="DL205">
        <v>44372.6</v>
      </c>
      <c r="DM205">
        <v>42588.1</v>
      </c>
      <c r="DN205">
        <v>1.48248</v>
      </c>
      <c r="DO205">
        <v>2.0362499999999999</v>
      </c>
      <c r="DP205">
        <v>9.9744600000000003E-2</v>
      </c>
      <c r="DQ205">
        <v>0.17613200000000001</v>
      </c>
      <c r="DR205">
        <v>25.393000000000001</v>
      </c>
      <c r="DS205">
        <v>25.150300000000001</v>
      </c>
      <c r="DT205">
        <v>38.799999999999997</v>
      </c>
      <c r="DU205">
        <v>29.3</v>
      </c>
      <c r="DV205">
        <v>16.025700000000001</v>
      </c>
      <c r="DW205">
        <v>62.072400000000002</v>
      </c>
      <c r="DX205">
        <v>36.193899999999999</v>
      </c>
      <c r="DY205">
        <v>1</v>
      </c>
      <c r="DZ205">
        <v>-9.3091999999999994E-2</v>
      </c>
      <c r="EA205">
        <v>0.150675</v>
      </c>
      <c r="EB205">
        <v>20.189299999999999</v>
      </c>
      <c r="EC205">
        <v>5.24125</v>
      </c>
      <c r="ED205">
        <v>12.039899999999999</v>
      </c>
      <c r="EE205">
        <v>5.0170500000000002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1.8691899999999999</v>
      </c>
      <c r="EN205">
        <v>1.8672299999999999</v>
      </c>
      <c r="EO205">
        <v>1.8633999999999999</v>
      </c>
      <c r="EP205">
        <v>1.86449</v>
      </c>
      <c r="EQ205">
        <v>1.8701399999999999</v>
      </c>
      <c r="ER205">
        <v>1.8693900000000001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-0.254</v>
      </c>
      <c r="FG205">
        <v>0.31</v>
      </c>
      <c r="FH205">
        <v>0.1121710645629533</v>
      </c>
      <c r="FI205">
        <v>-6.1462078757559423E-4</v>
      </c>
      <c r="FJ205">
        <v>-1.8861989874597051E-7</v>
      </c>
      <c r="FK205">
        <v>1.1980462299894961E-10</v>
      </c>
      <c r="FL205">
        <v>0.30996499999999833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42</v>
      </c>
      <c r="FU205">
        <v>41.9</v>
      </c>
      <c r="FV205">
        <v>1.7724599999999999</v>
      </c>
      <c r="FW205">
        <v>2.5878899999999998</v>
      </c>
      <c r="FX205">
        <v>1.5490699999999999</v>
      </c>
      <c r="FY205">
        <v>2.32666</v>
      </c>
      <c r="FZ205">
        <v>1.50146</v>
      </c>
      <c r="GA205">
        <v>2.3095699999999999</v>
      </c>
      <c r="GB205">
        <v>33.963900000000002</v>
      </c>
      <c r="GC205">
        <v>23.982399999999998</v>
      </c>
      <c r="GD205">
        <v>19</v>
      </c>
      <c r="GE205">
        <v>285.53300000000002</v>
      </c>
      <c r="GF205">
        <v>582.91700000000003</v>
      </c>
      <c r="GG205">
        <v>24.596299999999999</v>
      </c>
      <c r="GH205">
        <v>26.222200000000001</v>
      </c>
      <c r="GI205">
        <v>30</v>
      </c>
      <c r="GJ205">
        <v>26.343800000000002</v>
      </c>
      <c r="GK205">
        <v>26.325900000000001</v>
      </c>
      <c r="GL205">
        <v>35.431800000000003</v>
      </c>
      <c r="GM205">
        <v>56.571199999999997</v>
      </c>
      <c r="GN205">
        <v>46.023899999999998</v>
      </c>
      <c r="GO205">
        <v>24.582100000000001</v>
      </c>
      <c r="GP205">
        <v>800</v>
      </c>
      <c r="GQ205">
        <v>6.5393800000000004</v>
      </c>
      <c r="GR205">
        <v>99.761300000000006</v>
      </c>
      <c r="GS205">
        <v>99.624499999999998</v>
      </c>
    </row>
    <row r="206" spans="1:201" x14ac:dyDescent="0.25">
      <c r="A206">
        <v>190</v>
      </c>
      <c r="B206">
        <v>1690228705.5</v>
      </c>
      <c r="C206">
        <v>2135.900000095367</v>
      </c>
      <c r="D206" t="s">
        <v>711</v>
      </c>
      <c r="E206" t="s">
        <v>712</v>
      </c>
      <c r="F206" t="s">
        <v>330</v>
      </c>
      <c r="H206">
        <v>1690228705.5</v>
      </c>
      <c r="I206">
        <f t="shared" si="60"/>
        <v>1.5747923054756196E-3</v>
      </c>
      <c r="J206">
        <f t="shared" si="61"/>
        <v>1.5747923054756197</v>
      </c>
      <c r="K206">
        <f t="shared" si="62"/>
        <v>23.647438313964063</v>
      </c>
      <c r="L206">
        <f t="shared" si="63"/>
        <v>535.67399999999998</v>
      </c>
      <c r="M206">
        <f t="shared" si="64"/>
        <v>144.70088643215959</v>
      </c>
      <c r="N206">
        <f t="shared" si="65"/>
        <v>14.3509613232465</v>
      </c>
      <c r="O206">
        <f t="shared" si="66"/>
        <v>53.126397808716</v>
      </c>
      <c r="P206">
        <f t="shared" si="67"/>
        <v>0.10119636805380511</v>
      </c>
      <c r="Q206">
        <f t="shared" si="68"/>
        <v>2.1322553126207962</v>
      </c>
      <c r="R206">
        <f t="shared" si="69"/>
        <v>9.8601945984430533E-2</v>
      </c>
      <c r="S206">
        <f t="shared" si="70"/>
        <v>6.1853774704034699E-2</v>
      </c>
      <c r="T206">
        <f t="shared" si="71"/>
        <v>276.11251714104941</v>
      </c>
      <c r="U206">
        <f t="shared" si="72"/>
        <v>28.154577909843564</v>
      </c>
      <c r="V206">
        <f t="shared" si="73"/>
        <v>28.154577909843564</v>
      </c>
      <c r="W206">
        <f t="shared" si="74"/>
        <v>3.8291710746530438</v>
      </c>
      <c r="X206">
        <f t="shared" si="75"/>
        <v>65.926920267915264</v>
      </c>
      <c r="Y206">
        <f t="shared" si="76"/>
        <v>2.2940967048476</v>
      </c>
      <c r="Z206">
        <f t="shared" si="77"/>
        <v>3.4797571242897427</v>
      </c>
      <c r="AA206">
        <f t="shared" si="78"/>
        <v>1.5350743698054439</v>
      </c>
      <c r="AB206">
        <f t="shared" si="79"/>
        <v>-69.448340671474824</v>
      </c>
      <c r="AC206">
        <f t="shared" si="80"/>
        <v>-187.75207124948494</v>
      </c>
      <c r="AD206">
        <f t="shared" si="81"/>
        <v>-19.067358786844355</v>
      </c>
      <c r="AE206">
        <f t="shared" si="82"/>
        <v>-0.15525356675470903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52532.565298679867</v>
      </c>
      <c r="AK206">
        <f t="shared" si="86"/>
        <v>1799.99</v>
      </c>
      <c r="AL206">
        <f t="shared" si="87"/>
        <v>1499.0994164236404</v>
      </c>
      <c r="AM206">
        <f t="shared" si="88"/>
        <v>0.83283763600000016</v>
      </c>
      <c r="AN206">
        <f t="shared" si="89"/>
        <v>0.15339669506</v>
      </c>
      <c r="AO206">
        <v>32.4</v>
      </c>
      <c r="AP206">
        <v>0.5</v>
      </c>
      <c r="AQ206" t="s">
        <v>331</v>
      </c>
      <c r="AR206">
        <v>2</v>
      </c>
      <c r="AS206">
        <v>1690228705.5</v>
      </c>
      <c r="AT206">
        <v>535.67399999999998</v>
      </c>
      <c r="AU206">
        <v>800.04300000000001</v>
      </c>
      <c r="AV206">
        <v>23.131399999999999</v>
      </c>
      <c r="AW206">
        <v>6.5254700000000003</v>
      </c>
      <c r="AX206">
        <v>535.92700000000002</v>
      </c>
      <c r="AY206">
        <v>22.821400000000001</v>
      </c>
      <c r="AZ206">
        <v>300.15199999999999</v>
      </c>
      <c r="BA206">
        <v>99.076700000000002</v>
      </c>
      <c r="BB206">
        <v>0.100034</v>
      </c>
      <c r="BC206">
        <v>26.5213</v>
      </c>
      <c r="BD206">
        <v>27.0059</v>
      </c>
      <c r="BE206">
        <v>28.038499999999999</v>
      </c>
      <c r="BF206">
        <v>0</v>
      </c>
      <c r="BG206">
        <v>0</v>
      </c>
      <c r="BH206">
        <v>10011.9</v>
      </c>
      <c r="BI206">
        <v>1073.1600000000001</v>
      </c>
      <c r="BJ206">
        <v>1.5278</v>
      </c>
      <c r="BK206">
        <v>-264.36900000000003</v>
      </c>
      <c r="BL206">
        <v>548.35900000000004</v>
      </c>
      <c r="BM206">
        <v>805.298</v>
      </c>
      <c r="BN206">
        <v>16.605899999999998</v>
      </c>
      <c r="BO206">
        <v>800.04300000000001</v>
      </c>
      <c r="BP206">
        <v>6.5254700000000003</v>
      </c>
      <c r="BQ206">
        <v>2.2917800000000002</v>
      </c>
      <c r="BR206">
        <v>0.64652200000000004</v>
      </c>
      <c r="BS206">
        <v>19.6187</v>
      </c>
      <c r="BT206">
        <v>0.72059799999999996</v>
      </c>
      <c r="BU206">
        <v>1799.99</v>
      </c>
      <c r="BV206">
        <v>0.90999300000000005</v>
      </c>
      <c r="BW206">
        <v>3.4004199999999998E-2</v>
      </c>
      <c r="BX206">
        <v>2.19898E-2</v>
      </c>
      <c r="BY206">
        <v>3.4012599999999997E-2</v>
      </c>
      <c r="BZ206">
        <v>26</v>
      </c>
      <c r="CA206">
        <v>33528.400000000001</v>
      </c>
      <c r="CB206">
        <v>1690226183.5999999</v>
      </c>
      <c r="CC206" t="s">
        <v>332</v>
      </c>
      <c r="CD206">
        <v>1690226177.5999999</v>
      </c>
      <c r="CE206">
        <v>1690226183.5999999</v>
      </c>
      <c r="CF206">
        <v>12</v>
      </c>
      <c r="CG206">
        <v>-0.255</v>
      </c>
      <c r="CH206">
        <v>0.113</v>
      </c>
      <c r="CI206">
        <v>-0.439</v>
      </c>
      <c r="CJ206">
        <v>0.31</v>
      </c>
      <c r="CK206">
        <v>800</v>
      </c>
      <c r="CL206">
        <v>25</v>
      </c>
      <c r="CM206">
        <v>0.02</v>
      </c>
      <c r="CN206">
        <v>0.03</v>
      </c>
      <c r="CO206">
        <v>-263.74158536585372</v>
      </c>
      <c r="CP206">
        <v>-3.2503693379794072</v>
      </c>
      <c r="CQ206">
        <v>0.32535159035544009</v>
      </c>
      <c r="CR206">
        <v>-1</v>
      </c>
      <c r="CS206">
        <v>16.555890243902439</v>
      </c>
      <c r="CT206">
        <v>0.3233435540070268</v>
      </c>
      <c r="CU206">
        <v>3.2129264867346713E-2</v>
      </c>
      <c r="CV206">
        <v>-1</v>
      </c>
      <c r="CW206">
        <v>0</v>
      </c>
      <c r="CX206">
        <v>0</v>
      </c>
      <c r="CY206" t="s">
        <v>333</v>
      </c>
      <c r="CZ206">
        <v>2.3645299999999998</v>
      </c>
      <c r="DA206">
        <v>2.7138300000000002</v>
      </c>
      <c r="DB206">
        <v>0.11115700000000001</v>
      </c>
      <c r="DC206">
        <v>0.14610600000000001</v>
      </c>
      <c r="DD206">
        <v>0.110555</v>
      </c>
      <c r="DE206">
        <v>4.2238699999999997E-2</v>
      </c>
      <c r="DF206">
        <v>32461.9</v>
      </c>
      <c r="DG206">
        <v>27532.400000000001</v>
      </c>
      <c r="DH206">
        <v>31178.400000000001</v>
      </c>
      <c r="DI206">
        <v>28095.7</v>
      </c>
      <c r="DJ206">
        <v>37649.599999999999</v>
      </c>
      <c r="DK206">
        <v>38270.5</v>
      </c>
      <c r="DL206">
        <v>44372.6</v>
      </c>
      <c r="DM206">
        <v>42587.5</v>
      </c>
      <c r="DN206">
        <v>1.4826299999999999</v>
      </c>
      <c r="DO206">
        <v>2.0363799999999999</v>
      </c>
      <c r="DP206">
        <v>9.8496700000000006E-2</v>
      </c>
      <c r="DQ206">
        <v>0.176486</v>
      </c>
      <c r="DR206">
        <v>25.393000000000001</v>
      </c>
      <c r="DS206">
        <v>25.150300000000001</v>
      </c>
      <c r="DT206">
        <v>38.5</v>
      </c>
      <c r="DU206">
        <v>29.3</v>
      </c>
      <c r="DV206">
        <v>15.901400000000001</v>
      </c>
      <c r="DW206">
        <v>61.612400000000001</v>
      </c>
      <c r="DX206">
        <v>36.342100000000002</v>
      </c>
      <c r="DY206">
        <v>1</v>
      </c>
      <c r="DZ206">
        <v>-9.2042700000000005E-2</v>
      </c>
      <c r="EA206">
        <v>0.26114900000000002</v>
      </c>
      <c r="EB206">
        <v>20.189</v>
      </c>
      <c r="EC206">
        <v>5.2413999999999996</v>
      </c>
      <c r="ED206">
        <v>12.039899999999999</v>
      </c>
      <c r="EE206">
        <v>5.0173500000000004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1.86463</v>
      </c>
      <c r="EM206">
        <v>1.8692</v>
      </c>
      <c r="EN206">
        <v>1.8672299999999999</v>
      </c>
      <c r="EO206">
        <v>1.8633999999999999</v>
      </c>
      <c r="EP206">
        <v>1.8644799999999999</v>
      </c>
      <c r="EQ206">
        <v>1.8701399999999999</v>
      </c>
      <c r="ER206">
        <v>1.86941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-0.253</v>
      </c>
      <c r="FG206">
        <v>0.31</v>
      </c>
      <c r="FH206">
        <v>0.1121710645629533</v>
      </c>
      <c r="FI206">
        <v>-6.1462078757559423E-4</v>
      </c>
      <c r="FJ206">
        <v>-1.8861989874597051E-7</v>
      </c>
      <c r="FK206">
        <v>1.1980462299894961E-10</v>
      </c>
      <c r="FL206">
        <v>0.30996499999999833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42.1</v>
      </c>
      <c r="FU206">
        <v>42</v>
      </c>
      <c r="FV206">
        <v>1.7724599999999999</v>
      </c>
      <c r="FW206">
        <v>2.5891099999999998</v>
      </c>
      <c r="FX206">
        <v>1.5490699999999999</v>
      </c>
      <c r="FY206">
        <v>2.32666</v>
      </c>
      <c r="FZ206">
        <v>1.50146</v>
      </c>
      <c r="GA206">
        <v>2.33521</v>
      </c>
      <c r="GB206">
        <v>33.963900000000002</v>
      </c>
      <c r="GC206">
        <v>23.982399999999998</v>
      </c>
      <c r="GD206">
        <v>19</v>
      </c>
      <c r="GE206">
        <v>285.596</v>
      </c>
      <c r="GF206">
        <v>583.02</v>
      </c>
      <c r="GG206">
        <v>24.542899999999999</v>
      </c>
      <c r="GH206">
        <v>26.220199999999998</v>
      </c>
      <c r="GI206">
        <v>30.000599999999999</v>
      </c>
      <c r="GJ206">
        <v>26.343800000000002</v>
      </c>
      <c r="GK206">
        <v>26.325900000000001</v>
      </c>
      <c r="GL206">
        <v>35.430999999999997</v>
      </c>
      <c r="GM206">
        <v>56.571199999999997</v>
      </c>
      <c r="GN206">
        <v>45.262799999999999</v>
      </c>
      <c r="GO206">
        <v>24.533200000000001</v>
      </c>
      <c r="GP206">
        <v>800</v>
      </c>
      <c r="GQ206">
        <v>6.4832700000000001</v>
      </c>
      <c r="GR206">
        <v>99.761300000000006</v>
      </c>
      <c r="GS206">
        <v>99.623099999999994</v>
      </c>
    </row>
    <row r="207" spans="1:201" x14ac:dyDescent="0.25">
      <c r="A207">
        <v>191</v>
      </c>
      <c r="B207">
        <v>1690228715.5</v>
      </c>
      <c r="C207">
        <v>2145.900000095367</v>
      </c>
      <c r="D207" t="s">
        <v>713</v>
      </c>
      <c r="E207" t="s">
        <v>714</v>
      </c>
      <c r="F207" t="s">
        <v>330</v>
      </c>
      <c r="H207">
        <v>1690228715.5</v>
      </c>
      <c r="I207">
        <f t="shared" si="60"/>
        <v>1.5785059127250694E-3</v>
      </c>
      <c r="J207">
        <f t="shared" si="61"/>
        <v>1.5785059127250693</v>
      </c>
      <c r="K207">
        <f t="shared" si="62"/>
        <v>23.682040076611141</v>
      </c>
      <c r="L207">
        <f t="shared" si="63"/>
        <v>535.11599999999999</v>
      </c>
      <c r="M207">
        <f t="shared" si="64"/>
        <v>144.35313426753922</v>
      </c>
      <c r="N207">
        <f t="shared" si="65"/>
        <v>14.31699899955183</v>
      </c>
      <c r="O207">
        <f t="shared" si="66"/>
        <v>53.073009294311994</v>
      </c>
      <c r="P207">
        <f t="shared" si="67"/>
        <v>0.10140522184700158</v>
      </c>
      <c r="Q207">
        <f t="shared" si="68"/>
        <v>2.1297463839948874</v>
      </c>
      <c r="R207">
        <f t="shared" si="69"/>
        <v>9.8797244417383329E-2</v>
      </c>
      <c r="S207">
        <f t="shared" si="70"/>
        <v>6.1977007600743136E-2</v>
      </c>
      <c r="T207">
        <f t="shared" si="71"/>
        <v>276.11441002799995</v>
      </c>
      <c r="U207">
        <f t="shared" si="72"/>
        <v>28.152748470596801</v>
      </c>
      <c r="V207">
        <f t="shared" si="73"/>
        <v>28.152748470596801</v>
      </c>
      <c r="W207">
        <f t="shared" si="74"/>
        <v>3.8287631814060918</v>
      </c>
      <c r="X207">
        <f t="shared" si="75"/>
        <v>65.905502021221281</v>
      </c>
      <c r="Y207">
        <f t="shared" si="76"/>
        <v>2.2930405138018002</v>
      </c>
      <c r="Z207">
        <f t="shared" si="77"/>
        <v>3.4792854063435423</v>
      </c>
      <c r="AA207">
        <f t="shared" si="78"/>
        <v>1.5357226676042917</v>
      </c>
      <c r="AB207">
        <f t="shared" si="79"/>
        <v>-69.612110751175564</v>
      </c>
      <c r="AC207">
        <f t="shared" si="80"/>
        <v>-187.58518111998907</v>
      </c>
      <c r="AD207">
        <f t="shared" si="81"/>
        <v>-19.072458977285859</v>
      </c>
      <c r="AE207">
        <f t="shared" si="82"/>
        <v>-0.15534082045056152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52424.710334727752</v>
      </c>
      <c r="AK207">
        <f t="shared" si="86"/>
        <v>1800</v>
      </c>
      <c r="AL207">
        <f t="shared" si="87"/>
        <v>1499.1081138</v>
      </c>
      <c r="AM207">
        <f t="shared" si="88"/>
        <v>0.83283784099999991</v>
      </c>
      <c r="AN207">
        <f t="shared" si="89"/>
        <v>0.15339689445999999</v>
      </c>
      <c r="AO207">
        <v>32.4</v>
      </c>
      <c r="AP207">
        <v>0.5</v>
      </c>
      <c r="AQ207" t="s">
        <v>331</v>
      </c>
      <c r="AR207">
        <v>2</v>
      </c>
      <c r="AS207">
        <v>1690228715.5</v>
      </c>
      <c r="AT207">
        <v>535.11599999999999</v>
      </c>
      <c r="AU207">
        <v>799.88900000000001</v>
      </c>
      <c r="AV207">
        <v>23.119900000000001</v>
      </c>
      <c r="AW207">
        <v>6.4734499999999997</v>
      </c>
      <c r="AX207">
        <v>535.36900000000003</v>
      </c>
      <c r="AY207">
        <v>22.809899999999999</v>
      </c>
      <c r="AZ207">
        <v>300.13099999999997</v>
      </c>
      <c r="BA207">
        <v>99.080399999999997</v>
      </c>
      <c r="BB207">
        <v>9.9982000000000001E-2</v>
      </c>
      <c r="BC207">
        <v>26.518999999999998</v>
      </c>
      <c r="BD207">
        <v>26.9861</v>
      </c>
      <c r="BE207">
        <v>28.018699999999999</v>
      </c>
      <c r="BF207">
        <v>0</v>
      </c>
      <c r="BG207">
        <v>0</v>
      </c>
      <c r="BH207">
        <v>9990</v>
      </c>
      <c r="BI207">
        <v>1073.19</v>
      </c>
      <c r="BJ207">
        <v>1.5137799999999999</v>
      </c>
      <c r="BK207">
        <v>-264.77199999999999</v>
      </c>
      <c r="BL207">
        <v>547.78099999999995</v>
      </c>
      <c r="BM207">
        <v>805.101</v>
      </c>
      <c r="BN207">
        <v>16.6465</v>
      </c>
      <c r="BO207">
        <v>799.88900000000001</v>
      </c>
      <c r="BP207">
        <v>6.4734499999999997</v>
      </c>
      <c r="BQ207">
        <v>2.2907299999999999</v>
      </c>
      <c r="BR207">
        <v>0.64139199999999996</v>
      </c>
      <c r="BS207">
        <v>19.6114</v>
      </c>
      <c r="BT207">
        <v>0.61031999999999997</v>
      </c>
      <c r="BU207">
        <v>1800</v>
      </c>
      <c r="BV207">
        <v>0.90999099999999999</v>
      </c>
      <c r="BW207">
        <v>3.4004E-2</v>
      </c>
      <c r="BX207">
        <v>2.1992299999999999E-2</v>
      </c>
      <c r="BY207">
        <v>3.4012399999999998E-2</v>
      </c>
      <c r="BZ207">
        <v>26</v>
      </c>
      <c r="CA207">
        <v>33528.5</v>
      </c>
      <c r="CB207">
        <v>1690226183.5999999</v>
      </c>
      <c r="CC207" t="s">
        <v>332</v>
      </c>
      <c r="CD207">
        <v>1690226177.5999999</v>
      </c>
      <c r="CE207">
        <v>1690226183.5999999</v>
      </c>
      <c r="CF207">
        <v>12</v>
      </c>
      <c r="CG207">
        <v>-0.255</v>
      </c>
      <c r="CH207">
        <v>0.113</v>
      </c>
      <c r="CI207">
        <v>-0.439</v>
      </c>
      <c r="CJ207">
        <v>0.31</v>
      </c>
      <c r="CK207">
        <v>800</v>
      </c>
      <c r="CL207">
        <v>25</v>
      </c>
      <c r="CM207">
        <v>0.02</v>
      </c>
      <c r="CN207">
        <v>0.03</v>
      </c>
      <c r="CO207">
        <v>-264.2435365853658</v>
      </c>
      <c r="CP207">
        <v>-3.5570801393732752</v>
      </c>
      <c r="CQ207">
        <v>0.35559397904042961</v>
      </c>
      <c r="CR207">
        <v>-1</v>
      </c>
      <c r="CS207">
        <v>16.601404878048779</v>
      </c>
      <c r="CT207">
        <v>0.27806550522645729</v>
      </c>
      <c r="CU207">
        <v>2.7753452443725051E-2</v>
      </c>
      <c r="CV207">
        <v>-1</v>
      </c>
      <c r="CW207">
        <v>0</v>
      </c>
      <c r="CX207">
        <v>0</v>
      </c>
      <c r="CY207" t="s">
        <v>333</v>
      </c>
      <c r="CZ207">
        <v>2.3644699999999998</v>
      </c>
      <c r="DA207">
        <v>2.7137600000000002</v>
      </c>
      <c r="DB207">
        <v>0.111079</v>
      </c>
      <c r="DC207">
        <v>0.146093</v>
      </c>
      <c r="DD207">
        <v>0.11052099999999999</v>
      </c>
      <c r="DE207">
        <v>4.1968100000000001E-2</v>
      </c>
      <c r="DF207">
        <v>32464.6</v>
      </c>
      <c r="DG207">
        <v>27533</v>
      </c>
      <c r="DH207">
        <v>31178.3</v>
      </c>
      <c r="DI207">
        <v>28095.9</v>
      </c>
      <c r="DJ207">
        <v>37650.800000000003</v>
      </c>
      <c r="DK207">
        <v>38281.599999999999</v>
      </c>
      <c r="DL207">
        <v>44372.2</v>
      </c>
      <c r="DM207">
        <v>42587.8</v>
      </c>
      <c r="DN207">
        <v>1.4825200000000001</v>
      </c>
      <c r="DO207">
        <v>2.0363000000000002</v>
      </c>
      <c r="DP207">
        <v>9.7285999999999997E-2</v>
      </c>
      <c r="DQ207">
        <v>0.175312</v>
      </c>
      <c r="DR207">
        <v>25.393000000000001</v>
      </c>
      <c r="DS207">
        <v>25.1496</v>
      </c>
      <c r="DT207">
        <v>38.200000000000003</v>
      </c>
      <c r="DU207">
        <v>29.3</v>
      </c>
      <c r="DV207">
        <v>15.78</v>
      </c>
      <c r="DW207">
        <v>61.692399999999999</v>
      </c>
      <c r="DX207">
        <v>36.9191</v>
      </c>
      <c r="DY207">
        <v>1</v>
      </c>
      <c r="DZ207">
        <v>-9.2698199999999994E-2</v>
      </c>
      <c r="EA207">
        <v>5.1898100000000003E-2</v>
      </c>
      <c r="EB207">
        <v>20.189299999999999</v>
      </c>
      <c r="EC207">
        <v>5.2415500000000002</v>
      </c>
      <c r="ED207">
        <v>12.039899999999999</v>
      </c>
      <c r="EE207">
        <v>5.01715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1.8692</v>
      </c>
      <c r="EN207">
        <v>1.8672200000000001</v>
      </c>
      <c r="EO207">
        <v>1.8633999999999999</v>
      </c>
      <c r="EP207">
        <v>1.86449</v>
      </c>
      <c r="EQ207">
        <v>1.87012</v>
      </c>
      <c r="ER207">
        <v>1.8694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-0.253</v>
      </c>
      <c r="FG207">
        <v>0.31</v>
      </c>
      <c r="FH207">
        <v>0.1121710645629533</v>
      </c>
      <c r="FI207">
        <v>-6.1462078757559423E-4</v>
      </c>
      <c r="FJ207">
        <v>-1.8861989874597051E-7</v>
      </c>
      <c r="FK207">
        <v>1.1980462299894961E-10</v>
      </c>
      <c r="FL207">
        <v>0.30996499999999833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42.3</v>
      </c>
      <c r="FU207">
        <v>42.2</v>
      </c>
      <c r="FV207">
        <v>1.7724599999999999</v>
      </c>
      <c r="FW207">
        <v>2.5842299999999998</v>
      </c>
      <c r="FX207">
        <v>1.5490699999999999</v>
      </c>
      <c r="FY207">
        <v>2.32666</v>
      </c>
      <c r="FZ207">
        <v>1.50146</v>
      </c>
      <c r="GA207">
        <v>2.3278799999999999</v>
      </c>
      <c r="GB207">
        <v>33.963900000000002</v>
      </c>
      <c r="GC207">
        <v>23.982399999999998</v>
      </c>
      <c r="GD207">
        <v>19</v>
      </c>
      <c r="GE207">
        <v>285.553</v>
      </c>
      <c r="GF207">
        <v>582.95799999999997</v>
      </c>
      <c r="GG207">
        <v>24.5288</v>
      </c>
      <c r="GH207">
        <v>26.219899999999999</v>
      </c>
      <c r="GI207">
        <v>29.9998</v>
      </c>
      <c r="GJ207">
        <v>26.343800000000002</v>
      </c>
      <c r="GK207">
        <v>26.325900000000001</v>
      </c>
      <c r="GL207">
        <v>35.430900000000001</v>
      </c>
      <c r="GM207">
        <v>56.571199999999997</v>
      </c>
      <c r="GN207">
        <v>44.875599999999999</v>
      </c>
      <c r="GO207">
        <v>24.5505</v>
      </c>
      <c r="GP207">
        <v>800</v>
      </c>
      <c r="GQ207">
        <v>6.4325299999999999</v>
      </c>
      <c r="GR207">
        <v>99.760599999999997</v>
      </c>
      <c r="GS207">
        <v>99.623800000000003</v>
      </c>
    </row>
    <row r="208" spans="1:201" x14ac:dyDescent="0.25">
      <c r="A208">
        <v>192</v>
      </c>
      <c r="B208">
        <v>1690228725.5</v>
      </c>
      <c r="C208">
        <v>2155.900000095367</v>
      </c>
      <c r="D208" t="s">
        <v>715</v>
      </c>
      <c r="E208" t="s">
        <v>716</v>
      </c>
      <c r="F208" t="s">
        <v>330</v>
      </c>
      <c r="H208">
        <v>1690228725.5</v>
      </c>
      <c r="I208">
        <f t="shared" si="60"/>
        <v>1.5844782973170038E-3</v>
      </c>
      <c r="J208">
        <f t="shared" si="61"/>
        <v>1.5844782973170037</v>
      </c>
      <c r="K208">
        <f t="shared" si="62"/>
        <v>23.747489357561076</v>
      </c>
      <c r="L208">
        <f t="shared" si="63"/>
        <v>534.54899999999998</v>
      </c>
      <c r="M208">
        <f t="shared" si="64"/>
        <v>144.55763640054877</v>
      </c>
      <c r="N208">
        <f t="shared" si="65"/>
        <v>14.337386548067562</v>
      </c>
      <c r="O208">
        <f t="shared" si="66"/>
        <v>53.017162100291998</v>
      </c>
      <c r="P208">
        <f t="shared" si="67"/>
        <v>0.10189802245976222</v>
      </c>
      <c r="Q208">
        <f t="shared" si="68"/>
        <v>2.1303378246906277</v>
      </c>
      <c r="R208">
        <f t="shared" si="69"/>
        <v>9.9265700477907351E-2</v>
      </c>
      <c r="S208">
        <f t="shared" si="70"/>
        <v>6.2271902631090878E-2</v>
      </c>
      <c r="T208">
        <f t="shared" si="71"/>
        <v>276.11417813400004</v>
      </c>
      <c r="U208">
        <f t="shared" si="72"/>
        <v>28.146357209143293</v>
      </c>
      <c r="V208">
        <f t="shared" si="73"/>
        <v>28.146357209143293</v>
      </c>
      <c r="W208">
        <f t="shared" si="74"/>
        <v>3.8273384781166926</v>
      </c>
      <c r="X208">
        <f t="shared" si="75"/>
        <v>65.921136956928606</v>
      </c>
      <c r="Y208">
        <f t="shared" si="76"/>
        <v>2.2930572988492002</v>
      </c>
      <c r="Z208">
        <f t="shared" si="77"/>
        <v>3.4784856643893027</v>
      </c>
      <c r="AA208">
        <f t="shared" si="78"/>
        <v>1.5342811792674924</v>
      </c>
      <c r="AB208">
        <f t="shared" si="79"/>
        <v>-69.875492911679871</v>
      </c>
      <c r="AC208">
        <f t="shared" si="80"/>
        <v>-187.35115111337976</v>
      </c>
      <c r="AD208">
        <f t="shared" si="81"/>
        <v>-19.042396656454301</v>
      </c>
      <c r="AE208">
        <f t="shared" si="82"/>
        <v>-0.15486254751388628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52450.934484167527</v>
      </c>
      <c r="AK208">
        <f t="shared" si="86"/>
        <v>1800</v>
      </c>
      <c r="AL208">
        <f t="shared" si="87"/>
        <v>1499.1082884</v>
      </c>
      <c r="AM208">
        <f t="shared" si="88"/>
        <v>0.83283793800000006</v>
      </c>
      <c r="AN208">
        <f t="shared" si="89"/>
        <v>0.15339676563000001</v>
      </c>
      <c r="AO208">
        <v>32.4</v>
      </c>
      <c r="AP208">
        <v>0.5</v>
      </c>
      <c r="AQ208" t="s">
        <v>331</v>
      </c>
      <c r="AR208">
        <v>2</v>
      </c>
      <c r="AS208">
        <v>1690228725.5</v>
      </c>
      <c r="AT208">
        <v>534.54899999999998</v>
      </c>
      <c r="AU208">
        <v>800.05600000000004</v>
      </c>
      <c r="AV208">
        <v>23.119900000000001</v>
      </c>
      <c r="AW208">
        <v>6.4103000000000003</v>
      </c>
      <c r="AX208">
        <v>534.80200000000002</v>
      </c>
      <c r="AY208">
        <v>22.809899999999999</v>
      </c>
      <c r="AZ208">
        <v>300.12799999999999</v>
      </c>
      <c r="BA208">
        <v>99.081100000000006</v>
      </c>
      <c r="BB208">
        <v>0.100008</v>
      </c>
      <c r="BC208">
        <v>26.5151</v>
      </c>
      <c r="BD208">
        <v>27.0001</v>
      </c>
      <c r="BE208">
        <v>28.019300000000001</v>
      </c>
      <c r="BF208">
        <v>0</v>
      </c>
      <c r="BG208">
        <v>0</v>
      </c>
      <c r="BH208">
        <v>9995</v>
      </c>
      <c r="BI208">
        <v>1073.28</v>
      </c>
      <c r="BJ208">
        <v>1.5137799999999999</v>
      </c>
      <c r="BK208">
        <v>-265.50700000000001</v>
      </c>
      <c r="BL208">
        <v>547.20100000000002</v>
      </c>
      <c r="BM208">
        <v>805.21799999999996</v>
      </c>
      <c r="BN208">
        <v>16.709599999999998</v>
      </c>
      <c r="BO208">
        <v>800.05600000000004</v>
      </c>
      <c r="BP208">
        <v>6.4103000000000003</v>
      </c>
      <c r="BQ208">
        <v>2.29074</v>
      </c>
      <c r="BR208">
        <v>0.63514000000000004</v>
      </c>
      <c r="BS208">
        <v>19.611499999999999</v>
      </c>
      <c r="BT208">
        <v>0.47484199999999999</v>
      </c>
      <c r="BU208">
        <v>1800</v>
      </c>
      <c r="BV208">
        <v>0.90999300000000005</v>
      </c>
      <c r="BW208">
        <v>3.4004399999999997E-2</v>
      </c>
      <c r="BX208">
        <v>2.19899E-2</v>
      </c>
      <c r="BY208">
        <v>3.40127E-2</v>
      </c>
      <c r="BZ208">
        <v>26</v>
      </c>
      <c r="CA208">
        <v>33528.5</v>
      </c>
      <c r="CB208">
        <v>1690226183.5999999</v>
      </c>
      <c r="CC208" t="s">
        <v>332</v>
      </c>
      <c r="CD208">
        <v>1690226177.5999999</v>
      </c>
      <c r="CE208">
        <v>1690226183.5999999</v>
      </c>
      <c r="CF208">
        <v>12</v>
      </c>
      <c r="CG208">
        <v>-0.255</v>
      </c>
      <c r="CH208">
        <v>0.113</v>
      </c>
      <c r="CI208">
        <v>-0.439</v>
      </c>
      <c r="CJ208">
        <v>0.31</v>
      </c>
      <c r="CK208">
        <v>800</v>
      </c>
      <c r="CL208">
        <v>25</v>
      </c>
      <c r="CM208">
        <v>0.02</v>
      </c>
      <c r="CN208">
        <v>0.03</v>
      </c>
      <c r="CO208">
        <v>-264.84997499999997</v>
      </c>
      <c r="CP208">
        <v>-3.1556510318943221</v>
      </c>
      <c r="CQ208">
        <v>0.31093733190950018</v>
      </c>
      <c r="CR208">
        <v>-1</v>
      </c>
      <c r="CS208">
        <v>16.650657500000001</v>
      </c>
      <c r="CT208">
        <v>0.28938123827386941</v>
      </c>
      <c r="CU208">
        <v>2.8227166768026949E-2</v>
      </c>
      <c r="CV208">
        <v>-1</v>
      </c>
      <c r="CW208">
        <v>0</v>
      </c>
      <c r="CX208">
        <v>0</v>
      </c>
      <c r="CY208" t="s">
        <v>333</v>
      </c>
      <c r="CZ208">
        <v>2.3644500000000002</v>
      </c>
      <c r="DA208">
        <v>2.7137899999999999</v>
      </c>
      <c r="DB208">
        <v>0.11099199999999999</v>
      </c>
      <c r="DC208">
        <v>0.14610999999999999</v>
      </c>
      <c r="DD208">
        <v>0.11051900000000001</v>
      </c>
      <c r="DE208">
        <v>4.1635400000000003E-2</v>
      </c>
      <c r="DF208">
        <v>32468.5</v>
      </c>
      <c r="DG208">
        <v>27533.200000000001</v>
      </c>
      <c r="DH208">
        <v>31179</v>
      </c>
      <c r="DI208">
        <v>28096.6</v>
      </c>
      <c r="DJ208">
        <v>37651.9</v>
      </c>
      <c r="DK208">
        <v>38296</v>
      </c>
      <c r="DL208">
        <v>44373.4</v>
      </c>
      <c r="DM208">
        <v>42589</v>
      </c>
      <c r="DN208">
        <v>1.4825999999999999</v>
      </c>
      <c r="DO208">
        <v>2.0360800000000001</v>
      </c>
      <c r="DP208">
        <v>9.8273200000000005E-2</v>
      </c>
      <c r="DQ208">
        <v>0.17548</v>
      </c>
      <c r="DR208">
        <v>25.390899999999998</v>
      </c>
      <c r="DS208">
        <v>25.147500000000001</v>
      </c>
      <c r="DT208">
        <v>38</v>
      </c>
      <c r="DU208">
        <v>29.3</v>
      </c>
      <c r="DV208">
        <v>15.694000000000001</v>
      </c>
      <c r="DW208">
        <v>61.982399999999998</v>
      </c>
      <c r="DX208">
        <v>37.2196</v>
      </c>
      <c r="DY208">
        <v>1</v>
      </c>
      <c r="DZ208">
        <v>-9.3071600000000004E-2</v>
      </c>
      <c r="EA208">
        <v>1.8379599999999999E-2</v>
      </c>
      <c r="EB208">
        <v>20.189299999999999</v>
      </c>
      <c r="EC208">
        <v>5.2413999999999996</v>
      </c>
      <c r="ED208">
        <v>12.039899999999999</v>
      </c>
      <c r="EE208">
        <v>5.0173500000000004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1.8691800000000001</v>
      </c>
      <c r="EN208">
        <v>1.8672200000000001</v>
      </c>
      <c r="EO208">
        <v>1.8633999999999999</v>
      </c>
      <c r="EP208">
        <v>1.86449</v>
      </c>
      <c r="EQ208">
        <v>1.87012</v>
      </c>
      <c r="ER208">
        <v>1.8693599999999999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-0.253</v>
      </c>
      <c r="FG208">
        <v>0.31</v>
      </c>
      <c r="FH208">
        <v>0.1121710645629533</v>
      </c>
      <c r="FI208">
        <v>-6.1462078757559423E-4</v>
      </c>
      <c r="FJ208">
        <v>-1.8861989874597051E-7</v>
      </c>
      <c r="FK208">
        <v>1.1980462299894961E-10</v>
      </c>
      <c r="FL208">
        <v>0.30996499999999833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42.5</v>
      </c>
      <c r="FU208">
        <v>42.4</v>
      </c>
      <c r="FV208">
        <v>1.7712399999999999</v>
      </c>
      <c r="FW208">
        <v>2.5793499999999998</v>
      </c>
      <c r="FX208">
        <v>1.5490699999999999</v>
      </c>
      <c r="FY208">
        <v>2.32666</v>
      </c>
      <c r="FZ208">
        <v>1.50146</v>
      </c>
      <c r="GA208">
        <v>2.3779300000000001</v>
      </c>
      <c r="GB208">
        <v>33.941299999999998</v>
      </c>
      <c r="GC208">
        <v>23.991199999999999</v>
      </c>
      <c r="GD208">
        <v>19</v>
      </c>
      <c r="GE208">
        <v>285.58600000000001</v>
      </c>
      <c r="GF208">
        <v>582.77200000000005</v>
      </c>
      <c r="GG208">
        <v>24.578299999999999</v>
      </c>
      <c r="GH208">
        <v>26.219899999999999</v>
      </c>
      <c r="GI208">
        <v>30.0001</v>
      </c>
      <c r="GJ208">
        <v>26.343800000000002</v>
      </c>
      <c r="GK208">
        <v>26.325900000000001</v>
      </c>
      <c r="GL208">
        <v>35.425199999999997</v>
      </c>
      <c r="GM208">
        <v>56.571199999999997</v>
      </c>
      <c r="GN208">
        <v>44.488</v>
      </c>
      <c r="GO208">
        <v>24.581900000000001</v>
      </c>
      <c r="GP208">
        <v>800</v>
      </c>
      <c r="GQ208">
        <v>6.3731299999999997</v>
      </c>
      <c r="GR208">
        <v>99.763099999999994</v>
      </c>
      <c r="GS208">
        <v>99.626599999999996</v>
      </c>
    </row>
    <row r="209" spans="1:201" x14ac:dyDescent="0.25">
      <c r="A209">
        <v>193</v>
      </c>
      <c r="B209">
        <v>1690228735.5</v>
      </c>
      <c r="C209">
        <v>2165.900000095367</v>
      </c>
      <c r="D209" t="s">
        <v>717</v>
      </c>
      <c r="E209" t="s">
        <v>718</v>
      </c>
      <c r="F209" t="s">
        <v>330</v>
      </c>
      <c r="H209">
        <v>1690228735.5</v>
      </c>
      <c r="I209">
        <f t="shared" ref="I209:I272" si="90">(J209)/1000</f>
        <v>1.5903012078722978E-3</v>
      </c>
      <c r="J209">
        <f t="shared" ref="J209:J226" si="91">1000*AZ209*AH209*(AV209-AW209)/(100*AO209*(1000-AH209*AV209))</f>
        <v>1.5903012078722978</v>
      </c>
      <c r="K209">
        <f t="shared" ref="K209:K226" si="92">AZ209*AH209*(AU209-AT209*(1000-AH209*AW209)/(1000-AH209*AV209))/(100*AO209)</f>
        <v>23.790759513495995</v>
      </c>
      <c r="L209">
        <f t="shared" ref="L209:L272" si="93">AT209 - IF(AH209&gt;1, K209*AO209*100/(AJ209*BH209), 0)</f>
        <v>534.03899999999999</v>
      </c>
      <c r="M209">
        <f t="shared" ref="M209:M272" si="94">((S209-I209/2)*L209-K209)/(S209+I209/2)</f>
        <v>144.78746599944805</v>
      </c>
      <c r="N209">
        <f t="shared" ref="N209:N272" si="95">M209*(BA209+BB209)/1000</f>
        <v>14.359331399912167</v>
      </c>
      <c r="O209">
        <f t="shared" ref="O209:O226" si="96">(AT209 - IF(AH209&gt;1, K209*AO209*100/(AJ209*BH209), 0))*(BA209+BB209)/1000</f>
        <v>52.963444926282001</v>
      </c>
      <c r="P209">
        <f t="shared" ref="P209:P272" si="97">2/((1/R209-1/Q209)+SIGN(R209)*SQRT((1/R209-1/Q209)*(1/R209-1/Q209) + 4*AP209/((AP209+1)*(AP209+1))*(2*1/R209*1/Q209-1/Q209*1/Q209)))</f>
        <v>0.10229199486487897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2.1282260336516683</v>
      </c>
      <c r="R209">
        <f t="shared" ref="R209:R226" si="99">I209*(1000-(1000*0.61365*EXP(17.502*V209/(240.97+V209))/(BA209+BB209)+AV209)/2)/(1000*0.61365*EXP(17.502*V209/(240.97+V209))/(BA209+BB209)-AV209)</f>
        <v>9.9637005580565069E-2</v>
      </c>
      <c r="S209">
        <f t="shared" ref="S209:S226" si="100">1/((AP209+1)/(P209/1.6)+1/(Q209/1.37)) + AP209/((AP209+1)/(P209/1.6) + AP209/(Q209/1.37))</f>
        <v>6.2505929104106739E-2</v>
      </c>
      <c r="T209">
        <f t="shared" ref="T209:T226" si="101">(AK209*AN209)</f>
        <v>276.1157914100969</v>
      </c>
      <c r="U209">
        <f t="shared" ref="U209:U272" si="102">(BC209+(T209+2*0.95*0.0000000567*(((BC209+$B$7)+273)^4-(BC209+273)^4)-44100*I209)/(1.84*29.3*Q209+8*0.95*0.0000000567*(BC209+273)^3))</f>
        <v>28.143011531667749</v>
      </c>
      <c r="V209">
        <f t="shared" ref="V209:V272" si="103">($C$7*BD209+$D$7*BE209+$E$7*U209)</f>
        <v>28.143011531667749</v>
      </c>
      <c r="W209">
        <f t="shared" ref="W209:W272" si="104">0.61365*EXP(17.502*V209/(240.97+V209))</f>
        <v>3.826592863345756</v>
      </c>
      <c r="X209">
        <f t="shared" ref="X209:X272" si="105">(Y209/Z209*100)</f>
        <v>65.91585416726906</v>
      </c>
      <c r="Y209">
        <f t="shared" ref="Y209:Y226" si="106">AV209*(BA209+BB209)/1000</f>
        <v>2.2924951315127999</v>
      </c>
      <c r="Z209">
        <f t="shared" ref="Z209:Z226" si="107">0.61365*EXP(17.502*BC209/(240.97+BC209))</f>
        <v>3.4779115896690498</v>
      </c>
      <c r="AA209">
        <f t="shared" ref="AA209:AA226" si="108">(W209-AV209*(BA209+BB209)/1000)</f>
        <v>1.5340977318329561</v>
      </c>
      <c r="AB209">
        <f t="shared" ref="AB209:AB226" si="109">(-I209*44100)</f>
        <v>-70.132283267168333</v>
      </c>
      <c r="AC209">
        <f t="shared" ref="AC209:AC226" si="110">2*29.3*Q209*0.92*(BC209-V209)</f>
        <v>-187.10282169316349</v>
      </c>
      <c r="AD209">
        <f t="shared" ref="AD209:AD226" si="111">2*0.95*0.0000000567*(((BC209+$B$7)+273)^4-(V209+273)^4)</f>
        <v>-19.035442331355512</v>
      </c>
      <c r="AE209">
        <f t="shared" ref="AE209:AE272" si="112">T209+AD209+AB209+AC209</f>
        <v>-0.15475588159043241</v>
      </c>
      <c r="AF209">
        <v>0</v>
      </c>
      <c r="AG209">
        <v>0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52360.190840063296</v>
      </c>
      <c r="AK209">
        <f t="shared" ref="AK209:AK226" si="116">$B$11*BI209+$C$11*BJ209+$D$11*BU209</f>
        <v>1800.01</v>
      </c>
      <c r="AL209">
        <f t="shared" ref="AL209:AL272" si="117">AK209*AM209</f>
        <v>1499.11661857939</v>
      </c>
      <c r="AM209">
        <f t="shared" ref="AM209:AM226" si="118">($B$11*$D$9+$C$11*$D$9+$D$11*(BV209*$E$9+BW209*$F$9+BX209*$G$9+BY209*$H$9))/($B$11+$C$11+$D$11)</f>
        <v>0.83283793900000003</v>
      </c>
      <c r="AN209">
        <f t="shared" ref="AN209:AN226" si="119">($B$11*$K$9+$C$11*$K$9+$D$11*(BV209*$L$9+BW209*$M$9+BX209*$N$9+BY209*$O$9))/($B$11+$C$11+$D$11)</f>
        <v>0.15339680969</v>
      </c>
      <c r="AO209">
        <v>32.4</v>
      </c>
      <c r="AP209">
        <v>0.5</v>
      </c>
      <c r="AQ209" t="s">
        <v>331</v>
      </c>
      <c r="AR209">
        <v>2</v>
      </c>
      <c r="AS209">
        <v>1690228735.5</v>
      </c>
      <c r="AT209">
        <v>534.03899999999999</v>
      </c>
      <c r="AU209">
        <v>799.99099999999999</v>
      </c>
      <c r="AV209">
        <v>23.115600000000001</v>
      </c>
      <c r="AW209">
        <v>6.34748</v>
      </c>
      <c r="AX209">
        <v>534.29100000000005</v>
      </c>
      <c r="AY209">
        <v>22.805700000000002</v>
      </c>
      <c r="AZ209">
        <v>300.18099999999998</v>
      </c>
      <c r="BA209">
        <v>99.075199999999995</v>
      </c>
      <c r="BB209">
        <v>0.100038</v>
      </c>
      <c r="BC209">
        <v>26.5123</v>
      </c>
      <c r="BD209">
        <v>26.9664</v>
      </c>
      <c r="BE209">
        <v>28.0261</v>
      </c>
      <c r="BF209">
        <v>0</v>
      </c>
      <c r="BG209">
        <v>0</v>
      </c>
      <c r="BH209">
        <v>9977.5</v>
      </c>
      <c r="BI209">
        <v>1073.31</v>
      </c>
      <c r="BJ209">
        <v>1.5137799999999999</v>
      </c>
      <c r="BK209">
        <v>-265.952</v>
      </c>
      <c r="BL209">
        <v>546.67600000000004</v>
      </c>
      <c r="BM209">
        <v>805.101</v>
      </c>
      <c r="BN209">
        <v>16.7681</v>
      </c>
      <c r="BO209">
        <v>799.99099999999999</v>
      </c>
      <c r="BP209">
        <v>6.34748</v>
      </c>
      <c r="BQ209">
        <v>2.2901799999999999</v>
      </c>
      <c r="BR209">
        <v>0.62887800000000005</v>
      </c>
      <c r="BS209">
        <v>19.607500000000002</v>
      </c>
      <c r="BT209">
        <v>0.33796199999999998</v>
      </c>
      <c r="BU209">
        <v>1800.01</v>
      </c>
      <c r="BV209">
        <v>0.90999200000000002</v>
      </c>
      <c r="BW209">
        <v>3.4004800000000002E-2</v>
      </c>
      <c r="BX209">
        <v>2.1990200000000001E-2</v>
      </c>
      <c r="BY209">
        <v>3.4013099999999998E-2</v>
      </c>
      <c r="BZ209">
        <v>26</v>
      </c>
      <c r="CA209">
        <v>33528.699999999997</v>
      </c>
      <c r="CB209">
        <v>1690226183.5999999</v>
      </c>
      <c r="CC209" t="s">
        <v>332</v>
      </c>
      <c r="CD209">
        <v>1690226177.5999999</v>
      </c>
      <c r="CE209">
        <v>1690226183.5999999</v>
      </c>
      <c r="CF209">
        <v>12</v>
      </c>
      <c r="CG209">
        <v>-0.255</v>
      </c>
      <c r="CH209">
        <v>0.113</v>
      </c>
      <c r="CI209">
        <v>-0.439</v>
      </c>
      <c r="CJ209">
        <v>0.31</v>
      </c>
      <c r="CK209">
        <v>800</v>
      </c>
      <c r="CL209">
        <v>25</v>
      </c>
      <c r="CM209">
        <v>0.02</v>
      </c>
      <c r="CN209">
        <v>0.03</v>
      </c>
      <c r="CO209">
        <v>-265.33007317073168</v>
      </c>
      <c r="CP209">
        <v>-3.2550731707314191</v>
      </c>
      <c r="CQ209">
        <v>0.32648687197630949</v>
      </c>
      <c r="CR209">
        <v>-1</v>
      </c>
      <c r="CS209">
        <v>16.697741463414641</v>
      </c>
      <c r="CT209">
        <v>0.32412961672473861</v>
      </c>
      <c r="CU209">
        <v>3.2334418538898242E-2</v>
      </c>
      <c r="CV209">
        <v>-1</v>
      </c>
      <c r="CW209">
        <v>0</v>
      </c>
      <c r="CX209">
        <v>0</v>
      </c>
      <c r="CY209" t="s">
        <v>333</v>
      </c>
      <c r="CZ209">
        <v>2.36463</v>
      </c>
      <c r="DA209">
        <v>2.7138100000000001</v>
      </c>
      <c r="DB209">
        <v>0.11090999999999999</v>
      </c>
      <c r="DC209">
        <v>0.146094</v>
      </c>
      <c r="DD209">
        <v>0.110499</v>
      </c>
      <c r="DE209">
        <v>4.1302199999999997E-2</v>
      </c>
      <c r="DF209">
        <v>32471.3</v>
      </c>
      <c r="DG209">
        <v>27533.5</v>
      </c>
      <c r="DH209">
        <v>31178.799999999999</v>
      </c>
      <c r="DI209">
        <v>28096.5</v>
      </c>
      <c r="DJ209">
        <v>37652.400000000001</v>
      </c>
      <c r="DK209">
        <v>38309.199999999997</v>
      </c>
      <c r="DL209">
        <v>44373</v>
      </c>
      <c r="DM209">
        <v>42588.800000000003</v>
      </c>
      <c r="DN209">
        <v>1.4826999999999999</v>
      </c>
      <c r="DO209">
        <v>2.0361500000000001</v>
      </c>
      <c r="DP209">
        <v>9.64478E-2</v>
      </c>
      <c r="DQ209">
        <v>0.17605699999999999</v>
      </c>
      <c r="DR209">
        <v>25.387</v>
      </c>
      <c r="DS209">
        <v>25.1448</v>
      </c>
      <c r="DT209">
        <v>37.799999999999997</v>
      </c>
      <c r="DU209">
        <v>29.3</v>
      </c>
      <c r="DV209">
        <v>15.6106</v>
      </c>
      <c r="DW209">
        <v>62.092399999999998</v>
      </c>
      <c r="DX209">
        <v>37.171500000000002</v>
      </c>
      <c r="DY209">
        <v>1</v>
      </c>
      <c r="DZ209">
        <v>-9.3018299999999998E-2</v>
      </c>
      <c r="EA209">
        <v>8.3932499999999997E-3</v>
      </c>
      <c r="EB209">
        <v>20.189399999999999</v>
      </c>
      <c r="EC209">
        <v>5.2408000000000001</v>
      </c>
      <c r="ED209">
        <v>12.039899999999999</v>
      </c>
      <c r="EE209">
        <v>5.0172499999999998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1.8691800000000001</v>
      </c>
      <c r="EN209">
        <v>1.8672200000000001</v>
      </c>
      <c r="EO209">
        <v>1.8633999999999999</v>
      </c>
      <c r="EP209">
        <v>1.8644799999999999</v>
      </c>
      <c r="EQ209">
        <v>1.87012</v>
      </c>
      <c r="ER209">
        <v>1.86937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-0.252</v>
      </c>
      <c r="FG209">
        <v>0.30990000000000001</v>
      </c>
      <c r="FH209">
        <v>0.1121710645629533</v>
      </c>
      <c r="FI209">
        <v>-6.1462078757559423E-4</v>
      </c>
      <c r="FJ209">
        <v>-1.8861989874597051E-7</v>
      </c>
      <c r="FK209">
        <v>1.1980462299894961E-10</v>
      </c>
      <c r="FL209">
        <v>0.30996499999999833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42.6</v>
      </c>
      <c r="FU209">
        <v>42.5</v>
      </c>
      <c r="FV209">
        <v>1.7712399999999999</v>
      </c>
      <c r="FW209">
        <v>2.5854499999999998</v>
      </c>
      <c r="FX209">
        <v>1.5490699999999999</v>
      </c>
      <c r="FY209">
        <v>2.32666</v>
      </c>
      <c r="FZ209">
        <v>1.50146</v>
      </c>
      <c r="GA209">
        <v>2.34253</v>
      </c>
      <c r="GB209">
        <v>33.963900000000002</v>
      </c>
      <c r="GC209">
        <v>23.982399999999998</v>
      </c>
      <c r="GD209">
        <v>19</v>
      </c>
      <c r="GE209">
        <v>285.62900000000002</v>
      </c>
      <c r="GF209">
        <v>582.83399999999995</v>
      </c>
      <c r="GG209">
        <v>24.601500000000001</v>
      </c>
      <c r="GH209">
        <v>26.219899999999999</v>
      </c>
      <c r="GI209">
        <v>30.0002</v>
      </c>
      <c r="GJ209">
        <v>26.343800000000002</v>
      </c>
      <c r="GK209">
        <v>26.325900000000001</v>
      </c>
      <c r="GL209">
        <v>35.426099999999998</v>
      </c>
      <c r="GM209">
        <v>56.571199999999997</v>
      </c>
      <c r="GN209">
        <v>44.105200000000004</v>
      </c>
      <c r="GO209">
        <v>24.605799999999999</v>
      </c>
      <c r="GP209">
        <v>800</v>
      </c>
      <c r="GQ209">
        <v>6.31914</v>
      </c>
      <c r="GR209">
        <v>99.762299999999996</v>
      </c>
      <c r="GS209">
        <v>99.626099999999994</v>
      </c>
    </row>
    <row r="210" spans="1:201" x14ac:dyDescent="0.25">
      <c r="A210">
        <v>194</v>
      </c>
      <c r="B210">
        <v>1690228745.5</v>
      </c>
      <c r="C210">
        <v>2175.900000095367</v>
      </c>
      <c r="D210" t="s">
        <v>719</v>
      </c>
      <c r="E210" t="s">
        <v>720</v>
      </c>
      <c r="F210" t="s">
        <v>330</v>
      </c>
      <c r="H210">
        <v>1690228745.5</v>
      </c>
      <c r="I210">
        <f t="shared" si="90"/>
        <v>1.594785458522253E-3</v>
      </c>
      <c r="J210">
        <f t="shared" si="91"/>
        <v>1.594785458522253</v>
      </c>
      <c r="K210">
        <f t="shared" si="92"/>
        <v>23.830970333783</v>
      </c>
      <c r="L210">
        <f t="shared" si="93"/>
        <v>533.596</v>
      </c>
      <c r="M210">
        <f t="shared" si="94"/>
        <v>144.56401718490403</v>
      </c>
      <c r="N210">
        <f t="shared" si="95"/>
        <v>14.337557519294919</v>
      </c>
      <c r="O210">
        <f t="shared" si="96"/>
        <v>52.920937665148003</v>
      </c>
      <c r="P210">
        <f t="shared" si="97"/>
        <v>0.10252796277501249</v>
      </c>
      <c r="Q210">
        <f t="shared" si="98"/>
        <v>2.1285497627791781</v>
      </c>
      <c r="R210">
        <f t="shared" si="99"/>
        <v>9.9861276520456413E-2</v>
      </c>
      <c r="S210">
        <f t="shared" si="100"/>
        <v>6.2647112004530353E-2</v>
      </c>
      <c r="T210">
        <f t="shared" si="101"/>
        <v>276.11430452999997</v>
      </c>
      <c r="U210">
        <f t="shared" si="102"/>
        <v>28.144504188101752</v>
      </c>
      <c r="V210">
        <f t="shared" si="103"/>
        <v>28.144504188101752</v>
      </c>
      <c r="W210">
        <f t="shared" si="104"/>
        <v>3.826925499802329</v>
      </c>
      <c r="X210">
        <f t="shared" si="105"/>
        <v>65.886278756525513</v>
      </c>
      <c r="Y210">
        <f t="shared" si="106"/>
        <v>2.2919123093083003</v>
      </c>
      <c r="Z210">
        <f t="shared" si="107"/>
        <v>3.4785881864382948</v>
      </c>
      <c r="AA210">
        <f t="shared" si="108"/>
        <v>1.5350131904940287</v>
      </c>
      <c r="AB210">
        <f t="shared" si="109"/>
        <v>-70.330038720831354</v>
      </c>
      <c r="AC210">
        <f t="shared" si="110"/>
        <v>-186.92388173255651</v>
      </c>
      <c r="AD210">
        <f t="shared" si="111"/>
        <v>-19.014799887325797</v>
      </c>
      <c r="AE210">
        <f t="shared" si="112"/>
        <v>-0.1544158107136866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52373.631048595926</v>
      </c>
      <c r="AK210">
        <f t="shared" si="116"/>
        <v>1800</v>
      </c>
      <c r="AL210">
        <f t="shared" si="117"/>
        <v>1499.108841</v>
      </c>
      <c r="AM210">
        <f t="shared" si="118"/>
        <v>0.83283824500000003</v>
      </c>
      <c r="AN210">
        <f t="shared" si="119"/>
        <v>0.15339683585</v>
      </c>
      <c r="AO210">
        <v>32.4</v>
      </c>
      <c r="AP210">
        <v>0.5</v>
      </c>
      <c r="AQ210" t="s">
        <v>331</v>
      </c>
      <c r="AR210">
        <v>2</v>
      </c>
      <c r="AS210">
        <v>1690228745.5</v>
      </c>
      <c r="AT210">
        <v>533.596</v>
      </c>
      <c r="AU210">
        <v>800.01</v>
      </c>
      <c r="AV210">
        <v>23.109100000000002</v>
      </c>
      <c r="AW210">
        <v>6.2929700000000004</v>
      </c>
      <c r="AX210">
        <v>533.84699999999998</v>
      </c>
      <c r="AY210">
        <v>22.799099999999999</v>
      </c>
      <c r="AZ210">
        <v>300.17</v>
      </c>
      <c r="BA210">
        <v>99.0779</v>
      </c>
      <c r="BB210">
        <v>0.100013</v>
      </c>
      <c r="BC210">
        <v>26.515599999999999</v>
      </c>
      <c r="BD210">
        <v>27.014700000000001</v>
      </c>
      <c r="BE210">
        <v>28.03</v>
      </c>
      <c r="BF210">
        <v>0</v>
      </c>
      <c r="BG210">
        <v>0</v>
      </c>
      <c r="BH210">
        <v>9980</v>
      </c>
      <c r="BI210">
        <v>1073.3699999999999</v>
      </c>
      <c r="BJ210">
        <v>1.5137799999999999</v>
      </c>
      <c r="BK210">
        <v>-266.41399999999999</v>
      </c>
      <c r="BL210">
        <v>546.21799999999996</v>
      </c>
      <c r="BM210">
        <v>805.07600000000002</v>
      </c>
      <c r="BN210">
        <v>16.816099999999999</v>
      </c>
      <c r="BO210">
        <v>800.01</v>
      </c>
      <c r="BP210">
        <v>6.2929700000000004</v>
      </c>
      <c r="BQ210">
        <v>2.2896000000000001</v>
      </c>
      <c r="BR210">
        <v>0.62349500000000002</v>
      </c>
      <c r="BS210">
        <v>19.603400000000001</v>
      </c>
      <c r="BT210">
        <v>0.219328</v>
      </c>
      <c r="BU210">
        <v>1800</v>
      </c>
      <c r="BV210">
        <v>0.90999300000000005</v>
      </c>
      <c r="BW210">
        <v>3.40045E-2</v>
      </c>
      <c r="BX210">
        <v>2.1989999999999999E-2</v>
      </c>
      <c r="BY210">
        <v>3.4012899999999999E-2</v>
      </c>
      <c r="BZ210">
        <v>26</v>
      </c>
      <c r="CA210">
        <v>33528.400000000001</v>
      </c>
      <c r="CB210">
        <v>1690226183.5999999</v>
      </c>
      <c r="CC210" t="s">
        <v>332</v>
      </c>
      <c r="CD210">
        <v>1690226177.5999999</v>
      </c>
      <c r="CE210">
        <v>1690226183.5999999</v>
      </c>
      <c r="CF210">
        <v>12</v>
      </c>
      <c r="CG210">
        <v>-0.255</v>
      </c>
      <c r="CH210">
        <v>0.113</v>
      </c>
      <c r="CI210">
        <v>-0.439</v>
      </c>
      <c r="CJ210">
        <v>0.31</v>
      </c>
      <c r="CK210">
        <v>800</v>
      </c>
      <c r="CL210">
        <v>25</v>
      </c>
      <c r="CM210">
        <v>0.02</v>
      </c>
      <c r="CN210">
        <v>0.03</v>
      </c>
      <c r="CO210">
        <v>-265.86136585365853</v>
      </c>
      <c r="CP210">
        <v>-2.947609756097112</v>
      </c>
      <c r="CQ210">
        <v>0.29281033202628559</v>
      </c>
      <c r="CR210">
        <v>-1</v>
      </c>
      <c r="CS210">
        <v>16.753568292682932</v>
      </c>
      <c r="CT210">
        <v>0.33062508710799382</v>
      </c>
      <c r="CU210">
        <v>3.3047138830615302E-2</v>
      </c>
      <c r="CV210">
        <v>-1</v>
      </c>
      <c r="CW210">
        <v>0</v>
      </c>
      <c r="CX210">
        <v>0</v>
      </c>
      <c r="CY210" t="s">
        <v>333</v>
      </c>
      <c r="CZ210">
        <v>2.3645900000000002</v>
      </c>
      <c r="DA210">
        <v>2.7137899999999999</v>
      </c>
      <c r="DB210">
        <v>0.110847</v>
      </c>
      <c r="DC210">
        <v>0.14609800000000001</v>
      </c>
      <c r="DD210">
        <v>0.11047999999999999</v>
      </c>
      <c r="DE210">
        <v>4.1015000000000003E-2</v>
      </c>
      <c r="DF210">
        <v>32474.400000000001</v>
      </c>
      <c r="DG210">
        <v>27533.599999999999</v>
      </c>
      <c r="DH210">
        <v>31179.599999999999</v>
      </c>
      <c r="DI210">
        <v>28096.7</v>
      </c>
      <c r="DJ210">
        <v>37654.1</v>
      </c>
      <c r="DK210">
        <v>38321</v>
      </c>
      <c r="DL210">
        <v>44374.1</v>
      </c>
      <c r="DM210">
        <v>42589.2</v>
      </c>
      <c r="DN210">
        <v>1.4826999999999999</v>
      </c>
      <c r="DO210">
        <v>2.0362</v>
      </c>
      <c r="DP210">
        <v>9.9554699999999996E-2</v>
      </c>
      <c r="DQ210">
        <v>0.176482</v>
      </c>
      <c r="DR210">
        <v>25.384499999999999</v>
      </c>
      <c r="DS210">
        <v>25.1418</v>
      </c>
      <c r="DT210">
        <v>37.5</v>
      </c>
      <c r="DU210">
        <v>29.3</v>
      </c>
      <c r="DV210">
        <v>15.491199999999999</v>
      </c>
      <c r="DW210">
        <v>62.082500000000003</v>
      </c>
      <c r="DX210">
        <v>36.566499999999998</v>
      </c>
      <c r="DY210">
        <v>1</v>
      </c>
      <c r="DZ210">
        <v>-9.3290100000000001E-2</v>
      </c>
      <c r="EA210">
        <v>1.23965E-2</v>
      </c>
      <c r="EB210">
        <v>20.1891</v>
      </c>
      <c r="EC210">
        <v>5.2408000000000001</v>
      </c>
      <c r="ED210">
        <v>12.039899999999999</v>
      </c>
      <c r="EE210">
        <v>5.0171000000000001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1.8691899999999999</v>
      </c>
      <c r="EN210">
        <v>1.8672200000000001</v>
      </c>
      <c r="EO210">
        <v>1.8633999999999999</v>
      </c>
      <c r="EP210">
        <v>1.86449</v>
      </c>
      <c r="EQ210">
        <v>1.8701300000000001</v>
      </c>
      <c r="ER210">
        <v>1.86938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-0.251</v>
      </c>
      <c r="FG210">
        <v>0.31</v>
      </c>
      <c r="FH210">
        <v>0.1121710645629533</v>
      </c>
      <c r="FI210">
        <v>-6.1462078757559423E-4</v>
      </c>
      <c r="FJ210">
        <v>-1.8861989874597051E-7</v>
      </c>
      <c r="FK210">
        <v>1.1980462299894961E-10</v>
      </c>
      <c r="FL210">
        <v>0.30996499999999833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42.8</v>
      </c>
      <c r="FU210">
        <v>42.7</v>
      </c>
      <c r="FV210">
        <v>1.7724599999999999</v>
      </c>
      <c r="FW210">
        <v>2.5866699999999998</v>
      </c>
      <c r="FX210">
        <v>1.5490699999999999</v>
      </c>
      <c r="FY210">
        <v>2.32666</v>
      </c>
      <c r="FZ210">
        <v>1.50146</v>
      </c>
      <c r="GA210">
        <v>2.3803700000000001</v>
      </c>
      <c r="GB210">
        <v>33.941299999999998</v>
      </c>
      <c r="GC210">
        <v>23.991199999999999</v>
      </c>
      <c r="GD210">
        <v>19</v>
      </c>
      <c r="GE210">
        <v>285.61900000000003</v>
      </c>
      <c r="GF210">
        <v>582.87599999999998</v>
      </c>
      <c r="GG210">
        <v>24.644200000000001</v>
      </c>
      <c r="GH210">
        <v>26.219899999999999</v>
      </c>
      <c r="GI210">
        <v>29.9999</v>
      </c>
      <c r="GJ210">
        <v>26.3416</v>
      </c>
      <c r="GK210">
        <v>26.325900000000001</v>
      </c>
      <c r="GL210">
        <v>35.425800000000002</v>
      </c>
      <c r="GM210">
        <v>56.571199999999997</v>
      </c>
      <c r="GN210">
        <v>43.345399999999998</v>
      </c>
      <c r="GO210">
        <v>24.639800000000001</v>
      </c>
      <c r="GP210">
        <v>800</v>
      </c>
      <c r="GQ210">
        <v>6.2661300000000004</v>
      </c>
      <c r="GR210">
        <v>99.764899999999997</v>
      </c>
      <c r="GS210">
        <v>99.626800000000003</v>
      </c>
    </row>
    <row r="211" spans="1:201" x14ac:dyDescent="0.25">
      <c r="A211">
        <v>195</v>
      </c>
      <c r="B211">
        <v>1690228755.5</v>
      </c>
      <c r="C211">
        <v>2185.900000095367</v>
      </c>
      <c r="D211" t="s">
        <v>721</v>
      </c>
      <c r="E211" t="s">
        <v>722</v>
      </c>
      <c r="F211" t="s">
        <v>330</v>
      </c>
      <c r="H211">
        <v>1690228755.5</v>
      </c>
      <c r="I211">
        <f t="shared" si="90"/>
        <v>1.5991496939817607E-3</v>
      </c>
      <c r="J211">
        <f t="shared" si="91"/>
        <v>1.5991496939817607</v>
      </c>
      <c r="K211">
        <f t="shared" si="92"/>
        <v>23.881884871234359</v>
      </c>
      <c r="L211">
        <f t="shared" si="93"/>
        <v>532.96600000000001</v>
      </c>
      <c r="M211">
        <f t="shared" si="94"/>
        <v>144.18434399003351</v>
      </c>
      <c r="N211">
        <f t="shared" si="95"/>
        <v>14.300014081490643</v>
      </c>
      <c r="O211">
        <f t="shared" si="96"/>
        <v>52.858868681904603</v>
      </c>
      <c r="P211">
        <f t="shared" si="97"/>
        <v>0.102814144587611</v>
      </c>
      <c r="Q211">
        <f t="shared" si="98"/>
        <v>2.1316965434085766</v>
      </c>
      <c r="R211">
        <f t="shared" si="99"/>
        <v>0.10013660760466082</v>
      </c>
      <c r="S211">
        <f t="shared" si="100"/>
        <v>6.2820137926707931E-2</v>
      </c>
      <c r="T211">
        <f t="shared" si="101"/>
        <v>276.11583849835847</v>
      </c>
      <c r="U211">
        <f t="shared" si="102"/>
        <v>28.142308185761159</v>
      </c>
      <c r="V211">
        <f t="shared" si="103"/>
        <v>28.142308185761159</v>
      </c>
      <c r="W211">
        <f t="shared" si="104"/>
        <v>3.8264361324098402</v>
      </c>
      <c r="X211">
        <f t="shared" si="105"/>
        <v>65.866714045726724</v>
      </c>
      <c r="Y211">
        <f t="shared" si="106"/>
        <v>2.2914343277312099</v>
      </c>
      <c r="Z211">
        <f t="shared" si="107"/>
        <v>3.478895768415629</v>
      </c>
      <c r="AA211">
        <f t="shared" si="108"/>
        <v>1.5350018046786302</v>
      </c>
      <c r="AB211">
        <f t="shared" si="109"/>
        <v>-70.522501504595652</v>
      </c>
      <c r="AC211">
        <f t="shared" si="110"/>
        <v>-186.77546462381724</v>
      </c>
      <c r="AD211">
        <f t="shared" si="111"/>
        <v>-18.971588506596952</v>
      </c>
      <c r="AE211">
        <f t="shared" si="112"/>
        <v>-0.15371613665138284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52509.204448411547</v>
      </c>
      <c r="AK211">
        <f t="shared" si="116"/>
        <v>1800.01</v>
      </c>
      <c r="AL211">
        <f t="shared" si="117"/>
        <v>1499.1171693824501</v>
      </c>
      <c r="AM211">
        <f t="shared" si="118"/>
        <v>0.83283824500000003</v>
      </c>
      <c r="AN211">
        <f t="shared" si="119"/>
        <v>0.15339683585</v>
      </c>
      <c r="AO211">
        <v>32.4</v>
      </c>
      <c r="AP211">
        <v>0.5</v>
      </c>
      <c r="AQ211" t="s">
        <v>331</v>
      </c>
      <c r="AR211">
        <v>2</v>
      </c>
      <c r="AS211">
        <v>1690228755.5</v>
      </c>
      <c r="AT211">
        <v>532.96600000000001</v>
      </c>
      <c r="AU211">
        <v>800.01499999999999</v>
      </c>
      <c r="AV211">
        <v>23.104099999999999</v>
      </c>
      <c r="AW211">
        <v>6.2373700000000003</v>
      </c>
      <c r="AX211">
        <v>533.21699999999998</v>
      </c>
      <c r="AY211">
        <v>22.7942</v>
      </c>
      <c r="AZ211">
        <v>300.08999999999997</v>
      </c>
      <c r="BA211">
        <v>99.078699999999998</v>
      </c>
      <c r="BB211">
        <v>9.9988099999999996E-2</v>
      </c>
      <c r="BC211">
        <v>26.517099999999999</v>
      </c>
      <c r="BD211">
        <v>26.994900000000001</v>
      </c>
      <c r="BE211">
        <v>28.017600000000002</v>
      </c>
      <c r="BF211">
        <v>0</v>
      </c>
      <c r="BG211">
        <v>0</v>
      </c>
      <c r="BH211">
        <v>10006.9</v>
      </c>
      <c r="BI211">
        <v>1073.46</v>
      </c>
      <c r="BJ211">
        <v>1.5137799999999999</v>
      </c>
      <c r="BK211">
        <v>-267.05</v>
      </c>
      <c r="BL211">
        <v>545.57100000000003</v>
      </c>
      <c r="BM211">
        <v>805.03700000000003</v>
      </c>
      <c r="BN211">
        <v>16.866800000000001</v>
      </c>
      <c r="BO211">
        <v>800.01499999999999</v>
      </c>
      <c r="BP211">
        <v>6.2373700000000003</v>
      </c>
      <c r="BQ211">
        <v>2.2891300000000001</v>
      </c>
      <c r="BR211">
        <v>0.61799000000000004</v>
      </c>
      <c r="BS211">
        <v>19.600100000000001</v>
      </c>
      <c r="BT211">
        <v>9.7080600000000003E-2</v>
      </c>
      <c r="BU211">
        <v>1800.01</v>
      </c>
      <c r="BV211">
        <v>0.90999300000000005</v>
      </c>
      <c r="BW211">
        <v>3.40045E-2</v>
      </c>
      <c r="BX211">
        <v>2.1989999999999999E-2</v>
      </c>
      <c r="BY211">
        <v>3.4012899999999999E-2</v>
      </c>
      <c r="BZ211">
        <v>26</v>
      </c>
      <c r="CA211">
        <v>33528.6</v>
      </c>
      <c r="CB211">
        <v>1690226183.5999999</v>
      </c>
      <c r="CC211" t="s">
        <v>332</v>
      </c>
      <c r="CD211">
        <v>1690226177.5999999</v>
      </c>
      <c r="CE211">
        <v>1690226183.5999999</v>
      </c>
      <c r="CF211">
        <v>12</v>
      </c>
      <c r="CG211">
        <v>-0.255</v>
      </c>
      <c r="CH211">
        <v>0.113</v>
      </c>
      <c r="CI211">
        <v>-0.439</v>
      </c>
      <c r="CJ211">
        <v>0.31</v>
      </c>
      <c r="CK211">
        <v>800</v>
      </c>
      <c r="CL211">
        <v>25</v>
      </c>
      <c r="CM211">
        <v>0.02</v>
      </c>
      <c r="CN211">
        <v>0.03</v>
      </c>
      <c r="CO211">
        <v>-266.39121951219511</v>
      </c>
      <c r="CP211">
        <v>-3.3462439024394861</v>
      </c>
      <c r="CQ211">
        <v>0.33432338019663632</v>
      </c>
      <c r="CR211">
        <v>-1</v>
      </c>
      <c r="CS211">
        <v>16.81032195121951</v>
      </c>
      <c r="CT211">
        <v>0.34415958188151607</v>
      </c>
      <c r="CU211">
        <v>3.4274853985173298E-2</v>
      </c>
      <c r="CV211">
        <v>-1</v>
      </c>
      <c r="CW211">
        <v>0</v>
      </c>
      <c r="CX211">
        <v>0</v>
      </c>
      <c r="CY211" t="s">
        <v>333</v>
      </c>
      <c r="CZ211">
        <v>2.3643299999999998</v>
      </c>
      <c r="DA211">
        <v>2.7137799999999999</v>
      </c>
      <c r="DB211">
        <v>0.110753</v>
      </c>
      <c r="DC211">
        <v>0.14610000000000001</v>
      </c>
      <c r="DD211">
        <v>0.11046400000000001</v>
      </c>
      <c r="DE211">
        <v>4.0720800000000001E-2</v>
      </c>
      <c r="DF211">
        <v>32477.8</v>
      </c>
      <c r="DG211">
        <v>27533.599999999999</v>
      </c>
      <c r="DH211">
        <v>31179.5</v>
      </c>
      <c r="DI211">
        <v>28096.7</v>
      </c>
      <c r="DJ211">
        <v>37654.800000000003</v>
      </c>
      <c r="DK211">
        <v>38332.800000000003</v>
      </c>
      <c r="DL211">
        <v>44374.2</v>
      </c>
      <c r="DM211">
        <v>42589.1</v>
      </c>
      <c r="DN211">
        <v>1.48245</v>
      </c>
      <c r="DO211">
        <v>2.0360299999999998</v>
      </c>
      <c r="DP211">
        <v>9.8477999999999996E-2</v>
      </c>
      <c r="DQ211">
        <v>0.17585200000000001</v>
      </c>
      <c r="DR211">
        <v>25.382300000000001</v>
      </c>
      <c r="DS211">
        <v>25.139700000000001</v>
      </c>
      <c r="DT211">
        <v>37.200000000000003</v>
      </c>
      <c r="DU211">
        <v>29.3</v>
      </c>
      <c r="DV211">
        <v>15.3649</v>
      </c>
      <c r="DW211">
        <v>61.472499999999997</v>
      </c>
      <c r="DX211">
        <v>36.277999999999999</v>
      </c>
      <c r="DY211">
        <v>1</v>
      </c>
      <c r="DZ211">
        <v>-9.3015799999999996E-2</v>
      </c>
      <c r="EA211">
        <v>0.104423</v>
      </c>
      <c r="EB211">
        <v>20.1892</v>
      </c>
      <c r="EC211">
        <v>5.2404999999999999</v>
      </c>
      <c r="ED211">
        <v>12.039899999999999</v>
      </c>
      <c r="EE211">
        <v>5.0173500000000004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1.8692</v>
      </c>
      <c r="EN211">
        <v>1.8672200000000001</v>
      </c>
      <c r="EO211">
        <v>1.8633999999999999</v>
      </c>
      <c r="EP211">
        <v>1.86449</v>
      </c>
      <c r="EQ211">
        <v>1.8701300000000001</v>
      </c>
      <c r="ER211">
        <v>1.86937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-0.251</v>
      </c>
      <c r="FG211">
        <v>0.30990000000000001</v>
      </c>
      <c r="FH211">
        <v>0.1121710645629533</v>
      </c>
      <c r="FI211">
        <v>-6.1462078757559423E-4</v>
      </c>
      <c r="FJ211">
        <v>-1.8861989874597051E-7</v>
      </c>
      <c r="FK211">
        <v>1.1980462299894961E-10</v>
      </c>
      <c r="FL211">
        <v>0.30996499999999833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43</v>
      </c>
      <c r="FU211">
        <v>42.9</v>
      </c>
      <c r="FV211">
        <v>1.7724599999999999</v>
      </c>
      <c r="FW211">
        <v>2.5866699999999998</v>
      </c>
      <c r="FX211">
        <v>1.5490699999999999</v>
      </c>
      <c r="FY211">
        <v>2.32666</v>
      </c>
      <c r="FZ211">
        <v>1.50146</v>
      </c>
      <c r="GA211">
        <v>2.3571800000000001</v>
      </c>
      <c r="GB211">
        <v>33.941299999999998</v>
      </c>
      <c r="GC211">
        <v>23.982399999999998</v>
      </c>
      <c r="GD211">
        <v>19</v>
      </c>
      <c r="GE211">
        <v>285.51100000000002</v>
      </c>
      <c r="GF211">
        <v>582.71699999999998</v>
      </c>
      <c r="GG211">
        <v>24.605</v>
      </c>
      <c r="GH211">
        <v>26.219899999999999</v>
      </c>
      <c r="GI211">
        <v>30.0001</v>
      </c>
      <c r="GJ211">
        <v>26.3416</v>
      </c>
      <c r="GK211">
        <v>26.3246</v>
      </c>
      <c r="GL211">
        <v>35.422899999999998</v>
      </c>
      <c r="GM211">
        <v>56.571199999999997</v>
      </c>
      <c r="GN211">
        <v>42.969700000000003</v>
      </c>
      <c r="GO211">
        <v>24.608699999999999</v>
      </c>
      <c r="GP211">
        <v>800</v>
      </c>
      <c r="GQ211">
        <v>6.2155699999999996</v>
      </c>
      <c r="GR211">
        <v>99.764899999999997</v>
      </c>
      <c r="GS211">
        <v>99.626900000000006</v>
      </c>
    </row>
    <row r="212" spans="1:201" x14ac:dyDescent="0.25">
      <c r="A212">
        <v>196</v>
      </c>
      <c r="B212">
        <v>1690228765.5</v>
      </c>
      <c r="C212">
        <v>2195.900000095367</v>
      </c>
      <c r="D212" t="s">
        <v>723</v>
      </c>
      <c r="E212" t="s">
        <v>724</v>
      </c>
      <c r="F212" t="s">
        <v>330</v>
      </c>
      <c r="H212">
        <v>1690228765.5</v>
      </c>
      <c r="I212">
        <f t="shared" si="90"/>
        <v>1.6053564104803093E-3</v>
      </c>
      <c r="J212">
        <f t="shared" si="91"/>
        <v>1.6053564104803093</v>
      </c>
      <c r="K212">
        <f t="shared" si="92"/>
        <v>23.938691626222489</v>
      </c>
      <c r="L212">
        <f t="shared" si="93"/>
        <v>532.42399999999998</v>
      </c>
      <c r="M212">
        <f t="shared" si="94"/>
        <v>144.20033867398101</v>
      </c>
      <c r="N212">
        <f t="shared" si="95"/>
        <v>14.301572582595766</v>
      </c>
      <c r="O212">
        <f t="shared" si="96"/>
        <v>52.805011075122394</v>
      </c>
      <c r="P212">
        <f t="shared" si="97"/>
        <v>0.10321817905717616</v>
      </c>
      <c r="Q212">
        <f t="shared" si="98"/>
        <v>2.1311127986951059</v>
      </c>
      <c r="R212">
        <f t="shared" si="99"/>
        <v>0.10051913570499595</v>
      </c>
      <c r="S212">
        <f t="shared" si="100"/>
        <v>6.3061079668330716E-2</v>
      </c>
      <c r="T212">
        <f t="shared" si="101"/>
        <v>276.11426593800002</v>
      </c>
      <c r="U212">
        <f t="shared" si="102"/>
        <v>28.139537398169161</v>
      </c>
      <c r="V212">
        <f t="shared" si="103"/>
        <v>28.139537398169161</v>
      </c>
      <c r="W212">
        <f t="shared" si="104"/>
        <v>3.8258187550897866</v>
      </c>
      <c r="X212">
        <f t="shared" si="105"/>
        <v>65.849941075501803</v>
      </c>
      <c r="Y212">
        <f t="shared" si="106"/>
        <v>2.2907157834751901</v>
      </c>
      <c r="Z212">
        <f t="shared" si="107"/>
        <v>3.4786907111256422</v>
      </c>
      <c r="AA212">
        <f t="shared" si="108"/>
        <v>1.5351029716145965</v>
      </c>
      <c r="AB212">
        <f t="shared" si="109"/>
        <v>-70.796217702181636</v>
      </c>
      <c r="AC212">
        <f t="shared" si="110"/>
        <v>-186.52086764129675</v>
      </c>
      <c r="AD212">
        <f t="shared" si="111"/>
        <v>-18.950560316551485</v>
      </c>
      <c r="AE212">
        <f t="shared" si="112"/>
        <v>-0.15337972202988226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52484.165084589768</v>
      </c>
      <c r="AK212">
        <f t="shared" si="116"/>
        <v>1800</v>
      </c>
      <c r="AL212">
        <f t="shared" si="117"/>
        <v>1499.1089958</v>
      </c>
      <c r="AM212">
        <f t="shared" si="118"/>
        <v>0.83283833100000004</v>
      </c>
      <c r="AN212">
        <f t="shared" si="119"/>
        <v>0.15339681441</v>
      </c>
      <c r="AO212">
        <v>32.4</v>
      </c>
      <c r="AP212">
        <v>0.5</v>
      </c>
      <c r="AQ212" t="s">
        <v>331</v>
      </c>
      <c r="AR212">
        <v>2</v>
      </c>
      <c r="AS212">
        <v>1690228765.5</v>
      </c>
      <c r="AT212">
        <v>532.42399999999998</v>
      </c>
      <c r="AU212">
        <v>800.08500000000004</v>
      </c>
      <c r="AV212">
        <v>23.096900000000002</v>
      </c>
      <c r="AW212">
        <v>6.1663300000000003</v>
      </c>
      <c r="AX212">
        <v>532.67499999999995</v>
      </c>
      <c r="AY212">
        <v>22.786899999999999</v>
      </c>
      <c r="AZ212">
        <v>300.12099999999998</v>
      </c>
      <c r="BA212">
        <v>99.078599999999994</v>
      </c>
      <c r="BB212">
        <v>9.9895100000000001E-2</v>
      </c>
      <c r="BC212">
        <v>26.516100000000002</v>
      </c>
      <c r="BD212">
        <v>27.006699999999999</v>
      </c>
      <c r="BE212">
        <v>28.024899999999999</v>
      </c>
      <c r="BF212">
        <v>0</v>
      </c>
      <c r="BG212">
        <v>0</v>
      </c>
      <c r="BH212">
        <v>10001.9</v>
      </c>
      <c r="BI212">
        <v>1073.46</v>
      </c>
      <c r="BJ212">
        <v>1.51098</v>
      </c>
      <c r="BK212">
        <v>-267.661</v>
      </c>
      <c r="BL212">
        <v>545.01199999999994</v>
      </c>
      <c r="BM212">
        <v>805.04899999999998</v>
      </c>
      <c r="BN212">
        <v>16.930599999999998</v>
      </c>
      <c r="BO212">
        <v>800.08500000000004</v>
      </c>
      <c r="BP212">
        <v>6.1663300000000003</v>
      </c>
      <c r="BQ212">
        <v>2.2884099999999998</v>
      </c>
      <c r="BR212">
        <v>0.61095100000000002</v>
      </c>
      <c r="BS212">
        <v>19.594999999999999</v>
      </c>
      <c r="BT212">
        <v>-6.06803E-2</v>
      </c>
      <c r="BU212">
        <v>1800</v>
      </c>
      <c r="BV212">
        <v>0.90999399999999997</v>
      </c>
      <c r="BW212">
        <v>3.4004100000000002E-2</v>
      </c>
      <c r="BX212">
        <v>2.19898E-2</v>
      </c>
      <c r="BY212">
        <v>3.4012500000000001E-2</v>
      </c>
      <c r="BZ212">
        <v>26</v>
      </c>
      <c r="CA212">
        <v>33528.400000000001</v>
      </c>
      <c r="CB212">
        <v>1690226183.5999999</v>
      </c>
      <c r="CC212" t="s">
        <v>332</v>
      </c>
      <c r="CD212">
        <v>1690226177.5999999</v>
      </c>
      <c r="CE212">
        <v>1690226183.5999999</v>
      </c>
      <c r="CF212">
        <v>12</v>
      </c>
      <c r="CG212">
        <v>-0.255</v>
      </c>
      <c r="CH212">
        <v>0.113</v>
      </c>
      <c r="CI212">
        <v>-0.439</v>
      </c>
      <c r="CJ212">
        <v>0.31</v>
      </c>
      <c r="CK212">
        <v>800</v>
      </c>
      <c r="CL212">
        <v>25</v>
      </c>
      <c r="CM212">
        <v>0.02</v>
      </c>
      <c r="CN212">
        <v>0.03</v>
      </c>
      <c r="CO212">
        <v>-266.99712195121953</v>
      </c>
      <c r="CP212">
        <v>-3.250954703833123</v>
      </c>
      <c r="CQ212">
        <v>0.326860393494255</v>
      </c>
      <c r="CR212">
        <v>-1</v>
      </c>
      <c r="CS212">
        <v>16.870563414634141</v>
      </c>
      <c r="CT212">
        <v>0.3247421602787694</v>
      </c>
      <c r="CU212">
        <v>3.2463861754997547E-2</v>
      </c>
      <c r="CV212">
        <v>-1</v>
      </c>
      <c r="CW212">
        <v>0</v>
      </c>
      <c r="CX212">
        <v>0</v>
      </c>
      <c r="CY212" t="s">
        <v>333</v>
      </c>
      <c r="CZ212">
        <v>2.36443</v>
      </c>
      <c r="DA212">
        <v>2.7136900000000002</v>
      </c>
      <c r="DB212">
        <v>0.11067299999999999</v>
      </c>
      <c r="DC212">
        <v>0.14610799999999999</v>
      </c>
      <c r="DD212">
        <v>0.11044</v>
      </c>
      <c r="DE212">
        <v>4.0343400000000001E-2</v>
      </c>
      <c r="DF212">
        <v>32480.3</v>
      </c>
      <c r="DG212">
        <v>27532.9</v>
      </c>
      <c r="DH212">
        <v>31179.1</v>
      </c>
      <c r="DI212">
        <v>28096.3</v>
      </c>
      <c r="DJ212">
        <v>37655.5</v>
      </c>
      <c r="DK212">
        <v>38347.4</v>
      </c>
      <c r="DL212">
        <v>44373.7</v>
      </c>
      <c r="DM212">
        <v>42588.6</v>
      </c>
      <c r="DN212">
        <v>1.48237</v>
      </c>
      <c r="DO212">
        <v>2.0357500000000002</v>
      </c>
      <c r="DP212">
        <v>9.9301299999999995E-2</v>
      </c>
      <c r="DQ212">
        <v>0.17643</v>
      </c>
      <c r="DR212">
        <v>25.380600000000001</v>
      </c>
      <c r="DS212">
        <v>25.137599999999999</v>
      </c>
      <c r="DT212">
        <v>36.9</v>
      </c>
      <c r="DU212">
        <v>29.3</v>
      </c>
      <c r="DV212">
        <v>15.2401</v>
      </c>
      <c r="DW212">
        <v>61.732500000000002</v>
      </c>
      <c r="DX212">
        <v>36.069699999999997</v>
      </c>
      <c r="DY212">
        <v>1</v>
      </c>
      <c r="DZ212">
        <v>-9.3041200000000004E-2</v>
      </c>
      <c r="EA212">
        <v>4.7873100000000002E-2</v>
      </c>
      <c r="EB212">
        <v>20.189399999999999</v>
      </c>
      <c r="EC212">
        <v>5.2409499999999998</v>
      </c>
      <c r="ED212">
        <v>12.039899999999999</v>
      </c>
      <c r="EE212">
        <v>5.0171999999999999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1.8691899999999999</v>
      </c>
      <c r="EN212">
        <v>1.8672299999999999</v>
      </c>
      <c r="EO212">
        <v>1.8633999999999999</v>
      </c>
      <c r="EP212">
        <v>1.8644799999999999</v>
      </c>
      <c r="EQ212">
        <v>1.8701300000000001</v>
      </c>
      <c r="ER212">
        <v>1.8694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-0.251</v>
      </c>
      <c r="FG212">
        <v>0.31</v>
      </c>
      <c r="FH212">
        <v>0.1121710645629533</v>
      </c>
      <c r="FI212">
        <v>-6.1462078757559423E-4</v>
      </c>
      <c r="FJ212">
        <v>-1.8861989874597051E-7</v>
      </c>
      <c r="FK212">
        <v>1.1980462299894961E-10</v>
      </c>
      <c r="FL212">
        <v>0.30996499999999833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43.1</v>
      </c>
      <c r="FU212">
        <v>43</v>
      </c>
      <c r="FV212">
        <v>1.7712399999999999</v>
      </c>
      <c r="FW212">
        <v>2.5854499999999998</v>
      </c>
      <c r="FX212">
        <v>1.5490699999999999</v>
      </c>
      <c r="FY212">
        <v>2.32666</v>
      </c>
      <c r="FZ212">
        <v>1.50146</v>
      </c>
      <c r="GA212">
        <v>2.3815900000000001</v>
      </c>
      <c r="GB212">
        <v>33.941299999999998</v>
      </c>
      <c r="GC212">
        <v>23.991199999999999</v>
      </c>
      <c r="GD212">
        <v>19</v>
      </c>
      <c r="GE212">
        <v>285.47899999999998</v>
      </c>
      <c r="GF212">
        <v>582.47900000000004</v>
      </c>
      <c r="GG212">
        <v>24.613499999999998</v>
      </c>
      <c r="GH212">
        <v>26.219899999999999</v>
      </c>
      <c r="GI212">
        <v>30.0002</v>
      </c>
      <c r="GJ212">
        <v>26.3416</v>
      </c>
      <c r="GK212">
        <v>26.323599999999999</v>
      </c>
      <c r="GL212">
        <v>35.418599999999998</v>
      </c>
      <c r="GM212">
        <v>56.571199999999997</v>
      </c>
      <c r="GN212">
        <v>42.597799999999999</v>
      </c>
      <c r="GO212">
        <v>24.619900000000001</v>
      </c>
      <c r="GP212">
        <v>800</v>
      </c>
      <c r="GQ212">
        <v>6.1651300000000004</v>
      </c>
      <c r="GR212">
        <v>99.7637</v>
      </c>
      <c r="GS212">
        <v>99.625600000000006</v>
      </c>
    </row>
    <row r="213" spans="1:201" x14ac:dyDescent="0.25">
      <c r="A213">
        <v>197</v>
      </c>
      <c r="B213">
        <v>1690228775.5</v>
      </c>
      <c r="C213">
        <v>2205.900000095367</v>
      </c>
      <c r="D213" t="s">
        <v>725</v>
      </c>
      <c r="E213" t="s">
        <v>726</v>
      </c>
      <c r="F213" t="s">
        <v>330</v>
      </c>
      <c r="H213">
        <v>1690228775.5</v>
      </c>
      <c r="I213">
        <f t="shared" si="90"/>
        <v>1.6104783966730089E-3</v>
      </c>
      <c r="J213">
        <f t="shared" si="91"/>
        <v>1.610478396673009</v>
      </c>
      <c r="K213">
        <f t="shared" si="92"/>
        <v>23.97089245009952</v>
      </c>
      <c r="L213">
        <f t="shared" si="93"/>
        <v>532.04200000000003</v>
      </c>
      <c r="M213">
        <f t="shared" si="94"/>
        <v>144.0914147055407</v>
      </c>
      <c r="N213">
        <f t="shared" si="95"/>
        <v>14.290195592720208</v>
      </c>
      <c r="O213">
        <f t="shared" si="96"/>
        <v>52.765005181462001</v>
      </c>
      <c r="P213">
        <f t="shared" si="97"/>
        <v>0.10343456247856138</v>
      </c>
      <c r="Q213">
        <f t="shared" si="98"/>
        <v>2.1335328053826816</v>
      </c>
      <c r="R213">
        <f t="shared" si="99"/>
        <v>0.10072733835021706</v>
      </c>
      <c r="S213">
        <f t="shared" si="100"/>
        <v>6.3191918012749176E-2</v>
      </c>
      <c r="T213">
        <f t="shared" si="101"/>
        <v>276.11477270999995</v>
      </c>
      <c r="U213">
        <f t="shared" si="102"/>
        <v>28.14407234455938</v>
      </c>
      <c r="V213">
        <f t="shared" si="103"/>
        <v>28.14407234455938</v>
      </c>
      <c r="W213">
        <f t="shared" si="104"/>
        <v>3.8268292614629633</v>
      </c>
      <c r="X213">
        <f t="shared" si="105"/>
        <v>65.80058038565312</v>
      </c>
      <c r="Y213">
        <f t="shared" si="106"/>
        <v>2.2900783033053997</v>
      </c>
      <c r="Z213">
        <f t="shared" si="107"/>
        <v>3.4803314649861643</v>
      </c>
      <c r="AA213">
        <f t="shared" si="108"/>
        <v>1.5367509581575636</v>
      </c>
      <c r="AB213">
        <f t="shared" si="109"/>
        <v>-71.0220972932797</v>
      </c>
      <c r="AC213">
        <f t="shared" si="110"/>
        <v>-186.33411236582532</v>
      </c>
      <c r="AD213">
        <f t="shared" si="111"/>
        <v>-18.911295693463817</v>
      </c>
      <c r="AE213">
        <f t="shared" si="112"/>
        <v>-0.15273264256890684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52587.244520903208</v>
      </c>
      <c r="AK213">
        <f t="shared" si="116"/>
        <v>1800</v>
      </c>
      <c r="AL213">
        <f t="shared" si="117"/>
        <v>1499.1090029999998</v>
      </c>
      <c r="AM213">
        <f t="shared" si="118"/>
        <v>0.83283833499999993</v>
      </c>
      <c r="AN213">
        <f t="shared" si="119"/>
        <v>0.15339709594999998</v>
      </c>
      <c r="AO213">
        <v>32.4</v>
      </c>
      <c r="AP213">
        <v>0.5</v>
      </c>
      <c r="AQ213" t="s">
        <v>331</v>
      </c>
      <c r="AR213">
        <v>2</v>
      </c>
      <c r="AS213">
        <v>1690228775.5</v>
      </c>
      <c r="AT213">
        <v>532.04200000000003</v>
      </c>
      <c r="AU213">
        <v>800.077</v>
      </c>
      <c r="AV213">
        <v>23.0914</v>
      </c>
      <c r="AW213">
        <v>6.10649</v>
      </c>
      <c r="AX213">
        <v>532.29200000000003</v>
      </c>
      <c r="AY213">
        <v>22.781400000000001</v>
      </c>
      <c r="AZ213">
        <v>300.11700000000002</v>
      </c>
      <c r="BA213">
        <v>99.0745</v>
      </c>
      <c r="BB213">
        <v>0.100011</v>
      </c>
      <c r="BC213">
        <v>26.524100000000001</v>
      </c>
      <c r="BD213">
        <v>26.9849</v>
      </c>
      <c r="BE213">
        <v>28.0444</v>
      </c>
      <c r="BF213">
        <v>0</v>
      </c>
      <c r="BG213">
        <v>0</v>
      </c>
      <c r="BH213">
        <v>10023.1</v>
      </c>
      <c r="BI213">
        <v>1073.44</v>
      </c>
      <c r="BJ213">
        <v>1.4577199999999999</v>
      </c>
      <c r="BK213">
        <v>-268.036</v>
      </c>
      <c r="BL213">
        <v>544.61699999999996</v>
      </c>
      <c r="BM213">
        <v>804.99300000000005</v>
      </c>
      <c r="BN213">
        <v>16.9849</v>
      </c>
      <c r="BO213">
        <v>800.077</v>
      </c>
      <c r="BP213">
        <v>6.10649</v>
      </c>
      <c r="BQ213">
        <v>2.2877700000000001</v>
      </c>
      <c r="BR213">
        <v>0.60499700000000001</v>
      </c>
      <c r="BS213">
        <v>19.590499999999999</v>
      </c>
      <c r="BT213">
        <v>-0.19536300000000001</v>
      </c>
      <c r="BU213">
        <v>1800</v>
      </c>
      <c r="BV213">
        <v>0.90998999999999997</v>
      </c>
      <c r="BW213">
        <v>3.4003899999999997E-2</v>
      </c>
      <c r="BX213">
        <v>2.1994E-2</v>
      </c>
      <c r="BY213">
        <v>3.4012300000000002E-2</v>
      </c>
      <c r="BZ213">
        <v>26</v>
      </c>
      <c r="CA213">
        <v>33528.400000000001</v>
      </c>
      <c r="CB213">
        <v>1690226183.5999999</v>
      </c>
      <c r="CC213" t="s">
        <v>332</v>
      </c>
      <c r="CD213">
        <v>1690226177.5999999</v>
      </c>
      <c r="CE213">
        <v>1690226183.5999999</v>
      </c>
      <c r="CF213">
        <v>12</v>
      </c>
      <c r="CG213">
        <v>-0.255</v>
      </c>
      <c r="CH213">
        <v>0.113</v>
      </c>
      <c r="CI213">
        <v>-0.439</v>
      </c>
      <c r="CJ213">
        <v>0.31</v>
      </c>
      <c r="CK213">
        <v>800</v>
      </c>
      <c r="CL213">
        <v>25</v>
      </c>
      <c r="CM213">
        <v>0.02</v>
      </c>
      <c r="CN213">
        <v>0.03</v>
      </c>
      <c r="CO213">
        <v>-267.51278048780489</v>
      </c>
      <c r="CP213">
        <v>-2.810738675958862</v>
      </c>
      <c r="CQ213">
        <v>0.28372268427197139</v>
      </c>
      <c r="CR213">
        <v>-1</v>
      </c>
      <c r="CS213">
        <v>16.92525365853659</v>
      </c>
      <c r="CT213">
        <v>0.32420278745641301</v>
      </c>
      <c r="CU213">
        <v>3.2448030475470423E-2</v>
      </c>
      <c r="CV213">
        <v>-1</v>
      </c>
      <c r="CW213">
        <v>0</v>
      </c>
      <c r="CX213">
        <v>0</v>
      </c>
      <c r="CY213" t="s">
        <v>333</v>
      </c>
      <c r="CZ213">
        <v>2.36442</v>
      </c>
      <c r="DA213">
        <v>2.7138200000000001</v>
      </c>
      <c r="DB213">
        <v>0.11061</v>
      </c>
      <c r="DC213">
        <v>0.14609900000000001</v>
      </c>
      <c r="DD213">
        <v>0.110416</v>
      </c>
      <c r="DE213">
        <v>4.0022299999999997E-2</v>
      </c>
      <c r="DF213">
        <v>32482.5</v>
      </c>
      <c r="DG213">
        <v>27533.3</v>
      </c>
      <c r="DH213">
        <v>31179</v>
      </c>
      <c r="DI213">
        <v>28096.5</v>
      </c>
      <c r="DJ213">
        <v>37656.300000000003</v>
      </c>
      <c r="DK213">
        <v>38360.699999999997</v>
      </c>
      <c r="DL213">
        <v>44373.5</v>
      </c>
      <c r="DM213">
        <v>42589.1</v>
      </c>
      <c r="DN213">
        <v>1.4824999999999999</v>
      </c>
      <c r="DO213">
        <v>2.0357500000000002</v>
      </c>
      <c r="DP213">
        <v>9.7993800000000006E-2</v>
      </c>
      <c r="DQ213">
        <v>0.17775199999999999</v>
      </c>
      <c r="DR213">
        <v>25.380199999999999</v>
      </c>
      <c r="DS213">
        <v>25.1355</v>
      </c>
      <c r="DT213">
        <v>36.700000000000003</v>
      </c>
      <c r="DU213">
        <v>29.3</v>
      </c>
      <c r="DV213">
        <v>15.158300000000001</v>
      </c>
      <c r="DW213">
        <v>61.572499999999998</v>
      </c>
      <c r="DX213">
        <v>36.061700000000002</v>
      </c>
      <c r="DY213">
        <v>1</v>
      </c>
      <c r="DZ213">
        <v>-9.3193600000000001E-2</v>
      </c>
      <c r="EA213">
        <v>0.140155</v>
      </c>
      <c r="EB213">
        <v>20.189399999999999</v>
      </c>
      <c r="EC213">
        <v>5.2408000000000001</v>
      </c>
      <c r="ED213">
        <v>12.039899999999999</v>
      </c>
      <c r="EE213">
        <v>5.0170000000000003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1.8691899999999999</v>
      </c>
      <c r="EN213">
        <v>1.8672200000000001</v>
      </c>
      <c r="EO213">
        <v>1.8633999999999999</v>
      </c>
      <c r="EP213">
        <v>1.8644700000000001</v>
      </c>
      <c r="EQ213">
        <v>1.8701300000000001</v>
      </c>
      <c r="ER213">
        <v>1.86938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-0.25</v>
      </c>
      <c r="FG213">
        <v>0.31</v>
      </c>
      <c r="FH213">
        <v>0.1121710645629533</v>
      </c>
      <c r="FI213">
        <v>-6.1462078757559423E-4</v>
      </c>
      <c r="FJ213">
        <v>-1.8861989874597051E-7</v>
      </c>
      <c r="FK213">
        <v>1.1980462299894961E-10</v>
      </c>
      <c r="FL213">
        <v>0.30996499999999833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43.3</v>
      </c>
      <c r="FU213">
        <v>43.2</v>
      </c>
      <c r="FV213">
        <v>1.7712399999999999</v>
      </c>
      <c r="FW213">
        <v>2.5927699999999998</v>
      </c>
      <c r="FX213">
        <v>1.5490699999999999</v>
      </c>
      <c r="FY213">
        <v>2.32544</v>
      </c>
      <c r="FZ213">
        <v>1.50146</v>
      </c>
      <c r="GA213">
        <v>2.2912599999999999</v>
      </c>
      <c r="GB213">
        <v>33.963900000000002</v>
      </c>
      <c r="GC213">
        <v>23.982399999999998</v>
      </c>
      <c r="GD213">
        <v>19</v>
      </c>
      <c r="GE213">
        <v>285.53300000000002</v>
      </c>
      <c r="GF213">
        <v>582.47900000000004</v>
      </c>
      <c r="GG213">
        <v>24.605699999999999</v>
      </c>
      <c r="GH213">
        <v>26.2194</v>
      </c>
      <c r="GI213">
        <v>30.0001</v>
      </c>
      <c r="GJ213">
        <v>26.3416</v>
      </c>
      <c r="GK213">
        <v>26.323599999999999</v>
      </c>
      <c r="GL213">
        <v>35.419699999999999</v>
      </c>
      <c r="GM213">
        <v>56.571199999999997</v>
      </c>
      <c r="GN213">
        <v>42.2151</v>
      </c>
      <c r="GO213">
        <v>24.5991</v>
      </c>
      <c r="GP213">
        <v>800</v>
      </c>
      <c r="GQ213">
        <v>6.12127</v>
      </c>
      <c r="GR213">
        <v>99.763300000000001</v>
      </c>
      <c r="GS213">
        <v>99.626400000000004</v>
      </c>
    </row>
    <row r="214" spans="1:201" x14ac:dyDescent="0.25">
      <c r="A214">
        <v>198</v>
      </c>
      <c r="B214">
        <v>1690228785.5999999</v>
      </c>
      <c r="C214">
        <v>2216</v>
      </c>
      <c r="D214" t="s">
        <v>727</v>
      </c>
      <c r="E214" t="s">
        <v>728</v>
      </c>
      <c r="F214" t="s">
        <v>330</v>
      </c>
      <c r="H214">
        <v>1690228785.5999999</v>
      </c>
      <c r="I214">
        <f t="shared" si="90"/>
        <v>1.6147636419193247E-3</v>
      </c>
      <c r="J214">
        <f t="shared" si="91"/>
        <v>1.6147636419193248</v>
      </c>
      <c r="K214">
        <f t="shared" si="92"/>
        <v>24.026144719495189</v>
      </c>
      <c r="L214">
        <f t="shared" si="93"/>
        <v>531.46</v>
      </c>
      <c r="M214">
        <f t="shared" si="94"/>
        <v>143.61803556437218</v>
      </c>
      <c r="N214">
        <f t="shared" si="95"/>
        <v>14.242270552673062</v>
      </c>
      <c r="O214">
        <f t="shared" si="96"/>
        <v>52.703666904920006</v>
      </c>
      <c r="P214">
        <f t="shared" si="97"/>
        <v>0.10370884477344637</v>
      </c>
      <c r="Q214">
        <f t="shared" si="98"/>
        <v>2.1303993950215574</v>
      </c>
      <c r="R214">
        <f t="shared" si="99"/>
        <v>0.10098355790370764</v>
      </c>
      <c r="S214">
        <f t="shared" si="100"/>
        <v>6.335361489026603E-2</v>
      </c>
      <c r="T214">
        <f t="shared" si="101"/>
        <v>276.11518143599994</v>
      </c>
      <c r="U214">
        <f t="shared" si="102"/>
        <v>28.140451728611311</v>
      </c>
      <c r="V214">
        <f t="shared" si="103"/>
        <v>28.140451728611311</v>
      </c>
      <c r="W214">
        <f t="shared" si="104"/>
        <v>3.8260224734332979</v>
      </c>
      <c r="X214">
        <f t="shared" si="105"/>
        <v>65.791650342330598</v>
      </c>
      <c r="Y214">
        <f t="shared" si="106"/>
        <v>2.2891872329680001</v>
      </c>
      <c r="Z214">
        <f t="shared" si="107"/>
        <v>3.4794494758176455</v>
      </c>
      <c r="AA214">
        <f t="shared" si="108"/>
        <v>1.5368352404652978</v>
      </c>
      <c r="AB214">
        <f t="shared" si="109"/>
        <v>-71.211076608642216</v>
      </c>
      <c r="AC214">
        <f t="shared" si="110"/>
        <v>-186.13848303673427</v>
      </c>
      <c r="AD214">
        <f t="shared" si="111"/>
        <v>-18.918478415996301</v>
      </c>
      <c r="AE214">
        <f t="shared" si="112"/>
        <v>-0.15285662537280587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52452.479908628251</v>
      </c>
      <c r="AK214">
        <f t="shared" si="116"/>
        <v>1800</v>
      </c>
      <c r="AL214">
        <f t="shared" si="117"/>
        <v>1499.1085925999998</v>
      </c>
      <c r="AM214">
        <f t="shared" si="118"/>
        <v>0.83283810699999994</v>
      </c>
      <c r="AN214">
        <f t="shared" si="119"/>
        <v>0.15339732301999998</v>
      </c>
      <c r="AO214">
        <v>32.4</v>
      </c>
      <c r="AP214">
        <v>0.5</v>
      </c>
      <c r="AQ214" t="s">
        <v>331</v>
      </c>
      <c r="AR214">
        <v>2</v>
      </c>
      <c r="AS214">
        <v>1690228785.5999999</v>
      </c>
      <c r="AT214">
        <v>531.46</v>
      </c>
      <c r="AU214">
        <v>800.06299999999999</v>
      </c>
      <c r="AV214">
        <v>23.084</v>
      </c>
      <c r="AW214">
        <v>6.0564900000000002</v>
      </c>
      <c r="AX214">
        <v>531.71</v>
      </c>
      <c r="AY214">
        <v>22.774000000000001</v>
      </c>
      <c r="AZ214">
        <v>300.16500000000002</v>
      </c>
      <c r="BA214">
        <v>99.067700000000002</v>
      </c>
      <c r="BB214">
        <v>0.10000199999999999</v>
      </c>
      <c r="BC214">
        <v>26.5198</v>
      </c>
      <c r="BD214">
        <v>26.969799999999999</v>
      </c>
      <c r="BE214">
        <v>28.032599999999999</v>
      </c>
      <c r="BF214">
        <v>0</v>
      </c>
      <c r="BG214">
        <v>0</v>
      </c>
      <c r="BH214">
        <v>9996.8799999999992</v>
      </c>
      <c r="BI214">
        <v>1073.43</v>
      </c>
      <c r="BJ214">
        <v>1.4577199999999999</v>
      </c>
      <c r="BK214">
        <v>-268.60199999999998</v>
      </c>
      <c r="BL214">
        <v>544.01800000000003</v>
      </c>
      <c r="BM214">
        <v>804.93799999999999</v>
      </c>
      <c r="BN214">
        <v>17.0275</v>
      </c>
      <c r="BO214">
        <v>800.06299999999999</v>
      </c>
      <c r="BP214">
        <v>6.0564900000000002</v>
      </c>
      <c r="BQ214">
        <v>2.28688</v>
      </c>
      <c r="BR214">
        <v>0.60000200000000004</v>
      </c>
      <c r="BS214">
        <v>19.584299999999999</v>
      </c>
      <c r="BT214">
        <v>-0.30926199999999998</v>
      </c>
      <c r="BU214">
        <v>1800</v>
      </c>
      <c r="BV214">
        <v>0.90998599999999996</v>
      </c>
      <c r="BW214">
        <v>3.4003600000000002E-2</v>
      </c>
      <c r="BX214">
        <v>2.19981E-2</v>
      </c>
      <c r="BY214">
        <v>3.4012000000000001E-2</v>
      </c>
      <c r="BZ214">
        <v>26</v>
      </c>
      <c r="CA214">
        <v>33528.400000000001</v>
      </c>
      <c r="CB214">
        <v>1690226183.5999999</v>
      </c>
      <c r="CC214" t="s">
        <v>332</v>
      </c>
      <c r="CD214">
        <v>1690226177.5999999</v>
      </c>
      <c r="CE214">
        <v>1690226183.5999999</v>
      </c>
      <c r="CF214">
        <v>12</v>
      </c>
      <c r="CG214">
        <v>-0.255</v>
      </c>
      <c r="CH214">
        <v>0.113</v>
      </c>
      <c r="CI214">
        <v>-0.439</v>
      </c>
      <c r="CJ214">
        <v>0.31</v>
      </c>
      <c r="CK214">
        <v>800</v>
      </c>
      <c r="CL214">
        <v>25</v>
      </c>
      <c r="CM214">
        <v>0.02</v>
      </c>
      <c r="CN214">
        <v>0.03</v>
      </c>
      <c r="CO214">
        <v>-267.99253658536588</v>
      </c>
      <c r="CP214">
        <v>-2.9344448638966578</v>
      </c>
      <c r="CQ214">
        <v>0.2948555742005276</v>
      </c>
      <c r="CR214">
        <v>-1</v>
      </c>
      <c r="CS214">
        <v>16.973151219512189</v>
      </c>
      <c r="CT214">
        <v>0.27627169176263938</v>
      </c>
      <c r="CU214">
        <v>2.7683182549587029E-2</v>
      </c>
      <c r="CV214">
        <v>-1</v>
      </c>
      <c r="CW214">
        <v>0</v>
      </c>
      <c r="CX214">
        <v>0</v>
      </c>
      <c r="CY214" t="s">
        <v>333</v>
      </c>
      <c r="CZ214">
        <v>2.3645800000000001</v>
      </c>
      <c r="DA214">
        <v>2.7137899999999999</v>
      </c>
      <c r="DB214">
        <v>0.110517</v>
      </c>
      <c r="DC214">
        <v>0.146088</v>
      </c>
      <c r="DD214">
        <v>0.110385</v>
      </c>
      <c r="DE214">
        <v>3.9752799999999998E-2</v>
      </c>
      <c r="DF214">
        <v>32485.599999999999</v>
      </c>
      <c r="DG214">
        <v>27533.599999999999</v>
      </c>
      <c r="DH214">
        <v>31178.7</v>
      </c>
      <c r="DI214">
        <v>28096.400000000001</v>
      </c>
      <c r="DJ214">
        <v>37657.1</v>
      </c>
      <c r="DK214">
        <v>38371.4</v>
      </c>
      <c r="DL214">
        <v>44372.9</v>
      </c>
      <c r="DM214">
        <v>42588.9</v>
      </c>
      <c r="DN214">
        <v>1.48265</v>
      </c>
      <c r="DO214">
        <v>2.0355500000000002</v>
      </c>
      <c r="DP214">
        <v>9.7073599999999996E-2</v>
      </c>
      <c r="DQ214">
        <v>0.17716000000000001</v>
      </c>
      <c r="DR214">
        <v>25.380199999999999</v>
      </c>
      <c r="DS214">
        <v>25.133400000000002</v>
      </c>
      <c r="DT214">
        <v>36.4</v>
      </c>
      <c r="DU214">
        <v>29.3</v>
      </c>
      <c r="DV214">
        <v>15.0357</v>
      </c>
      <c r="DW214">
        <v>61.979700000000001</v>
      </c>
      <c r="DX214">
        <v>36.923099999999998</v>
      </c>
      <c r="DY214">
        <v>1</v>
      </c>
      <c r="DZ214">
        <v>-9.3127500000000002E-2</v>
      </c>
      <c r="EA214">
        <v>9.2440099999999997E-2</v>
      </c>
      <c r="EB214">
        <v>20.189399999999999</v>
      </c>
      <c r="EC214">
        <v>5.24125</v>
      </c>
      <c r="ED214">
        <v>12.039899999999999</v>
      </c>
      <c r="EE214">
        <v>5.0171999999999999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1.8646199999999999</v>
      </c>
      <c r="EM214">
        <v>1.8691800000000001</v>
      </c>
      <c r="EN214">
        <v>1.8672200000000001</v>
      </c>
      <c r="EO214">
        <v>1.8633999999999999</v>
      </c>
      <c r="EP214">
        <v>1.8644700000000001</v>
      </c>
      <c r="EQ214">
        <v>1.87012</v>
      </c>
      <c r="ER214">
        <v>1.86938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-0.25</v>
      </c>
      <c r="FG214">
        <v>0.31</v>
      </c>
      <c r="FH214">
        <v>0.1121710645629533</v>
      </c>
      <c r="FI214">
        <v>-6.1462078757559423E-4</v>
      </c>
      <c r="FJ214">
        <v>-1.8861989874597051E-7</v>
      </c>
      <c r="FK214">
        <v>1.1980462299894961E-10</v>
      </c>
      <c r="FL214">
        <v>0.30996499999999833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43.5</v>
      </c>
      <c r="FU214">
        <v>43.4</v>
      </c>
      <c r="FV214">
        <v>1.7712399999999999</v>
      </c>
      <c r="FW214">
        <v>2.5854499999999998</v>
      </c>
      <c r="FX214">
        <v>1.5490699999999999</v>
      </c>
      <c r="FY214">
        <v>2.32544</v>
      </c>
      <c r="FZ214">
        <v>1.50146</v>
      </c>
      <c r="GA214">
        <v>2.3083499999999999</v>
      </c>
      <c r="GB214">
        <v>33.941299999999998</v>
      </c>
      <c r="GC214">
        <v>23.982399999999998</v>
      </c>
      <c r="GD214">
        <v>19</v>
      </c>
      <c r="GE214">
        <v>285.59699999999998</v>
      </c>
      <c r="GF214">
        <v>582.31399999999996</v>
      </c>
      <c r="GG214">
        <v>24.605499999999999</v>
      </c>
      <c r="GH214">
        <v>26.217700000000001</v>
      </c>
      <c r="GI214">
        <v>30.0001</v>
      </c>
      <c r="GJ214">
        <v>26.3416</v>
      </c>
      <c r="GK214">
        <v>26.323599999999999</v>
      </c>
      <c r="GL214">
        <v>35.417900000000003</v>
      </c>
      <c r="GM214">
        <v>56.571199999999997</v>
      </c>
      <c r="GN214">
        <v>41.826500000000003</v>
      </c>
      <c r="GO214">
        <v>24.605599999999999</v>
      </c>
      <c r="GP214">
        <v>800</v>
      </c>
      <c r="GQ214">
        <v>6.07097</v>
      </c>
      <c r="GR214">
        <v>99.762100000000004</v>
      </c>
      <c r="GS214">
        <v>99.626099999999994</v>
      </c>
    </row>
    <row r="215" spans="1:201" x14ac:dyDescent="0.25">
      <c r="A215">
        <v>199</v>
      </c>
      <c r="B215">
        <v>1690228795.5999999</v>
      </c>
      <c r="C215">
        <v>2226</v>
      </c>
      <c r="D215" t="s">
        <v>729</v>
      </c>
      <c r="E215" t="s">
        <v>730</v>
      </c>
      <c r="F215" t="s">
        <v>330</v>
      </c>
      <c r="H215">
        <v>1690228795.5999999</v>
      </c>
      <c r="I215">
        <f t="shared" si="90"/>
        <v>1.6188539779111784E-3</v>
      </c>
      <c r="J215">
        <f t="shared" si="91"/>
        <v>1.6188539779111784</v>
      </c>
      <c r="K215">
        <f t="shared" si="92"/>
        <v>24.074961427809729</v>
      </c>
      <c r="L215">
        <f t="shared" si="93"/>
        <v>530.875</v>
      </c>
      <c r="M215">
        <f t="shared" si="94"/>
        <v>142.73368013805211</v>
      </c>
      <c r="N215">
        <f t="shared" si="95"/>
        <v>14.155379643591653</v>
      </c>
      <c r="O215">
        <f t="shared" si="96"/>
        <v>52.648661206124999</v>
      </c>
      <c r="P215">
        <f t="shared" si="97"/>
        <v>0.10384657760195805</v>
      </c>
      <c r="Q215">
        <f t="shared" si="98"/>
        <v>2.1232299706696365</v>
      </c>
      <c r="R215">
        <f t="shared" si="99"/>
        <v>0.10110518570346039</v>
      </c>
      <c r="S215">
        <f t="shared" si="100"/>
        <v>6.3431016523221501E-2</v>
      </c>
      <c r="T215">
        <f t="shared" si="101"/>
        <v>276.11494306199995</v>
      </c>
      <c r="U215">
        <f t="shared" si="102"/>
        <v>28.147183644475383</v>
      </c>
      <c r="V215">
        <f t="shared" si="103"/>
        <v>28.147183644475383</v>
      </c>
      <c r="W215">
        <f t="shared" si="104"/>
        <v>3.8275226762949059</v>
      </c>
      <c r="X215">
        <f t="shared" si="105"/>
        <v>65.761341860668793</v>
      </c>
      <c r="Y215">
        <f t="shared" si="106"/>
        <v>2.2885642862387998</v>
      </c>
      <c r="Z215">
        <f t="shared" si="107"/>
        <v>3.4801058212706084</v>
      </c>
      <c r="AA215">
        <f t="shared" si="108"/>
        <v>1.5389583900561061</v>
      </c>
      <c r="AB215">
        <f t="shared" si="109"/>
        <v>-71.391460425882968</v>
      </c>
      <c r="AC215">
        <f t="shared" si="110"/>
        <v>-185.9163618038846</v>
      </c>
      <c r="AD215">
        <f t="shared" si="111"/>
        <v>-18.960648910393495</v>
      </c>
      <c r="AE215">
        <f t="shared" si="112"/>
        <v>-0.15352807816111635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52143.1574413786</v>
      </c>
      <c r="AK215">
        <f t="shared" si="116"/>
        <v>1800</v>
      </c>
      <c r="AL215">
        <f t="shared" si="117"/>
        <v>1499.1095771999999</v>
      </c>
      <c r="AM215">
        <f t="shared" si="118"/>
        <v>0.8328386539999999</v>
      </c>
      <c r="AN215">
        <f t="shared" si="119"/>
        <v>0.15339719058999998</v>
      </c>
      <c r="AO215">
        <v>32.4</v>
      </c>
      <c r="AP215">
        <v>0.5</v>
      </c>
      <c r="AQ215" t="s">
        <v>331</v>
      </c>
      <c r="AR215">
        <v>2</v>
      </c>
      <c r="AS215">
        <v>1690228795.5999999</v>
      </c>
      <c r="AT215">
        <v>530.875</v>
      </c>
      <c r="AU215">
        <v>800.01099999999997</v>
      </c>
      <c r="AV215">
        <v>23.0764</v>
      </c>
      <c r="AW215">
        <v>6.0060799999999999</v>
      </c>
      <c r="AX215">
        <v>531.125</v>
      </c>
      <c r="AY215">
        <v>22.766400000000001</v>
      </c>
      <c r="AZ215">
        <v>300.173</v>
      </c>
      <c r="BA215">
        <v>99.073300000000003</v>
      </c>
      <c r="BB215">
        <v>0.100067</v>
      </c>
      <c r="BC215">
        <v>26.523</v>
      </c>
      <c r="BD215">
        <v>26.9739</v>
      </c>
      <c r="BE215">
        <v>28.038499999999999</v>
      </c>
      <c r="BF215">
        <v>0</v>
      </c>
      <c r="BG215">
        <v>0</v>
      </c>
      <c r="BH215">
        <v>9935</v>
      </c>
      <c r="BI215">
        <v>1073.4000000000001</v>
      </c>
      <c r="BJ215">
        <v>1.4577199999999999</v>
      </c>
      <c r="BK215">
        <v>-269.13600000000002</v>
      </c>
      <c r="BL215">
        <v>543.41499999999996</v>
      </c>
      <c r="BM215">
        <v>804.84500000000003</v>
      </c>
      <c r="BN215">
        <v>17.0703</v>
      </c>
      <c r="BO215">
        <v>800.01099999999997</v>
      </c>
      <c r="BP215">
        <v>6.0060799999999999</v>
      </c>
      <c r="BQ215">
        <v>2.28626</v>
      </c>
      <c r="BR215">
        <v>0.59504299999999999</v>
      </c>
      <c r="BS215">
        <v>19.579899999999999</v>
      </c>
      <c r="BT215">
        <v>-0.42319899999999999</v>
      </c>
      <c r="BU215">
        <v>1800</v>
      </c>
      <c r="BV215">
        <v>0.90998999999999997</v>
      </c>
      <c r="BW215">
        <v>3.4003699999999998E-2</v>
      </c>
      <c r="BX215">
        <v>2.1994699999999999E-2</v>
      </c>
      <c r="BY215">
        <v>3.4012100000000003E-2</v>
      </c>
      <c r="BZ215">
        <v>26</v>
      </c>
      <c r="CA215">
        <v>33528.5</v>
      </c>
      <c r="CB215">
        <v>1690226183.5999999</v>
      </c>
      <c r="CC215" t="s">
        <v>332</v>
      </c>
      <c r="CD215">
        <v>1690226177.5999999</v>
      </c>
      <c r="CE215">
        <v>1690226183.5999999</v>
      </c>
      <c r="CF215">
        <v>12</v>
      </c>
      <c r="CG215">
        <v>-0.255</v>
      </c>
      <c r="CH215">
        <v>0.113</v>
      </c>
      <c r="CI215">
        <v>-0.439</v>
      </c>
      <c r="CJ215">
        <v>0.31</v>
      </c>
      <c r="CK215">
        <v>800</v>
      </c>
      <c r="CL215">
        <v>25</v>
      </c>
      <c r="CM215">
        <v>0.02</v>
      </c>
      <c r="CN215">
        <v>0.03</v>
      </c>
      <c r="CO215">
        <v>-268.48599999999999</v>
      </c>
      <c r="CP215">
        <v>-2.8386642383602192</v>
      </c>
      <c r="CQ215">
        <v>0.27577049489323002</v>
      </c>
      <c r="CR215">
        <v>-1</v>
      </c>
      <c r="CS215">
        <v>17.01879756097561</v>
      </c>
      <c r="CT215">
        <v>0.28044109815833262</v>
      </c>
      <c r="CU215">
        <v>2.7376859445077988E-2</v>
      </c>
      <c r="CV215">
        <v>-1</v>
      </c>
      <c r="CW215">
        <v>0</v>
      </c>
      <c r="CX215">
        <v>0</v>
      </c>
      <c r="CY215" t="s">
        <v>333</v>
      </c>
      <c r="CZ215">
        <v>2.3646099999999999</v>
      </c>
      <c r="DA215">
        <v>2.7138</v>
      </c>
      <c r="DB215">
        <v>0.110433</v>
      </c>
      <c r="DC215">
        <v>0.14608599999999999</v>
      </c>
      <c r="DD215">
        <v>0.110363</v>
      </c>
      <c r="DE215">
        <v>3.9483999999999998E-2</v>
      </c>
      <c r="DF215">
        <v>32489</v>
      </c>
      <c r="DG215">
        <v>27533.4</v>
      </c>
      <c r="DH215">
        <v>31179</v>
      </c>
      <c r="DI215">
        <v>28096.1</v>
      </c>
      <c r="DJ215">
        <v>37658.400000000001</v>
      </c>
      <c r="DK215">
        <v>38381.699999999997</v>
      </c>
      <c r="DL215">
        <v>44373.4</v>
      </c>
      <c r="DM215">
        <v>42588.4</v>
      </c>
      <c r="DN215">
        <v>1.48285</v>
      </c>
      <c r="DO215">
        <v>2.0352999999999999</v>
      </c>
      <c r="DP215">
        <v>9.7319500000000003E-2</v>
      </c>
      <c r="DQ215">
        <v>0.17739099999999999</v>
      </c>
      <c r="DR215">
        <v>25.380199999999999</v>
      </c>
      <c r="DS215">
        <v>25.1355</v>
      </c>
      <c r="DT215">
        <v>36.1</v>
      </c>
      <c r="DU215">
        <v>29.4</v>
      </c>
      <c r="DV215">
        <v>14.998799999999999</v>
      </c>
      <c r="DW215">
        <v>61.999699999999997</v>
      </c>
      <c r="DX215">
        <v>36.5745</v>
      </c>
      <c r="DY215">
        <v>1</v>
      </c>
      <c r="DZ215">
        <v>-9.3163099999999999E-2</v>
      </c>
      <c r="EA215">
        <v>3.2276699999999998E-2</v>
      </c>
      <c r="EB215">
        <v>20.189499999999999</v>
      </c>
      <c r="EC215">
        <v>5.24125</v>
      </c>
      <c r="ED215">
        <v>12.039899999999999</v>
      </c>
      <c r="EE215">
        <v>5.01675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1.8692</v>
      </c>
      <c r="EN215">
        <v>1.8672200000000001</v>
      </c>
      <c r="EO215">
        <v>1.8633999999999999</v>
      </c>
      <c r="EP215">
        <v>1.8644799999999999</v>
      </c>
      <c r="EQ215">
        <v>1.8701300000000001</v>
      </c>
      <c r="ER215">
        <v>1.86938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-0.25</v>
      </c>
      <c r="FG215">
        <v>0.31</v>
      </c>
      <c r="FH215">
        <v>0.1121710645629533</v>
      </c>
      <c r="FI215">
        <v>-6.1462078757559423E-4</v>
      </c>
      <c r="FJ215">
        <v>-1.8861989874597051E-7</v>
      </c>
      <c r="FK215">
        <v>1.1980462299894961E-10</v>
      </c>
      <c r="FL215">
        <v>0.30996499999999833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43.6</v>
      </c>
      <c r="FU215">
        <v>43.5</v>
      </c>
      <c r="FV215">
        <v>1.7712399999999999</v>
      </c>
      <c r="FW215">
        <v>2.5830099999999998</v>
      </c>
      <c r="FX215">
        <v>1.5490699999999999</v>
      </c>
      <c r="FY215">
        <v>2.32544</v>
      </c>
      <c r="FZ215">
        <v>1.50024</v>
      </c>
      <c r="GA215">
        <v>2.34009</v>
      </c>
      <c r="GB215">
        <v>33.941299999999998</v>
      </c>
      <c r="GC215">
        <v>23.991199999999999</v>
      </c>
      <c r="GD215">
        <v>19</v>
      </c>
      <c r="GE215">
        <v>285.68299999999999</v>
      </c>
      <c r="GF215">
        <v>582.10799999999995</v>
      </c>
      <c r="GG215">
        <v>24.613299999999999</v>
      </c>
      <c r="GH215">
        <v>26.217700000000001</v>
      </c>
      <c r="GI215">
        <v>30</v>
      </c>
      <c r="GJ215">
        <v>26.3416</v>
      </c>
      <c r="GK215">
        <v>26.323599999999999</v>
      </c>
      <c r="GL215">
        <v>35.417499999999997</v>
      </c>
      <c r="GM215">
        <v>56.571199999999997</v>
      </c>
      <c r="GN215">
        <v>41.0623</v>
      </c>
      <c r="GO215">
        <v>24.6205</v>
      </c>
      <c r="GP215">
        <v>800</v>
      </c>
      <c r="GQ215">
        <v>6.0235599999999998</v>
      </c>
      <c r="GR215">
        <v>99.763099999999994</v>
      </c>
      <c r="GS215">
        <v>99.625</v>
      </c>
    </row>
    <row r="216" spans="1:201" x14ac:dyDescent="0.25">
      <c r="A216">
        <v>200</v>
      </c>
      <c r="B216">
        <v>1690228805.5999999</v>
      </c>
      <c r="C216">
        <v>2236</v>
      </c>
      <c r="D216" t="s">
        <v>731</v>
      </c>
      <c r="E216" t="s">
        <v>732</v>
      </c>
      <c r="F216" t="s">
        <v>330</v>
      </c>
      <c r="H216">
        <v>1690228805.5999999</v>
      </c>
      <c r="I216">
        <f t="shared" si="90"/>
        <v>1.6236211483605602E-3</v>
      </c>
      <c r="J216">
        <f t="shared" si="91"/>
        <v>1.6236211483605603</v>
      </c>
      <c r="K216">
        <f t="shared" si="92"/>
        <v>24.117808729349381</v>
      </c>
      <c r="L216">
        <f t="shared" si="93"/>
        <v>530.39800000000002</v>
      </c>
      <c r="M216">
        <f t="shared" si="94"/>
        <v>143.17243075699864</v>
      </c>
      <c r="N216">
        <f t="shared" si="95"/>
        <v>14.198379777423151</v>
      </c>
      <c r="O216">
        <f t="shared" si="96"/>
        <v>52.599457852101601</v>
      </c>
      <c r="P216">
        <f t="shared" si="97"/>
        <v>0.10428211708200323</v>
      </c>
      <c r="Q216">
        <f t="shared" si="98"/>
        <v>2.1302048877250499</v>
      </c>
      <c r="R216">
        <f t="shared" si="99"/>
        <v>0.10152680434785825</v>
      </c>
      <c r="S216">
        <f t="shared" si="100"/>
        <v>6.3695742963747651E-2</v>
      </c>
      <c r="T216">
        <f t="shared" si="101"/>
        <v>276.11431574399995</v>
      </c>
      <c r="U216">
        <f t="shared" si="102"/>
        <v>28.139386725536166</v>
      </c>
      <c r="V216">
        <f t="shared" si="103"/>
        <v>28.139386725536166</v>
      </c>
      <c r="W216">
        <f t="shared" si="104"/>
        <v>3.8257851852255387</v>
      </c>
      <c r="X216">
        <f t="shared" si="105"/>
        <v>65.77170298681304</v>
      </c>
      <c r="Y216">
        <f t="shared" si="106"/>
        <v>2.2887494819257199</v>
      </c>
      <c r="Z216">
        <f t="shared" si="107"/>
        <v>3.4798391678935312</v>
      </c>
      <c r="AA216">
        <f t="shared" si="108"/>
        <v>1.5370357032998188</v>
      </c>
      <c r="AB216">
        <f t="shared" si="109"/>
        <v>-71.601692642700698</v>
      </c>
      <c r="AC216">
        <f t="shared" si="110"/>
        <v>-185.78097678851407</v>
      </c>
      <c r="AD216">
        <f t="shared" si="111"/>
        <v>-18.883945068026343</v>
      </c>
      <c r="AE216">
        <f t="shared" si="112"/>
        <v>-0.15229875524113368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52443.796929257827</v>
      </c>
      <c r="AK216">
        <f t="shared" si="116"/>
        <v>1800</v>
      </c>
      <c r="AL216">
        <f t="shared" si="117"/>
        <v>1499.1082163999999</v>
      </c>
      <c r="AM216">
        <f t="shared" si="118"/>
        <v>0.83283789799999997</v>
      </c>
      <c r="AN216">
        <f t="shared" si="119"/>
        <v>0.15339684207999998</v>
      </c>
      <c r="AO216">
        <v>32.4</v>
      </c>
      <c r="AP216">
        <v>0.5</v>
      </c>
      <c r="AQ216" t="s">
        <v>331</v>
      </c>
      <c r="AR216">
        <v>2</v>
      </c>
      <c r="AS216">
        <v>1690228805.5999999</v>
      </c>
      <c r="AT216">
        <v>530.39800000000002</v>
      </c>
      <c r="AU216">
        <v>800.03700000000003</v>
      </c>
      <c r="AV216">
        <v>23.0791</v>
      </c>
      <c r="AW216">
        <v>5.9571899999999998</v>
      </c>
      <c r="AX216">
        <v>530.64800000000002</v>
      </c>
      <c r="AY216">
        <v>22.769100000000002</v>
      </c>
      <c r="AZ216">
        <v>300.149</v>
      </c>
      <c r="BA216">
        <v>99.069800000000001</v>
      </c>
      <c r="BB216">
        <v>9.99892E-2</v>
      </c>
      <c r="BC216">
        <v>26.521699999999999</v>
      </c>
      <c r="BD216">
        <v>27.007999999999999</v>
      </c>
      <c r="BE216">
        <v>28.015899999999998</v>
      </c>
      <c r="BF216">
        <v>0</v>
      </c>
      <c r="BG216">
        <v>0</v>
      </c>
      <c r="BH216">
        <v>9995</v>
      </c>
      <c r="BI216">
        <v>1073.45</v>
      </c>
      <c r="BJ216">
        <v>1.4577199999999999</v>
      </c>
      <c r="BK216">
        <v>-269.63900000000001</v>
      </c>
      <c r="BL216">
        <v>542.92899999999997</v>
      </c>
      <c r="BM216">
        <v>804.83199999999999</v>
      </c>
      <c r="BN216">
        <v>17.1219</v>
      </c>
      <c r="BO216">
        <v>800.03700000000003</v>
      </c>
      <c r="BP216">
        <v>5.9571899999999998</v>
      </c>
      <c r="BQ216">
        <v>2.2864399999999998</v>
      </c>
      <c r="BR216">
        <v>0.59017699999999995</v>
      </c>
      <c r="BS216">
        <v>19.581199999999999</v>
      </c>
      <c r="BT216">
        <v>-0.53579100000000002</v>
      </c>
      <c r="BU216">
        <v>1800</v>
      </c>
      <c r="BV216">
        <v>0.90999200000000002</v>
      </c>
      <c r="BW216">
        <v>3.4004E-2</v>
      </c>
      <c r="BX216">
        <v>2.1991400000000001E-2</v>
      </c>
      <c r="BY216">
        <v>3.4012399999999998E-2</v>
      </c>
      <c r="BZ216">
        <v>26</v>
      </c>
      <c r="CA216">
        <v>33528.5</v>
      </c>
      <c r="CB216">
        <v>1690226183.5999999</v>
      </c>
      <c r="CC216" t="s">
        <v>332</v>
      </c>
      <c r="CD216">
        <v>1690226177.5999999</v>
      </c>
      <c r="CE216">
        <v>1690226183.5999999</v>
      </c>
      <c r="CF216">
        <v>12</v>
      </c>
      <c r="CG216">
        <v>-0.255</v>
      </c>
      <c r="CH216">
        <v>0.113</v>
      </c>
      <c r="CI216">
        <v>-0.439</v>
      </c>
      <c r="CJ216">
        <v>0.31</v>
      </c>
      <c r="CK216">
        <v>800</v>
      </c>
      <c r="CL216">
        <v>25</v>
      </c>
      <c r="CM216">
        <v>0.02</v>
      </c>
      <c r="CN216">
        <v>0.03</v>
      </c>
      <c r="CO216">
        <v>-269.03031707317069</v>
      </c>
      <c r="CP216">
        <v>-3.2495331010455142</v>
      </c>
      <c r="CQ216">
        <v>0.32457367452754438</v>
      </c>
      <c r="CR216">
        <v>-1</v>
      </c>
      <c r="CS216">
        <v>17.069697560975609</v>
      </c>
      <c r="CT216">
        <v>0.31793101045299682</v>
      </c>
      <c r="CU216">
        <v>3.1625310084702769E-2</v>
      </c>
      <c r="CV216">
        <v>-1</v>
      </c>
      <c r="CW216">
        <v>0</v>
      </c>
      <c r="CX216">
        <v>0</v>
      </c>
      <c r="CY216" t="s">
        <v>333</v>
      </c>
      <c r="CZ216">
        <v>2.3645299999999998</v>
      </c>
      <c r="DA216">
        <v>2.7137799999999999</v>
      </c>
      <c r="DB216">
        <v>0.110358</v>
      </c>
      <c r="DC216">
        <v>0.14608499999999999</v>
      </c>
      <c r="DD216">
        <v>0.11036899999999999</v>
      </c>
      <c r="DE216">
        <v>3.9220199999999997E-2</v>
      </c>
      <c r="DF216">
        <v>32491.3</v>
      </c>
      <c r="DG216">
        <v>27533.8</v>
      </c>
      <c r="DH216">
        <v>31178.7</v>
      </c>
      <c r="DI216">
        <v>28096.5</v>
      </c>
      <c r="DJ216">
        <v>37657.9</v>
      </c>
      <c r="DK216">
        <v>38392.9</v>
      </c>
      <c r="DL216">
        <v>44373.1</v>
      </c>
      <c r="DM216">
        <v>42589.1</v>
      </c>
      <c r="DN216">
        <v>1.4829300000000001</v>
      </c>
      <c r="DO216">
        <v>2.0353300000000001</v>
      </c>
      <c r="DP216">
        <v>9.9405599999999997E-2</v>
      </c>
      <c r="DQ216">
        <v>0.175901</v>
      </c>
      <c r="DR216">
        <v>25.380199999999999</v>
      </c>
      <c r="DS216">
        <v>25.1373</v>
      </c>
      <c r="DT216">
        <v>35.9</v>
      </c>
      <c r="DU216">
        <v>29.4</v>
      </c>
      <c r="DV216">
        <v>14.918200000000001</v>
      </c>
      <c r="DW216">
        <v>61.659700000000001</v>
      </c>
      <c r="DX216">
        <v>36.382199999999997</v>
      </c>
      <c r="DY216">
        <v>1</v>
      </c>
      <c r="DZ216">
        <v>-9.3241900000000003E-2</v>
      </c>
      <c r="EA216">
        <v>3.9861099999999997E-2</v>
      </c>
      <c r="EB216">
        <v>20.189499999999999</v>
      </c>
      <c r="EC216">
        <v>5.2411000000000003</v>
      </c>
      <c r="ED216">
        <v>12.039899999999999</v>
      </c>
      <c r="EE216">
        <v>5.0163000000000002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1.8646199999999999</v>
      </c>
      <c r="EM216">
        <v>1.8691899999999999</v>
      </c>
      <c r="EN216">
        <v>1.8672200000000001</v>
      </c>
      <c r="EO216">
        <v>1.8633999999999999</v>
      </c>
      <c r="EP216">
        <v>1.86449</v>
      </c>
      <c r="EQ216">
        <v>1.87012</v>
      </c>
      <c r="ER216">
        <v>1.86937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-0.25</v>
      </c>
      <c r="FG216">
        <v>0.31</v>
      </c>
      <c r="FH216">
        <v>0.1121710645629533</v>
      </c>
      <c r="FI216">
        <v>-6.1462078757559423E-4</v>
      </c>
      <c r="FJ216">
        <v>-1.8861989874597051E-7</v>
      </c>
      <c r="FK216">
        <v>1.1980462299894961E-10</v>
      </c>
      <c r="FL216">
        <v>0.30996499999999833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43.8</v>
      </c>
      <c r="FU216">
        <v>43.7</v>
      </c>
      <c r="FV216">
        <v>1.7712399999999999</v>
      </c>
      <c r="FW216">
        <v>2.5817899999999998</v>
      </c>
      <c r="FX216">
        <v>1.5490699999999999</v>
      </c>
      <c r="FY216">
        <v>2.32544</v>
      </c>
      <c r="FZ216">
        <v>1.50146</v>
      </c>
      <c r="GA216">
        <v>2.3718300000000001</v>
      </c>
      <c r="GB216">
        <v>33.941299999999998</v>
      </c>
      <c r="GC216">
        <v>23.991199999999999</v>
      </c>
      <c r="GD216">
        <v>19</v>
      </c>
      <c r="GE216">
        <v>285.71499999999997</v>
      </c>
      <c r="GF216">
        <v>582.12900000000002</v>
      </c>
      <c r="GG216">
        <v>24.641400000000001</v>
      </c>
      <c r="GH216">
        <v>26.217700000000001</v>
      </c>
      <c r="GI216">
        <v>30</v>
      </c>
      <c r="GJ216">
        <v>26.3416</v>
      </c>
      <c r="GK216">
        <v>26.323599999999999</v>
      </c>
      <c r="GL216">
        <v>35.417099999999998</v>
      </c>
      <c r="GM216">
        <v>56.571199999999997</v>
      </c>
      <c r="GN216">
        <v>40.674300000000002</v>
      </c>
      <c r="GO216">
        <v>24.6389</v>
      </c>
      <c r="GP216">
        <v>800</v>
      </c>
      <c r="GQ216">
        <v>5.9750399999999999</v>
      </c>
      <c r="GR216">
        <v>99.762299999999996</v>
      </c>
      <c r="GS216">
        <v>99.626499999999993</v>
      </c>
    </row>
    <row r="217" spans="1:201" x14ac:dyDescent="0.25">
      <c r="A217">
        <v>201</v>
      </c>
      <c r="B217">
        <v>1690228815.5999999</v>
      </c>
      <c r="C217">
        <v>2246</v>
      </c>
      <c r="D217" t="s">
        <v>733</v>
      </c>
      <c r="E217" t="s">
        <v>734</v>
      </c>
      <c r="F217" t="s">
        <v>330</v>
      </c>
      <c r="H217">
        <v>1690228815.5999999</v>
      </c>
      <c r="I217">
        <f t="shared" si="90"/>
        <v>1.6283868433712527E-3</v>
      </c>
      <c r="J217">
        <f t="shared" si="91"/>
        <v>1.6283868433712527</v>
      </c>
      <c r="K217">
        <f t="shared" si="92"/>
        <v>24.156635371260915</v>
      </c>
      <c r="L217">
        <f t="shared" si="93"/>
        <v>529.93700000000001</v>
      </c>
      <c r="M217">
        <f t="shared" si="94"/>
        <v>142.87429498075016</v>
      </c>
      <c r="N217">
        <f t="shared" si="95"/>
        <v>14.168593560338476</v>
      </c>
      <c r="O217">
        <f t="shared" si="96"/>
        <v>52.552923999357098</v>
      </c>
      <c r="P217">
        <f t="shared" si="97"/>
        <v>0.10449397652036292</v>
      </c>
      <c r="Q217">
        <f t="shared" si="98"/>
        <v>2.1349129175038843</v>
      </c>
      <c r="R217">
        <f t="shared" si="99"/>
        <v>0.10173354392475772</v>
      </c>
      <c r="S217">
        <f t="shared" si="100"/>
        <v>6.3825404983002418E-2</v>
      </c>
      <c r="T217">
        <f t="shared" si="101"/>
        <v>276.11505880200002</v>
      </c>
      <c r="U217">
        <f t="shared" si="102"/>
        <v>28.142280667940806</v>
      </c>
      <c r="V217">
        <f t="shared" si="103"/>
        <v>28.142280667940806</v>
      </c>
      <c r="W217">
        <f t="shared" si="104"/>
        <v>3.8264300005568939</v>
      </c>
      <c r="X217">
        <f t="shared" si="105"/>
        <v>65.721080892762799</v>
      </c>
      <c r="Y217">
        <f t="shared" si="106"/>
        <v>2.2880395752520895</v>
      </c>
      <c r="Z217">
        <f t="shared" si="107"/>
        <v>3.4814393557913141</v>
      </c>
      <c r="AA217">
        <f t="shared" si="108"/>
        <v>1.5383904253048044</v>
      </c>
      <c r="AB217">
        <f t="shared" si="109"/>
        <v>-71.811859792672252</v>
      </c>
      <c r="AC217">
        <f t="shared" si="110"/>
        <v>-185.62690230598244</v>
      </c>
      <c r="AD217">
        <f t="shared" si="111"/>
        <v>-18.827679306376474</v>
      </c>
      <c r="AE217">
        <f t="shared" si="112"/>
        <v>-0.15138260303112361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52645.854723451375</v>
      </c>
      <c r="AK217">
        <f t="shared" si="116"/>
        <v>1800</v>
      </c>
      <c r="AL217">
        <f t="shared" si="117"/>
        <v>1499.1085602000001</v>
      </c>
      <c r="AM217">
        <f t="shared" si="118"/>
        <v>0.832838089</v>
      </c>
      <c r="AN217">
        <f t="shared" si="119"/>
        <v>0.15339725489</v>
      </c>
      <c r="AO217">
        <v>32.4</v>
      </c>
      <c r="AP217">
        <v>0.5</v>
      </c>
      <c r="AQ217" t="s">
        <v>331</v>
      </c>
      <c r="AR217">
        <v>2</v>
      </c>
      <c r="AS217">
        <v>1690228815.5999999</v>
      </c>
      <c r="AT217">
        <v>529.93700000000001</v>
      </c>
      <c r="AU217">
        <v>800.02599999999995</v>
      </c>
      <c r="AV217">
        <v>23.072299999999998</v>
      </c>
      <c r="AW217">
        <v>5.8992699999999996</v>
      </c>
      <c r="AX217">
        <v>530.18499999999995</v>
      </c>
      <c r="AY217">
        <v>22.7623</v>
      </c>
      <c r="AZ217">
        <v>300.13600000000002</v>
      </c>
      <c r="BA217">
        <v>99.068299999999994</v>
      </c>
      <c r="BB217">
        <v>9.9948300000000004E-2</v>
      </c>
      <c r="BC217">
        <v>26.529499999999999</v>
      </c>
      <c r="BD217">
        <v>26.973800000000001</v>
      </c>
      <c r="BE217">
        <v>28.051100000000002</v>
      </c>
      <c r="BF217">
        <v>0</v>
      </c>
      <c r="BG217">
        <v>0</v>
      </c>
      <c r="BH217">
        <v>10035.6</v>
      </c>
      <c r="BI217">
        <v>1073.56</v>
      </c>
      <c r="BJ217">
        <v>1.4577199999999999</v>
      </c>
      <c r="BK217">
        <v>-270.089</v>
      </c>
      <c r="BL217">
        <v>542.452</v>
      </c>
      <c r="BM217">
        <v>804.77300000000002</v>
      </c>
      <c r="BN217">
        <v>17.172999999999998</v>
      </c>
      <c r="BO217">
        <v>800.02599999999995</v>
      </c>
      <c r="BP217">
        <v>5.8992699999999996</v>
      </c>
      <c r="BQ217">
        <v>2.28573</v>
      </c>
      <c r="BR217">
        <v>0.58443100000000003</v>
      </c>
      <c r="BS217">
        <v>19.5762</v>
      </c>
      <c r="BT217">
        <v>-0.66983199999999998</v>
      </c>
      <c r="BU217">
        <v>1800</v>
      </c>
      <c r="BV217">
        <v>0.90998699999999999</v>
      </c>
      <c r="BW217">
        <v>3.4003600000000002E-2</v>
      </c>
      <c r="BX217">
        <v>2.1997200000000001E-2</v>
      </c>
      <c r="BY217">
        <v>3.4011899999999998E-2</v>
      </c>
      <c r="BZ217">
        <v>26</v>
      </c>
      <c r="CA217">
        <v>33528.400000000001</v>
      </c>
      <c r="CB217">
        <v>1690226183.5999999</v>
      </c>
      <c r="CC217" t="s">
        <v>332</v>
      </c>
      <c r="CD217">
        <v>1690226177.5999999</v>
      </c>
      <c r="CE217">
        <v>1690226183.5999999</v>
      </c>
      <c r="CF217">
        <v>12</v>
      </c>
      <c r="CG217">
        <v>-0.255</v>
      </c>
      <c r="CH217">
        <v>0.113</v>
      </c>
      <c r="CI217">
        <v>-0.439</v>
      </c>
      <c r="CJ217">
        <v>0.31</v>
      </c>
      <c r="CK217">
        <v>800</v>
      </c>
      <c r="CL217">
        <v>25</v>
      </c>
      <c r="CM217">
        <v>0.02</v>
      </c>
      <c r="CN217">
        <v>0.03</v>
      </c>
      <c r="CO217">
        <v>-269.52257500000002</v>
      </c>
      <c r="CP217">
        <v>-2.7699624765472861</v>
      </c>
      <c r="CQ217">
        <v>0.27053464542457489</v>
      </c>
      <c r="CR217">
        <v>-1</v>
      </c>
      <c r="CS217">
        <v>17.120147500000002</v>
      </c>
      <c r="CT217">
        <v>0.31035984990616589</v>
      </c>
      <c r="CU217">
        <v>3.0228215192928651E-2</v>
      </c>
      <c r="CV217">
        <v>-1</v>
      </c>
      <c r="CW217">
        <v>0</v>
      </c>
      <c r="CX217">
        <v>0</v>
      </c>
      <c r="CY217" t="s">
        <v>333</v>
      </c>
      <c r="CZ217">
        <v>2.3644799999999999</v>
      </c>
      <c r="DA217">
        <v>2.7137699999999998</v>
      </c>
      <c r="DB217">
        <v>0.110287</v>
      </c>
      <c r="DC217">
        <v>0.14607999999999999</v>
      </c>
      <c r="DD217">
        <v>0.110344</v>
      </c>
      <c r="DE217">
        <v>3.8907400000000002E-2</v>
      </c>
      <c r="DF217">
        <v>32494</v>
      </c>
      <c r="DG217">
        <v>27534.5</v>
      </c>
      <c r="DH217">
        <v>31178.799999999999</v>
      </c>
      <c r="DI217">
        <v>28097</v>
      </c>
      <c r="DJ217">
        <v>37658.800000000003</v>
      </c>
      <c r="DK217">
        <v>38405.800000000003</v>
      </c>
      <c r="DL217">
        <v>44372.800000000003</v>
      </c>
      <c r="DM217">
        <v>42589.5</v>
      </c>
      <c r="DN217">
        <v>1.48258</v>
      </c>
      <c r="DO217">
        <v>2.0351699999999999</v>
      </c>
      <c r="DP217">
        <v>9.7304600000000005E-2</v>
      </c>
      <c r="DQ217">
        <v>0.17790500000000001</v>
      </c>
      <c r="DR217">
        <v>25.380400000000002</v>
      </c>
      <c r="DS217">
        <v>25.139700000000001</v>
      </c>
      <c r="DT217">
        <v>35.6</v>
      </c>
      <c r="DU217">
        <v>29.4</v>
      </c>
      <c r="DV217">
        <v>14.790900000000001</v>
      </c>
      <c r="DW217">
        <v>61.319699999999997</v>
      </c>
      <c r="DX217">
        <v>36.117800000000003</v>
      </c>
      <c r="DY217">
        <v>1</v>
      </c>
      <c r="DZ217">
        <v>-9.3574699999999997E-2</v>
      </c>
      <c r="EA217">
        <v>8.4792999999999993E-2</v>
      </c>
      <c r="EB217">
        <v>20.189299999999999</v>
      </c>
      <c r="EC217">
        <v>5.2409499999999998</v>
      </c>
      <c r="ED217">
        <v>12.039899999999999</v>
      </c>
      <c r="EE217">
        <v>5.0164999999999997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1.86463</v>
      </c>
      <c r="EM217">
        <v>1.86917</v>
      </c>
      <c r="EN217">
        <v>1.8672299999999999</v>
      </c>
      <c r="EO217">
        <v>1.8633999999999999</v>
      </c>
      <c r="EP217">
        <v>1.8644799999999999</v>
      </c>
      <c r="EQ217">
        <v>1.8701300000000001</v>
      </c>
      <c r="ER217">
        <v>1.86938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-0.248</v>
      </c>
      <c r="FG217">
        <v>0.31</v>
      </c>
      <c r="FH217">
        <v>0.1121710645629533</v>
      </c>
      <c r="FI217">
        <v>-6.1462078757559423E-4</v>
      </c>
      <c r="FJ217">
        <v>-1.8861989874597051E-7</v>
      </c>
      <c r="FK217">
        <v>1.1980462299894961E-10</v>
      </c>
      <c r="FL217">
        <v>0.30996499999999833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44</v>
      </c>
      <c r="FU217">
        <v>43.9</v>
      </c>
      <c r="FV217">
        <v>1.7712399999999999</v>
      </c>
      <c r="FW217">
        <v>2.5830099999999998</v>
      </c>
      <c r="FX217">
        <v>1.5490699999999999</v>
      </c>
      <c r="FY217">
        <v>2.32544</v>
      </c>
      <c r="FZ217">
        <v>1.50146</v>
      </c>
      <c r="GA217">
        <v>2.3815900000000001</v>
      </c>
      <c r="GB217">
        <v>33.941299999999998</v>
      </c>
      <c r="GC217">
        <v>23.991199999999999</v>
      </c>
      <c r="GD217">
        <v>19</v>
      </c>
      <c r="GE217">
        <v>285.565</v>
      </c>
      <c r="GF217">
        <v>582.005</v>
      </c>
      <c r="GG217">
        <v>24.628</v>
      </c>
      <c r="GH217">
        <v>26.218299999999999</v>
      </c>
      <c r="GI217">
        <v>30.0001</v>
      </c>
      <c r="GJ217">
        <v>26.3416</v>
      </c>
      <c r="GK217">
        <v>26.323599999999999</v>
      </c>
      <c r="GL217">
        <v>35.415100000000002</v>
      </c>
      <c r="GM217">
        <v>56.571199999999997</v>
      </c>
      <c r="GN217">
        <v>40.285899999999998</v>
      </c>
      <c r="GO217">
        <v>24.628499999999999</v>
      </c>
      <c r="GP217">
        <v>800</v>
      </c>
      <c r="GQ217">
        <v>5.9260000000000002</v>
      </c>
      <c r="GR217">
        <v>99.762</v>
      </c>
      <c r="GS217">
        <v>99.627799999999993</v>
      </c>
    </row>
    <row r="218" spans="1:201" x14ac:dyDescent="0.25">
      <c r="A218">
        <v>202</v>
      </c>
      <c r="B218">
        <v>1690228825.5999999</v>
      </c>
      <c r="C218">
        <v>2256</v>
      </c>
      <c r="D218" t="s">
        <v>735</v>
      </c>
      <c r="E218" t="s">
        <v>736</v>
      </c>
      <c r="F218" t="s">
        <v>330</v>
      </c>
      <c r="H218">
        <v>1690228825.5999999</v>
      </c>
      <c r="I218">
        <f t="shared" si="90"/>
        <v>1.632738747114774E-3</v>
      </c>
      <c r="J218">
        <f t="shared" si="91"/>
        <v>1.6327387471147741</v>
      </c>
      <c r="K218">
        <f t="shared" si="92"/>
        <v>24.183564685277037</v>
      </c>
      <c r="L218">
        <f t="shared" si="93"/>
        <v>529.56700000000001</v>
      </c>
      <c r="M218">
        <f t="shared" si="94"/>
        <v>142.53951350218739</v>
      </c>
      <c r="N218">
        <f t="shared" si="95"/>
        <v>14.135598554287512</v>
      </c>
      <c r="O218">
        <f t="shared" si="96"/>
        <v>52.516992205698102</v>
      </c>
      <c r="P218">
        <f t="shared" si="97"/>
        <v>0.10462881936636596</v>
      </c>
      <c r="Q218">
        <f t="shared" si="98"/>
        <v>2.1307866444796701</v>
      </c>
      <c r="R218">
        <f t="shared" si="99"/>
        <v>0.10185615320455589</v>
      </c>
      <c r="S218">
        <f t="shared" si="100"/>
        <v>6.3903088854151552E-2</v>
      </c>
      <c r="T218">
        <f t="shared" si="101"/>
        <v>276.11573968800002</v>
      </c>
      <c r="U218">
        <f t="shared" si="102"/>
        <v>28.148098855565387</v>
      </c>
      <c r="V218">
        <f t="shared" si="103"/>
        <v>28.148098855565387</v>
      </c>
      <c r="W218">
        <f t="shared" si="104"/>
        <v>3.8277266700822747</v>
      </c>
      <c r="X218">
        <f t="shared" si="105"/>
        <v>65.675556676499895</v>
      </c>
      <c r="Y218">
        <f t="shared" si="106"/>
        <v>2.2870611762950301</v>
      </c>
      <c r="Z218">
        <f t="shared" si="107"/>
        <v>3.4823628333452548</v>
      </c>
      <c r="AA218">
        <f t="shared" si="108"/>
        <v>1.5406654937872446</v>
      </c>
      <c r="AB218">
        <f t="shared" si="109"/>
        <v>-72.00377874776153</v>
      </c>
      <c r="AC218">
        <f t="shared" si="110"/>
        <v>-185.41955692764785</v>
      </c>
      <c r="AD218">
        <f t="shared" si="111"/>
        <v>-18.844039170781528</v>
      </c>
      <c r="AE218">
        <f t="shared" si="112"/>
        <v>-0.15163515819088502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52466.75343802166</v>
      </c>
      <c r="AK218">
        <f t="shared" si="116"/>
        <v>1800</v>
      </c>
      <c r="AL218">
        <f t="shared" si="117"/>
        <v>1499.1096618000001</v>
      </c>
      <c r="AM218">
        <f t="shared" si="118"/>
        <v>0.83283870100000001</v>
      </c>
      <c r="AN218">
        <f t="shared" si="119"/>
        <v>0.15339763316000002</v>
      </c>
      <c r="AO218">
        <v>32.4</v>
      </c>
      <c r="AP218">
        <v>0.5</v>
      </c>
      <c r="AQ218" t="s">
        <v>331</v>
      </c>
      <c r="AR218">
        <v>2</v>
      </c>
      <c r="AS218">
        <v>1690228825.5999999</v>
      </c>
      <c r="AT218">
        <v>529.56700000000001</v>
      </c>
      <c r="AU218">
        <v>799.98400000000004</v>
      </c>
      <c r="AV218">
        <v>23.062100000000001</v>
      </c>
      <c r="AW218">
        <v>5.8417899999999996</v>
      </c>
      <c r="AX218">
        <v>529.81500000000005</v>
      </c>
      <c r="AY218">
        <v>22.752099999999999</v>
      </c>
      <c r="AZ218">
        <v>300.11500000000001</v>
      </c>
      <c r="BA218">
        <v>99.069699999999997</v>
      </c>
      <c r="BB218">
        <v>9.9984299999999998E-2</v>
      </c>
      <c r="BC218">
        <v>26.533999999999999</v>
      </c>
      <c r="BD218">
        <v>27.042200000000001</v>
      </c>
      <c r="BE218">
        <v>28.033799999999999</v>
      </c>
      <c r="BF218">
        <v>0</v>
      </c>
      <c r="BG218">
        <v>0</v>
      </c>
      <c r="BH218">
        <v>10000</v>
      </c>
      <c r="BI218">
        <v>1073.53</v>
      </c>
      <c r="BJ218">
        <v>1.4577199999999999</v>
      </c>
      <c r="BK218">
        <v>-270.41699999999997</v>
      </c>
      <c r="BL218">
        <v>542.06799999999998</v>
      </c>
      <c r="BM218">
        <v>804.68499999999995</v>
      </c>
      <c r="BN218">
        <v>17.220300000000002</v>
      </c>
      <c r="BO218">
        <v>799.98400000000004</v>
      </c>
      <c r="BP218">
        <v>5.8417899999999996</v>
      </c>
      <c r="BQ218">
        <v>2.2847599999999999</v>
      </c>
      <c r="BR218">
        <v>0.57874400000000004</v>
      </c>
      <c r="BS218">
        <v>19.569299999999998</v>
      </c>
      <c r="BT218">
        <v>-0.80362699999999998</v>
      </c>
      <c r="BU218">
        <v>1800</v>
      </c>
      <c r="BV218">
        <v>0.90998400000000002</v>
      </c>
      <c r="BW218">
        <v>3.40033E-2</v>
      </c>
      <c r="BX218">
        <v>2.2001300000000001E-2</v>
      </c>
      <c r="BY218">
        <v>3.4011600000000003E-2</v>
      </c>
      <c r="BZ218">
        <v>26</v>
      </c>
      <c r="CA218">
        <v>33528.300000000003</v>
      </c>
      <c r="CB218">
        <v>1690226183.5999999</v>
      </c>
      <c r="CC218" t="s">
        <v>332</v>
      </c>
      <c r="CD218">
        <v>1690226177.5999999</v>
      </c>
      <c r="CE218">
        <v>1690226183.5999999</v>
      </c>
      <c r="CF218">
        <v>12</v>
      </c>
      <c r="CG218">
        <v>-0.255</v>
      </c>
      <c r="CH218">
        <v>0.113</v>
      </c>
      <c r="CI218">
        <v>-0.439</v>
      </c>
      <c r="CJ218">
        <v>0.31</v>
      </c>
      <c r="CK218">
        <v>800</v>
      </c>
      <c r="CL218">
        <v>25</v>
      </c>
      <c r="CM218">
        <v>0.02</v>
      </c>
      <c r="CN218">
        <v>0.03</v>
      </c>
      <c r="CO218">
        <v>-269.99419512195118</v>
      </c>
      <c r="CP218">
        <v>-2.596829268293432</v>
      </c>
      <c r="CQ218">
        <v>0.26226724589412759</v>
      </c>
      <c r="CR218">
        <v>-1</v>
      </c>
      <c r="CS218">
        <v>17.169860975609751</v>
      </c>
      <c r="CT218">
        <v>0.27026759581884507</v>
      </c>
      <c r="CU218">
        <v>2.731862473816651E-2</v>
      </c>
      <c r="CV218">
        <v>-1</v>
      </c>
      <c r="CW218">
        <v>0</v>
      </c>
      <c r="CX218">
        <v>0</v>
      </c>
      <c r="CY218" t="s">
        <v>333</v>
      </c>
      <c r="CZ218">
        <v>2.36443</v>
      </c>
      <c r="DA218">
        <v>2.7137699999999998</v>
      </c>
      <c r="DB218">
        <v>0.110233</v>
      </c>
      <c r="DC218">
        <v>0.14607600000000001</v>
      </c>
      <c r="DD218">
        <v>0.11031100000000001</v>
      </c>
      <c r="DE218">
        <v>3.85975E-2</v>
      </c>
      <c r="DF218">
        <v>32496.1</v>
      </c>
      <c r="DG218">
        <v>27534.3</v>
      </c>
      <c r="DH218">
        <v>31178.9</v>
      </c>
      <c r="DI218">
        <v>28096.7</v>
      </c>
      <c r="DJ218">
        <v>37660.199999999997</v>
      </c>
      <c r="DK218">
        <v>38417.699999999997</v>
      </c>
      <c r="DL218">
        <v>44372.9</v>
      </c>
      <c r="DM218">
        <v>42589</v>
      </c>
      <c r="DN218">
        <v>1.4827699999999999</v>
      </c>
      <c r="DO218">
        <v>2.03498</v>
      </c>
      <c r="DP218">
        <v>0.10133499999999999</v>
      </c>
      <c r="DQ218">
        <v>0.17671300000000001</v>
      </c>
      <c r="DR218">
        <v>25.382899999999999</v>
      </c>
      <c r="DS218">
        <v>25.1418</v>
      </c>
      <c r="DT218">
        <v>35.299999999999997</v>
      </c>
      <c r="DU218">
        <v>29.4</v>
      </c>
      <c r="DV218">
        <v>14.666700000000001</v>
      </c>
      <c r="DW218">
        <v>61.999699999999997</v>
      </c>
      <c r="DX218">
        <v>36.157899999999998</v>
      </c>
      <c r="DY218">
        <v>1</v>
      </c>
      <c r="DZ218">
        <v>-9.3114799999999998E-2</v>
      </c>
      <c r="EA218">
        <v>0.104142</v>
      </c>
      <c r="EB218">
        <v>20.189299999999999</v>
      </c>
      <c r="EC218">
        <v>5.2411000000000003</v>
      </c>
      <c r="ED218">
        <v>12.039899999999999</v>
      </c>
      <c r="EE218">
        <v>5.0168999999999997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1.8691899999999999</v>
      </c>
      <c r="EN218">
        <v>1.8672299999999999</v>
      </c>
      <c r="EO218">
        <v>1.8633999999999999</v>
      </c>
      <c r="EP218">
        <v>1.8644799999999999</v>
      </c>
      <c r="EQ218">
        <v>1.8701300000000001</v>
      </c>
      <c r="ER218">
        <v>1.86937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-0.248</v>
      </c>
      <c r="FG218">
        <v>0.31</v>
      </c>
      <c r="FH218">
        <v>0.1121710645629533</v>
      </c>
      <c r="FI218">
        <v>-6.1462078757559423E-4</v>
      </c>
      <c r="FJ218">
        <v>-1.8861989874597051E-7</v>
      </c>
      <c r="FK218">
        <v>1.1980462299894961E-10</v>
      </c>
      <c r="FL218">
        <v>0.30996499999999833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44.1</v>
      </c>
      <c r="FU218">
        <v>44</v>
      </c>
      <c r="FV218">
        <v>1.7712399999999999</v>
      </c>
      <c r="FW218">
        <v>2.5805699999999998</v>
      </c>
      <c r="FX218">
        <v>1.5490699999999999</v>
      </c>
      <c r="FY218">
        <v>2.32544</v>
      </c>
      <c r="FZ218">
        <v>1.50146</v>
      </c>
      <c r="GA218">
        <v>2.3938000000000001</v>
      </c>
      <c r="GB218">
        <v>33.941299999999998</v>
      </c>
      <c r="GC218">
        <v>23.991199999999999</v>
      </c>
      <c r="GD218">
        <v>19</v>
      </c>
      <c r="GE218">
        <v>285.65100000000001</v>
      </c>
      <c r="GF218">
        <v>581.84</v>
      </c>
      <c r="GG218">
        <v>24.645199999999999</v>
      </c>
      <c r="GH218">
        <v>26.218800000000002</v>
      </c>
      <c r="GI218">
        <v>30.0002</v>
      </c>
      <c r="GJ218">
        <v>26.3416</v>
      </c>
      <c r="GK218">
        <v>26.323599999999999</v>
      </c>
      <c r="GL218">
        <v>35.4146</v>
      </c>
      <c r="GM218">
        <v>56.571199999999997</v>
      </c>
      <c r="GN218">
        <v>39.906700000000001</v>
      </c>
      <c r="GO218">
        <v>24.6358</v>
      </c>
      <c r="GP218">
        <v>800</v>
      </c>
      <c r="GQ218">
        <v>5.8879700000000001</v>
      </c>
      <c r="GR218">
        <v>99.762299999999996</v>
      </c>
      <c r="GS218">
        <v>99.626599999999996</v>
      </c>
    </row>
    <row r="219" spans="1:201" x14ac:dyDescent="0.25">
      <c r="A219">
        <v>203</v>
      </c>
      <c r="B219">
        <v>1690228835.5999999</v>
      </c>
      <c r="C219">
        <v>2266</v>
      </c>
      <c r="D219" t="s">
        <v>737</v>
      </c>
      <c r="E219" t="s">
        <v>738</v>
      </c>
      <c r="F219" t="s">
        <v>330</v>
      </c>
      <c r="H219">
        <v>1690228835.5999999</v>
      </c>
      <c r="I219">
        <f t="shared" si="90"/>
        <v>1.6369854865495091E-3</v>
      </c>
      <c r="J219">
        <f t="shared" si="91"/>
        <v>1.636985486549509</v>
      </c>
      <c r="K219">
        <f t="shared" si="92"/>
        <v>24.240449026175863</v>
      </c>
      <c r="L219">
        <f t="shared" si="93"/>
        <v>529.00800000000004</v>
      </c>
      <c r="M219">
        <f t="shared" si="94"/>
        <v>142.33280410419937</v>
      </c>
      <c r="N219">
        <f t="shared" si="95"/>
        <v>14.11475599875682</v>
      </c>
      <c r="O219">
        <f t="shared" si="96"/>
        <v>52.46028059648161</v>
      </c>
      <c r="P219">
        <f t="shared" si="97"/>
        <v>0.10497293603401993</v>
      </c>
      <c r="Q219">
        <f t="shared" si="98"/>
        <v>2.1337400039678975</v>
      </c>
      <c r="R219">
        <f t="shared" si="99"/>
        <v>0.10218601581687316</v>
      </c>
      <c r="S219">
        <f t="shared" si="100"/>
        <v>6.4110490834999562E-2</v>
      </c>
      <c r="T219">
        <f t="shared" si="101"/>
        <v>276.11595284400005</v>
      </c>
      <c r="U219">
        <f t="shared" si="102"/>
        <v>28.141396348746099</v>
      </c>
      <c r="V219">
        <f t="shared" si="103"/>
        <v>28.141396348746099</v>
      </c>
      <c r="W219">
        <f t="shared" si="104"/>
        <v>3.826232950441911</v>
      </c>
      <c r="X219">
        <f t="shared" si="105"/>
        <v>65.673814716187877</v>
      </c>
      <c r="Y219">
        <f t="shared" si="106"/>
        <v>2.2865692237347903</v>
      </c>
      <c r="Z219">
        <f t="shared" si="107"/>
        <v>3.4817061162295722</v>
      </c>
      <c r="AA219">
        <f t="shared" si="108"/>
        <v>1.5396637267071207</v>
      </c>
      <c r="AB219">
        <f t="shared" si="109"/>
        <v>-72.191059956833357</v>
      </c>
      <c r="AC219">
        <f t="shared" si="110"/>
        <v>-185.27364815682429</v>
      </c>
      <c r="AD219">
        <f t="shared" si="111"/>
        <v>-18.802218126492992</v>
      </c>
      <c r="AE219">
        <f t="shared" si="112"/>
        <v>-0.15097339615061856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52594.871223032918</v>
      </c>
      <c r="AK219">
        <f t="shared" si="116"/>
        <v>1800</v>
      </c>
      <c r="AL219">
        <f t="shared" si="117"/>
        <v>1499.1090714000002</v>
      </c>
      <c r="AM219">
        <f t="shared" si="118"/>
        <v>0.83283837300000008</v>
      </c>
      <c r="AN219">
        <f t="shared" si="119"/>
        <v>0.15339775158000002</v>
      </c>
      <c r="AO219">
        <v>32.4</v>
      </c>
      <c r="AP219">
        <v>0.5</v>
      </c>
      <c r="AQ219" t="s">
        <v>331</v>
      </c>
      <c r="AR219">
        <v>2</v>
      </c>
      <c r="AS219">
        <v>1690228835.5999999</v>
      </c>
      <c r="AT219">
        <v>529.00800000000004</v>
      </c>
      <c r="AU219">
        <v>800.04899999999998</v>
      </c>
      <c r="AV219">
        <v>23.057700000000001</v>
      </c>
      <c r="AW219">
        <v>5.7928100000000002</v>
      </c>
      <c r="AX219">
        <v>529.25599999999997</v>
      </c>
      <c r="AY219">
        <v>22.747699999999998</v>
      </c>
      <c r="AZ219">
        <v>300.12</v>
      </c>
      <c r="BA219">
        <v>99.067400000000006</v>
      </c>
      <c r="BB219">
        <v>9.9872699999999995E-2</v>
      </c>
      <c r="BC219">
        <v>26.530799999999999</v>
      </c>
      <c r="BD219">
        <v>27.021599999999999</v>
      </c>
      <c r="BE219">
        <v>28.042100000000001</v>
      </c>
      <c r="BF219">
        <v>0</v>
      </c>
      <c r="BG219">
        <v>0</v>
      </c>
      <c r="BH219">
        <v>10025.6</v>
      </c>
      <c r="BI219">
        <v>1073.55</v>
      </c>
      <c r="BJ219">
        <v>1.4577199999999999</v>
      </c>
      <c r="BK219">
        <v>-271.041</v>
      </c>
      <c r="BL219">
        <v>541.49300000000005</v>
      </c>
      <c r="BM219">
        <v>804.71</v>
      </c>
      <c r="BN219">
        <v>17.264900000000001</v>
      </c>
      <c r="BO219">
        <v>800.04899999999998</v>
      </c>
      <c r="BP219">
        <v>5.7928100000000002</v>
      </c>
      <c r="BQ219">
        <v>2.2842699999999998</v>
      </c>
      <c r="BR219">
        <v>0.57387900000000003</v>
      </c>
      <c r="BS219">
        <v>19.565899999999999</v>
      </c>
      <c r="BT219">
        <v>-0.91903900000000005</v>
      </c>
      <c r="BU219">
        <v>1800</v>
      </c>
      <c r="BV219">
        <v>0.90998100000000004</v>
      </c>
      <c r="BW219">
        <v>3.4003199999999997E-2</v>
      </c>
      <c r="BX219">
        <v>2.20039E-2</v>
      </c>
      <c r="BY219">
        <v>3.4011600000000003E-2</v>
      </c>
      <c r="BZ219">
        <v>26</v>
      </c>
      <c r="CA219">
        <v>33528.199999999997</v>
      </c>
      <c r="CB219">
        <v>1690226183.5999999</v>
      </c>
      <c r="CC219" t="s">
        <v>332</v>
      </c>
      <c r="CD219">
        <v>1690226177.5999999</v>
      </c>
      <c r="CE219">
        <v>1690226183.5999999</v>
      </c>
      <c r="CF219">
        <v>12</v>
      </c>
      <c r="CG219">
        <v>-0.255</v>
      </c>
      <c r="CH219">
        <v>0.113</v>
      </c>
      <c r="CI219">
        <v>-0.439</v>
      </c>
      <c r="CJ219">
        <v>0.31</v>
      </c>
      <c r="CK219">
        <v>800</v>
      </c>
      <c r="CL219">
        <v>25</v>
      </c>
      <c r="CM219">
        <v>0.02</v>
      </c>
      <c r="CN219">
        <v>0.03</v>
      </c>
      <c r="CO219">
        <v>-270.5104</v>
      </c>
      <c r="CP219">
        <v>-2.8538386491551631</v>
      </c>
      <c r="CQ219">
        <v>0.28209260890707433</v>
      </c>
      <c r="CR219">
        <v>-1</v>
      </c>
      <c r="CS219">
        <v>17.218082500000001</v>
      </c>
      <c r="CT219">
        <v>0.2462622889305523</v>
      </c>
      <c r="CU219">
        <v>2.41774263260175E-2</v>
      </c>
      <c r="CV219">
        <v>-1</v>
      </c>
      <c r="CW219">
        <v>0</v>
      </c>
      <c r="CX219">
        <v>0</v>
      </c>
      <c r="CY219" t="s">
        <v>333</v>
      </c>
      <c r="CZ219">
        <v>2.36442</v>
      </c>
      <c r="DA219">
        <v>2.7136900000000002</v>
      </c>
      <c r="DB219">
        <v>0.110148</v>
      </c>
      <c r="DC219">
        <v>0.14608099999999999</v>
      </c>
      <c r="DD219">
        <v>0.110295</v>
      </c>
      <c r="DE219">
        <v>3.8331700000000003E-2</v>
      </c>
      <c r="DF219">
        <v>32498.5</v>
      </c>
      <c r="DG219">
        <v>27534.1</v>
      </c>
      <c r="DH219">
        <v>31178.2</v>
      </c>
      <c r="DI219">
        <v>28096.7</v>
      </c>
      <c r="DJ219">
        <v>37660.199999999997</v>
      </c>
      <c r="DK219">
        <v>38428.400000000001</v>
      </c>
      <c r="DL219">
        <v>44372</v>
      </c>
      <c r="DM219">
        <v>42589.1</v>
      </c>
      <c r="DN219">
        <v>1.4823</v>
      </c>
      <c r="DO219">
        <v>2.03498</v>
      </c>
      <c r="DP219">
        <v>9.9979299999999993E-2</v>
      </c>
      <c r="DQ219">
        <v>0.17696600000000001</v>
      </c>
      <c r="DR219">
        <v>25.384499999999999</v>
      </c>
      <c r="DS219">
        <v>25.146100000000001</v>
      </c>
      <c r="DT219">
        <v>35.1</v>
      </c>
      <c r="DU219">
        <v>29.4</v>
      </c>
      <c r="DV219">
        <v>14.582000000000001</v>
      </c>
      <c r="DW219">
        <v>61.719700000000003</v>
      </c>
      <c r="DX219">
        <v>36.153799999999997</v>
      </c>
      <c r="DY219">
        <v>1</v>
      </c>
      <c r="DZ219">
        <v>-9.2200199999999996E-2</v>
      </c>
      <c r="EA219">
        <v>0.33061000000000001</v>
      </c>
      <c r="EB219">
        <v>20.188700000000001</v>
      </c>
      <c r="EC219">
        <v>5.2406499999999996</v>
      </c>
      <c r="ED219">
        <v>12.039899999999999</v>
      </c>
      <c r="EE219">
        <v>5.0169499999999996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1.86463</v>
      </c>
      <c r="EM219">
        <v>1.8691899999999999</v>
      </c>
      <c r="EN219">
        <v>1.8672200000000001</v>
      </c>
      <c r="EO219">
        <v>1.8633999999999999</v>
      </c>
      <c r="EP219">
        <v>1.8644799999999999</v>
      </c>
      <c r="EQ219">
        <v>1.8701300000000001</v>
      </c>
      <c r="ER219">
        <v>1.86937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-0.248</v>
      </c>
      <c r="FG219">
        <v>0.31</v>
      </c>
      <c r="FH219">
        <v>0.1121710645629533</v>
      </c>
      <c r="FI219">
        <v>-6.1462078757559423E-4</v>
      </c>
      <c r="FJ219">
        <v>-1.8861989874597051E-7</v>
      </c>
      <c r="FK219">
        <v>1.1980462299894961E-10</v>
      </c>
      <c r="FL219">
        <v>0.30996499999999833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44.3</v>
      </c>
      <c r="FU219">
        <v>44.2</v>
      </c>
      <c r="FV219">
        <v>1.7712399999999999</v>
      </c>
      <c r="FW219">
        <v>2.5805699999999998</v>
      </c>
      <c r="FX219">
        <v>1.5490699999999999</v>
      </c>
      <c r="FY219">
        <v>2.32544</v>
      </c>
      <c r="FZ219">
        <v>1.50146</v>
      </c>
      <c r="GA219">
        <v>2.3901400000000002</v>
      </c>
      <c r="GB219">
        <v>33.963900000000002</v>
      </c>
      <c r="GC219">
        <v>23.991199999999999</v>
      </c>
      <c r="GD219">
        <v>19</v>
      </c>
      <c r="GE219">
        <v>285.447</v>
      </c>
      <c r="GF219">
        <v>581.84</v>
      </c>
      <c r="GG219">
        <v>24.576699999999999</v>
      </c>
      <c r="GH219">
        <v>26.219899999999999</v>
      </c>
      <c r="GI219">
        <v>30.000599999999999</v>
      </c>
      <c r="GJ219">
        <v>26.3416</v>
      </c>
      <c r="GK219">
        <v>26.323599999999999</v>
      </c>
      <c r="GL219">
        <v>35.411299999999997</v>
      </c>
      <c r="GM219">
        <v>56.571199999999997</v>
      </c>
      <c r="GN219">
        <v>39.535899999999998</v>
      </c>
      <c r="GO219">
        <v>24.556799999999999</v>
      </c>
      <c r="GP219">
        <v>800</v>
      </c>
      <c r="GQ219">
        <v>5.8464299999999998</v>
      </c>
      <c r="GR219">
        <v>99.760300000000001</v>
      </c>
      <c r="GS219">
        <v>99.6267</v>
      </c>
    </row>
    <row r="220" spans="1:201" x14ac:dyDescent="0.25">
      <c r="A220">
        <v>204</v>
      </c>
      <c r="B220">
        <v>1690228845.5999999</v>
      </c>
      <c r="C220">
        <v>2276</v>
      </c>
      <c r="D220" t="s">
        <v>739</v>
      </c>
      <c r="E220" t="s">
        <v>740</v>
      </c>
      <c r="F220" t="s">
        <v>330</v>
      </c>
      <c r="H220">
        <v>1690228845.5999999</v>
      </c>
      <c r="I220">
        <f t="shared" si="90"/>
        <v>1.6395418131184406E-3</v>
      </c>
      <c r="J220">
        <f t="shared" si="91"/>
        <v>1.6395418131184407</v>
      </c>
      <c r="K220">
        <f t="shared" si="92"/>
        <v>24.28258827098395</v>
      </c>
      <c r="L220">
        <f t="shared" si="93"/>
        <v>528.56700000000001</v>
      </c>
      <c r="M220">
        <f t="shared" si="94"/>
        <v>141.94432254114295</v>
      </c>
      <c r="N220">
        <f t="shared" si="95"/>
        <v>14.076300298206172</v>
      </c>
      <c r="O220">
        <f t="shared" si="96"/>
        <v>52.416804607069508</v>
      </c>
      <c r="P220">
        <f t="shared" si="97"/>
        <v>0.10517630158209572</v>
      </c>
      <c r="Q220">
        <f t="shared" si="98"/>
        <v>2.129087054698406</v>
      </c>
      <c r="R220">
        <f t="shared" si="99"/>
        <v>0.10237278921677877</v>
      </c>
      <c r="S220">
        <f t="shared" si="100"/>
        <v>6.4228653396474072E-2</v>
      </c>
      <c r="T220">
        <f t="shared" si="101"/>
        <v>276.11648587800005</v>
      </c>
      <c r="U220">
        <f t="shared" si="102"/>
        <v>28.133920197512612</v>
      </c>
      <c r="V220">
        <f t="shared" si="103"/>
        <v>28.133920197512612</v>
      </c>
      <c r="W220">
        <f t="shared" si="104"/>
        <v>3.8245674164962362</v>
      </c>
      <c r="X220">
        <f t="shared" si="105"/>
        <v>65.674748455768693</v>
      </c>
      <c r="Y220">
        <f t="shared" si="106"/>
        <v>2.2852813275291002</v>
      </c>
      <c r="Z220">
        <f t="shared" si="107"/>
        <v>3.4796955926952884</v>
      </c>
      <c r="AA220">
        <f t="shared" si="108"/>
        <v>1.539286088967136</v>
      </c>
      <c r="AB220">
        <f t="shared" si="109"/>
        <v>-72.303793958523229</v>
      </c>
      <c r="AC220">
        <f t="shared" si="110"/>
        <v>-185.13636950930254</v>
      </c>
      <c r="AD220">
        <f t="shared" si="111"/>
        <v>-18.827722677241542</v>
      </c>
      <c r="AE220">
        <f t="shared" si="112"/>
        <v>-0.1514002670672312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52395.64395625957</v>
      </c>
      <c r="AK220">
        <f t="shared" si="116"/>
        <v>1800</v>
      </c>
      <c r="AL220">
        <f t="shared" si="117"/>
        <v>1499.1105347999999</v>
      </c>
      <c r="AM220">
        <f t="shared" si="118"/>
        <v>0.83283918599999995</v>
      </c>
      <c r="AN220">
        <f t="shared" si="119"/>
        <v>0.15339804771000001</v>
      </c>
      <c r="AO220">
        <v>32.4</v>
      </c>
      <c r="AP220">
        <v>0.5</v>
      </c>
      <c r="AQ220" t="s">
        <v>331</v>
      </c>
      <c r="AR220">
        <v>2</v>
      </c>
      <c r="AS220">
        <v>1690228845.5999999</v>
      </c>
      <c r="AT220">
        <v>528.56700000000001</v>
      </c>
      <c r="AU220">
        <v>800.08600000000001</v>
      </c>
      <c r="AV220">
        <v>23.044599999999999</v>
      </c>
      <c r="AW220">
        <v>5.7514799999999999</v>
      </c>
      <c r="AX220">
        <v>528.81500000000005</v>
      </c>
      <c r="AY220">
        <v>22.7346</v>
      </c>
      <c r="AZ220">
        <v>300.10199999999998</v>
      </c>
      <c r="BA220">
        <v>99.067800000000005</v>
      </c>
      <c r="BB220">
        <v>9.9958500000000006E-2</v>
      </c>
      <c r="BC220">
        <v>26.521000000000001</v>
      </c>
      <c r="BD220">
        <v>27.003900000000002</v>
      </c>
      <c r="BE220">
        <v>28.029699999999998</v>
      </c>
      <c r="BF220">
        <v>0</v>
      </c>
      <c r="BG220">
        <v>0</v>
      </c>
      <c r="BH220">
        <v>9985.6200000000008</v>
      </c>
      <c r="BI220">
        <v>1073.6300000000001</v>
      </c>
      <c r="BJ220">
        <v>1.5137799999999999</v>
      </c>
      <c r="BK220">
        <v>-271.51900000000001</v>
      </c>
      <c r="BL220">
        <v>541.03499999999997</v>
      </c>
      <c r="BM220">
        <v>804.71400000000006</v>
      </c>
      <c r="BN220">
        <v>17.293099999999999</v>
      </c>
      <c r="BO220">
        <v>800.08600000000001</v>
      </c>
      <c r="BP220">
        <v>5.7514799999999999</v>
      </c>
      <c r="BQ220">
        <v>2.2829799999999998</v>
      </c>
      <c r="BR220">
        <v>0.56978600000000001</v>
      </c>
      <c r="BS220">
        <v>19.556799999999999</v>
      </c>
      <c r="BT220">
        <v>-1.0167900000000001</v>
      </c>
      <c r="BU220">
        <v>1800</v>
      </c>
      <c r="BV220">
        <v>0.90998000000000001</v>
      </c>
      <c r="BW220">
        <v>3.4002900000000003E-2</v>
      </c>
      <c r="BX220">
        <v>2.2006299999999999E-2</v>
      </c>
      <c r="BY220">
        <v>3.4011300000000001E-2</v>
      </c>
      <c r="BZ220">
        <v>26</v>
      </c>
      <c r="CA220">
        <v>33528.199999999997</v>
      </c>
      <c r="CB220">
        <v>1690226183.5999999</v>
      </c>
      <c r="CC220" t="s">
        <v>332</v>
      </c>
      <c r="CD220">
        <v>1690226177.5999999</v>
      </c>
      <c r="CE220">
        <v>1690226183.5999999</v>
      </c>
      <c r="CF220">
        <v>12</v>
      </c>
      <c r="CG220">
        <v>-0.255</v>
      </c>
      <c r="CH220">
        <v>0.113</v>
      </c>
      <c r="CI220">
        <v>-0.439</v>
      </c>
      <c r="CJ220">
        <v>0.31</v>
      </c>
      <c r="CK220">
        <v>800</v>
      </c>
      <c r="CL220">
        <v>25</v>
      </c>
      <c r="CM220">
        <v>0.02</v>
      </c>
      <c r="CN220">
        <v>0.03</v>
      </c>
      <c r="CO220">
        <v>-270.94080000000002</v>
      </c>
      <c r="CP220">
        <v>-2.927887429642988</v>
      </c>
      <c r="CQ220">
        <v>0.2845654757696387</v>
      </c>
      <c r="CR220">
        <v>-1</v>
      </c>
      <c r="CS220">
        <v>17.253107499999999</v>
      </c>
      <c r="CT220">
        <v>0.22098574108814051</v>
      </c>
      <c r="CU220">
        <v>2.168113681867237E-2</v>
      </c>
      <c r="CV220">
        <v>-1</v>
      </c>
      <c r="CW220">
        <v>0</v>
      </c>
      <c r="CX220">
        <v>0</v>
      </c>
      <c r="CY220" t="s">
        <v>333</v>
      </c>
      <c r="CZ220">
        <v>2.3643800000000001</v>
      </c>
      <c r="DA220">
        <v>2.71374</v>
      </c>
      <c r="DB220">
        <v>0.110082</v>
      </c>
      <c r="DC220">
        <v>0.14608599999999999</v>
      </c>
      <c r="DD220">
        <v>0.110251</v>
      </c>
      <c r="DE220">
        <v>3.81074E-2</v>
      </c>
      <c r="DF220">
        <v>32501</v>
      </c>
      <c r="DG220">
        <v>27533.4</v>
      </c>
      <c r="DH220">
        <v>31178.2</v>
      </c>
      <c r="DI220">
        <v>28096.2</v>
      </c>
      <c r="DJ220">
        <v>37662.300000000003</v>
      </c>
      <c r="DK220">
        <v>38436.9</v>
      </c>
      <c r="DL220">
        <v>44372.3</v>
      </c>
      <c r="DM220">
        <v>42588.5</v>
      </c>
      <c r="DN220">
        <v>1.4825999999999999</v>
      </c>
      <c r="DO220">
        <v>2.0348999999999999</v>
      </c>
      <c r="DP220">
        <v>9.8764900000000003E-2</v>
      </c>
      <c r="DQ220">
        <v>0.17594499999999999</v>
      </c>
      <c r="DR220">
        <v>25.386600000000001</v>
      </c>
      <c r="DS220">
        <v>25.150300000000001</v>
      </c>
      <c r="DT220">
        <v>34.9</v>
      </c>
      <c r="DU220">
        <v>29.4</v>
      </c>
      <c r="DV220">
        <v>14.5002</v>
      </c>
      <c r="DW220">
        <v>62.039700000000003</v>
      </c>
      <c r="DX220">
        <v>36.314100000000003</v>
      </c>
      <c r="DY220">
        <v>1</v>
      </c>
      <c r="DZ220">
        <v>-9.1704800000000003E-2</v>
      </c>
      <c r="EA220">
        <v>0.24666099999999999</v>
      </c>
      <c r="EB220">
        <v>20.189</v>
      </c>
      <c r="EC220">
        <v>5.2408000000000001</v>
      </c>
      <c r="ED220">
        <v>12.039899999999999</v>
      </c>
      <c r="EE220">
        <v>5.0169499999999996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1.8646400000000001</v>
      </c>
      <c r="EM220">
        <v>1.8691899999999999</v>
      </c>
      <c r="EN220">
        <v>1.8672200000000001</v>
      </c>
      <c r="EO220">
        <v>1.8633999999999999</v>
      </c>
      <c r="EP220">
        <v>1.8644700000000001</v>
      </c>
      <c r="EQ220">
        <v>1.8701300000000001</v>
      </c>
      <c r="ER220">
        <v>1.8693900000000001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-0.248</v>
      </c>
      <c r="FG220">
        <v>0.31</v>
      </c>
      <c r="FH220">
        <v>0.1121710645629533</v>
      </c>
      <c r="FI220">
        <v>-6.1462078757559423E-4</v>
      </c>
      <c r="FJ220">
        <v>-1.8861989874597051E-7</v>
      </c>
      <c r="FK220">
        <v>1.1980462299894961E-10</v>
      </c>
      <c r="FL220">
        <v>0.30996499999999833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44.5</v>
      </c>
      <c r="FU220">
        <v>44.4</v>
      </c>
      <c r="FV220">
        <v>1.7712399999999999</v>
      </c>
      <c r="FW220">
        <v>2.5817899999999998</v>
      </c>
      <c r="FX220">
        <v>1.5490699999999999</v>
      </c>
      <c r="FY220">
        <v>2.32544</v>
      </c>
      <c r="FZ220">
        <v>1.50146</v>
      </c>
      <c r="GA220">
        <v>2.3901400000000002</v>
      </c>
      <c r="GB220">
        <v>33.963900000000002</v>
      </c>
      <c r="GC220">
        <v>23.991199999999999</v>
      </c>
      <c r="GD220">
        <v>19</v>
      </c>
      <c r="GE220">
        <v>285.57600000000002</v>
      </c>
      <c r="GF220">
        <v>581.77800000000002</v>
      </c>
      <c r="GG220">
        <v>24.515699999999999</v>
      </c>
      <c r="GH220">
        <v>26.219899999999999</v>
      </c>
      <c r="GI220">
        <v>30.0002</v>
      </c>
      <c r="GJ220">
        <v>26.3416</v>
      </c>
      <c r="GK220">
        <v>26.323599999999999</v>
      </c>
      <c r="GL220">
        <v>35.407899999999998</v>
      </c>
      <c r="GM220">
        <v>56.571199999999997</v>
      </c>
      <c r="GN220">
        <v>39.1432</v>
      </c>
      <c r="GO220">
        <v>24.520700000000001</v>
      </c>
      <c r="GP220">
        <v>800</v>
      </c>
      <c r="GQ220">
        <v>5.8075400000000004</v>
      </c>
      <c r="GR220">
        <v>99.7607</v>
      </c>
      <c r="GS220">
        <v>99.625200000000007</v>
      </c>
    </row>
    <row r="221" spans="1:201" x14ac:dyDescent="0.25">
      <c r="A221">
        <v>205</v>
      </c>
      <c r="B221">
        <v>1690228855.5999999</v>
      </c>
      <c r="C221">
        <v>2286</v>
      </c>
      <c r="D221" t="s">
        <v>741</v>
      </c>
      <c r="E221" t="s">
        <v>742</v>
      </c>
      <c r="F221" t="s">
        <v>330</v>
      </c>
      <c r="H221">
        <v>1690228855.5999999</v>
      </c>
      <c r="I221">
        <f t="shared" si="90"/>
        <v>1.6405856621361902E-3</v>
      </c>
      <c r="J221">
        <f t="shared" si="91"/>
        <v>1.6405856621361903</v>
      </c>
      <c r="K221">
        <f t="shared" si="92"/>
        <v>24.329578023657827</v>
      </c>
      <c r="L221">
        <f t="shared" si="93"/>
        <v>528.03300000000002</v>
      </c>
      <c r="M221">
        <f t="shared" si="94"/>
        <v>141.4140165628734</v>
      </c>
      <c r="N221">
        <f t="shared" si="95"/>
        <v>14.02398588116322</v>
      </c>
      <c r="O221">
        <f t="shared" si="96"/>
        <v>52.364875256166002</v>
      </c>
      <c r="P221">
        <f t="shared" si="97"/>
        <v>0.10537333546155446</v>
      </c>
      <c r="Q221">
        <f t="shared" si="98"/>
        <v>2.1337670702732323</v>
      </c>
      <c r="R221">
        <f t="shared" si="99"/>
        <v>0.10256545515475313</v>
      </c>
      <c r="S221">
        <f t="shared" si="100"/>
        <v>6.4349454315323712E-2</v>
      </c>
      <c r="T221">
        <f t="shared" si="101"/>
        <v>276.11534802600005</v>
      </c>
      <c r="U221">
        <f t="shared" si="102"/>
        <v>28.124242517976189</v>
      </c>
      <c r="V221">
        <f t="shared" si="103"/>
        <v>28.124242517976189</v>
      </c>
      <c r="W221">
        <f t="shared" si="104"/>
        <v>3.8224123662587037</v>
      </c>
      <c r="X221">
        <f t="shared" si="105"/>
        <v>65.689960988121328</v>
      </c>
      <c r="Y221">
        <f t="shared" si="106"/>
        <v>2.2849889377224</v>
      </c>
      <c r="Z221">
        <f t="shared" si="107"/>
        <v>3.4784446563084317</v>
      </c>
      <c r="AA221">
        <f t="shared" si="108"/>
        <v>1.5374234285363038</v>
      </c>
      <c r="AB221">
        <f t="shared" si="109"/>
        <v>-72.349827700205992</v>
      </c>
      <c r="AC221">
        <f t="shared" si="110"/>
        <v>-185.13176309887362</v>
      </c>
      <c r="AD221">
        <f t="shared" si="111"/>
        <v>-18.78447925797639</v>
      </c>
      <c r="AE221">
        <f t="shared" si="112"/>
        <v>-0.15072203105594895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52598.884400497096</v>
      </c>
      <c r="AK221">
        <f t="shared" si="116"/>
        <v>1800</v>
      </c>
      <c r="AL221">
        <f t="shared" si="117"/>
        <v>1499.1086466000002</v>
      </c>
      <c r="AM221">
        <f t="shared" si="118"/>
        <v>0.83283813700000009</v>
      </c>
      <c r="AN221">
        <f t="shared" si="119"/>
        <v>0.15339741557000003</v>
      </c>
      <c r="AO221">
        <v>32.4</v>
      </c>
      <c r="AP221">
        <v>0.5</v>
      </c>
      <c r="AQ221" t="s">
        <v>331</v>
      </c>
      <c r="AR221">
        <v>2</v>
      </c>
      <c r="AS221">
        <v>1690228855.5999999</v>
      </c>
      <c r="AT221">
        <v>528.03300000000002</v>
      </c>
      <c r="AU221">
        <v>800.02499999999998</v>
      </c>
      <c r="AV221">
        <v>23.0412</v>
      </c>
      <c r="AW221">
        <v>5.7389700000000001</v>
      </c>
      <c r="AX221">
        <v>528.28099999999995</v>
      </c>
      <c r="AY221">
        <v>22.731300000000001</v>
      </c>
      <c r="AZ221">
        <v>300.13600000000002</v>
      </c>
      <c r="BA221">
        <v>99.069699999999997</v>
      </c>
      <c r="BB221">
        <v>0.10000199999999999</v>
      </c>
      <c r="BC221">
        <v>26.514900000000001</v>
      </c>
      <c r="BD221">
        <v>26.9757</v>
      </c>
      <c r="BE221">
        <v>28.025600000000001</v>
      </c>
      <c r="BF221">
        <v>0</v>
      </c>
      <c r="BG221">
        <v>0</v>
      </c>
      <c r="BH221">
        <v>10025.6</v>
      </c>
      <c r="BI221">
        <v>1073.6600000000001</v>
      </c>
      <c r="BJ221">
        <v>1.5137799999999999</v>
      </c>
      <c r="BK221">
        <v>-271.99099999999999</v>
      </c>
      <c r="BL221">
        <v>540.48699999999997</v>
      </c>
      <c r="BM221">
        <v>804.64300000000003</v>
      </c>
      <c r="BN221">
        <v>17.302299999999999</v>
      </c>
      <c r="BO221">
        <v>800.02499999999998</v>
      </c>
      <c r="BP221">
        <v>5.7389700000000001</v>
      </c>
      <c r="BQ221">
        <v>2.2826900000000001</v>
      </c>
      <c r="BR221">
        <v>0.56855800000000001</v>
      </c>
      <c r="BS221">
        <v>19.5548</v>
      </c>
      <c r="BT221">
        <v>-1.04623</v>
      </c>
      <c r="BU221">
        <v>1800</v>
      </c>
      <c r="BV221">
        <v>0.90998500000000004</v>
      </c>
      <c r="BW221">
        <v>3.40033E-2</v>
      </c>
      <c r="BX221">
        <v>2.1999600000000001E-2</v>
      </c>
      <c r="BY221">
        <v>3.4011699999999999E-2</v>
      </c>
      <c r="BZ221">
        <v>26</v>
      </c>
      <c r="CA221">
        <v>33528.300000000003</v>
      </c>
      <c r="CB221">
        <v>1690226183.5999999</v>
      </c>
      <c r="CC221" t="s">
        <v>332</v>
      </c>
      <c r="CD221">
        <v>1690226177.5999999</v>
      </c>
      <c r="CE221">
        <v>1690226183.5999999</v>
      </c>
      <c r="CF221">
        <v>12</v>
      </c>
      <c r="CG221">
        <v>-0.255</v>
      </c>
      <c r="CH221">
        <v>0.113</v>
      </c>
      <c r="CI221">
        <v>-0.439</v>
      </c>
      <c r="CJ221">
        <v>0.31</v>
      </c>
      <c r="CK221">
        <v>800</v>
      </c>
      <c r="CL221">
        <v>25</v>
      </c>
      <c r="CM221">
        <v>0.02</v>
      </c>
      <c r="CN221">
        <v>0.03</v>
      </c>
      <c r="CO221">
        <v>-271.4522</v>
      </c>
      <c r="CP221">
        <v>-2.738454033770239</v>
      </c>
      <c r="CQ221">
        <v>0.26764241069008948</v>
      </c>
      <c r="CR221">
        <v>-1</v>
      </c>
      <c r="CS221">
        <v>17.288550000000001</v>
      </c>
      <c r="CT221">
        <v>0.1717643527204078</v>
      </c>
      <c r="CU221">
        <v>1.7189400803984029E-2</v>
      </c>
      <c r="CV221">
        <v>-1</v>
      </c>
      <c r="CW221">
        <v>0</v>
      </c>
      <c r="CX221">
        <v>0</v>
      </c>
      <c r="CY221" t="s">
        <v>333</v>
      </c>
      <c r="CZ221">
        <v>2.3645</v>
      </c>
      <c r="DA221">
        <v>2.7138200000000001</v>
      </c>
      <c r="DB221">
        <v>0.110001</v>
      </c>
      <c r="DC221">
        <v>0.14607800000000001</v>
      </c>
      <c r="DD221">
        <v>0.110239</v>
      </c>
      <c r="DE221">
        <v>3.8039299999999998E-2</v>
      </c>
      <c r="DF221">
        <v>32504.6</v>
      </c>
      <c r="DG221">
        <v>27534.3</v>
      </c>
      <c r="DH221">
        <v>31178.9</v>
      </c>
      <c r="DI221">
        <v>28096.799999999999</v>
      </c>
      <c r="DJ221">
        <v>37663.4</v>
      </c>
      <c r="DK221">
        <v>38440.400000000001</v>
      </c>
      <c r="DL221">
        <v>44373.1</v>
      </c>
      <c r="DM221">
        <v>42589.3</v>
      </c>
      <c r="DN221">
        <v>1.48298</v>
      </c>
      <c r="DO221">
        <v>2.03485</v>
      </c>
      <c r="DP221">
        <v>9.6909700000000001E-2</v>
      </c>
      <c r="DQ221">
        <v>0.17555799999999999</v>
      </c>
      <c r="DR221">
        <v>25.3888</v>
      </c>
      <c r="DS221">
        <v>25.1526</v>
      </c>
      <c r="DT221">
        <v>34.700000000000003</v>
      </c>
      <c r="DU221">
        <v>29.4</v>
      </c>
      <c r="DV221">
        <v>14.416399999999999</v>
      </c>
      <c r="DW221">
        <v>61.5197</v>
      </c>
      <c r="DX221">
        <v>36.546500000000002</v>
      </c>
      <c r="DY221">
        <v>1</v>
      </c>
      <c r="DZ221">
        <v>-9.2756599999999995E-2</v>
      </c>
      <c r="EA221">
        <v>-5.7954800000000001E-2</v>
      </c>
      <c r="EB221">
        <v>20.189299999999999</v>
      </c>
      <c r="EC221">
        <v>5.2411000000000003</v>
      </c>
      <c r="ED221">
        <v>12.039899999999999</v>
      </c>
      <c r="EE221">
        <v>5.0175000000000001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1.8646400000000001</v>
      </c>
      <c r="EM221">
        <v>1.8691800000000001</v>
      </c>
      <c r="EN221">
        <v>1.8672200000000001</v>
      </c>
      <c r="EO221">
        <v>1.8633999999999999</v>
      </c>
      <c r="EP221">
        <v>1.8644799999999999</v>
      </c>
      <c r="EQ221">
        <v>1.8701399999999999</v>
      </c>
      <c r="ER221">
        <v>1.86938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-0.248</v>
      </c>
      <c r="FG221">
        <v>0.30990000000000001</v>
      </c>
      <c r="FH221">
        <v>0.1121710645629533</v>
      </c>
      <c r="FI221">
        <v>-6.1462078757559423E-4</v>
      </c>
      <c r="FJ221">
        <v>-1.8861989874597051E-7</v>
      </c>
      <c r="FK221">
        <v>1.1980462299894961E-10</v>
      </c>
      <c r="FL221">
        <v>0.30996499999999833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44.6</v>
      </c>
      <c r="FU221">
        <v>44.5</v>
      </c>
      <c r="FV221">
        <v>1.7712399999999999</v>
      </c>
      <c r="FW221">
        <v>2.5817899999999998</v>
      </c>
      <c r="FX221">
        <v>1.5490699999999999</v>
      </c>
      <c r="FY221">
        <v>2.32544</v>
      </c>
      <c r="FZ221">
        <v>1.50146</v>
      </c>
      <c r="GA221">
        <v>2.3730500000000001</v>
      </c>
      <c r="GB221">
        <v>33.941299999999998</v>
      </c>
      <c r="GC221">
        <v>23.982399999999998</v>
      </c>
      <c r="GD221">
        <v>19</v>
      </c>
      <c r="GE221">
        <v>285.73700000000002</v>
      </c>
      <c r="GF221">
        <v>581.73699999999997</v>
      </c>
      <c r="GG221">
        <v>24.539899999999999</v>
      </c>
      <c r="GH221">
        <v>26.219899999999999</v>
      </c>
      <c r="GI221">
        <v>29.999600000000001</v>
      </c>
      <c r="GJ221">
        <v>26.3416</v>
      </c>
      <c r="GK221">
        <v>26.323599999999999</v>
      </c>
      <c r="GL221">
        <v>35.409300000000002</v>
      </c>
      <c r="GM221">
        <v>56.282200000000003</v>
      </c>
      <c r="GN221">
        <v>38.372</v>
      </c>
      <c r="GO221">
        <v>24.572700000000001</v>
      </c>
      <c r="GP221">
        <v>800</v>
      </c>
      <c r="GQ221">
        <v>5.7645799999999996</v>
      </c>
      <c r="GR221">
        <v>99.762600000000006</v>
      </c>
      <c r="GS221">
        <v>99.627300000000005</v>
      </c>
    </row>
    <row r="222" spans="1:201" x14ac:dyDescent="0.25">
      <c r="A222">
        <v>206</v>
      </c>
      <c r="B222">
        <v>1690228865.5999999</v>
      </c>
      <c r="C222">
        <v>2296</v>
      </c>
      <c r="D222" t="s">
        <v>743</v>
      </c>
      <c r="E222" t="s">
        <v>744</v>
      </c>
      <c r="F222" t="s">
        <v>330</v>
      </c>
      <c r="H222">
        <v>1690228865.5999999</v>
      </c>
      <c r="I222">
        <f t="shared" si="90"/>
        <v>1.6438800244901255E-3</v>
      </c>
      <c r="J222">
        <f t="shared" si="91"/>
        <v>1.6438800244901255</v>
      </c>
      <c r="K222">
        <f t="shared" si="92"/>
        <v>24.364961562758062</v>
      </c>
      <c r="L222">
        <f t="shared" si="93"/>
        <v>527.63900000000001</v>
      </c>
      <c r="M222">
        <f t="shared" si="94"/>
        <v>140.88790124169773</v>
      </c>
      <c r="N222">
        <f t="shared" si="95"/>
        <v>13.972091773888707</v>
      </c>
      <c r="O222">
        <f t="shared" si="96"/>
        <v>52.326853239410397</v>
      </c>
      <c r="P222">
        <f t="shared" si="97"/>
        <v>0.10549509006322161</v>
      </c>
      <c r="Q222">
        <f t="shared" si="98"/>
        <v>2.1305199179877499</v>
      </c>
      <c r="R222">
        <f t="shared" si="99"/>
        <v>0.10267664467106781</v>
      </c>
      <c r="S222">
        <f t="shared" si="100"/>
        <v>6.4419857247053222E-2</v>
      </c>
      <c r="T222">
        <f t="shared" si="101"/>
        <v>276.115033584</v>
      </c>
      <c r="U222">
        <f t="shared" si="102"/>
        <v>28.133407249084726</v>
      </c>
      <c r="V222">
        <f t="shared" si="103"/>
        <v>28.133407249084726</v>
      </c>
      <c r="W222">
        <f t="shared" si="104"/>
        <v>3.8244531652428861</v>
      </c>
      <c r="X222">
        <f t="shared" si="105"/>
        <v>65.676166835505967</v>
      </c>
      <c r="Y222">
        <f t="shared" si="106"/>
        <v>2.28560010522984</v>
      </c>
      <c r="Z222">
        <f t="shared" si="107"/>
        <v>3.4801058212706084</v>
      </c>
      <c r="AA222">
        <f t="shared" si="108"/>
        <v>1.5388530600130461</v>
      </c>
      <c r="AB222">
        <f t="shared" si="109"/>
        <v>-72.495109080014544</v>
      </c>
      <c r="AC222">
        <f t="shared" si="110"/>
        <v>-184.97232647794925</v>
      </c>
      <c r="AD222">
        <f t="shared" si="111"/>
        <v>-18.798528062423323</v>
      </c>
      <c r="AE222">
        <f t="shared" si="112"/>
        <v>-0.15093003638710911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52457.21071019533</v>
      </c>
      <c r="AK222">
        <f t="shared" si="116"/>
        <v>1800</v>
      </c>
      <c r="AL222">
        <f t="shared" si="117"/>
        <v>1499.1089544000001</v>
      </c>
      <c r="AM222">
        <f t="shared" si="118"/>
        <v>0.83283830800000003</v>
      </c>
      <c r="AN222">
        <f t="shared" si="119"/>
        <v>0.15339724088000001</v>
      </c>
      <c r="AO222">
        <v>32.4</v>
      </c>
      <c r="AP222">
        <v>0.5</v>
      </c>
      <c r="AQ222" t="s">
        <v>331</v>
      </c>
      <c r="AR222">
        <v>2</v>
      </c>
      <c r="AS222">
        <v>1690228865.5999999</v>
      </c>
      <c r="AT222">
        <v>527.63900000000001</v>
      </c>
      <c r="AU222">
        <v>800.04200000000003</v>
      </c>
      <c r="AV222">
        <v>23.046900000000001</v>
      </c>
      <c r="AW222">
        <v>5.7089299999999996</v>
      </c>
      <c r="AX222">
        <v>527.88699999999994</v>
      </c>
      <c r="AY222">
        <v>22.736899999999999</v>
      </c>
      <c r="AZ222">
        <v>300.11700000000002</v>
      </c>
      <c r="BA222">
        <v>99.071799999999996</v>
      </c>
      <c r="BB222">
        <v>9.9893599999999999E-2</v>
      </c>
      <c r="BC222">
        <v>26.523</v>
      </c>
      <c r="BD222">
        <v>27.003599999999999</v>
      </c>
      <c r="BE222">
        <v>28.020299999999999</v>
      </c>
      <c r="BF222">
        <v>0</v>
      </c>
      <c r="BG222">
        <v>0</v>
      </c>
      <c r="BH222">
        <v>9997.5</v>
      </c>
      <c r="BI222">
        <v>1073.77</v>
      </c>
      <c r="BJ222">
        <v>1.5137799999999999</v>
      </c>
      <c r="BK222">
        <v>-272.40300000000002</v>
      </c>
      <c r="BL222">
        <v>540.08699999999999</v>
      </c>
      <c r="BM222">
        <v>804.63599999999997</v>
      </c>
      <c r="BN222">
        <v>17.337900000000001</v>
      </c>
      <c r="BO222">
        <v>800.04200000000003</v>
      </c>
      <c r="BP222">
        <v>5.7089299999999996</v>
      </c>
      <c r="BQ222">
        <v>2.28329</v>
      </c>
      <c r="BR222">
        <v>0.56559400000000004</v>
      </c>
      <c r="BS222">
        <v>19.559000000000001</v>
      </c>
      <c r="BT222">
        <v>-1.11757</v>
      </c>
      <c r="BU222">
        <v>1800</v>
      </c>
      <c r="BV222">
        <v>0.90998800000000002</v>
      </c>
      <c r="BW222">
        <v>3.4003600000000002E-2</v>
      </c>
      <c r="BX222">
        <v>2.1996399999999999E-2</v>
      </c>
      <c r="BY222">
        <v>3.4012000000000001E-2</v>
      </c>
      <c r="BZ222">
        <v>26</v>
      </c>
      <c r="CA222">
        <v>33528.400000000001</v>
      </c>
      <c r="CB222">
        <v>1690226183.5999999</v>
      </c>
      <c r="CC222" t="s">
        <v>332</v>
      </c>
      <c r="CD222">
        <v>1690226177.5999999</v>
      </c>
      <c r="CE222">
        <v>1690226183.5999999</v>
      </c>
      <c r="CF222">
        <v>12</v>
      </c>
      <c r="CG222">
        <v>-0.255</v>
      </c>
      <c r="CH222">
        <v>0.113</v>
      </c>
      <c r="CI222">
        <v>-0.439</v>
      </c>
      <c r="CJ222">
        <v>0.31</v>
      </c>
      <c r="CK222">
        <v>800</v>
      </c>
      <c r="CL222">
        <v>25</v>
      </c>
      <c r="CM222">
        <v>0.02</v>
      </c>
      <c r="CN222">
        <v>0.03</v>
      </c>
      <c r="CO222">
        <v>-271.85005000000001</v>
      </c>
      <c r="CP222">
        <v>-2.531392120074563</v>
      </c>
      <c r="CQ222">
        <v>0.24909274879048221</v>
      </c>
      <c r="CR222">
        <v>-1</v>
      </c>
      <c r="CS222">
        <v>17.307115</v>
      </c>
      <c r="CT222">
        <v>0.1105958724202625</v>
      </c>
      <c r="CU222">
        <v>1.3511172228937111E-2</v>
      </c>
      <c r="CV222">
        <v>-1</v>
      </c>
      <c r="CW222">
        <v>0</v>
      </c>
      <c r="CX222">
        <v>0</v>
      </c>
      <c r="CY222" t="s">
        <v>333</v>
      </c>
      <c r="CZ222">
        <v>2.36442</v>
      </c>
      <c r="DA222">
        <v>2.7136800000000001</v>
      </c>
      <c r="DB222">
        <v>0.109945</v>
      </c>
      <c r="DC222">
        <v>0.14608299999999999</v>
      </c>
      <c r="DD222">
        <v>0.110261</v>
      </c>
      <c r="DE222">
        <v>3.7876699999999999E-2</v>
      </c>
      <c r="DF222">
        <v>32506.9</v>
      </c>
      <c r="DG222">
        <v>27534.6</v>
      </c>
      <c r="DH222">
        <v>31179.1</v>
      </c>
      <c r="DI222">
        <v>28097.200000000001</v>
      </c>
      <c r="DJ222">
        <v>37662.800000000003</v>
      </c>
      <c r="DK222">
        <v>38447.5</v>
      </c>
      <c r="DL222">
        <v>44373.4</v>
      </c>
      <c r="DM222">
        <v>42590</v>
      </c>
      <c r="DN222">
        <v>1.4823200000000001</v>
      </c>
      <c r="DO222">
        <v>2.03457</v>
      </c>
      <c r="DP222">
        <v>9.8615900000000006E-2</v>
      </c>
      <c r="DQ222">
        <v>0.17511099999999999</v>
      </c>
      <c r="DR222">
        <v>25.3888</v>
      </c>
      <c r="DS222">
        <v>25.154499999999999</v>
      </c>
      <c r="DT222">
        <v>34.5</v>
      </c>
      <c r="DU222">
        <v>29.4</v>
      </c>
      <c r="DV222">
        <v>14.334099999999999</v>
      </c>
      <c r="DW222">
        <v>61.809699999999999</v>
      </c>
      <c r="DX222">
        <v>36.887</v>
      </c>
      <c r="DY222">
        <v>1</v>
      </c>
      <c r="DZ222">
        <v>-9.3396800000000002E-2</v>
      </c>
      <c r="EA222">
        <v>-8.9052300000000001E-3</v>
      </c>
      <c r="EB222">
        <v>20.1892</v>
      </c>
      <c r="EC222">
        <v>5.2411000000000003</v>
      </c>
      <c r="ED222">
        <v>12.039899999999999</v>
      </c>
      <c r="EE222">
        <v>5.0172499999999998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1.86466</v>
      </c>
      <c r="EM222">
        <v>1.8692</v>
      </c>
      <c r="EN222">
        <v>1.8672299999999999</v>
      </c>
      <c r="EO222">
        <v>1.8633999999999999</v>
      </c>
      <c r="EP222">
        <v>1.8644700000000001</v>
      </c>
      <c r="EQ222">
        <v>1.8701399999999999</v>
      </c>
      <c r="ER222">
        <v>1.8693900000000001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-0.248</v>
      </c>
      <c r="FG222">
        <v>0.31</v>
      </c>
      <c r="FH222">
        <v>0.1121710645629533</v>
      </c>
      <c r="FI222">
        <v>-6.1462078757559423E-4</v>
      </c>
      <c r="FJ222">
        <v>-1.8861989874597051E-7</v>
      </c>
      <c r="FK222">
        <v>1.1980462299894961E-10</v>
      </c>
      <c r="FL222">
        <v>0.30996499999999833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44.8</v>
      </c>
      <c r="FU222">
        <v>44.7</v>
      </c>
      <c r="FV222">
        <v>1.7712399999999999</v>
      </c>
      <c r="FW222">
        <v>2.5878899999999998</v>
      </c>
      <c r="FX222">
        <v>1.5490699999999999</v>
      </c>
      <c r="FY222">
        <v>2.32544</v>
      </c>
      <c r="FZ222">
        <v>1.50146</v>
      </c>
      <c r="GA222">
        <v>2.3559600000000001</v>
      </c>
      <c r="GB222">
        <v>33.941299999999998</v>
      </c>
      <c r="GC222">
        <v>23.982399999999998</v>
      </c>
      <c r="GD222">
        <v>19</v>
      </c>
      <c r="GE222">
        <v>285.45699999999999</v>
      </c>
      <c r="GF222">
        <v>581.51099999999997</v>
      </c>
      <c r="GG222">
        <v>24.604099999999999</v>
      </c>
      <c r="GH222">
        <v>26.219899999999999</v>
      </c>
      <c r="GI222">
        <v>29.9998</v>
      </c>
      <c r="GJ222">
        <v>26.3416</v>
      </c>
      <c r="GK222">
        <v>26.323599999999999</v>
      </c>
      <c r="GL222">
        <v>35.412799999999997</v>
      </c>
      <c r="GM222">
        <v>56.282200000000003</v>
      </c>
      <c r="GN222">
        <v>37.989600000000003</v>
      </c>
      <c r="GO222">
        <v>24.6053</v>
      </c>
      <c r="GP222">
        <v>800</v>
      </c>
      <c r="GQ222">
        <v>5.7133799999999999</v>
      </c>
      <c r="GR222">
        <v>99.763300000000001</v>
      </c>
      <c r="GS222">
        <v>99.628699999999995</v>
      </c>
    </row>
    <row r="223" spans="1:201" x14ac:dyDescent="0.25">
      <c r="A223">
        <v>207</v>
      </c>
      <c r="B223">
        <v>1690228875.5999999</v>
      </c>
      <c r="C223">
        <v>2306</v>
      </c>
      <c r="D223" t="s">
        <v>745</v>
      </c>
      <c r="E223" t="s">
        <v>746</v>
      </c>
      <c r="F223" t="s">
        <v>330</v>
      </c>
      <c r="H223">
        <v>1690228875.5999999</v>
      </c>
      <c r="I223">
        <f t="shared" si="90"/>
        <v>1.6483062019252799E-3</v>
      </c>
      <c r="J223">
        <f t="shared" si="91"/>
        <v>1.6483062019252799</v>
      </c>
      <c r="K223">
        <f t="shared" si="92"/>
        <v>24.394304015618314</v>
      </c>
      <c r="L223">
        <f t="shared" si="93"/>
        <v>527.226</v>
      </c>
      <c r="M223">
        <f t="shared" si="94"/>
        <v>140.92284988637385</v>
      </c>
      <c r="N223">
        <f t="shared" si="95"/>
        <v>13.975123281393202</v>
      </c>
      <c r="O223">
        <f t="shared" si="96"/>
        <v>52.284270103085994</v>
      </c>
      <c r="P223">
        <f t="shared" si="97"/>
        <v>0.10575528144783272</v>
      </c>
      <c r="Q223">
        <f t="shared" si="98"/>
        <v>2.1282943903442626</v>
      </c>
      <c r="R223">
        <f t="shared" si="99"/>
        <v>0.10292024109229599</v>
      </c>
      <c r="S223">
        <f t="shared" si="100"/>
        <v>6.4573537530873221E-2</v>
      </c>
      <c r="T223">
        <f t="shared" si="101"/>
        <v>276.11544607200005</v>
      </c>
      <c r="U223">
        <f t="shared" si="102"/>
        <v>28.136989568621154</v>
      </c>
      <c r="V223">
        <f t="shared" si="103"/>
        <v>28.136989568621154</v>
      </c>
      <c r="W223">
        <f t="shared" si="104"/>
        <v>3.8252511332041577</v>
      </c>
      <c r="X223">
        <f t="shared" si="105"/>
        <v>65.672727075217651</v>
      </c>
      <c r="Y223">
        <f t="shared" si="106"/>
        <v>2.2859654027443002</v>
      </c>
      <c r="Z223">
        <f t="shared" si="107"/>
        <v>3.4808443391213078</v>
      </c>
      <c r="AA223">
        <f t="shared" si="108"/>
        <v>1.5392857304598575</v>
      </c>
      <c r="AB223">
        <f t="shared" si="109"/>
        <v>-72.690303504904847</v>
      </c>
      <c r="AC223">
        <f t="shared" si="110"/>
        <v>-184.77707688743283</v>
      </c>
      <c r="AD223">
        <f t="shared" si="111"/>
        <v>-18.798996017585537</v>
      </c>
      <c r="AE223">
        <f t="shared" si="112"/>
        <v>-0.15093033792314259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52360.497587353122</v>
      </c>
      <c r="AK223">
        <f t="shared" si="116"/>
        <v>1800</v>
      </c>
      <c r="AL223">
        <f t="shared" si="117"/>
        <v>1499.1090642000001</v>
      </c>
      <c r="AM223">
        <f t="shared" si="118"/>
        <v>0.83283836900000008</v>
      </c>
      <c r="AN223">
        <f t="shared" si="119"/>
        <v>0.15339747004000004</v>
      </c>
      <c r="AO223">
        <v>32.4</v>
      </c>
      <c r="AP223">
        <v>0.5</v>
      </c>
      <c r="AQ223" t="s">
        <v>331</v>
      </c>
      <c r="AR223">
        <v>2</v>
      </c>
      <c r="AS223">
        <v>1690228875.5999999</v>
      </c>
      <c r="AT223">
        <v>527.226</v>
      </c>
      <c r="AU223">
        <v>799.97</v>
      </c>
      <c r="AV223">
        <v>23.051300000000001</v>
      </c>
      <c r="AW223">
        <v>5.6663199999999998</v>
      </c>
      <c r="AX223">
        <v>527.47299999999996</v>
      </c>
      <c r="AY223">
        <v>22.741299999999999</v>
      </c>
      <c r="AZ223">
        <v>300.11</v>
      </c>
      <c r="BA223">
        <v>99.068600000000004</v>
      </c>
      <c r="BB223">
        <v>0.100011</v>
      </c>
      <c r="BC223">
        <v>26.526599999999998</v>
      </c>
      <c r="BD223">
        <v>26.9953</v>
      </c>
      <c r="BE223">
        <v>28.039000000000001</v>
      </c>
      <c r="BF223">
        <v>0</v>
      </c>
      <c r="BG223">
        <v>0</v>
      </c>
      <c r="BH223">
        <v>9978.75</v>
      </c>
      <c r="BI223">
        <v>1073.81</v>
      </c>
      <c r="BJ223">
        <v>1.5137799999999999</v>
      </c>
      <c r="BK223">
        <v>-272.74400000000003</v>
      </c>
      <c r="BL223">
        <v>539.66600000000005</v>
      </c>
      <c r="BM223">
        <v>804.529</v>
      </c>
      <c r="BN223">
        <v>17.384899999999998</v>
      </c>
      <c r="BO223">
        <v>799.97</v>
      </c>
      <c r="BP223">
        <v>5.6663199999999998</v>
      </c>
      <c r="BQ223">
        <v>2.2836500000000002</v>
      </c>
      <c r="BR223">
        <v>0.56135400000000002</v>
      </c>
      <c r="BS223">
        <v>19.561599999999999</v>
      </c>
      <c r="BT223">
        <v>-1.2201500000000001</v>
      </c>
      <c r="BU223">
        <v>1800</v>
      </c>
      <c r="BV223">
        <v>0.90998500000000004</v>
      </c>
      <c r="BW223">
        <v>3.4003400000000003E-2</v>
      </c>
      <c r="BX223">
        <v>2.1999700000000001E-2</v>
      </c>
      <c r="BY223">
        <v>3.4011800000000002E-2</v>
      </c>
      <c r="BZ223">
        <v>26</v>
      </c>
      <c r="CA223">
        <v>33528.300000000003</v>
      </c>
      <c r="CB223">
        <v>1690226183.5999999</v>
      </c>
      <c r="CC223" t="s">
        <v>332</v>
      </c>
      <c r="CD223">
        <v>1690226177.5999999</v>
      </c>
      <c r="CE223">
        <v>1690226183.5999999</v>
      </c>
      <c r="CF223">
        <v>12</v>
      </c>
      <c r="CG223">
        <v>-0.255</v>
      </c>
      <c r="CH223">
        <v>0.113</v>
      </c>
      <c r="CI223">
        <v>-0.439</v>
      </c>
      <c r="CJ223">
        <v>0.31</v>
      </c>
      <c r="CK223">
        <v>800</v>
      </c>
      <c r="CL223">
        <v>25</v>
      </c>
      <c r="CM223">
        <v>0.02</v>
      </c>
      <c r="CN223">
        <v>0.03</v>
      </c>
      <c r="CO223">
        <v>-272.27582926829268</v>
      </c>
      <c r="CP223">
        <v>-2.186425087108602</v>
      </c>
      <c r="CQ223">
        <v>0.2202414309884824</v>
      </c>
      <c r="CR223">
        <v>-1</v>
      </c>
      <c r="CS223">
        <v>17.337448780487801</v>
      </c>
      <c r="CT223">
        <v>0.28066829268292692</v>
      </c>
      <c r="CU223">
        <v>2.824248764306888E-2</v>
      </c>
      <c r="CV223">
        <v>-1</v>
      </c>
      <c r="CW223">
        <v>0</v>
      </c>
      <c r="CX223">
        <v>0</v>
      </c>
      <c r="CY223" t="s">
        <v>333</v>
      </c>
      <c r="CZ223">
        <v>2.3643900000000002</v>
      </c>
      <c r="DA223">
        <v>2.7137799999999999</v>
      </c>
      <c r="DB223">
        <v>0.109879</v>
      </c>
      <c r="DC223">
        <v>0.146069</v>
      </c>
      <c r="DD223">
        <v>0.110273</v>
      </c>
      <c r="DE223">
        <v>3.7643099999999999E-2</v>
      </c>
      <c r="DF223">
        <v>32509.200000000001</v>
      </c>
      <c r="DG223">
        <v>27534.9</v>
      </c>
      <c r="DH223">
        <v>31179.1</v>
      </c>
      <c r="DI223">
        <v>28097.1</v>
      </c>
      <c r="DJ223">
        <v>37662.300000000003</v>
      </c>
      <c r="DK223">
        <v>38456.800000000003</v>
      </c>
      <c r="DL223">
        <v>44373.4</v>
      </c>
      <c r="DM223">
        <v>42589.9</v>
      </c>
      <c r="DN223">
        <v>1.48315</v>
      </c>
      <c r="DO223">
        <v>2.0349200000000001</v>
      </c>
      <c r="DP223">
        <v>9.8180000000000003E-2</v>
      </c>
      <c r="DQ223">
        <v>0.17613200000000001</v>
      </c>
      <c r="DR223">
        <v>25.387499999999999</v>
      </c>
      <c r="DS223">
        <v>25.156600000000001</v>
      </c>
      <c r="DT223">
        <v>34.200000000000003</v>
      </c>
      <c r="DU223">
        <v>29.4</v>
      </c>
      <c r="DV223">
        <v>14.2088</v>
      </c>
      <c r="DW223">
        <v>61.799700000000001</v>
      </c>
      <c r="DX223">
        <v>37.215499999999999</v>
      </c>
      <c r="DY223">
        <v>1</v>
      </c>
      <c r="DZ223">
        <v>-9.2977599999999994E-2</v>
      </c>
      <c r="EA223">
        <v>6.2853999999999993E-2</v>
      </c>
      <c r="EB223">
        <v>20.189299999999999</v>
      </c>
      <c r="EC223">
        <v>5.2406499999999996</v>
      </c>
      <c r="ED223">
        <v>12.039899999999999</v>
      </c>
      <c r="EE223">
        <v>5.0163500000000001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1.86463</v>
      </c>
      <c r="EM223">
        <v>1.8691899999999999</v>
      </c>
      <c r="EN223">
        <v>1.8672200000000001</v>
      </c>
      <c r="EO223">
        <v>1.8633999999999999</v>
      </c>
      <c r="EP223">
        <v>1.8644799999999999</v>
      </c>
      <c r="EQ223">
        <v>1.87015</v>
      </c>
      <c r="ER223">
        <v>1.86938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-0.247</v>
      </c>
      <c r="FG223">
        <v>0.31</v>
      </c>
      <c r="FH223">
        <v>0.1121710645629533</v>
      </c>
      <c r="FI223">
        <v>-6.1462078757559423E-4</v>
      </c>
      <c r="FJ223">
        <v>-1.8861989874597051E-7</v>
      </c>
      <c r="FK223">
        <v>1.1980462299894961E-10</v>
      </c>
      <c r="FL223">
        <v>0.30996499999999833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45</v>
      </c>
      <c r="FU223">
        <v>44.9</v>
      </c>
      <c r="FV223">
        <v>1.7712399999999999</v>
      </c>
      <c r="FW223">
        <v>2.5891099999999998</v>
      </c>
      <c r="FX223">
        <v>1.5490699999999999</v>
      </c>
      <c r="FY223">
        <v>2.32544</v>
      </c>
      <c r="FZ223">
        <v>1.50146</v>
      </c>
      <c r="GA223">
        <v>2.34253</v>
      </c>
      <c r="GB223">
        <v>33.941299999999998</v>
      </c>
      <c r="GC223">
        <v>23.982399999999998</v>
      </c>
      <c r="GD223">
        <v>19</v>
      </c>
      <c r="GE223">
        <v>285.81200000000001</v>
      </c>
      <c r="GF223">
        <v>581.79899999999998</v>
      </c>
      <c r="GG223">
        <v>24.622699999999998</v>
      </c>
      <c r="GH223">
        <v>26.219899999999999</v>
      </c>
      <c r="GI223">
        <v>30.0002</v>
      </c>
      <c r="GJ223">
        <v>26.3416</v>
      </c>
      <c r="GK223">
        <v>26.323599999999999</v>
      </c>
      <c r="GL223">
        <v>35.413800000000002</v>
      </c>
      <c r="GM223">
        <v>56.282200000000003</v>
      </c>
      <c r="GN223">
        <v>37.609400000000001</v>
      </c>
      <c r="GO223">
        <v>24.6172</v>
      </c>
      <c r="GP223">
        <v>800</v>
      </c>
      <c r="GQ223">
        <v>5.6684099999999997</v>
      </c>
      <c r="GR223">
        <v>99.763199999999998</v>
      </c>
      <c r="GS223">
        <v>99.628399999999999</v>
      </c>
    </row>
    <row r="224" spans="1:201" x14ac:dyDescent="0.25">
      <c r="A224">
        <v>208</v>
      </c>
      <c r="B224">
        <v>1690228885.5999999</v>
      </c>
      <c r="C224">
        <v>2316</v>
      </c>
      <c r="D224" t="s">
        <v>747</v>
      </c>
      <c r="E224" t="s">
        <v>748</v>
      </c>
      <c r="F224" t="s">
        <v>330</v>
      </c>
      <c r="H224">
        <v>1690228885.5999999</v>
      </c>
      <c r="I224">
        <f t="shared" si="90"/>
        <v>1.6508719763979381E-3</v>
      </c>
      <c r="J224">
        <f t="shared" si="91"/>
        <v>1.650871976397938</v>
      </c>
      <c r="K224">
        <f t="shared" si="92"/>
        <v>24.424827542355537</v>
      </c>
      <c r="L224">
        <f t="shared" si="93"/>
        <v>526.91700000000003</v>
      </c>
      <c r="M224">
        <f t="shared" si="94"/>
        <v>140.64674695562715</v>
      </c>
      <c r="N224">
        <f t="shared" si="95"/>
        <v>13.947904252887675</v>
      </c>
      <c r="O224">
        <f t="shared" si="96"/>
        <v>52.254232851453608</v>
      </c>
      <c r="P224">
        <f t="shared" si="97"/>
        <v>0.10589575569330327</v>
      </c>
      <c r="Q224">
        <f t="shared" si="98"/>
        <v>2.1307155518280116</v>
      </c>
      <c r="R224">
        <f t="shared" si="99"/>
        <v>0.10305642446633957</v>
      </c>
      <c r="S224">
        <f t="shared" si="100"/>
        <v>6.4659026903219896E-2</v>
      </c>
      <c r="T224">
        <f t="shared" si="101"/>
        <v>276.11534802600005</v>
      </c>
      <c r="U224">
        <f t="shared" si="102"/>
        <v>28.139224563614626</v>
      </c>
      <c r="V224">
        <f t="shared" si="103"/>
        <v>28.139224563614626</v>
      </c>
      <c r="W224">
        <f t="shared" si="104"/>
        <v>3.8257490558347884</v>
      </c>
      <c r="X224">
        <f t="shared" si="105"/>
        <v>65.657759691869117</v>
      </c>
      <c r="Y224">
        <f t="shared" si="106"/>
        <v>2.2860910768898401</v>
      </c>
      <c r="Z224">
        <f t="shared" si="107"/>
        <v>3.481829242451207</v>
      </c>
      <c r="AA224">
        <f t="shared" si="108"/>
        <v>1.5396579789449483</v>
      </c>
      <c r="AB224">
        <f t="shared" si="109"/>
        <v>-72.803454159149069</v>
      </c>
      <c r="AC224">
        <f t="shared" si="110"/>
        <v>-184.69263544585456</v>
      </c>
      <c r="AD224">
        <f t="shared" si="111"/>
        <v>-18.769712297792914</v>
      </c>
      <c r="AE224">
        <f t="shared" si="112"/>
        <v>-0.15045387679649025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52464.141780420498</v>
      </c>
      <c r="AK224">
        <f t="shared" si="116"/>
        <v>1800</v>
      </c>
      <c r="AL224">
        <f t="shared" si="117"/>
        <v>1499.1086466000002</v>
      </c>
      <c r="AM224">
        <f t="shared" si="118"/>
        <v>0.83283813700000009</v>
      </c>
      <c r="AN224">
        <f t="shared" si="119"/>
        <v>0.15339741557000003</v>
      </c>
      <c r="AO224">
        <v>32.4</v>
      </c>
      <c r="AP224">
        <v>0.5</v>
      </c>
      <c r="AQ224" t="s">
        <v>331</v>
      </c>
      <c r="AR224">
        <v>2</v>
      </c>
      <c r="AS224">
        <v>1690228885.5999999</v>
      </c>
      <c r="AT224">
        <v>526.91700000000003</v>
      </c>
      <c r="AU224">
        <v>800.00599999999997</v>
      </c>
      <c r="AV224">
        <v>23.052299999999999</v>
      </c>
      <c r="AW224">
        <v>5.6398700000000002</v>
      </c>
      <c r="AX224">
        <v>527.16300000000001</v>
      </c>
      <c r="AY224">
        <v>22.7423</v>
      </c>
      <c r="AZ224">
        <v>300.10300000000001</v>
      </c>
      <c r="BA224">
        <v>99.069800000000001</v>
      </c>
      <c r="BB224">
        <v>9.9960800000000002E-2</v>
      </c>
      <c r="BC224">
        <v>26.531400000000001</v>
      </c>
      <c r="BD224">
        <v>27.011900000000001</v>
      </c>
      <c r="BE224">
        <v>28.0213</v>
      </c>
      <c r="BF224">
        <v>0</v>
      </c>
      <c r="BG224">
        <v>0</v>
      </c>
      <c r="BH224">
        <v>9999.3799999999992</v>
      </c>
      <c r="BI224">
        <v>1073.95</v>
      </c>
      <c r="BJ224">
        <v>1.5137799999999999</v>
      </c>
      <c r="BK224">
        <v>-273.08999999999997</v>
      </c>
      <c r="BL224">
        <v>539.35</v>
      </c>
      <c r="BM224">
        <v>804.54399999999998</v>
      </c>
      <c r="BN224">
        <v>17.412400000000002</v>
      </c>
      <c r="BO224">
        <v>800.00599999999997</v>
      </c>
      <c r="BP224">
        <v>5.6398700000000002</v>
      </c>
      <c r="BQ224">
        <v>2.2837800000000001</v>
      </c>
      <c r="BR224">
        <v>0.55874100000000004</v>
      </c>
      <c r="BS224">
        <v>19.5625</v>
      </c>
      <c r="BT224">
        <v>-1.2837400000000001</v>
      </c>
      <c r="BU224">
        <v>1800</v>
      </c>
      <c r="BV224">
        <v>0.90998500000000004</v>
      </c>
      <c r="BW224">
        <v>3.40033E-2</v>
      </c>
      <c r="BX224">
        <v>2.1999600000000001E-2</v>
      </c>
      <c r="BY224">
        <v>3.4011699999999999E-2</v>
      </c>
      <c r="BZ224">
        <v>26</v>
      </c>
      <c r="CA224">
        <v>33528.400000000001</v>
      </c>
      <c r="CB224">
        <v>1690226183.5999999</v>
      </c>
      <c r="CC224" t="s">
        <v>332</v>
      </c>
      <c r="CD224">
        <v>1690226177.5999999</v>
      </c>
      <c r="CE224">
        <v>1690226183.5999999</v>
      </c>
      <c r="CF224">
        <v>12</v>
      </c>
      <c r="CG224">
        <v>-0.255</v>
      </c>
      <c r="CH224">
        <v>0.113</v>
      </c>
      <c r="CI224">
        <v>-0.439</v>
      </c>
      <c r="CJ224">
        <v>0.31</v>
      </c>
      <c r="CK224">
        <v>800</v>
      </c>
      <c r="CL224">
        <v>25</v>
      </c>
      <c r="CM224">
        <v>0.02</v>
      </c>
      <c r="CN224">
        <v>0.03</v>
      </c>
      <c r="CO224">
        <v>-272.66643902439029</v>
      </c>
      <c r="CP224">
        <v>-2.382167247386739</v>
      </c>
      <c r="CQ224">
        <v>0.2423649786321054</v>
      </c>
      <c r="CR224">
        <v>-1</v>
      </c>
      <c r="CS224">
        <v>17.378248780487809</v>
      </c>
      <c r="CT224">
        <v>0.2236411149825592</v>
      </c>
      <c r="CU224">
        <v>2.2697556782143729E-2</v>
      </c>
      <c r="CV224">
        <v>-1</v>
      </c>
      <c r="CW224">
        <v>0</v>
      </c>
      <c r="CX224">
        <v>0</v>
      </c>
      <c r="CY224" t="s">
        <v>333</v>
      </c>
      <c r="CZ224">
        <v>2.3643800000000001</v>
      </c>
      <c r="DA224">
        <v>2.7137500000000001</v>
      </c>
      <c r="DB224">
        <v>0.109834</v>
      </c>
      <c r="DC224">
        <v>0.14607400000000001</v>
      </c>
      <c r="DD224">
        <v>0.110277</v>
      </c>
      <c r="DE224">
        <v>3.7498999999999998E-2</v>
      </c>
      <c r="DF224">
        <v>32511</v>
      </c>
      <c r="DG224">
        <v>27534.7</v>
      </c>
      <c r="DH224">
        <v>31179.200000000001</v>
      </c>
      <c r="DI224">
        <v>28097.1</v>
      </c>
      <c r="DJ224">
        <v>37662.300000000003</v>
      </c>
      <c r="DK224">
        <v>38462.5</v>
      </c>
      <c r="DL224">
        <v>44373.7</v>
      </c>
      <c r="DM224">
        <v>42589.9</v>
      </c>
      <c r="DN224">
        <v>1.4827699999999999</v>
      </c>
      <c r="DO224">
        <v>2.0346799999999998</v>
      </c>
      <c r="DP224">
        <v>9.9241700000000002E-2</v>
      </c>
      <c r="DQ224">
        <v>0.17492099999999999</v>
      </c>
      <c r="DR224">
        <v>25.386800000000001</v>
      </c>
      <c r="DS224">
        <v>25.158799999999999</v>
      </c>
      <c r="DT224">
        <v>34.1</v>
      </c>
      <c r="DU224">
        <v>29.4</v>
      </c>
      <c r="DV224">
        <v>14.164899999999999</v>
      </c>
      <c r="DW224">
        <v>61.789700000000003</v>
      </c>
      <c r="DX224">
        <v>37.311700000000002</v>
      </c>
      <c r="DY224">
        <v>1</v>
      </c>
      <c r="DZ224">
        <v>-9.3132599999999996E-2</v>
      </c>
      <c r="EA224">
        <v>7.5016299999999994E-2</v>
      </c>
      <c r="EB224">
        <v>20.189399999999999</v>
      </c>
      <c r="EC224">
        <v>5.2411000000000003</v>
      </c>
      <c r="ED224">
        <v>12.039899999999999</v>
      </c>
      <c r="EE224">
        <v>5.0166000000000004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1.8691899999999999</v>
      </c>
      <c r="EN224">
        <v>1.8672200000000001</v>
      </c>
      <c r="EO224">
        <v>1.8633999999999999</v>
      </c>
      <c r="EP224">
        <v>1.8644799999999999</v>
      </c>
      <c r="EQ224">
        <v>1.8701300000000001</v>
      </c>
      <c r="ER224">
        <v>1.86938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-0.246</v>
      </c>
      <c r="FG224">
        <v>0.31</v>
      </c>
      <c r="FH224">
        <v>0.1121710645629533</v>
      </c>
      <c r="FI224">
        <v>-6.1462078757559423E-4</v>
      </c>
      <c r="FJ224">
        <v>-1.8861989874597051E-7</v>
      </c>
      <c r="FK224">
        <v>1.1980462299894961E-10</v>
      </c>
      <c r="FL224">
        <v>0.30996499999999833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45.1</v>
      </c>
      <c r="FU224">
        <v>45</v>
      </c>
      <c r="FV224">
        <v>1.7712399999999999</v>
      </c>
      <c r="FW224">
        <v>2.5891099999999998</v>
      </c>
      <c r="FX224">
        <v>1.5490699999999999</v>
      </c>
      <c r="FY224">
        <v>2.32544</v>
      </c>
      <c r="FZ224">
        <v>1.50146</v>
      </c>
      <c r="GA224">
        <v>2.323</v>
      </c>
      <c r="GB224">
        <v>33.941299999999998</v>
      </c>
      <c r="GC224">
        <v>23.982399999999998</v>
      </c>
      <c r="GD224">
        <v>19</v>
      </c>
      <c r="GE224">
        <v>285.65100000000001</v>
      </c>
      <c r="GF224">
        <v>581.59299999999996</v>
      </c>
      <c r="GG224">
        <v>24.630700000000001</v>
      </c>
      <c r="GH224">
        <v>26.219899999999999</v>
      </c>
      <c r="GI224">
        <v>30</v>
      </c>
      <c r="GJ224">
        <v>26.3416</v>
      </c>
      <c r="GK224">
        <v>26.323599999999999</v>
      </c>
      <c r="GL224">
        <v>35.412999999999997</v>
      </c>
      <c r="GM224">
        <v>56.282200000000003</v>
      </c>
      <c r="GN224">
        <v>37.223799999999997</v>
      </c>
      <c r="GO224">
        <v>24.627400000000002</v>
      </c>
      <c r="GP224">
        <v>800</v>
      </c>
      <c r="GQ224">
        <v>5.6224800000000004</v>
      </c>
      <c r="GR224">
        <v>99.7637</v>
      </c>
      <c r="GS224">
        <v>99.628399999999999</v>
      </c>
    </row>
    <row r="225" spans="1:201" x14ac:dyDescent="0.25">
      <c r="A225">
        <v>209</v>
      </c>
      <c r="B225">
        <v>1690228895.5999999</v>
      </c>
      <c r="C225">
        <v>2326</v>
      </c>
      <c r="D225" t="s">
        <v>749</v>
      </c>
      <c r="E225" t="s">
        <v>750</v>
      </c>
      <c r="F225" t="s">
        <v>330</v>
      </c>
      <c r="H225">
        <v>1690228895.5999999</v>
      </c>
      <c r="I225">
        <f t="shared" si="90"/>
        <v>1.6553652908278614E-3</v>
      </c>
      <c r="J225">
        <f t="shared" si="91"/>
        <v>1.6553652908278613</v>
      </c>
      <c r="K225">
        <f t="shared" si="92"/>
        <v>24.464306511318874</v>
      </c>
      <c r="L225">
        <f t="shared" si="93"/>
        <v>526.49300000000005</v>
      </c>
      <c r="M225">
        <f t="shared" si="94"/>
        <v>140.4583689010278</v>
      </c>
      <c r="N225">
        <f t="shared" si="95"/>
        <v>13.929221146726823</v>
      </c>
      <c r="O225">
        <f t="shared" si="96"/>
        <v>52.212178502309108</v>
      </c>
      <c r="P225">
        <f t="shared" si="97"/>
        <v>0.10613673841141522</v>
      </c>
      <c r="Q225">
        <f t="shared" si="98"/>
        <v>2.1315102866782896</v>
      </c>
      <c r="R225">
        <f t="shared" si="99"/>
        <v>0.10328568982162142</v>
      </c>
      <c r="S225">
        <f t="shared" si="100"/>
        <v>6.4803332575308736E-2</v>
      </c>
      <c r="T225">
        <f t="shared" si="101"/>
        <v>276.11596781999998</v>
      </c>
      <c r="U225">
        <f t="shared" si="102"/>
        <v>28.140213788838423</v>
      </c>
      <c r="V225">
        <f t="shared" si="103"/>
        <v>28.140213788838423</v>
      </c>
      <c r="W225">
        <f t="shared" si="104"/>
        <v>3.8259694581042667</v>
      </c>
      <c r="X225">
        <f t="shared" si="105"/>
        <v>65.63009436174238</v>
      </c>
      <c r="Y225">
        <f t="shared" si="106"/>
        <v>2.2855453643391601</v>
      </c>
      <c r="Z225">
        <f t="shared" si="107"/>
        <v>3.4824654551639167</v>
      </c>
      <c r="AA225">
        <f t="shared" si="108"/>
        <v>1.5404240937651066</v>
      </c>
      <c r="AB225">
        <f t="shared" si="109"/>
        <v>-73.001609325508682</v>
      </c>
      <c r="AC225">
        <f t="shared" si="110"/>
        <v>-184.51896635165787</v>
      </c>
      <c r="AD225">
        <f t="shared" si="111"/>
        <v>-18.745453639181612</v>
      </c>
      <c r="AE225">
        <f t="shared" si="112"/>
        <v>-0.15006149634820076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52497.915795840097</v>
      </c>
      <c r="AK225">
        <f t="shared" si="116"/>
        <v>1800</v>
      </c>
      <c r="AL225">
        <f t="shared" si="117"/>
        <v>1499.1089670000001</v>
      </c>
      <c r="AM225">
        <f t="shared" si="118"/>
        <v>0.83283831500000005</v>
      </c>
      <c r="AN225">
        <f t="shared" si="119"/>
        <v>0.15339775989999999</v>
      </c>
      <c r="AO225">
        <v>32.4</v>
      </c>
      <c r="AP225">
        <v>0.5</v>
      </c>
      <c r="AQ225" t="s">
        <v>331</v>
      </c>
      <c r="AR225">
        <v>2</v>
      </c>
      <c r="AS225">
        <v>1690228895.5999999</v>
      </c>
      <c r="AT225">
        <v>526.49300000000005</v>
      </c>
      <c r="AU225">
        <v>799.97699999999998</v>
      </c>
      <c r="AV225">
        <v>23.046800000000001</v>
      </c>
      <c r="AW225">
        <v>5.59002</v>
      </c>
      <c r="AX225">
        <v>526.73900000000003</v>
      </c>
      <c r="AY225">
        <v>22.736799999999999</v>
      </c>
      <c r="AZ225">
        <v>300.15699999999998</v>
      </c>
      <c r="BA225">
        <v>99.069800000000001</v>
      </c>
      <c r="BB225">
        <v>9.9948700000000001E-2</v>
      </c>
      <c r="BC225">
        <v>26.534500000000001</v>
      </c>
      <c r="BD225">
        <v>27.014199999999999</v>
      </c>
      <c r="BE225">
        <v>28.0441</v>
      </c>
      <c r="BF225">
        <v>0</v>
      </c>
      <c r="BG225">
        <v>0</v>
      </c>
      <c r="BH225">
        <v>10006.200000000001</v>
      </c>
      <c r="BI225">
        <v>1073.9100000000001</v>
      </c>
      <c r="BJ225">
        <v>1.5137799999999999</v>
      </c>
      <c r="BK225">
        <v>-273.48399999999998</v>
      </c>
      <c r="BL225">
        <v>538.91300000000001</v>
      </c>
      <c r="BM225">
        <v>804.47400000000005</v>
      </c>
      <c r="BN225">
        <v>17.456800000000001</v>
      </c>
      <c r="BO225">
        <v>799.97699999999998</v>
      </c>
      <c r="BP225">
        <v>5.59002</v>
      </c>
      <c r="BQ225">
        <v>2.2832400000000002</v>
      </c>
      <c r="BR225">
        <v>0.55380200000000002</v>
      </c>
      <c r="BS225">
        <v>19.558700000000002</v>
      </c>
      <c r="BT225">
        <v>-1.40462</v>
      </c>
      <c r="BU225">
        <v>1800</v>
      </c>
      <c r="BV225">
        <v>0.90998100000000004</v>
      </c>
      <c r="BW225">
        <v>3.40028E-2</v>
      </c>
      <c r="BX225">
        <v>2.20045E-2</v>
      </c>
      <c r="BY225">
        <v>3.4011199999999998E-2</v>
      </c>
      <c r="BZ225">
        <v>26</v>
      </c>
      <c r="CA225">
        <v>33528.199999999997</v>
      </c>
      <c r="CB225">
        <v>1690226183.5999999</v>
      </c>
      <c r="CC225" t="s">
        <v>332</v>
      </c>
      <c r="CD225">
        <v>1690226177.5999999</v>
      </c>
      <c r="CE225">
        <v>1690226183.5999999</v>
      </c>
      <c r="CF225">
        <v>12</v>
      </c>
      <c r="CG225">
        <v>-0.255</v>
      </c>
      <c r="CH225">
        <v>0.113</v>
      </c>
      <c r="CI225">
        <v>-0.439</v>
      </c>
      <c r="CJ225">
        <v>0.31</v>
      </c>
      <c r="CK225">
        <v>800</v>
      </c>
      <c r="CL225">
        <v>25</v>
      </c>
      <c r="CM225">
        <v>0.02</v>
      </c>
      <c r="CN225">
        <v>0.03</v>
      </c>
      <c r="CO225">
        <v>-273.03337499999998</v>
      </c>
      <c r="CP225">
        <v>-2.2702401500935712</v>
      </c>
      <c r="CQ225">
        <v>0.2264331786090526</v>
      </c>
      <c r="CR225">
        <v>-1</v>
      </c>
      <c r="CS225">
        <v>17.413702499999999</v>
      </c>
      <c r="CT225">
        <v>0.21105928705438709</v>
      </c>
      <c r="CU225">
        <v>2.0666645682112891E-2</v>
      </c>
      <c r="CV225">
        <v>-1</v>
      </c>
      <c r="CW225">
        <v>0</v>
      </c>
      <c r="CX225">
        <v>0</v>
      </c>
      <c r="CY225" t="s">
        <v>333</v>
      </c>
      <c r="CZ225">
        <v>2.3645399999999999</v>
      </c>
      <c r="DA225">
        <v>2.71374</v>
      </c>
      <c r="DB225">
        <v>0.10977000000000001</v>
      </c>
      <c r="DC225">
        <v>0.14607000000000001</v>
      </c>
      <c r="DD225">
        <v>0.110259</v>
      </c>
      <c r="DE225">
        <v>3.7226099999999998E-2</v>
      </c>
      <c r="DF225">
        <v>32513</v>
      </c>
      <c r="DG225">
        <v>27534.799999999999</v>
      </c>
      <c r="DH225">
        <v>31178.9</v>
      </c>
      <c r="DI225">
        <v>28097</v>
      </c>
      <c r="DJ225">
        <v>37662.699999999997</v>
      </c>
      <c r="DK225">
        <v>38473.199999999997</v>
      </c>
      <c r="DL225">
        <v>44373.2</v>
      </c>
      <c r="DM225">
        <v>42589.599999999999</v>
      </c>
      <c r="DN225">
        <v>1.48295</v>
      </c>
      <c r="DO225">
        <v>2.0346000000000002</v>
      </c>
      <c r="DP225">
        <v>9.9260399999999999E-2</v>
      </c>
      <c r="DQ225">
        <v>0.17618800000000001</v>
      </c>
      <c r="DR225">
        <v>25.3888</v>
      </c>
      <c r="DS225">
        <v>25.160900000000002</v>
      </c>
      <c r="DT225">
        <v>33.9</v>
      </c>
      <c r="DU225">
        <v>29.4</v>
      </c>
      <c r="DV225">
        <v>14.085900000000001</v>
      </c>
      <c r="DW225">
        <v>61.749699999999997</v>
      </c>
      <c r="DX225">
        <v>37.323700000000002</v>
      </c>
      <c r="DY225">
        <v>1</v>
      </c>
      <c r="DZ225">
        <v>-9.2355199999999998E-2</v>
      </c>
      <c r="EA225">
        <v>0.11190899999999999</v>
      </c>
      <c r="EB225">
        <v>20.189299999999999</v>
      </c>
      <c r="EC225">
        <v>5.2409499999999998</v>
      </c>
      <c r="ED225">
        <v>12.039899999999999</v>
      </c>
      <c r="EE225">
        <v>5.0164999999999997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1.8646400000000001</v>
      </c>
      <c r="EM225">
        <v>1.8692</v>
      </c>
      <c r="EN225">
        <v>1.8672299999999999</v>
      </c>
      <c r="EO225">
        <v>1.8633999999999999</v>
      </c>
      <c r="EP225">
        <v>1.8644700000000001</v>
      </c>
      <c r="EQ225">
        <v>1.8701300000000001</v>
      </c>
      <c r="ER225">
        <v>1.8693900000000001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-0.246</v>
      </c>
      <c r="FG225">
        <v>0.31</v>
      </c>
      <c r="FH225">
        <v>0.1121710645629533</v>
      </c>
      <c r="FI225">
        <v>-6.1462078757559423E-4</v>
      </c>
      <c r="FJ225">
        <v>-1.8861989874597051E-7</v>
      </c>
      <c r="FK225">
        <v>1.1980462299894961E-10</v>
      </c>
      <c r="FL225">
        <v>0.30996499999999833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45.3</v>
      </c>
      <c r="FU225">
        <v>45.2</v>
      </c>
      <c r="FV225">
        <v>1.7712399999999999</v>
      </c>
      <c r="FW225">
        <v>2.5915499999999998</v>
      </c>
      <c r="FX225">
        <v>1.5490699999999999</v>
      </c>
      <c r="FY225">
        <v>2.32544</v>
      </c>
      <c r="FZ225">
        <v>1.50146</v>
      </c>
      <c r="GA225">
        <v>2.2851599999999999</v>
      </c>
      <c r="GB225">
        <v>33.941299999999998</v>
      </c>
      <c r="GC225">
        <v>23.982399999999998</v>
      </c>
      <c r="GD225">
        <v>19</v>
      </c>
      <c r="GE225">
        <v>285.726</v>
      </c>
      <c r="GF225">
        <v>581.53099999999995</v>
      </c>
      <c r="GG225">
        <v>24.603999999999999</v>
      </c>
      <c r="GH225">
        <v>26.219899999999999</v>
      </c>
      <c r="GI225">
        <v>30.000299999999999</v>
      </c>
      <c r="GJ225">
        <v>26.3416</v>
      </c>
      <c r="GK225">
        <v>26.323599999999999</v>
      </c>
      <c r="GL225">
        <v>35.413499999999999</v>
      </c>
      <c r="GM225">
        <v>56.282200000000003</v>
      </c>
      <c r="GN225">
        <v>36.848999999999997</v>
      </c>
      <c r="GO225">
        <v>24.607600000000001</v>
      </c>
      <c r="GP225">
        <v>800</v>
      </c>
      <c r="GQ225">
        <v>5.5804400000000003</v>
      </c>
      <c r="GR225">
        <v>99.762600000000006</v>
      </c>
      <c r="GS225">
        <v>99.627899999999997</v>
      </c>
    </row>
    <row r="226" spans="1:201" x14ac:dyDescent="0.25">
      <c r="A226">
        <v>210</v>
      </c>
      <c r="B226">
        <v>1690228905.5999999</v>
      </c>
      <c r="C226">
        <v>2336</v>
      </c>
      <c r="D226" t="s">
        <v>751</v>
      </c>
      <c r="E226" t="s">
        <v>752</v>
      </c>
      <c r="F226" t="s">
        <v>330</v>
      </c>
      <c r="H226">
        <v>1690228905.5999999</v>
      </c>
      <c r="I226">
        <f t="shared" si="90"/>
        <v>1.6603169300229788E-3</v>
      </c>
      <c r="J226">
        <f t="shared" si="91"/>
        <v>1.6603169300229788</v>
      </c>
      <c r="K226">
        <f t="shared" si="92"/>
        <v>24.50316930102591</v>
      </c>
      <c r="L226">
        <f t="shared" si="93"/>
        <v>526.00199999999995</v>
      </c>
      <c r="M226">
        <f t="shared" si="94"/>
        <v>140.81170063398608</v>
      </c>
      <c r="N226">
        <f t="shared" si="95"/>
        <v>13.964808455865265</v>
      </c>
      <c r="O226">
        <f t="shared" si="96"/>
        <v>52.165531304073596</v>
      </c>
      <c r="P226">
        <f t="shared" si="97"/>
        <v>0.10654578811412781</v>
      </c>
      <c r="Q226">
        <f t="shared" si="98"/>
        <v>2.1357081843299972</v>
      </c>
      <c r="R226">
        <f t="shared" si="99"/>
        <v>0.10367852459936283</v>
      </c>
      <c r="S226">
        <f t="shared" si="100"/>
        <v>6.5050263156766444E-2</v>
      </c>
      <c r="T226">
        <f t="shared" si="101"/>
        <v>276.11592177599999</v>
      </c>
      <c r="U226">
        <f t="shared" si="102"/>
        <v>28.1347238130388</v>
      </c>
      <c r="V226">
        <f t="shared" si="103"/>
        <v>28.1347238130388</v>
      </c>
      <c r="W226">
        <f t="shared" si="104"/>
        <v>3.8247464152938941</v>
      </c>
      <c r="X226">
        <f t="shared" si="105"/>
        <v>65.632161838859403</v>
      </c>
      <c r="Y226">
        <f t="shared" si="106"/>
        <v>2.2854961295107201</v>
      </c>
      <c r="Z226">
        <f t="shared" si="107"/>
        <v>3.4822807377914629</v>
      </c>
      <c r="AA226">
        <f t="shared" si="108"/>
        <v>1.539250285783174</v>
      </c>
      <c r="AB226">
        <f t="shared" si="109"/>
        <v>-73.219976614013362</v>
      </c>
      <c r="AC226">
        <f t="shared" si="110"/>
        <v>-184.35387558377769</v>
      </c>
      <c r="AD226">
        <f t="shared" si="111"/>
        <v>-18.691271973247169</v>
      </c>
      <c r="AE226">
        <f t="shared" si="112"/>
        <v>-0.14920239503825883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52679.672218565938</v>
      </c>
      <c r="AK226">
        <f t="shared" si="116"/>
        <v>1800</v>
      </c>
      <c r="AL226">
        <f t="shared" si="117"/>
        <v>1499.1102665999999</v>
      </c>
      <c r="AM226">
        <f t="shared" si="118"/>
        <v>0.83283903699999995</v>
      </c>
      <c r="AN226">
        <f t="shared" si="119"/>
        <v>0.15339773432000001</v>
      </c>
      <c r="AO226">
        <v>32.4</v>
      </c>
      <c r="AP226">
        <v>0.5</v>
      </c>
      <c r="AQ226" t="s">
        <v>331</v>
      </c>
      <c r="AR226">
        <v>2</v>
      </c>
      <c r="AS226">
        <v>1690228905.5999999</v>
      </c>
      <c r="AT226">
        <v>526.00199999999995</v>
      </c>
      <c r="AU226">
        <v>799.96500000000003</v>
      </c>
      <c r="AV226">
        <v>23.045400000000001</v>
      </c>
      <c r="AW226">
        <v>5.5338099999999999</v>
      </c>
      <c r="AX226">
        <v>526.24800000000005</v>
      </c>
      <c r="AY226">
        <v>22.735399999999998</v>
      </c>
      <c r="AZ226">
        <v>300.113</v>
      </c>
      <c r="BA226">
        <v>99.073700000000002</v>
      </c>
      <c r="BB226">
        <v>9.9936800000000006E-2</v>
      </c>
      <c r="BC226">
        <v>26.5336</v>
      </c>
      <c r="BD226">
        <v>26.998899999999999</v>
      </c>
      <c r="BE226">
        <v>28.056899999999999</v>
      </c>
      <c r="BF226">
        <v>0</v>
      </c>
      <c r="BG226">
        <v>0</v>
      </c>
      <c r="BH226">
        <v>10041.9</v>
      </c>
      <c r="BI226">
        <v>1073.94</v>
      </c>
      <c r="BJ226">
        <v>1.5137799999999999</v>
      </c>
      <c r="BK226">
        <v>-273.964</v>
      </c>
      <c r="BL226">
        <v>538.40899999999999</v>
      </c>
      <c r="BM226">
        <v>804.41700000000003</v>
      </c>
      <c r="BN226">
        <v>17.511600000000001</v>
      </c>
      <c r="BO226">
        <v>799.96500000000003</v>
      </c>
      <c r="BP226">
        <v>5.5338099999999999</v>
      </c>
      <c r="BQ226">
        <v>2.2831899999999998</v>
      </c>
      <c r="BR226">
        <v>0.54825500000000005</v>
      </c>
      <c r="BS226">
        <v>19.558299999999999</v>
      </c>
      <c r="BT226">
        <v>-1.54152</v>
      </c>
      <c r="BU226">
        <v>1800</v>
      </c>
      <c r="BV226">
        <v>0.90998400000000002</v>
      </c>
      <c r="BW226">
        <v>3.4002999999999999E-2</v>
      </c>
      <c r="BX226">
        <v>2.20021E-2</v>
      </c>
      <c r="BY226">
        <v>3.4011399999999997E-2</v>
      </c>
      <c r="BZ226">
        <v>26</v>
      </c>
      <c r="CA226">
        <v>33528.300000000003</v>
      </c>
      <c r="CB226">
        <v>1690226183.5999999</v>
      </c>
      <c r="CC226" t="s">
        <v>332</v>
      </c>
      <c r="CD226">
        <v>1690226177.5999999</v>
      </c>
      <c r="CE226">
        <v>1690226183.5999999</v>
      </c>
      <c r="CF226">
        <v>12</v>
      </c>
      <c r="CG226">
        <v>-0.255</v>
      </c>
      <c r="CH226">
        <v>0.113</v>
      </c>
      <c r="CI226">
        <v>-0.439</v>
      </c>
      <c r="CJ226">
        <v>0.31</v>
      </c>
      <c r="CK226">
        <v>800</v>
      </c>
      <c r="CL226">
        <v>25</v>
      </c>
      <c r="CM226">
        <v>0.02</v>
      </c>
      <c r="CN226">
        <v>0.03</v>
      </c>
      <c r="CO226">
        <v>-273.43687499999999</v>
      </c>
      <c r="CP226">
        <v>-2.584851782362902</v>
      </c>
      <c r="CQ226">
        <v>0.25293765906839422</v>
      </c>
      <c r="CR226">
        <v>-1</v>
      </c>
      <c r="CS226">
        <v>17.454517500000001</v>
      </c>
      <c r="CT226">
        <v>0.26692120075049292</v>
      </c>
      <c r="CU226">
        <v>2.618993019750139E-2</v>
      </c>
      <c r="CV226">
        <v>-1</v>
      </c>
      <c r="CW226">
        <v>0</v>
      </c>
      <c r="CX226">
        <v>0</v>
      </c>
      <c r="CY226" t="s">
        <v>333</v>
      </c>
      <c r="CZ226">
        <v>2.3643900000000002</v>
      </c>
      <c r="DA226">
        <v>2.7137600000000002</v>
      </c>
      <c r="DB226">
        <v>0.10970000000000001</v>
      </c>
      <c r="DC226">
        <v>0.14607300000000001</v>
      </c>
      <c r="DD226">
        <v>0.11025799999999999</v>
      </c>
      <c r="DE226">
        <v>3.6919E-2</v>
      </c>
      <c r="DF226">
        <v>32515.3</v>
      </c>
      <c r="DG226">
        <v>27534.5</v>
      </c>
      <c r="DH226">
        <v>31178.6</v>
      </c>
      <c r="DI226">
        <v>28096.799999999999</v>
      </c>
      <c r="DJ226">
        <v>37662.5</v>
      </c>
      <c r="DK226">
        <v>38485.300000000003</v>
      </c>
      <c r="DL226">
        <v>44372.9</v>
      </c>
      <c r="DM226">
        <v>42589.3</v>
      </c>
      <c r="DN226">
        <v>1.48305</v>
      </c>
      <c r="DO226">
        <v>2.0348700000000002</v>
      </c>
      <c r="DP226">
        <v>9.8254499999999995E-2</v>
      </c>
      <c r="DQ226">
        <v>0.17684</v>
      </c>
      <c r="DR226">
        <v>25.39</v>
      </c>
      <c r="DS226">
        <v>25.163</v>
      </c>
      <c r="DT226">
        <v>33.6</v>
      </c>
      <c r="DU226">
        <v>29.4</v>
      </c>
      <c r="DV226">
        <v>13.9582</v>
      </c>
      <c r="DW226">
        <v>61.619700000000002</v>
      </c>
      <c r="DX226">
        <v>37.063299999999998</v>
      </c>
      <c r="DY226">
        <v>1</v>
      </c>
      <c r="DZ226">
        <v>-9.2344999999999997E-2</v>
      </c>
      <c r="EA226">
        <v>0.15529399999999999</v>
      </c>
      <c r="EB226">
        <v>20.1891</v>
      </c>
      <c r="EC226">
        <v>5.2403500000000003</v>
      </c>
      <c r="ED226">
        <v>12.039899999999999</v>
      </c>
      <c r="EE226">
        <v>5.0164499999999999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1.86466</v>
      </c>
      <c r="EM226">
        <v>1.8692</v>
      </c>
      <c r="EN226">
        <v>1.8672299999999999</v>
      </c>
      <c r="EO226">
        <v>1.8633999999999999</v>
      </c>
      <c r="EP226">
        <v>1.8644799999999999</v>
      </c>
      <c r="EQ226">
        <v>1.87012</v>
      </c>
      <c r="ER226">
        <v>1.86937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-0.246</v>
      </c>
      <c r="FG226">
        <v>0.31</v>
      </c>
      <c r="FH226">
        <v>0.1121710645629533</v>
      </c>
      <c r="FI226">
        <v>-6.1462078757559423E-4</v>
      </c>
      <c r="FJ226">
        <v>-1.8861989874597051E-7</v>
      </c>
      <c r="FK226">
        <v>1.1980462299894961E-10</v>
      </c>
      <c r="FL226">
        <v>0.30996499999999833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45.5</v>
      </c>
      <c r="FU226">
        <v>45.4</v>
      </c>
      <c r="FV226">
        <v>1.7712399999999999</v>
      </c>
      <c r="FW226">
        <v>2.5854499999999998</v>
      </c>
      <c r="FX226">
        <v>1.5490699999999999</v>
      </c>
      <c r="FY226">
        <v>2.32666</v>
      </c>
      <c r="FZ226">
        <v>1.50146</v>
      </c>
      <c r="GA226">
        <v>2.3034699999999999</v>
      </c>
      <c r="GB226">
        <v>33.941299999999998</v>
      </c>
      <c r="GC226">
        <v>23.982399999999998</v>
      </c>
      <c r="GD226">
        <v>19</v>
      </c>
      <c r="GE226">
        <v>285.76900000000001</v>
      </c>
      <c r="GF226">
        <v>581.75800000000004</v>
      </c>
      <c r="GG226">
        <v>24.5976</v>
      </c>
      <c r="GH226">
        <v>26.219899999999999</v>
      </c>
      <c r="GI226">
        <v>30.0001</v>
      </c>
      <c r="GJ226">
        <v>26.3416</v>
      </c>
      <c r="GK226">
        <v>26.323599999999999</v>
      </c>
      <c r="GL226">
        <v>35.410499999999999</v>
      </c>
      <c r="GM226">
        <v>56.282200000000003</v>
      </c>
      <c r="GN226">
        <v>36.478099999999998</v>
      </c>
      <c r="GO226">
        <v>24.592300000000002</v>
      </c>
      <c r="GP226">
        <v>800</v>
      </c>
      <c r="GQ226">
        <v>5.5390499999999996</v>
      </c>
      <c r="GR226">
        <v>99.762</v>
      </c>
      <c r="GS226">
        <v>99.627300000000005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2023-07-24T20:04:16Z</dcterms:created>
  <dcterms:modified xsi:type="dcterms:W3CDTF">2023-07-24T22:20:01Z</dcterms:modified>
</cp:coreProperties>
</file>